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7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8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9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0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Ex11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1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3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4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5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Ex16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17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Ex18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19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0a911638b29a820/Documents/4th College Year 2025-26/Fall Semester/DATA-340 Data Mining/Clustering/"/>
    </mc:Choice>
  </mc:AlternateContent>
  <xr:revisionPtr revIDLastSave="60" documentId="8_{7F53551E-BA8C-4429-A66E-2ADDCC992FD4}" xr6:coauthVersionLast="47" xr6:coauthVersionMax="47" xr10:uidLastSave="{20EBC3BA-7334-441B-BC20-B31A5211EC81}"/>
  <bookViews>
    <workbookView xWindow="28680" yWindow="-60" windowWidth="29040" windowHeight="15720" xr2:uid="{00000000-000D-0000-FFFF-FFFF00000000}"/>
  </bookViews>
  <sheets>
    <sheet name="Sheet1" sheetId="1" r:id="rId1"/>
    <sheet name="Invoice Data" sheetId="2" r:id="rId2"/>
    <sheet name="Sales by Date" sheetId="3" r:id="rId3"/>
    <sheet name="Histograms" sheetId="4" r:id="rId4"/>
    <sheet name="Accumulations" sheetId="5" r:id="rId5"/>
    <sheet name="Normalization" sheetId="6" r:id="rId6"/>
    <sheet name="Standardization" sheetId="7" r:id="rId7"/>
    <sheet name="Label Encoding" sheetId="10" r:id="rId8"/>
    <sheet name="Transformation (Ln)" sheetId="8" r:id="rId9"/>
    <sheet name="Sheet2" sheetId="11" r:id="rId10"/>
  </sheets>
  <definedNames>
    <definedName name="_xlchart.v1.0" hidden="1">Sheet1!$F$3:$F$101</definedName>
    <definedName name="_xlchart.v1.1" hidden="1">Sheet1!$E$3:$E$101</definedName>
    <definedName name="_xlchart.v1.10" hidden="1">'Invoice Data'!$D$3:$D$502</definedName>
    <definedName name="_xlchart.v1.11" hidden="1">'Invoice Data'!$H$3:$H$502</definedName>
    <definedName name="_xlchart.v1.12" hidden="1">Normalization!$I$2:$I$501</definedName>
    <definedName name="_xlchart.v1.13" hidden="1">Standardization!$J$2:$J$501</definedName>
    <definedName name="_xlchart.v1.14" hidden="1">Standardization!$L$2:$L$501</definedName>
    <definedName name="_xlchart.v1.15" hidden="1">Standardization!$K$2:$K$501</definedName>
    <definedName name="_xlchart.v1.16" hidden="1">Standardization!$I$2:$I$501</definedName>
    <definedName name="_xlchart.v1.17" hidden="1">'Transformation (Ln)'!$H$2:$H$501</definedName>
    <definedName name="_xlchart.v1.18" hidden="1">'Transformation (Ln)'!$B$2:$B$501</definedName>
    <definedName name="_xlchart.v1.19" hidden="1">'Transformation (Ln)'!$J$2:$J$501</definedName>
    <definedName name="_xlchart.v1.2" hidden="1">Sheet1!$G$3:$G$101</definedName>
    <definedName name="_xlchart.v1.20" hidden="1">'Transformation (Ln)'!$I$2:$I$501</definedName>
    <definedName name="_xlchart.v1.3" hidden="1">'Invoice Data'!$C$2</definedName>
    <definedName name="_xlchart.v1.4" hidden="1">'Invoice Data'!$C$3:$C$502</definedName>
    <definedName name="_xlchart.v1.5" hidden="1">'Invoice Data'!$G$3:$G$502</definedName>
    <definedName name="_xlchart.v1.6" hidden="1">'Invoice Data'!$I$3:$I$502</definedName>
    <definedName name="_xlchart.v1.7" hidden="1">'Invoice Data'!$E$3:$E$502</definedName>
    <definedName name="_xlchart.v1.8" hidden="1">'Invoice Data'!$F$3:$F$502</definedName>
    <definedName name="_xlchart.v1.9" hidden="1">'Invoice Data'!$D$2</definedName>
  </definedNames>
  <calcPr calcId="19102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0" l="1"/>
  <c r="I2" i="7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I50" i="1" s="1"/>
  <c r="E51" i="1"/>
  <c r="I51" i="1" s="1"/>
  <c r="E52" i="1"/>
  <c r="I52" i="1" s="1"/>
  <c r="E53" i="1"/>
  <c r="I53" i="1" s="1"/>
  <c r="E54" i="1"/>
  <c r="I54" i="1" s="1"/>
  <c r="E55" i="1"/>
  <c r="I55" i="1" s="1"/>
  <c r="E56" i="1"/>
  <c r="I56" i="1" s="1"/>
  <c r="E57" i="1"/>
  <c r="I57" i="1" s="1"/>
  <c r="E58" i="1"/>
  <c r="I58" i="1" s="1"/>
  <c r="E59" i="1"/>
  <c r="I59" i="1" s="1"/>
  <c r="E60" i="1"/>
  <c r="I60" i="1" s="1"/>
  <c r="E61" i="1"/>
  <c r="I61" i="1" s="1"/>
  <c r="E62" i="1"/>
  <c r="I62" i="1" s="1"/>
  <c r="E63" i="1"/>
  <c r="I63" i="1" s="1"/>
  <c r="E64" i="1"/>
  <c r="I64" i="1" s="1"/>
  <c r="E65" i="1"/>
  <c r="I65" i="1" s="1"/>
  <c r="E66" i="1"/>
  <c r="I66" i="1" s="1"/>
  <c r="E67" i="1"/>
  <c r="I67" i="1" s="1"/>
  <c r="E68" i="1"/>
  <c r="I68" i="1" s="1"/>
  <c r="E69" i="1"/>
  <c r="I69" i="1" s="1"/>
  <c r="E70" i="1"/>
  <c r="I70" i="1" s="1"/>
  <c r="E71" i="1"/>
  <c r="I71" i="1" s="1"/>
  <c r="E72" i="1"/>
  <c r="I72" i="1" s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0" i="1"/>
  <c r="I80" i="1" s="1"/>
  <c r="E81" i="1"/>
  <c r="I81" i="1" s="1"/>
  <c r="E82" i="1"/>
  <c r="I82" i="1" s="1"/>
  <c r="E83" i="1"/>
  <c r="I83" i="1" s="1"/>
  <c r="E84" i="1"/>
  <c r="I84" i="1" s="1"/>
  <c r="E85" i="1"/>
  <c r="I85" i="1" s="1"/>
  <c r="E86" i="1"/>
  <c r="I86" i="1" s="1"/>
  <c r="E87" i="1"/>
  <c r="I87" i="1" s="1"/>
  <c r="E88" i="1"/>
  <c r="I88" i="1" s="1"/>
  <c r="E89" i="1"/>
  <c r="I89" i="1" s="1"/>
  <c r="E90" i="1"/>
  <c r="I90" i="1" s="1"/>
  <c r="E91" i="1"/>
  <c r="I91" i="1" s="1"/>
  <c r="E92" i="1"/>
  <c r="I92" i="1" s="1"/>
  <c r="E93" i="1"/>
  <c r="I93" i="1" s="1"/>
  <c r="E94" i="1"/>
  <c r="I94" i="1" s="1"/>
  <c r="E95" i="1"/>
  <c r="I95" i="1" s="1"/>
  <c r="E96" i="1"/>
  <c r="I96" i="1" s="1"/>
  <c r="E97" i="1"/>
  <c r="I97" i="1" s="1"/>
  <c r="E98" i="1"/>
  <c r="I98" i="1" s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I104" i="1" s="1"/>
  <c r="E105" i="1"/>
  <c r="I105" i="1" s="1"/>
  <c r="E106" i="1"/>
  <c r="I106" i="1" s="1"/>
  <c r="E107" i="1"/>
  <c r="I107" i="1" s="1"/>
  <c r="E108" i="1"/>
  <c r="I108" i="1" s="1"/>
  <c r="E109" i="1"/>
  <c r="I109" i="1" s="1"/>
  <c r="E110" i="1"/>
  <c r="I110" i="1" s="1"/>
  <c r="E111" i="1"/>
  <c r="I111" i="1" s="1"/>
  <c r="E112" i="1"/>
  <c r="I112" i="1" s="1"/>
  <c r="E113" i="1"/>
  <c r="I113" i="1" s="1"/>
  <c r="E114" i="1"/>
  <c r="I114" i="1" s="1"/>
  <c r="E115" i="1"/>
  <c r="I115" i="1" s="1"/>
  <c r="E116" i="1"/>
  <c r="I116" i="1" s="1"/>
  <c r="E117" i="1"/>
  <c r="I117" i="1" s="1"/>
  <c r="E118" i="1"/>
  <c r="I118" i="1" s="1"/>
  <c r="E119" i="1"/>
  <c r="I119" i="1" s="1"/>
  <c r="E120" i="1"/>
  <c r="I120" i="1" s="1"/>
  <c r="E121" i="1"/>
  <c r="I121" i="1" s="1"/>
  <c r="E122" i="1"/>
  <c r="I122" i="1" s="1"/>
  <c r="E123" i="1"/>
  <c r="I123" i="1" s="1"/>
  <c r="E124" i="1"/>
  <c r="I124" i="1" s="1"/>
  <c r="E125" i="1"/>
  <c r="I125" i="1" s="1"/>
  <c r="E126" i="1"/>
  <c r="I126" i="1" s="1"/>
  <c r="E127" i="1"/>
  <c r="I127" i="1" s="1"/>
  <c r="E128" i="1"/>
  <c r="I128" i="1" s="1"/>
  <c r="E129" i="1"/>
  <c r="I129" i="1" s="1"/>
  <c r="E130" i="1"/>
  <c r="I130" i="1" s="1"/>
  <c r="E131" i="1"/>
  <c r="I131" i="1" s="1"/>
  <c r="E132" i="1"/>
  <c r="I132" i="1" s="1"/>
  <c r="E133" i="1"/>
  <c r="I133" i="1" s="1"/>
  <c r="E134" i="1"/>
  <c r="I134" i="1" s="1"/>
  <c r="E135" i="1"/>
  <c r="I135" i="1" s="1"/>
  <c r="E136" i="1"/>
  <c r="I136" i="1" s="1"/>
  <c r="E137" i="1"/>
  <c r="I137" i="1" s="1"/>
  <c r="E138" i="1"/>
  <c r="I138" i="1" s="1"/>
  <c r="E139" i="1"/>
  <c r="I139" i="1" s="1"/>
  <c r="E140" i="1"/>
  <c r="I140" i="1" s="1"/>
  <c r="E141" i="1"/>
  <c r="I141" i="1" s="1"/>
  <c r="E142" i="1"/>
  <c r="I142" i="1" s="1"/>
  <c r="E143" i="1"/>
  <c r="I143" i="1" s="1"/>
  <c r="E144" i="1"/>
  <c r="I144" i="1" s="1"/>
  <c r="E145" i="1"/>
  <c r="I145" i="1" s="1"/>
  <c r="E146" i="1"/>
  <c r="I146" i="1" s="1"/>
  <c r="E147" i="1"/>
  <c r="I147" i="1" s="1"/>
  <c r="E148" i="1"/>
  <c r="I148" i="1" s="1"/>
  <c r="E149" i="1"/>
  <c r="I149" i="1" s="1"/>
  <c r="E150" i="1"/>
  <c r="I150" i="1" s="1"/>
  <c r="E151" i="1"/>
  <c r="I151" i="1" s="1"/>
  <c r="E152" i="1"/>
  <c r="I152" i="1" s="1"/>
  <c r="E153" i="1"/>
  <c r="I153" i="1" s="1"/>
  <c r="E154" i="1"/>
  <c r="I154" i="1" s="1"/>
  <c r="E155" i="1"/>
  <c r="I155" i="1" s="1"/>
  <c r="E156" i="1"/>
  <c r="I156" i="1" s="1"/>
  <c r="E157" i="1"/>
  <c r="I157" i="1" s="1"/>
  <c r="E158" i="1"/>
  <c r="I158" i="1" s="1"/>
  <c r="E159" i="1"/>
  <c r="I159" i="1" s="1"/>
  <c r="E160" i="1"/>
  <c r="I160" i="1" s="1"/>
  <c r="E161" i="1"/>
  <c r="I161" i="1" s="1"/>
  <c r="E162" i="1"/>
  <c r="I162" i="1" s="1"/>
  <c r="E163" i="1"/>
  <c r="I163" i="1" s="1"/>
  <c r="E164" i="1"/>
  <c r="I164" i="1" s="1"/>
  <c r="E165" i="1"/>
  <c r="I165" i="1" s="1"/>
  <c r="E166" i="1"/>
  <c r="I166" i="1" s="1"/>
  <c r="E167" i="1"/>
  <c r="I167" i="1" s="1"/>
  <c r="E168" i="1"/>
  <c r="I168" i="1" s="1"/>
  <c r="E169" i="1"/>
  <c r="I169" i="1" s="1"/>
  <c r="E170" i="1"/>
  <c r="I170" i="1" s="1"/>
  <c r="E171" i="1"/>
  <c r="I171" i="1" s="1"/>
  <c r="E172" i="1"/>
  <c r="I172" i="1" s="1"/>
  <c r="E173" i="1"/>
  <c r="I173" i="1" s="1"/>
  <c r="E174" i="1"/>
  <c r="I174" i="1" s="1"/>
  <c r="E175" i="1"/>
  <c r="I175" i="1" s="1"/>
  <c r="E176" i="1"/>
  <c r="I176" i="1" s="1"/>
  <c r="E177" i="1"/>
  <c r="I177" i="1" s="1"/>
  <c r="E178" i="1"/>
  <c r="I178" i="1" s="1"/>
  <c r="E179" i="1"/>
  <c r="I179" i="1" s="1"/>
  <c r="E180" i="1"/>
  <c r="I180" i="1" s="1"/>
  <c r="E181" i="1"/>
  <c r="I181" i="1" s="1"/>
  <c r="E182" i="1"/>
  <c r="I182" i="1" s="1"/>
  <c r="E183" i="1"/>
  <c r="I183" i="1" s="1"/>
  <c r="E184" i="1"/>
  <c r="I184" i="1" s="1"/>
  <c r="E185" i="1"/>
  <c r="I185" i="1" s="1"/>
  <c r="E186" i="1"/>
  <c r="I186" i="1" s="1"/>
  <c r="E187" i="1"/>
  <c r="I187" i="1" s="1"/>
  <c r="E188" i="1"/>
  <c r="I188" i="1" s="1"/>
  <c r="E189" i="1"/>
  <c r="I189" i="1" s="1"/>
  <c r="E190" i="1"/>
  <c r="I190" i="1" s="1"/>
  <c r="E191" i="1"/>
  <c r="I191" i="1" s="1"/>
  <c r="E192" i="1"/>
  <c r="I192" i="1" s="1"/>
  <c r="E193" i="1"/>
  <c r="I193" i="1" s="1"/>
  <c r="E194" i="1"/>
  <c r="I194" i="1" s="1"/>
  <c r="E195" i="1"/>
  <c r="I195" i="1" s="1"/>
  <c r="E196" i="1"/>
  <c r="I196" i="1" s="1"/>
  <c r="E197" i="1"/>
  <c r="I197" i="1" s="1"/>
  <c r="E198" i="1"/>
  <c r="I198" i="1" s="1"/>
  <c r="E199" i="1"/>
  <c r="I199" i="1" s="1"/>
  <c r="E200" i="1"/>
  <c r="I200" i="1" s="1"/>
  <c r="E201" i="1"/>
  <c r="I201" i="1" s="1"/>
  <c r="E202" i="1"/>
  <c r="I202" i="1" s="1"/>
  <c r="E203" i="1"/>
  <c r="I203" i="1" s="1"/>
  <c r="E204" i="1"/>
  <c r="I204" i="1" s="1"/>
  <c r="E205" i="1"/>
  <c r="I205" i="1" s="1"/>
  <c r="E206" i="1"/>
  <c r="I206" i="1" s="1"/>
  <c r="E207" i="1"/>
  <c r="I207" i="1" s="1"/>
  <c r="E208" i="1"/>
  <c r="I208" i="1" s="1"/>
  <c r="E209" i="1"/>
  <c r="I209" i="1" s="1"/>
  <c r="E210" i="1"/>
  <c r="I210" i="1" s="1"/>
  <c r="E211" i="1"/>
  <c r="I211" i="1" s="1"/>
  <c r="E212" i="1"/>
  <c r="I212" i="1" s="1"/>
  <c r="E213" i="1"/>
  <c r="I213" i="1" s="1"/>
  <c r="E214" i="1"/>
  <c r="I214" i="1" s="1"/>
  <c r="E215" i="1"/>
  <c r="I215" i="1" s="1"/>
  <c r="E216" i="1"/>
  <c r="I216" i="1" s="1"/>
  <c r="E217" i="1"/>
  <c r="I217" i="1" s="1"/>
  <c r="E218" i="1"/>
  <c r="I218" i="1" s="1"/>
  <c r="E219" i="1"/>
  <c r="I219" i="1" s="1"/>
  <c r="E220" i="1"/>
  <c r="I220" i="1" s="1"/>
  <c r="E221" i="1"/>
  <c r="I221" i="1" s="1"/>
  <c r="E222" i="1"/>
  <c r="I222" i="1" s="1"/>
  <c r="E223" i="1"/>
  <c r="I223" i="1" s="1"/>
  <c r="E224" i="1"/>
  <c r="I224" i="1" s="1"/>
  <c r="E225" i="1"/>
  <c r="I225" i="1" s="1"/>
  <c r="E226" i="1"/>
  <c r="I226" i="1" s="1"/>
  <c r="E227" i="1"/>
  <c r="I227" i="1" s="1"/>
  <c r="E228" i="1"/>
  <c r="I228" i="1" s="1"/>
  <c r="E229" i="1"/>
  <c r="I229" i="1" s="1"/>
  <c r="E230" i="1"/>
  <c r="I230" i="1" s="1"/>
  <c r="E231" i="1"/>
  <c r="I231" i="1" s="1"/>
  <c r="E232" i="1"/>
  <c r="I232" i="1" s="1"/>
  <c r="E233" i="1"/>
  <c r="I233" i="1" s="1"/>
  <c r="E234" i="1"/>
  <c r="I234" i="1" s="1"/>
  <c r="E235" i="1"/>
  <c r="I235" i="1" s="1"/>
  <c r="E236" i="1"/>
  <c r="I236" i="1" s="1"/>
  <c r="E237" i="1"/>
  <c r="I237" i="1" s="1"/>
  <c r="E238" i="1"/>
  <c r="I238" i="1" s="1"/>
  <c r="E239" i="1"/>
  <c r="I239" i="1" s="1"/>
  <c r="E240" i="1"/>
  <c r="I240" i="1" s="1"/>
  <c r="E241" i="1"/>
  <c r="I241" i="1" s="1"/>
  <c r="E242" i="1"/>
  <c r="I242" i="1" s="1"/>
  <c r="E243" i="1"/>
  <c r="I243" i="1" s="1"/>
  <c r="E244" i="1"/>
  <c r="I244" i="1" s="1"/>
  <c r="E245" i="1"/>
  <c r="I245" i="1" s="1"/>
  <c r="E246" i="1"/>
  <c r="I246" i="1" s="1"/>
  <c r="E247" i="1"/>
  <c r="I247" i="1" s="1"/>
  <c r="E248" i="1"/>
  <c r="I248" i="1" s="1"/>
  <c r="E249" i="1"/>
  <c r="I249" i="1" s="1"/>
  <c r="E250" i="1"/>
  <c r="I250" i="1" s="1"/>
  <c r="E251" i="1"/>
  <c r="I251" i="1" s="1"/>
  <c r="E252" i="1"/>
  <c r="I252" i="1" s="1"/>
  <c r="E253" i="1"/>
  <c r="I253" i="1" s="1"/>
  <c r="E254" i="1"/>
  <c r="I254" i="1" s="1"/>
  <c r="E255" i="1"/>
  <c r="I255" i="1" s="1"/>
  <c r="E256" i="1"/>
  <c r="I256" i="1" s="1"/>
  <c r="E257" i="1"/>
  <c r="I257" i="1" s="1"/>
  <c r="E258" i="1"/>
  <c r="I258" i="1" s="1"/>
  <c r="E259" i="1"/>
  <c r="I259" i="1" s="1"/>
  <c r="E260" i="1"/>
  <c r="I260" i="1" s="1"/>
  <c r="E261" i="1"/>
  <c r="I261" i="1" s="1"/>
  <c r="E262" i="1"/>
  <c r="I262" i="1" s="1"/>
  <c r="E263" i="1"/>
  <c r="I263" i="1" s="1"/>
  <c r="E264" i="1"/>
  <c r="I264" i="1" s="1"/>
  <c r="E265" i="1"/>
  <c r="I265" i="1" s="1"/>
  <c r="E266" i="1"/>
  <c r="I266" i="1" s="1"/>
  <c r="E267" i="1"/>
  <c r="I267" i="1" s="1"/>
  <c r="E268" i="1"/>
  <c r="I268" i="1" s="1"/>
  <c r="E269" i="1"/>
  <c r="I269" i="1" s="1"/>
  <c r="E270" i="1"/>
  <c r="I270" i="1" s="1"/>
  <c r="E271" i="1"/>
  <c r="I271" i="1" s="1"/>
  <c r="E272" i="1"/>
  <c r="I272" i="1" s="1"/>
  <c r="E273" i="1"/>
  <c r="I273" i="1" s="1"/>
  <c r="E274" i="1"/>
  <c r="I274" i="1" s="1"/>
  <c r="E275" i="1"/>
  <c r="I275" i="1" s="1"/>
  <c r="E276" i="1"/>
  <c r="I276" i="1" s="1"/>
  <c r="E277" i="1"/>
  <c r="I277" i="1" s="1"/>
  <c r="E278" i="1"/>
  <c r="I278" i="1" s="1"/>
  <c r="E279" i="1"/>
  <c r="I279" i="1" s="1"/>
  <c r="E280" i="1"/>
  <c r="I280" i="1" s="1"/>
  <c r="E281" i="1"/>
  <c r="I281" i="1" s="1"/>
  <c r="E282" i="1"/>
  <c r="I282" i="1" s="1"/>
  <c r="E283" i="1"/>
  <c r="I283" i="1" s="1"/>
  <c r="E284" i="1"/>
  <c r="I284" i="1" s="1"/>
  <c r="E285" i="1"/>
  <c r="I285" i="1" s="1"/>
  <c r="E286" i="1"/>
  <c r="I286" i="1" s="1"/>
  <c r="E287" i="1"/>
  <c r="I287" i="1" s="1"/>
  <c r="E288" i="1"/>
  <c r="I288" i="1" s="1"/>
  <c r="E289" i="1"/>
  <c r="I289" i="1" s="1"/>
  <c r="E290" i="1"/>
  <c r="I290" i="1" s="1"/>
  <c r="E291" i="1"/>
  <c r="I291" i="1" s="1"/>
  <c r="E292" i="1"/>
  <c r="I292" i="1" s="1"/>
  <c r="E293" i="1"/>
  <c r="I293" i="1" s="1"/>
  <c r="E294" i="1"/>
  <c r="I294" i="1" s="1"/>
  <c r="E295" i="1"/>
  <c r="I295" i="1" s="1"/>
  <c r="E296" i="1"/>
  <c r="I296" i="1" s="1"/>
  <c r="E297" i="1"/>
  <c r="I297" i="1" s="1"/>
  <c r="E298" i="1"/>
  <c r="I298" i="1" s="1"/>
  <c r="E299" i="1"/>
  <c r="I299" i="1" s="1"/>
  <c r="E300" i="1"/>
  <c r="I300" i="1" s="1"/>
  <c r="E301" i="1"/>
  <c r="I301" i="1" s="1"/>
  <c r="E302" i="1"/>
  <c r="I302" i="1" s="1"/>
  <c r="E303" i="1"/>
  <c r="I303" i="1" s="1"/>
  <c r="E304" i="1"/>
  <c r="I304" i="1" s="1"/>
  <c r="E305" i="1"/>
  <c r="I305" i="1" s="1"/>
  <c r="E306" i="1"/>
  <c r="I306" i="1" s="1"/>
  <c r="E307" i="1"/>
  <c r="I307" i="1" s="1"/>
  <c r="E308" i="1"/>
  <c r="I308" i="1" s="1"/>
  <c r="E309" i="1"/>
  <c r="I309" i="1" s="1"/>
  <c r="E310" i="1"/>
  <c r="I310" i="1" s="1"/>
  <c r="E311" i="1"/>
  <c r="I311" i="1" s="1"/>
  <c r="E312" i="1"/>
  <c r="I312" i="1" s="1"/>
  <c r="E313" i="1"/>
  <c r="I313" i="1" s="1"/>
  <c r="E314" i="1"/>
  <c r="I314" i="1" s="1"/>
  <c r="E315" i="1"/>
  <c r="I315" i="1" s="1"/>
  <c r="E316" i="1"/>
  <c r="I316" i="1" s="1"/>
  <c r="E317" i="1"/>
  <c r="I317" i="1" s="1"/>
  <c r="E318" i="1"/>
  <c r="I318" i="1" s="1"/>
  <c r="E319" i="1"/>
  <c r="I319" i="1" s="1"/>
  <c r="E320" i="1"/>
  <c r="I320" i="1" s="1"/>
  <c r="E321" i="1"/>
  <c r="I321" i="1" s="1"/>
  <c r="E322" i="1"/>
  <c r="I322" i="1" s="1"/>
  <c r="E323" i="1"/>
  <c r="I323" i="1" s="1"/>
  <c r="E324" i="1"/>
  <c r="I324" i="1" s="1"/>
  <c r="E325" i="1"/>
  <c r="I325" i="1" s="1"/>
  <c r="E326" i="1"/>
  <c r="I326" i="1" s="1"/>
  <c r="E327" i="1"/>
  <c r="I327" i="1" s="1"/>
  <c r="E328" i="1"/>
  <c r="I328" i="1" s="1"/>
  <c r="E329" i="1"/>
  <c r="I329" i="1" s="1"/>
  <c r="E330" i="1"/>
  <c r="I330" i="1" s="1"/>
  <c r="E331" i="1"/>
  <c r="I331" i="1" s="1"/>
  <c r="E332" i="1"/>
  <c r="I332" i="1" s="1"/>
  <c r="E333" i="1"/>
  <c r="I333" i="1" s="1"/>
  <c r="E334" i="1"/>
  <c r="I334" i="1" s="1"/>
  <c r="E335" i="1"/>
  <c r="I335" i="1" s="1"/>
  <c r="E336" i="1"/>
  <c r="I336" i="1" s="1"/>
  <c r="E337" i="1"/>
  <c r="I337" i="1" s="1"/>
  <c r="E338" i="1"/>
  <c r="I338" i="1" s="1"/>
  <c r="E339" i="1"/>
  <c r="I339" i="1" s="1"/>
  <c r="E340" i="1"/>
  <c r="I340" i="1" s="1"/>
  <c r="E341" i="1"/>
  <c r="I341" i="1" s="1"/>
  <c r="E342" i="1"/>
  <c r="I342" i="1" s="1"/>
  <c r="E343" i="1"/>
  <c r="I343" i="1" s="1"/>
  <c r="E344" i="1"/>
  <c r="I344" i="1" s="1"/>
  <c r="E345" i="1"/>
  <c r="I345" i="1" s="1"/>
  <c r="E346" i="1"/>
  <c r="I346" i="1" s="1"/>
  <c r="E347" i="1"/>
  <c r="I347" i="1" s="1"/>
  <c r="E348" i="1"/>
  <c r="I348" i="1" s="1"/>
  <c r="E349" i="1"/>
  <c r="I349" i="1" s="1"/>
  <c r="E350" i="1"/>
  <c r="I350" i="1" s="1"/>
  <c r="E351" i="1"/>
  <c r="I351" i="1" s="1"/>
  <c r="E352" i="1"/>
  <c r="I352" i="1" s="1"/>
  <c r="E353" i="1"/>
  <c r="I353" i="1" s="1"/>
  <c r="E354" i="1"/>
  <c r="I354" i="1" s="1"/>
  <c r="E355" i="1"/>
  <c r="I355" i="1" s="1"/>
  <c r="E356" i="1"/>
  <c r="I356" i="1" s="1"/>
  <c r="E357" i="1"/>
  <c r="I357" i="1" s="1"/>
  <c r="E358" i="1"/>
  <c r="I358" i="1" s="1"/>
  <c r="E359" i="1"/>
  <c r="I359" i="1" s="1"/>
  <c r="E360" i="1"/>
  <c r="I360" i="1" s="1"/>
  <c r="E361" i="1"/>
  <c r="I361" i="1" s="1"/>
  <c r="E362" i="1"/>
  <c r="I362" i="1" s="1"/>
  <c r="E363" i="1"/>
  <c r="I363" i="1" s="1"/>
  <c r="E364" i="1"/>
  <c r="I364" i="1" s="1"/>
  <c r="E365" i="1"/>
  <c r="I365" i="1" s="1"/>
  <c r="E366" i="1"/>
  <c r="I366" i="1" s="1"/>
  <c r="E367" i="1"/>
  <c r="I367" i="1" s="1"/>
  <c r="E368" i="1"/>
  <c r="I368" i="1" s="1"/>
  <c r="E369" i="1"/>
  <c r="I369" i="1" s="1"/>
  <c r="E370" i="1"/>
  <c r="I370" i="1" s="1"/>
  <c r="E371" i="1"/>
  <c r="I371" i="1" s="1"/>
  <c r="E372" i="1"/>
  <c r="I372" i="1" s="1"/>
  <c r="E373" i="1"/>
  <c r="I373" i="1" s="1"/>
  <c r="E374" i="1"/>
  <c r="I374" i="1" s="1"/>
  <c r="E375" i="1"/>
  <c r="I375" i="1" s="1"/>
  <c r="E376" i="1"/>
  <c r="I376" i="1" s="1"/>
  <c r="E377" i="1"/>
  <c r="I377" i="1" s="1"/>
  <c r="E378" i="1"/>
  <c r="I378" i="1" s="1"/>
  <c r="E379" i="1"/>
  <c r="I379" i="1" s="1"/>
  <c r="E380" i="1"/>
  <c r="I380" i="1" s="1"/>
  <c r="E381" i="1"/>
  <c r="I381" i="1" s="1"/>
  <c r="E382" i="1"/>
  <c r="I382" i="1" s="1"/>
  <c r="E383" i="1"/>
  <c r="I383" i="1" s="1"/>
  <c r="E384" i="1"/>
  <c r="I384" i="1" s="1"/>
  <c r="E385" i="1"/>
  <c r="I385" i="1" s="1"/>
  <c r="E386" i="1"/>
  <c r="I386" i="1" s="1"/>
  <c r="E387" i="1"/>
  <c r="I387" i="1" s="1"/>
  <c r="E388" i="1"/>
  <c r="I388" i="1" s="1"/>
  <c r="E389" i="1"/>
  <c r="I389" i="1" s="1"/>
  <c r="E390" i="1"/>
  <c r="I390" i="1" s="1"/>
  <c r="E391" i="1"/>
  <c r="I391" i="1" s="1"/>
  <c r="E392" i="1"/>
  <c r="I392" i="1" s="1"/>
  <c r="E393" i="1"/>
  <c r="I393" i="1" s="1"/>
  <c r="E394" i="1"/>
  <c r="I394" i="1" s="1"/>
  <c r="E395" i="1"/>
  <c r="I395" i="1" s="1"/>
  <c r="E396" i="1"/>
  <c r="I396" i="1" s="1"/>
  <c r="E397" i="1"/>
  <c r="I397" i="1" s="1"/>
  <c r="E398" i="1"/>
  <c r="I398" i="1" s="1"/>
  <c r="E399" i="1"/>
  <c r="I399" i="1" s="1"/>
  <c r="E400" i="1"/>
  <c r="I400" i="1" s="1"/>
  <c r="E401" i="1"/>
  <c r="I401" i="1" s="1"/>
  <c r="E402" i="1"/>
  <c r="I402" i="1" s="1"/>
  <c r="E403" i="1"/>
  <c r="I403" i="1" s="1"/>
  <c r="E404" i="1"/>
  <c r="I404" i="1" s="1"/>
  <c r="E405" i="1"/>
  <c r="I405" i="1" s="1"/>
  <c r="E406" i="1"/>
  <c r="I406" i="1" s="1"/>
  <c r="E407" i="1"/>
  <c r="I407" i="1" s="1"/>
  <c r="E408" i="1"/>
  <c r="I408" i="1" s="1"/>
  <c r="E409" i="1"/>
  <c r="I409" i="1" s="1"/>
  <c r="E410" i="1"/>
  <c r="I410" i="1" s="1"/>
  <c r="E411" i="1"/>
  <c r="I411" i="1" s="1"/>
  <c r="E412" i="1"/>
  <c r="I412" i="1" s="1"/>
  <c r="E413" i="1"/>
  <c r="I413" i="1" s="1"/>
  <c r="E414" i="1"/>
  <c r="I414" i="1" s="1"/>
  <c r="E415" i="1"/>
  <c r="I415" i="1" s="1"/>
  <c r="E416" i="1"/>
  <c r="I416" i="1" s="1"/>
  <c r="E417" i="1"/>
  <c r="I417" i="1" s="1"/>
  <c r="E418" i="1"/>
  <c r="I418" i="1" s="1"/>
  <c r="E419" i="1"/>
  <c r="I419" i="1" s="1"/>
  <c r="E420" i="1"/>
  <c r="I420" i="1" s="1"/>
  <c r="E421" i="1"/>
  <c r="I421" i="1" s="1"/>
  <c r="E422" i="1"/>
  <c r="I422" i="1" s="1"/>
  <c r="E423" i="1"/>
  <c r="I423" i="1" s="1"/>
  <c r="E424" i="1"/>
  <c r="I424" i="1" s="1"/>
  <c r="E425" i="1"/>
  <c r="I425" i="1" s="1"/>
  <c r="E426" i="1"/>
  <c r="I426" i="1" s="1"/>
  <c r="E427" i="1"/>
  <c r="I427" i="1" s="1"/>
  <c r="E428" i="1"/>
  <c r="I428" i="1" s="1"/>
  <c r="E429" i="1"/>
  <c r="I429" i="1" s="1"/>
  <c r="E430" i="1"/>
  <c r="I430" i="1" s="1"/>
  <c r="E431" i="1"/>
  <c r="I431" i="1" s="1"/>
  <c r="E432" i="1"/>
  <c r="I432" i="1" s="1"/>
  <c r="E433" i="1"/>
  <c r="I433" i="1" s="1"/>
  <c r="E434" i="1"/>
  <c r="I434" i="1" s="1"/>
  <c r="E435" i="1"/>
  <c r="I435" i="1" s="1"/>
  <c r="E436" i="1"/>
  <c r="I436" i="1" s="1"/>
  <c r="E437" i="1"/>
  <c r="I437" i="1" s="1"/>
  <c r="E438" i="1"/>
  <c r="I438" i="1" s="1"/>
  <c r="E439" i="1"/>
  <c r="I439" i="1" s="1"/>
  <c r="E440" i="1"/>
  <c r="I440" i="1" s="1"/>
  <c r="E441" i="1"/>
  <c r="I441" i="1" s="1"/>
  <c r="E442" i="1"/>
  <c r="I442" i="1" s="1"/>
  <c r="E443" i="1"/>
  <c r="I443" i="1" s="1"/>
  <c r="E444" i="1"/>
  <c r="I444" i="1" s="1"/>
  <c r="E445" i="1"/>
  <c r="I445" i="1" s="1"/>
  <c r="E446" i="1"/>
  <c r="I446" i="1" s="1"/>
  <c r="E447" i="1"/>
  <c r="I447" i="1" s="1"/>
  <c r="E448" i="1"/>
  <c r="I448" i="1" s="1"/>
  <c r="E449" i="1"/>
  <c r="I449" i="1" s="1"/>
  <c r="E450" i="1"/>
  <c r="I450" i="1" s="1"/>
  <c r="E451" i="1"/>
  <c r="I451" i="1" s="1"/>
  <c r="E452" i="1"/>
  <c r="I452" i="1" s="1"/>
  <c r="E453" i="1"/>
  <c r="I453" i="1" s="1"/>
  <c r="E454" i="1"/>
  <c r="I454" i="1" s="1"/>
  <c r="E455" i="1"/>
  <c r="I455" i="1" s="1"/>
  <c r="E456" i="1"/>
  <c r="I456" i="1" s="1"/>
  <c r="E457" i="1"/>
  <c r="I457" i="1" s="1"/>
  <c r="E458" i="1"/>
  <c r="I458" i="1" s="1"/>
  <c r="E459" i="1"/>
  <c r="I459" i="1" s="1"/>
  <c r="E460" i="1"/>
  <c r="I460" i="1" s="1"/>
  <c r="E461" i="1"/>
  <c r="I461" i="1" s="1"/>
  <c r="E462" i="1"/>
  <c r="I462" i="1" s="1"/>
  <c r="E463" i="1"/>
  <c r="I463" i="1" s="1"/>
  <c r="E464" i="1"/>
  <c r="I464" i="1" s="1"/>
  <c r="E465" i="1"/>
  <c r="I465" i="1" s="1"/>
  <c r="E466" i="1"/>
  <c r="I466" i="1" s="1"/>
  <c r="E467" i="1"/>
  <c r="I467" i="1" s="1"/>
  <c r="E468" i="1"/>
  <c r="I468" i="1" s="1"/>
  <c r="E469" i="1"/>
  <c r="I469" i="1" s="1"/>
  <c r="E470" i="1"/>
  <c r="I470" i="1" s="1"/>
  <c r="E471" i="1"/>
  <c r="I471" i="1" s="1"/>
  <c r="E472" i="1"/>
  <c r="I472" i="1" s="1"/>
  <c r="E473" i="1"/>
  <c r="I473" i="1" s="1"/>
  <c r="E474" i="1"/>
  <c r="I474" i="1" s="1"/>
  <c r="E475" i="1"/>
  <c r="I475" i="1" s="1"/>
  <c r="E476" i="1"/>
  <c r="I476" i="1" s="1"/>
  <c r="E477" i="1"/>
  <c r="I477" i="1" s="1"/>
  <c r="E478" i="1"/>
  <c r="I478" i="1" s="1"/>
  <c r="E479" i="1"/>
  <c r="I479" i="1" s="1"/>
  <c r="E480" i="1"/>
  <c r="I480" i="1" s="1"/>
  <c r="E481" i="1"/>
  <c r="I481" i="1" s="1"/>
  <c r="E482" i="1"/>
  <c r="I482" i="1" s="1"/>
  <c r="E483" i="1"/>
  <c r="I483" i="1" s="1"/>
  <c r="E484" i="1"/>
  <c r="I484" i="1" s="1"/>
  <c r="E485" i="1"/>
  <c r="I485" i="1" s="1"/>
  <c r="E486" i="1"/>
  <c r="I486" i="1" s="1"/>
  <c r="E487" i="1"/>
  <c r="I487" i="1" s="1"/>
  <c r="E488" i="1"/>
  <c r="I488" i="1" s="1"/>
  <c r="E489" i="1"/>
  <c r="I489" i="1" s="1"/>
  <c r="E490" i="1"/>
  <c r="I490" i="1" s="1"/>
  <c r="E491" i="1"/>
  <c r="I491" i="1" s="1"/>
  <c r="E492" i="1"/>
  <c r="I492" i="1" s="1"/>
  <c r="E493" i="1"/>
  <c r="I493" i="1" s="1"/>
  <c r="E494" i="1"/>
  <c r="I494" i="1" s="1"/>
  <c r="E495" i="1"/>
  <c r="I495" i="1" s="1"/>
  <c r="E496" i="1"/>
  <c r="I496" i="1" s="1"/>
  <c r="E497" i="1"/>
  <c r="I497" i="1" s="1"/>
  <c r="E498" i="1"/>
  <c r="I498" i="1" s="1"/>
  <c r="E499" i="1"/>
  <c r="I499" i="1" s="1"/>
  <c r="E500" i="1"/>
  <c r="I500" i="1" s="1"/>
  <c r="E501" i="1"/>
  <c r="I501" i="1" s="1"/>
  <c r="E502" i="1"/>
  <c r="I502" i="1" s="1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O4" i="10"/>
  <c r="P4" i="10"/>
  <c r="Q4" i="10"/>
  <c r="R4" i="10"/>
  <c r="S4" i="10"/>
  <c r="T4" i="10"/>
  <c r="U4" i="10"/>
  <c r="V4" i="10"/>
  <c r="N4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AX58" i="10"/>
  <c r="AY58" i="10"/>
  <c r="AZ58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AX60" i="10"/>
  <c r="AY60" i="10"/>
  <c r="AZ60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AX62" i="10"/>
  <c r="AY62" i="10"/>
  <c r="AZ62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AX63" i="10"/>
  <c r="AY63" i="10"/>
  <c r="AZ63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AX64" i="10"/>
  <c r="AY64" i="10"/>
  <c r="AZ64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AX69" i="10"/>
  <c r="AY69" i="10"/>
  <c r="AZ69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AX70" i="10"/>
  <c r="AY70" i="10"/>
  <c r="AZ70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AX71" i="10"/>
  <c r="AY71" i="10"/>
  <c r="AZ71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AX72" i="10"/>
  <c r="AY72" i="10"/>
  <c r="AZ72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AX73" i="10"/>
  <c r="AY73" i="10"/>
  <c r="AZ73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AX74" i="10"/>
  <c r="AY74" i="10"/>
  <c r="AZ74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AX75" i="10"/>
  <c r="AY75" i="10"/>
  <c r="AZ75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AX76" i="10"/>
  <c r="AY76" i="10"/>
  <c r="AZ76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AX77" i="10"/>
  <c r="AY77" i="10"/>
  <c r="AZ77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AX78" i="10"/>
  <c r="AY78" i="10"/>
  <c r="AZ78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AX81" i="10"/>
  <c r="AY81" i="10"/>
  <c r="AZ81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AX82" i="10"/>
  <c r="AY82" i="10"/>
  <c r="AZ82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T83" i="10"/>
  <c r="AU83" i="10"/>
  <c r="AV83" i="10"/>
  <c r="AW83" i="10"/>
  <c r="AX83" i="10"/>
  <c r="AY83" i="10"/>
  <c r="AZ83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AZ84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J86" i="10"/>
  <c r="AK86" i="10"/>
  <c r="AL86" i="10"/>
  <c r="AM86" i="10"/>
  <c r="AN86" i="10"/>
  <c r="AO86" i="10"/>
  <c r="AP86" i="10"/>
  <c r="AQ86" i="10"/>
  <c r="AR86" i="10"/>
  <c r="AS86" i="10"/>
  <c r="AT86" i="10"/>
  <c r="AU86" i="10"/>
  <c r="AV86" i="10"/>
  <c r="AW86" i="10"/>
  <c r="AX86" i="10"/>
  <c r="AY86" i="10"/>
  <c r="AZ86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V87" i="10"/>
  <c r="AW87" i="10"/>
  <c r="AX87" i="10"/>
  <c r="AY87" i="10"/>
  <c r="AZ87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J88" i="10"/>
  <c r="AK88" i="10"/>
  <c r="AL88" i="10"/>
  <c r="AM88" i="10"/>
  <c r="AN88" i="10"/>
  <c r="AO88" i="10"/>
  <c r="AP88" i="10"/>
  <c r="AQ88" i="10"/>
  <c r="AR88" i="10"/>
  <c r="AS88" i="10"/>
  <c r="AT88" i="10"/>
  <c r="AU88" i="10"/>
  <c r="AV88" i="10"/>
  <c r="AW88" i="10"/>
  <c r="AX88" i="10"/>
  <c r="AY88" i="10"/>
  <c r="AZ88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J89" i="10"/>
  <c r="AK89" i="10"/>
  <c r="AL89" i="10"/>
  <c r="AM89" i="10"/>
  <c r="AN89" i="10"/>
  <c r="AO89" i="10"/>
  <c r="AP89" i="10"/>
  <c r="AQ89" i="10"/>
  <c r="AR89" i="10"/>
  <c r="AS89" i="10"/>
  <c r="AT89" i="10"/>
  <c r="AU89" i="10"/>
  <c r="AV89" i="10"/>
  <c r="AW89" i="10"/>
  <c r="AX89" i="10"/>
  <c r="AY89" i="10"/>
  <c r="AZ89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J90" i="10"/>
  <c r="AK90" i="10"/>
  <c r="AL90" i="10"/>
  <c r="AM90" i="10"/>
  <c r="AN90" i="10"/>
  <c r="AO90" i="10"/>
  <c r="AP90" i="10"/>
  <c r="AQ90" i="10"/>
  <c r="AR90" i="10"/>
  <c r="AS90" i="10"/>
  <c r="AT90" i="10"/>
  <c r="AU90" i="10"/>
  <c r="AV90" i="10"/>
  <c r="AW90" i="10"/>
  <c r="AX90" i="10"/>
  <c r="AY90" i="10"/>
  <c r="AZ90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AW91" i="10"/>
  <c r="AX91" i="10"/>
  <c r="AY91" i="10"/>
  <c r="AZ91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J92" i="10"/>
  <c r="AK92" i="10"/>
  <c r="AL92" i="10"/>
  <c r="AM92" i="10"/>
  <c r="AN92" i="10"/>
  <c r="AO92" i="10"/>
  <c r="AP92" i="10"/>
  <c r="AQ92" i="10"/>
  <c r="AR92" i="10"/>
  <c r="AS92" i="10"/>
  <c r="AT92" i="10"/>
  <c r="AU92" i="10"/>
  <c r="AV92" i="10"/>
  <c r="AW92" i="10"/>
  <c r="AX92" i="10"/>
  <c r="AY92" i="10"/>
  <c r="AZ92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J93" i="10"/>
  <c r="AK93" i="10"/>
  <c r="AL93" i="10"/>
  <c r="AM93" i="10"/>
  <c r="AN93" i="10"/>
  <c r="AO93" i="10"/>
  <c r="AP93" i="10"/>
  <c r="AQ93" i="10"/>
  <c r="AR93" i="10"/>
  <c r="AS93" i="10"/>
  <c r="AT93" i="10"/>
  <c r="AU93" i="10"/>
  <c r="AV93" i="10"/>
  <c r="AW93" i="10"/>
  <c r="AX93" i="10"/>
  <c r="AY93" i="10"/>
  <c r="AZ93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J94" i="10"/>
  <c r="AK94" i="10"/>
  <c r="AL94" i="10"/>
  <c r="AM94" i="10"/>
  <c r="AN94" i="10"/>
  <c r="AO94" i="10"/>
  <c r="AP94" i="10"/>
  <c r="AQ94" i="10"/>
  <c r="AR94" i="10"/>
  <c r="AS94" i="10"/>
  <c r="AT94" i="10"/>
  <c r="AU94" i="10"/>
  <c r="AV94" i="10"/>
  <c r="AW94" i="10"/>
  <c r="AX94" i="10"/>
  <c r="AY94" i="10"/>
  <c r="AZ94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J95" i="10"/>
  <c r="AK95" i="10"/>
  <c r="AL95" i="10"/>
  <c r="AM95" i="10"/>
  <c r="AN95" i="10"/>
  <c r="AO95" i="10"/>
  <c r="AP95" i="10"/>
  <c r="AQ95" i="10"/>
  <c r="AR95" i="10"/>
  <c r="AS95" i="10"/>
  <c r="AT95" i="10"/>
  <c r="AU95" i="10"/>
  <c r="AV95" i="10"/>
  <c r="AW95" i="10"/>
  <c r="AX95" i="10"/>
  <c r="AY95" i="10"/>
  <c r="AZ95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AN96" i="10"/>
  <c r="AO96" i="10"/>
  <c r="AP96" i="10"/>
  <c r="AQ96" i="10"/>
  <c r="AR96" i="10"/>
  <c r="AS96" i="10"/>
  <c r="AT96" i="10"/>
  <c r="AU96" i="10"/>
  <c r="AV96" i="10"/>
  <c r="AW96" i="10"/>
  <c r="AX96" i="10"/>
  <c r="AY96" i="10"/>
  <c r="AZ96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J97" i="10"/>
  <c r="AK97" i="10"/>
  <c r="AL97" i="10"/>
  <c r="AM97" i="10"/>
  <c r="AN97" i="10"/>
  <c r="AO97" i="10"/>
  <c r="AP97" i="10"/>
  <c r="AQ97" i="10"/>
  <c r="AR97" i="10"/>
  <c r="AS97" i="10"/>
  <c r="AT97" i="10"/>
  <c r="AU97" i="10"/>
  <c r="AV97" i="10"/>
  <c r="AW97" i="10"/>
  <c r="AX97" i="10"/>
  <c r="AY97" i="10"/>
  <c r="AZ97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J98" i="10"/>
  <c r="AK98" i="10"/>
  <c r="AL98" i="10"/>
  <c r="AM98" i="10"/>
  <c r="AN98" i="10"/>
  <c r="AO98" i="10"/>
  <c r="AP98" i="10"/>
  <c r="AQ98" i="10"/>
  <c r="AR98" i="10"/>
  <c r="AS98" i="10"/>
  <c r="AT98" i="10"/>
  <c r="AU98" i="10"/>
  <c r="AV98" i="10"/>
  <c r="AW98" i="10"/>
  <c r="AX98" i="10"/>
  <c r="AY98" i="10"/>
  <c r="AZ98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J99" i="10"/>
  <c r="AK99" i="10"/>
  <c r="AL99" i="10"/>
  <c r="AM99" i="10"/>
  <c r="AN99" i="10"/>
  <c r="AO99" i="10"/>
  <c r="AP99" i="10"/>
  <c r="AQ99" i="10"/>
  <c r="AR99" i="10"/>
  <c r="AS99" i="10"/>
  <c r="AT99" i="10"/>
  <c r="AU99" i="10"/>
  <c r="AV99" i="10"/>
  <c r="AW99" i="10"/>
  <c r="AX99" i="10"/>
  <c r="AY99" i="10"/>
  <c r="AZ99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J100" i="10"/>
  <c r="AK100" i="10"/>
  <c r="AL100" i="10"/>
  <c r="AM100" i="10"/>
  <c r="AN100" i="10"/>
  <c r="AO100" i="10"/>
  <c r="AP100" i="10"/>
  <c r="AQ100" i="10"/>
  <c r="AR100" i="10"/>
  <c r="AS100" i="10"/>
  <c r="AT100" i="10"/>
  <c r="AU100" i="10"/>
  <c r="AV100" i="10"/>
  <c r="AW100" i="10"/>
  <c r="AX100" i="10"/>
  <c r="AY100" i="10"/>
  <c r="AZ100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J101" i="10"/>
  <c r="AK101" i="10"/>
  <c r="AL101" i="10"/>
  <c r="AM101" i="10"/>
  <c r="AN101" i="10"/>
  <c r="AO101" i="10"/>
  <c r="AP101" i="10"/>
  <c r="AQ101" i="10"/>
  <c r="AR101" i="10"/>
  <c r="AS101" i="10"/>
  <c r="AT101" i="10"/>
  <c r="AU101" i="10"/>
  <c r="AV101" i="10"/>
  <c r="AW101" i="10"/>
  <c r="AX101" i="10"/>
  <c r="AY101" i="10"/>
  <c r="AZ101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J102" i="10"/>
  <c r="AK102" i="10"/>
  <c r="AL102" i="10"/>
  <c r="AM102" i="10"/>
  <c r="AN102" i="10"/>
  <c r="AO102" i="10"/>
  <c r="AP102" i="10"/>
  <c r="AQ102" i="10"/>
  <c r="AR102" i="10"/>
  <c r="AS102" i="10"/>
  <c r="AT102" i="10"/>
  <c r="AU102" i="10"/>
  <c r="AV102" i="10"/>
  <c r="AW102" i="10"/>
  <c r="AX102" i="10"/>
  <c r="AY102" i="10"/>
  <c r="AZ102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J104" i="10"/>
  <c r="AK104" i="10"/>
  <c r="AL104" i="10"/>
  <c r="AM104" i="10"/>
  <c r="AN104" i="10"/>
  <c r="AO104" i="10"/>
  <c r="AP104" i="10"/>
  <c r="AQ104" i="10"/>
  <c r="AR104" i="10"/>
  <c r="AS104" i="10"/>
  <c r="AT104" i="10"/>
  <c r="AU104" i="10"/>
  <c r="AV104" i="10"/>
  <c r="AW104" i="10"/>
  <c r="AX104" i="10"/>
  <c r="AY104" i="10"/>
  <c r="AZ104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J105" i="10"/>
  <c r="AK105" i="10"/>
  <c r="AL105" i="10"/>
  <c r="AM105" i="10"/>
  <c r="AN105" i="10"/>
  <c r="AO105" i="10"/>
  <c r="AP105" i="10"/>
  <c r="AQ105" i="10"/>
  <c r="AR105" i="10"/>
  <c r="AS105" i="10"/>
  <c r="AT105" i="10"/>
  <c r="AU105" i="10"/>
  <c r="AV105" i="10"/>
  <c r="AW105" i="10"/>
  <c r="AX105" i="10"/>
  <c r="AY105" i="10"/>
  <c r="AZ105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J106" i="10"/>
  <c r="AK106" i="10"/>
  <c r="AL106" i="10"/>
  <c r="AM106" i="10"/>
  <c r="AN106" i="10"/>
  <c r="AO106" i="10"/>
  <c r="AP106" i="10"/>
  <c r="AQ106" i="10"/>
  <c r="AR106" i="10"/>
  <c r="AS106" i="10"/>
  <c r="AT106" i="10"/>
  <c r="AU106" i="10"/>
  <c r="AV106" i="10"/>
  <c r="AW106" i="10"/>
  <c r="AX106" i="10"/>
  <c r="AY106" i="10"/>
  <c r="AZ106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J107" i="10"/>
  <c r="AK107" i="10"/>
  <c r="AL107" i="10"/>
  <c r="AM107" i="10"/>
  <c r="AN107" i="10"/>
  <c r="AO107" i="10"/>
  <c r="AP107" i="10"/>
  <c r="AQ107" i="10"/>
  <c r="AR107" i="10"/>
  <c r="AS107" i="10"/>
  <c r="AT107" i="10"/>
  <c r="AU107" i="10"/>
  <c r="AV107" i="10"/>
  <c r="AW107" i="10"/>
  <c r="AX107" i="10"/>
  <c r="AY107" i="10"/>
  <c r="AZ107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J108" i="10"/>
  <c r="AK108" i="10"/>
  <c r="AL108" i="10"/>
  <c r="AM108" i="10"/>
  <c r="AN108" i="10"/>
  <c r="AO108" i="10"/>
  <c r="AP108" i="10"/>
  <c r="AQ108" i="10"/>
  <c r="AR108" i="10"/>
  <c r="AS108" i="10"/>
  <c r="AT108" i="10"/>
  <c r="AU108" i="10"/>
  <c r="AV108" i="10"/>
  <c r="AW108" i="10"/>
  <c r="AX108" i="10"/>
  <c r="AY108" i="10"/>
  <c r="AZ108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J109" i="10"/>
  <c r="AK109" i="10"/>
  <c r="AL109" i="10"/>
  <c r="AM109" i="10"/>
  <c r="AN109" i="10"/>
  <c r="AO109" i="10"/>
  <c r="AP109" i="10"/>
  <c r="AQ109" i="10"/>
  <c r="AR109" i="10"/>
  <c r="AS109" i="10"/>
  <c r="AT109" i="10"/>
  <c r="AU109" i="10"/>
  <c r="AV109" i="10"/>
  <c r="AW109" i="10"/>
  <c r="AX109" i="10"/>
  <c r="AY109" i="10"/>
  <c r="AZ109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J110" i="10"/>
  <c r="AK110" i="10"/>
  <c r="AL110" i="10"/>
  <c r="AM110" i="10"/>
  <c r="AN110" i="10"/>
  <c r="AO110" i="10"/>
  <c r="AP110" i="10"/>
  <c r="AQ110" i="10"/>
  <c r="AR110" i="10"/>
  <c r="AS110" i="10"/>
  <c r="AT110" i="10"/>
  <c r="AU110" i="10"/>
  <c r="AV110" i="10"/>
  <c r="AW110" i="10"/>
  <c r="AX110" i="10"/>
  <c r="AY110" i="10"/>
  <c r="AZ110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J111" i="10"/>
  <c r="AK111" i="10"/>
  <c r="AL111" i="10"/>
  <c r="AM111" i="10"/>
  <c r="AN111" i="10"/>
  <c r="AO111" i="10"/>
  <c r="AP111" i="10"/>
  <c r="AQ111" i="10"/>
  <c r="AR111" i="10"/>
  <c r="AS111" i="10"/>
  <c r="AT111" i="10"/>
  <c r="AU111" i="10"/>
  <c r="AV111" i="10"/>
  <c r="AW111" i="10"/>
  <c r="AX111" i="10"/>
  <c r="AY111" i="10"/>
  <c r="AZ111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J112" i="10"/>
  <c r="AK112" i="10"/>
  <c r="AL112" i="10"/>
  <c r="AM112" i="10"/>
  <c r="AN112" i="10"/>
  <c r="AO112" i="10"/>
  <c r="AP112" i="10"/>
  <c r="AQ112" i="10"/>
  <c r="AR112" i="10"/>
  <c r="AS112" i="10"/>
  <c r="AT112" i="10"/>
  <c r="AU112" i="10"/>
  <c r="AV112" i="10"/>
  <c r="AW112" i="10"/>
  <c r="AX112" i="10"/>
  <c r="AY112" i="10"/>
  <c r="AZ112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J113" i="10"/>
  <c r="AK113" i="10"/>
  <c r="AL113" i="10"/>
  <c r="AM113" i="10"/>
  <c r="AN113" i="10"/>
  <c r="AO113" i="10"/>
  <c r="AP113" i="10"/>
  <c r="AQ113" i="10"/>
  <c r="AR113" i="10"/>
  <c r="AS113" i="10"/>
  <c r="AT113" i="10"/>
  <c r="AU113" i="10"/>
  <c r="AV113" i="10"/>
  <c r="AW113" i="10"/>
  <c r="AX113" i="10"/>
  <c r="AY113" i="10"/>
  <c r="AZ113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J114" i="10"/>
  <c r="AK114" i="10"/>
  <c r="AL114" i="10"/>
  <c r="AM114" i="10"/>
  <c r="AN114" i="10"/>
  <c r="AO114" i="10"/>
  <c r="AP114" i="10"/>
  <c r="AQ114" i="10"/>
  <c r="AR114" i="10"/>
  <c r="AS114" i="10"/>
  <c r="AT114" i="10"/>
  <c r="AU114" i="10"/>
  <c r="AV114" i="10"/>
  <c r="AW114" i="10"/>
  <c r="AX114" i="10"/>
  <c r="AY114" i="10"/>
  <c r="AZ114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AW115" i="10"/>
  <c r="AX115" i="10"/>
  <c r="AY115" i="10"/>
  <c r="AZ115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J116" i="10"/>
  <c r="AK116" i="10"/>
  <c r="AL116" i="10"/>
  <c r="AM116" i="10"/>
  <c r="AN116" i="10"/>
  <c r="AO116" i="10"/>
  <c r="AP116" i="10"/>
  <c r="AQ116" i="10"/>
  <c r="AR116" i="10"/>
  <c r="AS116" i="10"/>
  <c r="AT116" i="10"/>
  <c r="AU116" i="10"/>
  <c r="AV116" i="10"/>
  <c r="AW116" i="10"/>
  <c r="AX116" i="10"/>
  <c r="AY116" i="10"/>
  <c r="AZ116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V117" i="10"/>
  <c r="AW117" i="10"/>
  <c r="AX117" i="10"/>
  <c r="AY117" i="10"/>
  <c r="AZ117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J118" i="10"/>
  <c r="AK118" i="10"/>
  <c r="AL118" i="10"/>
  <c r="AM118" i="10"/>
  <c r="AN118" i="10"/>
  <c r="AO118" i="10"/>
  <c r="AP118" i="10"/>
  <c r="AQ118" i="10"/>
  <c r="AR118" i="10"/>
  <c r="AS118" i="10"/>
  <c r="AT118" i="10"/>
  <c r="AU118" i="10"/>
  <c r="AV118" i="10"/>
  <c r="AW118" i="10"/>
  <c r="AX118" i="10"/>
  <c r="AY118" i="10"/>
  <c r="AZ118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J119" i="10"/>
  <c r="AK119" i="10"/>
  <c r="AL119" i="10"/>
  <c r="AM119" i="10"/>
  <c r="AN119" i="10"/>
  <c r="AO119" i="10"/>
  <c r="AP119" i="10"/>
  <c r="AQ119" i="10"/>
  <c r="AR119" i="10"/>
  <c r="AS119" i="10"/>
  <c r="AT119" i="10"/>
  <c r="AU119" i="10"/>
  <c r="AV119" i="10"/>
  <c r="AW119" i="10"/>
  <c r="AX119" i="10"/>
  <c r="AY119" i="10"/>
  <c r="AZ119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J120" i="10"/>
  <c r="AK120" i="10"/>
  <c r="AL120" i="10"/>
  <c r="AM120" i="10"/>
  <c r="AN120" i="10"/>
  <c r="AO120" i="10"/>
  <c r="AP120" i="10"/>
  <c r="AQ120" i="10"/>
  <c r="AR120" i="10"/>
  <c r="AS120" i="10"/>
  <c r="AT120" i="10"/>
  <c r="AU120" i="10"/>
  <c r="AV120" i="10"/>
  <c r="AW120" i="10"/>
  <c r="AX120" i="10"/>
  <c r="AY120" i="10"/>
  <c r="AZ120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J121" i="10"/>
  <c r="AK121" i="10"/>
  <c r="AL121" i="10"/>
  <c r="AM121" i="10"/>
  <c r="AN121" i="10"/>
  <c r="AO121" i="10"/>
  <c r="AP121" i="10"/>
  <c r="AQ121" i="10"/>
  <c r="AR121" i="10"/>
  <c r="AS121" i="10"/>
  <c r="AT121" i="10"/>
  <c r="AU121" i="10"/>
  <c r="AV121" i="10"/>
  <c r="AW121" i="10"/>
  <c r="AX121" i="10"/>
  <c r="AY121" i="10"/>
  <c r="AZ121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J122" i="10"/>
  <c r="AK122" i="10"/>
  <c r="AL122" i="10"/>
  <c r="AM122" i="10"/>
  <c r="AN122" i="10"/>
  <c r="AO122" i="10"/>
  <c r="AP122" i="10"/>
  <c r="AQ122" i="10"/>
  <c r="AR122" i="10"/>
  <c r="AS122" i="10"/>
  <c r="AT122" i="10"/>
  <c r="AU122" i="10"/>
  <c r="AV122" i="10"/>
  <c r="AW122" i="10"/>
  <c r="AX122" i="10"/>
  <c r="AY122" i="10"/>
  <c r="AZ122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J123" i="10"/>
  <c r="AK123" i="10"/>
  <c r="AL123" i="10"/>
  <c r="AM123" i="10"/>
  <c r="AN123" i="10"/>
  <c r="AO123" i="10"/>
  <c r="AP123" i="10"/>
  <c r="AQ123" i="10"/>
  <c r="AR123" i="10"/>
  <c r="AS123" i="10"/>
  <c r="AT123" i="10"/>
  <c r="AU123" i="10"/>
  <c r="AV123" i="10"/>
  <c r="AW123" i="10"/>
  <c r="AX123" i="10"/>
  <c r="AY123" i="10"/>
  <c r="AZ123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J124" i="10"/>
  <c r="AK124" i="10"/>
  <c r="AL124" i="10"/>
  <c r="AM124" i="10"/>
  <c r="AN124" i="10"/>
  <c r="AO124" i="10"/>
  <c r="AP124" i="10"/>
  <c r="AQ124" i="10"/>
  <c r="AR124" i="10"/>
  <c r="AS124" i="10"/>
  <c r="AT124" i="10"/>
  <c r="AU124" i="10"/>
  <c r="AV124" i="10"/>
  <c r="AW124" i="10"/>
  <c r="AX124" i="10"/>
  <c r="AY124" i="10"/>
  <c r="AZ124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J125" i="10"/>
  <c r="AK125" i="10"/>
  <c r="AL125" i="10"/>
  <c r="AM125" i="10"/>
  <c r="AN125" i="10"/>
  <c r="AO125" i="10"/>
  <c r="AP125" i="10"/>
  <c r="AQ125" i="10"/>
  <c r="AR125" i="10"/>
  <c r="AS125" i="10"/>
  <c r="AT125" i="10"/>
  <c r="AU125" i="10"/>
  <c r="AV125" i="10"/>
  <c r="AW125" i="10"/>
  <c r="AX125" i="10"/>
  <c r="AY125" i="10"/>
  <c r="AZ125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J126" i="10"/>
  <c r="AK126" i="10"/>
  <c r="AL126" i="10"/>
  <c r="AM126" i="10"/>
  <c r="AN126" i="10"/>
  <c r="AO126" i="10"/>
  <c r="AP126" i="10"/>
  <c r="AQ126" i="10"/>
  <c r="AR126" i="10"/>
  <c r="AS126" i="10"/>
  <c r="AT126" i="10"/>
  <c r="AU126" i="10"/>
  <c r="AV126" i="10"/>
  <c r="AW126" i="10"/>
  <c r="AX126" i="10"/>
  <c r="AY126" i="10"/>
  <c r="AZ126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J128" i="10"/>
  <c r="AK128" i="10"/>
  <c r="AL128" i="10"/>
  <c r="AM128" i="10"/>
  <c r="AN128" i="10"/>
  <c r="AO128" i="10"/>
  <c r="AP128" i="10"/>
  <c r="AQ128" i="10"/>
  <c r="AR128" i="10"/>
  <c r="AS128" i="10"/>
  <c r="AT128" i="10"/>
  <c r="AU128" i="10"/>
  <c r="AV128" i="10"/>
  <c r="AW128" i="10"/>
  <c r="AX128" i="10"/>
  <c r="AY128" i="10"/>
  <c r="AZ128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J129" i="10"/>
  <c r="AK129" i="10"/>
  <c r="AL129" i="10"/>
  <c r="AM129" i="10"/>
  <c r="AN129" i="10"/>
  <c r="AO129" i="10"/>
  <c r="AP129" i="10"/>
  <c r="AQ129" i="10"/>
  <c r="AR129" i="10"/>
  <c r="AS129" i="10"/>
  <c r="AT129" i="10"/>
  <c r="AU129" i="10"/>
  <c r="AV129" i="10"/>
  <c r="AW129" i="10"/>
  <c r="AX129" i="10"/>
  <c r="AY129" i="10"/>
  <c r="AZ129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J130" i="10"/>
  <c r="AK130" i="10"/>
  <c r="AL130" i="10"/>
  <c r="AM130" i="10"/>
  <c r="AN130" i="10"/>
  <c r="AO130" i="10"/>
  <c r="AP130" i="10"/>
  <c r="AQ130" i="10"/>
  <c r="AR130" i="10"/>
  <c r="AS130" i="10"/>
  <c r="AT130" i="10"/>
  <c r="AU130" i="10"/>
  <c r="AV130" i="10"/>
  <c r="AW130" i="10"/>
  <c r="AX130" i="10"/>
  <c r="AY130" i="10"/>
  <c r="AZ130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J131" i="10"/>
  <c r="AK131" i="10"/>
  <c r="AL131" i="10"/>
  <c r="AM131" i="10"/>
  <c r="AN131" i="10"/>
  <c r="AO131" i="10"/>
  <c r="AP131" i="10"/>
  <c r="AQ131" i="10"/>
  <c r="AR131" i="10"/>
  <c r="AS131" i="10"/>
  <c r="AT131" i="10"/>
  <c r="AU131" i="10"/>
  <c r="AV131" i="10"/>
  <c r="AW131" i="10"/>
  <c r="AX131" i="10"/>
  <c r="AY131" i="10"/>
  <c r="AZ131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J132" i="10"/>
  <c r="AK132" i="10"/>
  <c r="AL132" i="10"/>
  <c r="AM132" i="10"/>
  <c r="AN132" i="10"/>
  <c r="AO132" i="10"/>
  <c r="AP132" i="10"/>
  <c r="AQ132" i="10"/>
  <c r="AR132" i="10"/>
  <c r="AS132" i="10"/>
  <c r="AT132" i="10"/>
  <c r="AU132" i="10"/>
  <c r="AV132" i="10"/>
  <c r="AW132" i="10"/>
  <c r="AX132" i="10"/>
  <c r="AY132" i="10"/>
  <c r="AZ132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J133" i="10"/>
  <c r="AK133" i="10"/>
  <c r="AL133" i="10"/>
  <c r="AM133" i="10"/>
  <c r="AN133" i="10"/>
  <c r="AO133" i="10"/>
  <c r="AP133" i="10"/>
  <c r="AQ133" i="10"/>
  <c r="AR133" i="10"/>
  <c r="AS133" i="10"/>
  <c r="AT133" i="10"/>
  <c r="AU133" i="10"/>
  <c r="AV133" i="10"/>
  <c r="AW133" i="10"/>
  <c r="AX133" i="10"/>
  <c r="AY133" i="10"/>
  <c r="AZ133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J134" i="10"/>
  <c r="AK134" i="10"/>
  <c r="AL134" i="10"/>
  <c r="AM134" i="10"/>
  <c r="AN134" i="10"/>
  <c r="AO134" i="10"/>
  <c r="AP134" i="10"/>
  <c r="AQ134" i="10"/>
  <c r="AR134" i="10"/>
  <c r="AS134" i="10"/>
  <c r="AT134" i="10"/>
  <c r="AU134" i="10"/>
  <c r="AV134" i="10"/>
  <c r="AW134" i="10"/>
  <c r="AX134" i="10"/>
  <c r="AY134" i="10"/>
  <c r="AZ134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J135" i="10"/>
  <c r="AK135" i="10"/>
  <c r="AL135" i="10"/>
  <c r="AM135" i="10"/>
  <c r="AN135" i="10"/>
  <c r="AO135" i="10"/>
  <c r="AP135" i="10"/>
  <c r="AQ135" i="10"/>
  <c r="AR135" i="10"/>
  <c r="AS135" i="10"/>
  <c r="AT135" i="10"/>
  <c r="AU135" i="10"/>
  <c r="AV135" i="10"/>
  <c r="AW135" i="10"/>
  <c r="AX135" i="10"/>
  <c r="AY135" i="10"/>
  <c r="AZ135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J136" i="10"/>
  <c r="AK136" i="10"/>
  <c r="AL136" i="10"/>
  <c r="AM136" i="10"/>
  <c r="AN136" i="10"/>
  <c r="AO136" i="10"/>
  <c r="AP136" i="10"/>
  <c r="AQ136" i="10"/>
  <c r="AR136" i="10"/>
  <c r="AS136" i="10"/>
  <c r="AT136" i="10"/>
  <c r="AU136" i="10"/>
  <c r="AV136" i="10"/>
  <c r="AW136" i="10"/>
  <c r="AX136" i="10"/>
  <c r="AY136" i="10"/>
  <c r="AZ136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J137" i="10"/>
  <c r="AK137" i="10"/>
  <c r="AL137" i="10"/>
  <c r="AM137" i="10"/>
  <c r="AN137" i="10"/>
  <c r="AO137" i="10"/>
  <c r="AP137" i="10"/>
  <c r="AQ137" i="10"/>
  <c r="AR137" i="10"/>
  <c r="AS137" i="10"/>
  <c r="AT137" i="10"/>
  <c r="AU137" i="10"/>
  <c r="AV137" i="10"/>
  <c r="AW137" i="10"/>
  <c r="AX137" i="10"/>
  <c r="AY137" i="10"/>
  <c r="AZ137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J138" i="10"/>
  <c r="AK138" i="10"/>
  <c r="AL138" i="10"/>
  <c r="AM138" i="10"/>
  <c r="AN138" i="10"/>
  <c r="AO138" i="10"/>
  <c r="AP138" i="10"/>
  <c r="AQ138" i="10"/>
  <c r="AR138" i="10"/>
  <c r="AS138" i="10"/>
  <c r="AT138" i="10"/>
  <c r="AU138" i="10"/>
  <c r="AV138" i="10"/>
  <c r="AW138" i="10"/>
  <c r="AX138" i="10"/>
  <c r="AY138" i="10"/>
  <c r="AZ138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AW139" i="10"/>
  <c r="AX139" i="10"/>
  <c r="AY139" i="10"/>
  <c r="AZ139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J140" i="10"/>
  <c r="AK140" i="10"/>
  <c r="AL140" i="10"/>
  <c r="AM140" i="10"/>
  <c r="AN140" i="10"/>
  <c r="AO140" i="10"/>
  <c r="AP140" i="10"/>
  <c r="AQ140" i="10"/>
  <c r="AR140" i="10"/>
  <c r="AS140" i="10"/>
  <c r="AT140" i="10"/>
  <c r="AU140" i="10"/>
  <c r="AV140" i="10"/>
  <c r="AW140" i="10"/>
  <c r="AX140" i="10"/>
  <c r="AY140" i="10"/>
  <c r="AZ140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J141" i="10"/>
  <c r="AK141" i="10"/>
  <c r="AL141" i="10"/>
  <c r="AM141" i="10"/>
  <c r="AN141" i="10"/>
  <c r="AO141" i="10"/>
  <c r="AP141" i="10"/>
  <c r="AQ141" i="10"/>
  <c r="AR141" i="10"/>
  <c r="AS141" i="10"/>
  <c r="AT141" i="10"/>
  <c r="AU141" i="10"/>
  <c r="AV141" i="10"/>
  <c r="AW141" i="10"/>
  <c r="AX141" i="10"/>
  <c r="AY141" i="10"/>
  <c r="AZ141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J142" i="10"/>
  <c r="AK142" i="10"/>
  <c r="AL142" i="10"/>
  <c r="AM142" i="10"/>
  <c r="AN142" i="10"/>
  <c r="AO142" i="10"/>
  <c r="AP142" i="10"/>
  <c r="AQ142" i="10"/>
  <c r="AR142" i="10"/>
  <c r="AS142" i="10"/>
  <c r="AT142" i="10"/>
  <c r="AU142" i="10"/>
  <c r="AV142" i="10"/>
  <c r="AW142" i="10"/>
  <c r="AX142" i="10"/>
  <c r="AY142" i="10"/>
  <c r="AZ142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J143" i="10"/>
  <c r="AK143" i="10"/>
  <c r="AL143" i="10"/>
  <c r="AM143" i="10"/>
  <c r="AN143" i="10"/>
  <c r="AO143" i="10"/>
  <c r="AP143" i="10"/>
  <c r="AQ143" i="10"/>
  <c r="AR143" i="10"/>
  <c r="AS143" i="10"/>
  <c r="AT143" i="10"/>
  <c r="AU143" i="10"/>
  <c r="AV143" i="10"/>
  <c r="AW143" i="10"/>
  <c r="AX143" i="10"/>
  <c r="AY143" i="10"/>
  <c r="AZ143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J144" i="10"/>
  <c r="AK144" i="10"/>
  <c r="AL144" i="10"/>
  <c r="AM144" i="10"/>
  <c r="AN144" i="10"/>
  <c r="AO144" i="10"/>
  <c r="AP144" i="10"/>
  <c r="AQ144" i="10"/>
  <c r="AR144" i="10"/>
  <c r="AS144" i="10"/>
  <c r="AT144" i="10"/>
  <c r="AU144" i="10"/>
  <c r="AV144" i="10"/>
  <c r="AW144" i="10"/>
  <c r="AX144" i="10"/>
  <c r="AY144" i="10"/>
  <c r="AZ144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J145" i="10"/>
  <c r="AK145" i="10"/>
  <c r="AL145" i="10"/>
  <c r="AM145" i="10"/>
  <c r="AN145" i="10"/>
  <c r="AO145" i="10"/>
  <c r="AP145" i="10"/>
  <c r="AQ145" i="10"/>
  <c r="AR145" i="10"/>
  <c r="AS145" i="10"/>
  <c r="AT145" i="10"/>
  <c r="AU145" i="10"/>
  <c r="AV145" i="10"/>
  <c r="AW145" i="10"/>
  <c r="AX145" i="10"/>
  <c r="AY145" i="10"/>
  <c r="AZ145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J146" i="10"/>
  <c r="AK146" i="10"/>
  <c r="AL146" i="10"/>
  <c r="AM146" i="10"/>
  <c r="AN146" i="10"/>
  <c r="AO146" i="10"/>
  <c r="AP146" i="10"/>
  <c r="AQ146" i="10"/>
  <c r="AR146" i="10"/>
  <c r="AS146" i="10"/>
  <c r="AT146" i="10"/>
  <c r="AU146" i="10"/>
  <c r="AV146" i="10"/>
  <c r="AW146" i="10"/>
  <c r="AX146" i="10"/>
  <c r="AY146" i="10"/>
  <c r="AZ146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J147" i="10"/>
  <c r="AK147" i="10"/>
  <c r="AL147" i="10"/>
  <c r="AM147" i="10"/>
  <c r="AN147" i="10"/>
  <c r="AO147" i="10"/>
  <c r="AP147" i="10"/>
  <c r="AQ147" i="10"/>
  <c r="AR147" i="10"/>
  <c r="AS147" i="10"/>
  <c r="AT147" i="10"/>
  <c r="AU147" i="10"/>
  <c r="AV147" i="10"/>
  <c r="AW147" i="10"/>
  <c r="AX147" i="10"/>
  <c r="AY147" i="10"/>
  <c r="AZ147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J148" i="10"/>
  <c r="AK148" i="10"/>
  <c r="AL148" i="10"/>
  <c r="AM148" i="10"/>
  <c r="AN148" i="10"/>
  <c r="AO148" i="10"/>
  <c r="AP148" i="10"/>
  <c r="AQ148" i="10"/>
  <c r="AR148" i="10"/>
  <c r="AS148" i="10"/>
  <c r="AT148" i="10"/>
  <c r="AU148" i="10"/>
  <c r="AV148" i="10"/>
  <c r="AW148" i="10"/>
  <c r="AX148" i="10"/>
  <c r="AY148" i="10"/>
  <c r="AZ148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J149" i="10"/>
  <c r="AK149" i="10"/>
  <c r="AL149" i="10"/>
  <c r="AM149" i="10"/>
  <c r="AN149" i="10"/>
  <c r="AO149" i="10"/>
  <c r="AP149" i="10"/>
  <c r="AQ149" i="10"/>
  <c r="AR149" i="10"/>
  <c r="AS149" i="10"/>
  <c r="AT149" i="10"/>
  <c r="AU149" i="10"/>
  <c r="AV149" i="10"/>
  <c r="AW149" i="10"/>
  <c r="AX149" i="10"/>
  <c r="AY149" i="10"/>
  <c r="AZ149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J150" i="10"/>
  <c r="AK150" i="10"/>
  <c r="AL150" i="10"/>
  <c r="AM150" i="10"/>
  <c r="AN150" i="10"/>
  <c r="AO150" i="10"/>
  <c r="AP150" i="10"/>
  <c r="AQ150" i="10"/>
  <c r="AR150" i="10"/>
  <c r="AS150" i="10"/>
  <c r="AT150" i="10"/>
  <c r="AU150" i="10"/>
  <c r="AV150" i="10"/>
  <c r="AW150" i="10"/>
  <c r="AX150" i="10"/>
  <c r="AY150" i="10"/>
  <c r="AZ150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J151" i="10"/>
  <c r="AK151" i="10"/>
  <c r="AL151" i="10"/>
  <c r="AM151" i="10"/>
  <c r="AN151" i="10"/>
  <c r="AO151" i="10"/>
  <c r="AP151" i="10"/>
  <c r="AQ151" i="10"/>
  <c r="AR151" i="10"/>
  <c r="AS151" i="10"/>
  <c r="AT151" i="10"/>
  <c r="AU151" i="10"/>
  <c r="AV151" i="10"/>
  <c r="AW151" i="10"/>
  <c r="AX151" i="10"/>
  <c r="AY151" i="10"/>
  <c r="AZ151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J152" i="10"/>
  <c r="AK152" i="10"/>
  <c r="AL152" i="10"/>
  <c r="AM152" i="10"/>
  <c r="AN152" i="10"/>
  <c r="AO152" i="10"/>
  <c r="AP152" i="10"/>
  <c r="AQ152" i="10"/>
  <c r="AR152" i="10"/>
  <c r="AS152" i="10"/>
  <c r="AT152" i="10"/>
  <c r="AU152" i="10"/>
  <c r="AV152" i="10"/>
  <c r="AW152" i="10"/>
  <c r="AX152" i="10"/>
  <c r="AY152" i="10"/>
  <c r="AZ152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J153" i="10"/>
  <c r="AK153" i="10"/>
  <c r="AL153" i="10"/>
  <c r="AM153" i="10"/>
  <c r="AN153" i="10"/>
  <c r="AO153" i="10"/>
  <c r="AP153" i="10"/>
  <c r="AQ153" i="10"/>
  <c r="AR153" i="10"/>
  <c r="AS153" i="10"/>
  <c r="AT153" i="10"/>
  <c r="AU153" i="10"/>
  <c r="AV153" i="10"/>
  <c r="AW153" i="10"/>
  <c r="AX153" i="10"/>
  <c r="AY153" i="10"/>
  <c r="AZ153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J154" i="10"/>
  <c r="AK154" i="10"/>
  <c r="AL154" i="10"/>
  <c r="AM154" i="10"/>
  <c r="AN154" i="10"/>
  <c r="AO154" i="10"/>
  <c r="AP154" i="10"/>
  <c r="AQ154" i="10"/>
  <c r="AR154" i="10"/>
  <c r="AS154" i="10"/>
  <c r="AT154" i="10"/>
  <c r="AU154" i="10"/>
  <c r="AV154" i="10"/>
  <c r="AW154" i="10"/>
  <c r="AX154" i="10"/>
  <c r="AY154" i="10"/>
  <c r="AZ154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J155" i="10"/>
  <c r="AK155" i="10"/>
  <c r="AL155" i="10"/>
  <c r="AM155" i="10"/>
  <c r="AN155" i="10"/>
  <c r="AO155" i="10"/>
  <c r="AP155" i="10"/>
  <c r="AQ155" i="10"/>
  <c r="AR155" i="10"/>
  <c r="AS155" i="10"/>
  <c r="AT155" i="10"/>
  <c r="AU155" i="10"/>
  <c r="AV155" i="10"/>
  <c r="AW155" i="10"/>
  <c r="AX155" i="10"/>
  <c r="AY155" i="10"/>
  <c r="AZ155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J156" i="10"/>
  <c r="AK156" i="10"/>
  <c r="AL156" i="10"/>
  <c r="AM156" i="10"/>
  <c r="AN156" i="10"/>
  <c r="AO156" i="10"/>
  <c r="AP156" i="10"/>
  <c r="AQ156" i="10"/>
  <c r="AR156" i="10"/>
  <c r="AS156" i="10"/>
  <c r="AT156" i="10"/>
  <c r="AU156" i="10"/>
  <c r="AV156" i="10"/>
  <c r="AW156" i="10"/>
  <c r="AX156" i="10"/>
  <c r="AY156" i="10"/>
  <c r="AZ156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J157" i="10"/>
  <c r="AK157" i="10"/>
  <c r="AL157" i="10"/>
  <c r="AM157" i="10"/>
  <c r="AN157" i="10"/>
  <c r="AO157" i="10"/>
  <c r="AP157" i="10"/>
  <c r="AQ157" i="10"/>
  <c r="AR157" i="10"/>
  <c r="AS157" i="10"/>
  <c r="AT157" i="10"/>
  <c r="AU157" i="10"/>
  <c r="AV157" i="10"/>
  <c r="AW157" i="10"/>
  <c r="AX157" i="10"/>
  <c r="AY157" i="10"/>
  <c r="AZ157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J158" i="10"/>
  <c r="AK158" i="10"/>
  <c r="AL158" i="10"/>
  <c r="AM158" i="10"/>
  <c r="AN158" i="10"/>
  <c r="AO158" i="10"/>
  <c r="AP158" i="10"/>
  <c r="AQ158" i="10"/>
  <c r="AR158" i="10"/>
  <c r="AS158" i="10"/>
  <c r="AT158" i="10"/>
  <c r="AU158" i="10"/>
  <c r="AV158" i="10"/>
  <c r="AW158" i="10"/>
  <c r="AX158" i="10"/>
  <c r="AY158" i="10"/>
  <c r="AZ158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J159" i="10"/>
  <c r="AK159" i="10"/>
  <c r="AL159" i="10"/>
  <c r="AM159" i="10"/>
  <c r="AN159" i="10"/>
  <c r="AO159" i="10"/>
  <c r="AP159" i="10"/>
  <c r="AQ159" i="10"/>
  <c r="AR159" i="10"/>
  <c r="AS159" i="10"/>
  <c r="AT159" i="10"/>
  <c r="AU159" i="10"/>
  <c r="AV159" i="10"/>
  <c r="AW159" i="10"/>
  <c r="AX159" i="10"/>
  <c r="AY159" i="10"/>
  <c r="AZ159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J160" i="10"/>
  <c r="AK160" i="10"/>
  <c r="AL160" i="10"/>
  <c r="AM160" i="10"/>
  <c r="AN160" i="10"/>
  <c r="AO160" i="10"/>
  <c r="AP160" i="10"/>
  <c r="AQ160" i="10"/>
  <c r="AR160" i="10"/>
  <c r="AS160" i="10"/>
  <c r="AT160" i="10"/>
  <c r="AU160" i="10"/>
  <c r="AV160" i="10"/>
  <c r="AW160" i="10"/>
  <c r="AX160" i="10"/>
  <c r="AY160" i="10"/>
  <c r="AZ160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J161" i="10"/>
  <c r="AK161" i="10"/>
  <c r="AL161" i="10"/>
  <c r="AM161" i="10"/>
  <c r="AN161" i="10"/>
  <c r="AO161" i="10"/>
  <c r="AP161" i="10"/>
  <c r="AQ161" i="10"/>
  <c r="AR161" i="10"/>
  <c r="AS161" i="10"/>
  <c r="AT161" i="10"/>
  <c r="AU161" i="10"/>
  <c r="AV161" i="10"/>
  <c r="AW161" i="10"/>
  <c r="AX161" i="10"/>
  <c r="AY161" i="10"/>
  <c r="AZ161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J162" i="10"/>
  <c r="AK162" i="10"/>
  <c r="AL162" i="10"/>
  <c r="AM162" i="10"/>
  <c r="AN162" i="10"/>
  <c r="AO162" i="10"/>
  <c r="AP162" i="10"/>
  <c r="AQ162" i="10"/>
  <c r="AR162" i="10"/>
  <c r="AS162" i="10"/>
  <c r="AT162" i="10"/>
  <c r="AU162" i="10"/>
  <c r="AV162" i="10"/>
  <c r="AW162" i="10"/>
  <c r="AX162" i="10"/>
  <c r="AY162" i="10"/>
  <c r="AZ162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J163" i="10"/>
  <c r="AK163" i="10"/>
  <c r="AL163" i="10"/>
  <c r="AM163" i="10"/>
  <c r="AN163" i="10"/>
  <c r="AO163" i="10"/>
  <c r="AP163" i="10"/>
  <c r="AQ163" i="10"/>
  <c r="AR163" i="10"/>
  <c r="AS163" i="10"/>
  <c r="AT163" i="10"/>
  <c r="AU163" i="10"/>
  <c r="AV163" i="10"/>
  <c r="AW163" i="10"/>
  <c r="AX163" i="10"/>
  <c r="AY163" i="10"/>
  <c r="AZ163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J164" i="10"/>
  <c r="AK164" i="10"/>
  <c r="AL164" i="10"/>
  <c r="AM164" i="10"/>
  <c r="AN164" i="10"/>
  <c r="AO164" i="10"/>
  <c r="AP164" i="10"/>
  <c r="AQ164" i="10"/>
  <c r="AR164" i="10"/>
  <c r="AS164" i="10"/>
  <c r="AT164" i="10"/>
  <c r="AU164" i="10"/>
  <c r="AV164" i="10"/>
  <c r="AW164" i="10"/>
  <c r="AX164" i="10"/>
  <c r="AY164" i="10"/>
  <c r="AZ164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J165" i="10"/>
  <c r="AK165" i="10"/>
  <c r="AL165" i="10"/>
  <c r="AM165" i="10"/>
  <c r="AN165" i="10"/>
  <c r="AO165" i="10"/>
  <c r="AP165" i="10"/>
  <c r="AQ165" i="10"/>
  <c r="AR165" i="10"/>
  <c r="AS165" i="10"/>
  <c r="AT165" i="10"/>
  <c r="AU165" i="10"/>
  <c r="AV165" i="10"/>
  <c r="AW165" i="10"/>
  <c r="AX165" i="10"/>
  <c r="AY165" i="10"/>
  <c r="AZ165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J166" i="10"/>
  <c r="AK166" i="10"/>
  <c r="AL166" i="10"/>
  <c r="AM166" i="10"/>
  <c r="AN166" i="10"/>
  <c r="AO166" i="10"/>
  <c r="AP166" i="10"/>
  <c r="AQ166" i="10"/>
  <c r="AR166" i="10"/>
  <c r="AS166" i="10"/>
  <c r="AT166" i="10"/>
  <c r="AU166" i="10"/>
  <c r="AV166" i="10"/>
  <c r="AW166" i="10"/>
  <c r="AX166" i="10"/>
  <c r="AY166" i="10"/>
  <c r="AZ166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J167" i="10"/>
  <c r="AK167" i="10"/>
  <c r="AL167" i="10"/>
  <c r="AM167" i="10"/>
  <c r="AN167" i="10"/>
  <c r="AO167" i="10"/>
  <c r="AP167" i="10"/>
  <c r="AQ167" i="10"/>
  <c r="AR167" i="10"/>
  <c r="AS167" i="10"/>
  <c r="AT167" i="10"/>
  <c r="AU167" i="10"/>
  <c r="AV167" i="10"/>
  <c r="AW167" i="10"/>
  <c r="AX167" i="10"/>
  <c r="AY167" i="10"/>
  <c r="AZ167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J168" i="10"/>
  <c r="AK168" i="10"/>
  <c r="AL168" i="10"/>
  <c r="AM168" i="10"/>
  <c r="AN168" i="10"/>
  <c r="AO168" i="10"/>
  <c r="AP168" i="10"/>
  <c r="AQ168" i="10"/>
  <c r="AR168" i="10"/>
  <c r="AS168" i="10"/>
  <c r="AT168" i="10"/>
  <c r="AU168" i="10"/>
  <c r="AV168" i="10"/>
  <c r="AW168" i="10"/>
  <c r="AX168" i="10"/>
  <c r="AY168" i="10"/>
  <c r="AZ168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J169" i="10"/>
  <c r="AK169" i="10"/>
  <c r="AL169" i="10"/>
  <c r="AM169" i="10"/>
  <c r="AN169" i="10"/>
  <c r="AO169" i="10"/>
  <c r="AP169" i="10"/>
  <c r="AQ169" i="10"/>
  <c r="AR169" i="10"/>
  <c r="AS169" i="10"/>
  <c r="AT169" i="10"/>
  <c r="AU169" i="10"/>
  <c r="AV169" i="10"/>
  <c r="AW169" i="10"/>
  <c r="AX169" i="10"/>
  <c r="AY169" i="10"/>
  <c r="AZ169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J170" i="10"/>
  <c r="AK170" i="10"/>
  <c r="AL170" i="10"/>
  <c r="AM170" i="10"/>
  <c r="AN170" i="10"/>
  <c r="AO170" i="10"/>
  <c r="AP170" i="10"/>
  <c r="AQ170" i="10"/>
  <c r="AR170" i="10"/>
  <c r="AS170" i="10"/>
  <c r="AT170" i="10"/>
  <c r="AU170" i="10"/>
  <c r="AV170" i="10"/>
  <c r="AW170" i="10"/>
  <c r="AX170" i="10"/>
  <c r="AY170" i="10"/>
  <c r="AZ170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J171" i="10"/>
  <c r="AK171" i="10"/>
  <c r="AL171" i="10"/>
  <c r="AM171" i="10"/>
  <c r="AN171" i="10"/>
  <c r="AO171" i="10"/>
  <c r="AP171" i="10"/>
  <c r="AQ171" i="10"/>
  <c r="AR171" i="10"/>
  <c r="AS171" i="10"/>
  <c r="AT171" i="10"/>
  <c r="AU171" i="10"/>
  <c r="AV171" i="10"/>
  <c r="AW171" i="10"/>
  <c r="AX171" i="10"/>
  <c r="AY171" i="10"/>
  <c r="AZ171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J172" i="10"/>
  <c r="AK172" i="10"/>
  <c r="AL172" i="10"/>
  <c r="AM172" i="10"/>
  <c r="AN172" i="10"/>
  <c r="AO172" i="10"/>
  <c r="AP172" i="10"/>
  <c r="AQ172" i="10"/>
  <c r="AR172" i="10"/>
  <c r="AS172" i="10"/>
  <c r="AT172" i="10"/>
  <c r="AU172" i="10"/>
  <c r="AV172" i="10"/>
  <c r="AW172" i="10"/>
  <c r="AX172" i="10"/>
  <c r="AY172" i="10"/>
  <c r="AZ172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J173" i="10"/>
  <c r="AK173" i="10"/>
  <c r="AL173" i="10"/>
  <c r="AM173" i="10"/>
  <c r="AN173" i="10"/>
  <c r="AO173" i="10"/>
  <c r="AP173" i="10"/>
  <c r="AQ173" i="10"/>
  <c r="AR173" i="10"/>
  <c r="AS173" i="10"/>
  <c r="AT173" i="10"/>
  <c r="AU173" i="10"/>
  <c r="AV173" i="10"/>
  <c r="AW173" i="10"/>
  <c r="AX173" i="10"/>
  <c r="AY173" i="10"/>
  <c r="AZ173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J174" i="10"/>
  <c r="AK174" i="10"/>
  <c r="AL174" i="10"/>
  <c r="AM174" i="10"/>
  <c r="AN174" i="10"/>
  <c r="AO174" i="10"/>
  <c r="AP174" i="10"/>
  <c r="AQ174" i="10"/>
  <c r="AR174" i="10"/>
  <c r="AS174" i="10"/>
  <c r="AT174" i="10"/>
  <c r="AU174" i="10"/>
  <c r="AV174" i="10"/>
  <c r="AW174" i="10"/>
  <c r="AX174" i="10"/>
  <c r="AY174" i="10"/>
  <c r="AZ174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J175" i="10"/>
  <c r="AK175" i="10"/>
  <c r="AL175" i="10"/>
  <c r="AM175" i="10"/>
  <c r="AN175" i="10"/>
  <c r="AO175" i="10"/>
  <c r="AP175" i="10"/>
  <c r="AQ175" i="10"/>
  <c r="AR175" i="10"/>
  <c r="AS175" i="10"/>
  <c r="AT175" i="10"/>
  <c r="AU175" i="10"/>
  <c r="AV175" i="10"/>
  <c r="AW175" i="10"/>
  <c r="AX175" i="10"/>
  <c r="AY175" i="10"/>
  <c r="AZ175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J176" i="10"/>
  <c r="AK176" i="10"/>
  <c r="AL176" i="10"/>
  <c r="AM176" i="10"/>
  <c r="AN176" i="10"/>
  <c r="AO176" i="10"/>
  <c r="AP176" i="10"/>
  <c r="AQ176" i="10"/>
  <c r="AR176" i="10"/>
  <c r="AS176" i="10"/>
  <c r="AT176" i="10"/>
  <c r="AU176" i="10"/>
  <c r="AV176" i="10"/>
  <c r="AW176" i="10"/>
  <c r="AX176" i="10"/>
  <c r="AY176" i="10"/>
  <c r="AZ176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J177" i="10"/>
  <c r="AK177" i="10"/>
  <c r="AL177" i="10"/>
  <c r="AM177" i="10"/>
  <c r="AN177" i="10"/>
  <c r="AO177" i="10"/>
  <c r="AP177" i="10"/>
  <c r="AQ177" i="10"/>
  <c r="AR177" i="10"/>
  <c r="AS177" i="10"/>
  <c r="AT177" i="10"/>
  <c r="AU177" i="10"/>
  <c r="AV177" i="10"/>
  <c r="AW177" i="10"/>
  <c r="AX177" i="10"/>
  <c r="AY177" i="10"/>
  <c r="AZ177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J178" i="10"/>
  <c r="AK178" i="10"/>
  <c r="AL178" i="10"/>
  <c r="AM178" i="10"/>
  <c r="AN178" i="10"/>
  <c r="AO178" i="10"/>
  <c r="AP178" i="10"/>
  <c r="AQ178" i="10"/>
  <c r="AR178" i="10"/>
  <c r="AS178" i="10"/>
  <c r="AT178" i="10"/>
  <c r="AU178" i="10"/>
  <c r="AV178" i="10"/>
  <c r="AW178" i="10"/>
  <c r="AX178" i="10"/>
  <c r="AY178" i="10"/>
  <c r="AZ178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J179" i="10"/>
  <c r="AK179" i="10"/>
  <c r="AL179" i="10"/>
  <c r="AM179" i="10"/>
  <c r="AN179" i="10"/>
  <c r="AO179" i="10"/>
  <c r="AP179" i="10"/>
  <c r="AQ179" i="10"/>
  <c r="AR179" i="10"/>
  <c r="AS179" i="10"/>
  <c r="AT179" i="10"/>
  <c r="AU179" i="10"/>
  <c r="AV179" i="10"/>
  <c r="AW179" i="10"/>
  <c r="AX179" i="10"/>
  <c r="AY179" i="10"/>
  <c r="AZ179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J180" i="10"/>
  <c r="AK180" i="10"/>
  <c r="AL180" i="10"/>
  <c r="AM180" i="10"/>
  <c r="AN180" i="10"/>
  <c r="AO180" i="10"/>
  <c r="AP180" i="10"/>
  <c r="AQ180" i="10"/>
  <c r="AR180" i="10"/>
  <c r="AS180" i="10"/>
  <c r="AT180" i="10"/>
  <c r="AU180" i="10"/>
  <c r="AV180" i="10"/>
  <c r="AW180" i="10"/>
  <c r="AX180" i="10"/>
  <c r="AY180" i="10"/>
  <c r="AZ180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J181" i="10"/>
  <c r="AK181" i="10"/>
  <c r="AL181" i="10"/>
  <c r="AM181" i="10"/>
  <c r="AN181" i="10"/>
  <c r="AO181" i="10"/>
  <c r="AP181" i="10"/>
  <c r="AQ181" i="10"/>
  <c r="AR181" i="10"/>
  <c r="AS181" i="10"/>
  <c r="AT181" i="10"/>
  <c r="AU181" i="10"/>
  <c r="AV181" i="10"/>
  <c r="AW181" i="10"/>
  <c r="AX181" i="10"/>
  <c r="AY181" i="10"/>
  <c r="AZ181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J182" i="10"/>
  <c r="AK182" i="10"/>
  <c r="AL182" i="10"/>
  <c r="AM182" i="10"/>
  <c r="AN182" i="10"/>
  <c r="AO182" i="10"/>
  <c r="AP182" i="10"/>
  <c r="AQ182" i="10"/>
  <c r="AR182" i="10"/>
  <c r="AS182" i="10"/>
  <c r="AT182" i="10"/>
  <c r="AU182" i="10"/>
  <c r="AV182" i="10"/>
  <c r="AW182" i="10"/>
  <c r="AX182" i="10"/>
  <c r="AY182" i="10"/>
  <c r="AZ182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J183" i="10"/>
  <c r="AK183" i="10"/>
  <c r="AL183" i="10"/>
  <c r="AM183" i="10"/>
  <c r="AN183" i="10"/>
  <c r="AO183" i="10"/>
  <c r="AP183" i="10"/>
  <c r="AQ183" i="10"/>
  <c r="AR183" i="10"/>
  <c r="AS183" i="10"/>
  <c r="AT183" i="10"/>
  <c r="AU183" i="10"/>
  <c r="AV183" i="10"/>
  <c r="AW183" i="10"/>
  <c r="AX183" i="10"/>
  <c r="AY183" i="10"/>
  <c r="AZ183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J184" i="10"/>
  <c r="AK184" i="10"/>
  <c r="AL184" i="10"/>
  <c r="AM184" i="10"/>
  <c r="AN184" i="10"/>
  <c r="AO184" i="10"/>
  <c r="AP184" i="10"/>
  <c r="AQ184" i="10"/>
  <c r="AR184" i="10"/>
  <c r="AS184" i="10"/>
  <c r="AT184" i="10"/>
  <c r="AU184" i="10"/>
  <c r="AV184" i="10"/>
  <c r="AW184" i="10"/>
  <c r="AX184" i="10"/>
  <c r="AY184" i="10"/>
  <c r="AZ184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J185" i="10"/>
  <c r="AK185" i="10"/>
  <c r="AL185" i="10"/>
  <c r="AM185" i="10"/>
  <c r="AN185" i="10"/>
  <c r="AO185" i="10"/>
  <c r="AP185" i="10"/>
  <c r="AQ185" i="10"/>
  <c r="AR185" i="10"/>
  <c r="AS185" i="10"/>
  <c r="AT185" i="10"/>
  <c r="AU185" i="10"/>
  <c r="AV185" i="10"/>
  <c r="AW185" i="10"/>
  <c r="AX185" i="10"/>
  <c r="AY185" i="10"/>
  <c r="AZ185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J186" i="10"/>
  <c r="AK186" i="10"/>
  <c r="AL186" i="10"/>
  <c r="AM186" i="10"/>
  <c r="AN186" i="10"/>
  <c r="AO186" i="10"/>
  <c r="AP186" i="10"/>
  <c r="AQ186" i="10"/>
  <c r="AR186" i="10"/>
  <c r="AS186" i="10"/>
  <c r="AT186" i="10"/>
  <c r="AU186" i="10"/>
  <c r="AV186" i="10"/>
  <c r="AW186" i="10"/>
  <c r="AX186" i="10"/>
  <c r="AY186" i="10"/>
  <c r="AZ186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J187" i="10"/>
  <c r="AK187" i="10"/>
  <c r="AL187" i="10"/>
  <c r="AM187" i="10"/>
  <c r="AN187" i="10"/>
  <c r="AO187" i="10"/>
  <c r="AP187" i="10"/>
  <c r="AQ187" i="10"/>
  <c r="AR187" i="10"/>
  <c r="AS187" i="10"/>
  <c r="AT187" i="10"/>
  <c r="AU187" i="10"/>
  <c r="AV187" i="10"/>
  <c r="AW187" i="10"/>
  <c r="AX187" i="10"/>
  <c r="AY187" i="10"/>
  <c r="AZ187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J188" i="10"/>
  <c r="AK188" i="10"/>
  <c r="AL188" i="10"/>
  <c r="AM188" i="10"/>
  <c r="AN188" i="10"/>
  <c r="AO188" i="10"/>
  <c r="AP188" i="10"/>
  <c r="AQ188" i="10"/>
  <c r="AR188" i="10"/>
  <c r="AS188" i="10"/>
  <c r="AT188" i="10"/>
  <c r="AU188" i="10"/>
  <c r="AV188" i="10"/>
  <c r="AW188" i="10"/>
  <c r="AX188" i="10"/>
  <c r="AY188" i="10"/>
  <c r="AZ188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J189" i="10"/>
  <c r="AK189" i="10"/>
  <c r="AL189" i="10"/>
  <c r="AM189" i="10"/>
  <c r="AN189" i="10"/>
  <c r="AO189" i="10"/>
  <c r="AP189" i="10"/>
  <c r="AQ189" i="10"/>
  <c r="AR189" i="10"/>
  <c r="AS189" i="10"/>
  <c r="AT189" i="10"/>
  <c r="AU189" i="10"/>
  <c r="AV189" i="10"/>
  <c r="AW189" i="10"/>
  <c r="AX189" i="10"/>
  <c r="AY189" i="10"/>
  <c r="AZ189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J190" i="10"/>
  <c r="AK190" i="10"/>
  <c r="AL190" i="10"/>
  <c r="AM190" i="10"/>
  <c r="AN190" i="10"/>
  <c r="AO190" i="10"/>
  <c r="AP190" i="10"/>
  <c r="AQ190" i="10"/>
  <c r="AR190" i="10"/>
  <c r="AS190" i="10"/>
  <c r="AT190" i="10"/>
  <c r="AU190" i="10"/>
  <c r="AV190" i="10"/>
  <c r="AW190" i="10"/>
  <c r="AX190" i="10"/>
  <c r="AY190" i="10"/>
  <c r="AZ190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J191" i="10"/>
  <c r="AK191" i="10"/>
  <c r="AL191" i="10"/>
  <c r="AM191" i="10"/>
  <c r="AN191" i="10"/>
  <c r="AO191" i="10"/>
  <c r="AP191" i="10"/>
  <c r="AQ191" i="10"/>
  <c r="AR191" i="10"/>
  <c r="AS191" i="10"/>
  <c r="AT191" i="10"/>
  <c r="AU191" i="10"/>
  <c r="AV191" i="10"/>
  <c r="AW191" i="10"/>
  <c r="AX191" i="10"/>
  <c r="AY191" i="10"/>
  <c r="AZ191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J192" i="10"/>
  <c r="AK192" i="10"/>
  <c r="AL192" i="10"/>
  <c r="AM192" i="10"/>
  <c r="AN192" i="10"/>
  <c r="AO192" i="10"/>
  <c r="AP192" i="10"/>
  <c r="AQ192" i="10"/>
  <c r="AR192" i="10"/>
  <c r="AS192" i="10"/>
  <c r="AT192" i="10"/>
  <c r="AU192" i="10"/>
  <c r="AV192" i="10"/>
  <c r="AW192" i="10"/>
  <c r="AX192" i="10"/>
  <c r="AY192" i="10"/>
  <c r="AZ192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J193" i="10"/>
  <c r="AK193" i="10"/>
  <c r="AL193" i="10"/>
  <c r="AM193" i="10"/>
  <c r="AN193" i="10"/>
  <c r="AO193" i="10"/>
  <c r="AP193" i="10"/>
  <c r="AQ193" i="10"/>
  <c r="AR193" i="10"/>
  <c r="AS193" i="10"/>
  <c r="AT193" i="10"/>
  <c r="AU193" i="10"/>
  <c r="AV193" i="10"/>
  <c r="AW193" i="10"/>
  <c r="AX193" i="10"/>
  <c r="AY193" i="10"/>
  <c r="AZ193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J194" i="10"/>
  <c r="AK194" i="10"/>
  <c r="AL194" i="10"/>
  <c r="AM194" i="10"/>
  <c r="AN194" i="10"/>
  <c r="AO194" i="10"/>
  <c r="AP194" i="10"/>
  <c r="AQ194" i="10"/>
  <c r="AR194" i="10"/>
  <c r="AS194" i="10"/>
  <c r="AT194" i="10"/>
  <c r="AU194" i="10"/>
  <c r="AV194" i="10"/>
  <c r="AW194" i="10"/>
  <c r="AX194" i="10"/>
  <c r="AY194" i="10"/>
  <c r="AZ194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J195" i="10"/>
  <c r="AK195" i="10"/>
  <c r="AL195" i="10"/>
  <c r="AM195" i="10"/>
  <c r="AN195" i="10"/>
  <c r="AO195" i="10"/>
  <c r="AP195" i="10"/>
  <c r="AQ195" i="10"/>
  <c r="AR195" i="10"/>
  <c r="AS195" i="10"/>
  <c r="AT195" i="10"/>
  <c r="AU195" i="10"/>
  <c r="AV195" i="10"/>
  <c r="AW195" i="10"/>
  <c r="AX195" i="10"/>
  <c r="AY195" i="10"/>
  <c r="AZ195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J196" i="10"/>
  <c r="AK196" i="10"/>
  <c r="AL196" i="10"/>
  <c r="AM196" i="10"/>
  <c r="AN196" i="10"/>
  <c r="AO196" i="10"/>
  <c r="AP196" i="10"/>
  <c r="AQ196" i="10"/>
  <c r="AR196" i="10"/>
  <c r="AS196" i="10"/>
  <c r="AT196" i="10"/>
  <c r="AU196" i="10"/>
  <c r="AV196" i="10"/>
  <c r="AW196" i="10"/>
  <c r="AX196" i="10"/>
  <c r="AY196" i="10"/>
  <c r="AZ196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J197" i="10"/>
  <c r="AK197" i="10"/>
  <c r="AL197" i="10"/>
  <c r="AM197" i="10"/>
  <c r="AN197" i="10"/>
  <c r="AO197" i="10"/>
  <c r="AP197" i="10"/>
  <c r="AQ197" i="10"/>
  <c r="AR197" i="10"/>
  <c r="AS197" i="10"/>
  <c r="AT197" i="10"/>
  <c r="AU197" i="10"/>
  <c r="AV197" i="10"/>
  <c r="AW197" i="10"/>
  <c r="AX197" i="10"/>
  <c r="AY197" i="10"/>
  <c r="AZ197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J198" i="10"/>
  <c r="AK198" i="10"/>
  <c r="AL198" i="10"/>
  <c r="AM198" i="10"/>
  <c r="AN198" i="10"/>
  <c r="AO198" i="10"/>
  <c r="AP198" i="10"/>
  <c r="AQ198" i="10"/>
  <c r="AR198" i="10"/>
  <c r="AS198" i="10"/>
  <c r="AT198" i="10"/>
  <c r="AU198" i="10"/>
  <c r="AV198" i="10"/>
  <c r="AW198" i="10"/>
  <c r="AX198" i="10"/>
  <c r="AY198" i="10"/>
  <c r="AZ198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J199" i="10"/>
  <c r="AK199" i="10"/>
  <c r="AL199" i="10"/>
  <c r="AM199" i="10"/>
  <c r="AN199" i="10"/>
  <c r="AO199" i="10"/>
  <c r="AP199" i="10"/>
  <c r="AQ199" i="10"/>
  <c r="AR199" i="10"/>
  <c r="AS199" i="10"/>
  <c r="AT199" i="10"/>
  <c r="AU199" i="10"/>
  <c r="AV199" i="10"/>
  <c r="AW199" i="10"/>
  <c r="AX199" i="10"/>
  <c r="AY199" i="10"/>
  <c r="AZ199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J200" i="10"/>
  <c r="AK200" i="10"/>
  <c r="AL200" i="10"/>
  <c r="AM200" i="10"/>
  <c r="AN200" i="10"/>
  <c r="AO200" i="10"/>
  <c r="AP200" i="10"/>
  <c r="AQ200" i="10"/>
  <c r="AR200" i="10"/>
  <c r="AS200" i="10"/>
  <c r="AT200" i="10"/>
  <c r="AU200" i="10"/>
  <c r="AV200" i="10"/>
  <c r="AW200" i="10"/>
  <c r="AX200" i="10"/>
  <c r="AY200" i="10"/>
  <c r="AZ200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J201" i="10"/>
  <c r="AK201" i="10"/>
  <c r="AL201" i="10"/>
  <c r="AM201" i="10"/>
  <c r="AN201" i="10"/>
  <c r="AO201" i="10"/>
  <c r="AP201" i="10"/>
  <c r="AQ201" i="10"/>
  <c r="AR201" i="10"/>
  <c r="AS201" i="10"/>
  <c r="AT201" i="10"/>
  <c r="AU201" i="10"/>
  <c r="AV201" i="10"/>
  <c r="AW201" i="10"/>
  <c r="AX201" i="10"/>
  <c r="AY201" i="10"/>
  <c r="AZ201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J202" i="10"/>
  <c r="AK202" i="10"/>
  <c r="AL202" i="10"/>
  <c r="AM202" i="10"/>
  <c r="AN202" i="10"/>
  <c r="AO202" i="10"/>
  <c r="AP202" i="10"/>
  <c r="AQ202" i="10"/>
  <c r="AR202" i="10"/>
  <c r="AS202" i="10"/>
  <c r="AT202" i="10"/>
  <c r="AU202" i="10"/>
  <c r="AV202" i="10"/>
  <c r="AW202" i="10"/>
  <c r="AX202" i="10"/>
  <c r="AY202" i="10"/>
  <c r="AZ202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J203" i="10"/>
  <c r="AK203" i="10"/>
  <c r="AL203" i="10"/>
  <c r="AM203" i="10"/>
  <c r="AN203" i="10"/>
  <c r="AO203" i="10"/>
  <c r="AP203" i="10"/>
  <c r="AQ203" i="10"/>
  <c r="AR203" i="10"/>
  <c r="AS203" i="10"/>
  <c r="AT203" i="10"/>
  <c r="AU203" i="10"/>
  <c r="AV203" i="10"/>
  <c r="AW203" i="10"/>
  <c r="AX203" i="10"/>
  <c r="AY203" i="10"/>
  <c r="AZ203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J204" i="10"/>
  <c r="AK204" i="10"/>
  <c r="AL204" i="10"/>
  <c r="AM204" i="10"/>
  <c r="AN204" i="10"/>
  <c r="AO204" i="10"/>
  <c r="AP204" i="10"/>
  <c r="AQ204" i="10"/>
  <c r="AR204" i="10"/>
  <c r="AS204" i="10"/>
  <c r="AT204" i="10"/>
  <c r="AU204" i="10"/>
  <c r="AV204" i="10"/>
  <c r="AW204" i="10"/>
  <c r="AX204" i="10"/>
  <c r="AY204" i="10"/>
  <c r="AZ204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J205" i="10"/>
  <c r="AK205" i="10"/>
  <c r="AL205" i="10"/>
  <c r="AM205" i="10"/>
  <c r="AN205" i="10"/>
  <c r="AO205" i="10"/>
  <c r="AP205" i="10"/>
  <c r="AQ205" i="10"/>
  <c r="AR205" i="10"/>
  <c r="AS205" i="10"/>
  <c r="AT205" i="10"/>
  <c r="AU205" i="10"/>
  <c r="AV205" i="10"/>
  <c r="AW205" i="10"/>
  <c r="AX205" i="10"/>
  <c r="AY205" i="10"/>
  <c r="AZ205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J206" i="10"/>
  <c r="AK206" i="10"/>
  <c r="AL206" i="10"/>
  <c r="AM206" i="10"/>
  <c r="AN206" i="10"/>
  <c r="AO206" i="10"/>
  <c r="AP206" i="10"/>
  <c r="AQ206" i="10"/>
  <c r="AR206" i="10"/>
  <c r="AS206" i="10"/>
  <c r="AT206" i="10"/>
  <c r="AU206" i="10"/>
  <c r="AV206" i="10"/>
  <c r="AW206" i="10"/>
  <c r="AX206" i="10"/>
  <c r="AY206" i="10"/>
  <c r="AZ206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J207" i="10"/>
  <c r="AK207" i="10"/>
  <c r="AL207" i="10"/>
  <c r="AM207" i="10"/>
  <c r="AN207" i="10"/>
  <c r="AO207" i="10"/>
  <c r="AP207" i="10"/>
  <c r="AQ207" i="10"/>
  <c r="AR207" i="10"/>
  <c r="AS207" i="10"/>
  <c r="AT207" i="10"/>
  <c r="AU207" i="10"/>
  <c r="AV207" i="10"/>
  <c r="AW207" i="10"/>
  <c r="AX207" i="10"/>
  <c r="AY207" i="10"/>
  <c r="AZ207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J208" i="10"/>
  <c r="AK208" i="10"/>
  <c r="AL208" i="10"/>
  <c r="AM208" i="10"/>
  <c r="AN208" i="10"/>
  <c r="AO208" i="10"/>
  <c r="AP208" i="10"/>
  <c r="AQ208" i="10"/>
  <c r="AR208" i="10"/>
  <c r="AS208" i="10"/>
  <c r="AT208" i="10"/>
  <c r="AU208" i="10"/>
  <c r="AV208" i="10"/>
  <c r="AW208" i="10"/>
  <c r="AX208" i="10"/>
  <c r="AY208" i="10"/>
  <c r="AZ208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J209" i="10"/>
  <c r="AK209" i="10"/>
  <c r="AL209" i="10"/>
  <c r="AM209" i="10"/>
  <c r="AN209" i="10"/>
  <c r="AO209" i="10"/>
  <c r="AP209" i="10"/>
  <c r="AQ209" i="10"/>
  <c r="AR209" i="10"/>
  <c r="AS209" i="10"/>
  <c r="AT209" i="10"/>
  <c r="AU209" i="10"/>
  <c r="AV209" i="10"/>
  <c r="AW209" i="10"/>
  <c r="AX209" i="10"/>
  <c r="AY209" i="10"/>
  <c r="AZ209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J210" i="10"/>
  <c r="AK210" i="10"/>
  <c r="AL210" i="10"/>
  <c r="AM210" i="10"/>
  <c r="AN210" i="10"/>
  <c r="AO210" i="10"/>
  <c r="AP210" i="10"/>
  <c r="AQ210" i="10"/>
  <c r="AR210" i="10"/>
  <c r="AS210" i="10"/>
  <c r="AT210" i="10"/>
  <c r="AU210" i="10"/>
  <c r="AV210" i="10"/>
  <c r="AW210" i="10"/>
  <c r="AX210" i="10"/>
  <c r="AY210" i="10"/>
  <c r="AZ210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J211" i="10"/>
  <c r="AK211" i="10"/>
  <c r="AL211" i="10"/>
  <c r="AM211" i="10"/>
  <c r="AN211" i="10"/>
  <c r="AO211" i="10"/>
  <c r="AP211" i="10"/>
  <c r="AQ211" i="10"/>
  <c r="AR211" i="10"/>
  <c r="AS211" i="10"/>
  <c r="AT211" i="10"/>
  <c r="AU211" i="10"/>
  <c r="AV211" i="10"/>
  <c r="AW211" i="10"/>
  <c r="AX211" i="10"/>
  <c r="AY211" i="10"/>
  <c r="AZ211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J212" i="10"/>
  <c r="AK212" i="10"/>
  <c r="AL212" i="10"/>
  <c r="AM212" i="10"/>
  <c r="AN212" i="10"/>
  <c r="AO212" i="10"/>
  <c r="AP212" i="10"/>
  <c r="AQ212" i="10"/>
  <c r="AR212" i="10"/>
  <c r="AS212" i="10"/>
  <c r="AT212" i="10"/>
  <c r="AU212" i="10"/>
  <c r="AV212" i="10"/>
  <c r="AW212" i="10"/>
  <c r="AX212" i="10"/>
  <c r="AY212" i="10"/>
  <c r="AZ212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J213" i="10"/>
  <c r="AK213" i="10"/>
  <c r="AL213" i="10"/>
  <c r="AM213" i="10"/>
  <c r="AN213" i="10"/>
  <c r="AO213" i="10"/>
  <c r="AP213" i="10"/>
  <c r="AQ213" i="10"/>
  <c r="AR213" i="10"/>
  <c r="AS213" i="10"/>
  <c r="AT213" i="10"/>
  <c r="AU213" i="10"/>
  <c r="AV213" i="10"/>
  <c r="AW213" i="10"/>
  <c r="AX213" i="10"/>
  <c r="AY213" i="10"/>
  <c r="AZ213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J214" i="10"/>
  <c r="AK214" i="10"/>
  <c r="AL214" i="10"/>
  <c r="AM214" i="10"/>
  <c r="AN214" i="10"/>
  <c r="AO214" i="10"/>
  <c r="AP214" i="10"/>
  <c r="AQ214" i="10"/>
  <c r="AR214" i="10"/>
  <c r="AS214" i="10"/>
  <c r="AT214" i="10"/>
  <c r="AU214" i="10"/>
  <c r="AV214" i="10"/>
  <c r="AW214" i="10"/>
  <c r="AX214" i="10"/>
  <c r="AY214" i="10"/>
  <c r="AZ214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J215" i="10"/>
  <c r="AK215" i="10"/>
  <c r="AL215" i="10"/>
  <c r="AM215" i="10"/>
  <c r="AN215" i="10"/>
  <c r="AO215" i="10"/>
  <c r="AP215" i="10"/>
  <c r="AQ215" i="10"/>
  <c r="AR215" i="10"/>
  <c r="AS215" i="10"/>
  <c r="AT215" i="10"/>
  <c r="AU215" i="10"/>
  <c r="AV215" i="10"/>
  <c r="AW215" i="10"/>
  <c r="AX215" i="10"/>
  <c r="AY215" i="10"/>
  <c r="AZ215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J216" i="10"/>
  <c r="AK216" i="10"/>
  <c r="AL216" i="10"/>
  <c r="AM216" i="10"/>
  <c r="AN216" i="10"/>
  <c r="AO216" i="10"/>
  <c r="AP216" i="10"/>
  <c r="AQ216" i="10"/>
  <c r="AR216" i="10"/>
  <c r="AS216" i="10"/>
  <c r="AT216" i="10"/>
  <c r="AU216" i="10"/>
  <c r="AV216" i="10"/>
  <c r="AW216" i="10"/>
  <c r="AX216" i="10"/>
  <c r="AY216" i="10"/>
  <c r="AZ216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J217" i="10"/>
  <c r="AK217" i="10"/>
  <c r="AL217" i="10"/>
  <c r="AM217" i="10"/>
  <c r="AN217" i="10"/>
  <c r="AO217" i="10"/>
  <c r="AP217" i="10"/>
  <c r="AQ217" i="10"/>
  <c r="AR217" i="10"/>
  <c r="AS217" i="10"/>
  <c r="AT217" i="10"/>
  <c r="AU217" i="10"/>
  <c r="AV217" i="10"/>
  <c r="AW217" i="10"/>
  <c r="AX217" i="10"/>
  <c r="AY217" i="10"/>
  <c r="AZ217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J218" i="10"/>
  <c r="AK218" i="10"/>
  <c r="AL218" i="10"/>
  <c r="AM218" i="10"/>
  <c r="AN218" i="10"/>
  <c r="AO218" i="10"/>
  <c r="AP218" i="10"/>
  <c r="AQ218" i="10"/>
  <c r="AR218" i="10"/>
  <c r="AS218" i="10"/>
  <c r="AT218" i="10"/>
  <c r="AU218" i="10"/>
  <c r="AV218" i="10"/>
  <c r="AW218" i="10"/>
  <c r="AX218" i="10"/>
  <c r="AY218" i="10"/>
  <c r="AZ218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J219" i="10"/>
  <c r="AK219" i="10"/>
  <c r="AL219" i="10"/>
  <c r="AM219" i="10"/>
  <c r="AN219" i="10"/>
  <c r="AO219" i="10"/>
  <c r="AP219" i="10"/>
  <c r="AQ219" i="10"/>
  <c r="AR219" i="10"/>
  <c r="AS219" i="10"/>
  <c r="AT219" i="10"/>
  <c r="AU219" i="10"/>
  <c r="AV219" i="10"/>
  <c r="AW219" i="10"/>
  <c r="AX219" i="10"/>
  <c r="AY219" i="10"/>
  <c r="AZ219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J220" i="10"/>
  <c r="AK220" i="10"/>
  <c r="AL220" i="10"/>
  <c r="AM220" i="10"/>
  <c r="AN220" i="10"/>
  <c r="AO220" i="10"/>
  <c r="AP220" i="10"/>
  <c r="AQ220" i="10"/>
  <c r="AR220" i="10"/>
  <c r="AS220" i="10"/>
  <c r="AT220" i="10"/>
  <c r="AU220" i="10"/>
  <c r="AV220" i="10"/>
  <c r="AW220" i="10"/>
  <c r="AX220" i="10"/>
  <c r="AY220" i="10"/>
  <c r="AZ220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J221" i="10"/>
  <c r="AK221" i="10"/>
  <c r="AL221" i="10"/>
  <c r="AM221" i="10"/>
  <c r="AN221" i="10"/>
  <c r="AO221" i="10"/>
  <c r="AP221" i="10"/>
  <c r="AQ221" i="10"/>
  <c r="AR221" i="10"/>
  <c r="AS221" i="10"/>
  <c r="AT221" i="10"/>
  <c r="AU221" i="10"/>
  <c r="AV221" i="10"/>
  <c r="AW221" i="10"/>
  <c r="AX221" i="10"/>
  <c r="AY221" i="10"/>
  <c r="AZ221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J222" i="10"/>
  <c r="AK222" i="10"/>
  <c r="AL222" i="10"/>
  <c r="AM222" i="10"/>
  <c r="AN222" i="10"/>
  <c r="AO222" i="10"/>
  <c r="AP222" i="10"/>
  <c r="AQ222" i="10"/>
  <c r="AR222" i="10"/>
  <c r="AS222" i="10"/>
  <c r="AT222" i="10"/>
  <c r="AU222" i="10"/>
  <c r="AV222" i="10"/>
  <c r="AW222" i="10"/>
  <c r="AX222" i="10"/>
  <c r="AY222" i="10"/>
  <c r="AZ222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J223" i="10"/>
  <c r="AK223" i="10"/>
  <c r="AL223" i="10"/>
  <c r="AM223" i="10"/>
  <c r="AN223" i="10"/>
  <c r="AO223" i="10"/>
  <c r="AP223" i="10"/>
  <c r="AQ223" i="10"/>
  <c r="AR223" i="10"/>
  <c r="AS223" i="10"/>
  <c r="AT223" i="10"/>
  <c r="AU223" i="10"/>
  <c r="AV223" i="10"/>
  <c r="AW223" i="10"/>
  <c r="AX223" i="10"/>
  <c r="AY223" i="10"/>
  <c r="AZ223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J224" i="10"/>
  <c r="AK224" i="10"/>
  <c r="AL224" i="10"/>
  <c r="AM224" i="10"/>
  <c r="AN224" i="10"/>
  <c r="AO224" i="10"/>
  <c r="AP224" i="10"/>
  <c r="AQ224" i="10"/>
  <c r="AR224" i="10"/>
  <c r="AS224" i="10"/>
  <c r="AT224" i="10"/>
  <c r="AU224" i="10"/>
  <c r="AV224" i="10"/>
  <c r="AW224" i="10"/>
  <c r="AX224" i="10"/>
  <c r="AY224" i="10"/>
  <c r="AZ224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J225" i="10"/>
  <c r="AK225" i="10"/>
  <c r="AL225" i="10"/>
  <c r="AM225" i="10"/>
  <c r="AN225" i="10"/>
  <c r="AO225" i="10"/>
  <c r="AP225" i="10"/>
  <c r="AQ225" i="10"/>
  <c r="AR225" i="10"/>
  <c r="AS225" i="10"/>
  <c r="AT225" i="10"/>
  <c r="AU225" i="10"/>
  <c r="AV225" i="10"/>
  <c r="AW225" i="10"/>
  <c r="AX225" i="10"/>
  <c r="AY225" i="10"/>
  <c r="AZ225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J226" i="10"/>
  <c r="AK226" i="10"/>
  <c r="AL226" i="10"/>
  <c r="AM226" i="10"/>
  <c r="AN226" i="10"/>
  <c r="AO226" i="10"/>
  <c r="AP226" i="10"/>
  <c r="AQ226" i="10"/>
  <c r="AR226" i="10"/>
  <c r="AS226" i="10"/>
  <c r="AT226" i="10"/>
  <c r="AU226" i="10"/>
  <c r="AV226" i="10"/>
  <c r="AW226" i="10"/>
  <c r="AX226" i="10"/>
  <c r="AY226" i="10"/>
  <c r="AZ226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J227" i="10"/>
  <c r="AK227" i="10"/>
  <c r="AL227" i="10"/>
  <c r="AM227" i="10"/>
  <c r="AN227" i="10"/>
  <c r="AO227" i="10"/>
  <c r="AP227" i="10"/>
  <c r="AQ227" i="10"/>
  <c r="AR227" i="10"/>
  <c r="AS227" i="10"/>
  <c r="AT227" i="10"/>
  <c r="AU227" i="10"/>
  <c r="AV227" i="10"/>
  <c r="AW227" i="10"/>
  <c r="AX227" i="10"/>
  <c r="AY227" i="10"/>
  <c r="AZ227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J228" i="10"/>
  <c r="AK228" i="10"/>
  <c r="AL228" i="10"/>
  <c r="AM228" i="10"/>
  <c r="AN228" i="10"/>
  <c r="AO228" i="10"/>
  <c r="AP228" i="10"/>
  <c r="AQ228" i="10"/>
  <c r="AR228" i="10"/>
  <c r="AS228" i="10"/>
  <c r="AT228" i="10"/>
  <c r="AU228" i="10"/>
  <c r="AV228" i="10"/>
  <c r="AW228" i="10"/>
  <c r="AX228" i="10"/>
  <c r="AY228" i="10"/>
  <c r="AZ228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J229" i="10"/>
  <c r="AK229" i="10"/>
  <c r="AL229" i="10"/>
  <c r="AM229" i="10"/>
  <c r="AN229" i="10"/>
  <c r="AO229" i="10"/>
  <c r="AP229" i="10"/>
  <c r="AQ229" i="10"/>
  <c r="AR229" i="10"/>
  <c r="AS229" i="10"/>
  <c r="AT229" i="10"/>
  <c r="AU229" i="10"/>
  <c r="AV229" i="10"/>
  <c r="AW229" i="10"/>
  <c r="AX229" i="10"/>
  <c r="AY229" i="10"/>
  <c r="AZ229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J230" i="10"/>
  <c r="AK230" i="10"/>
  <c r="AL230" i="10"/>
  <c r="AM230" i="10"/>
  <c r="AN230" i="10"/>
  <c r="AO230" i="10"/>
  <c r="AP230" i="10"/>
  <c r="AQ230" i="10"/>
  <c r="AR230" i="10"/>
  <c r="AS230" i="10"/>
  <c r="AT230" i="10"/>
  <c r="AU230" i="10"/>
  <c r="AV230" i="10"/>
  <c r="AW230" i="10"/>
  <c r="AX230" i="10"/>
  <c r="AY230" i="10"/>
  <c r="AZ230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J231" i="10"/>
  <c r="AK231" i="10"/>
  <c r="AL231" i="10"/>
  <c r="AM231" i="10"/>
  <c r="AN231" i="10"/>
  <c r="AO231" i="10"/>
  <c r="AP231" i="10"/>
  <c r="AQ231" i="10"/>
  <c r="AR231" i="10"/>
  <c r="AS231" i="10"/>
  <c r="AT231" i="10"/>
  <c r="AU231" i="10"/>
  <c r="AV231" i="10"/>
  <c r="AW231" i="10"/>
  <c r="AX231" i="10"/>
  <c r="AY231" i="10"/>
  <c r="AZ231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J232" i="10"/>
  <c r="AK232" i="10"/>
  <c r="AL232" i="10"/>
  <c r="AM232" i="10"/>
  <c r="AN232" i="10"/>
  <c r="AO232" i="10"/>
  <c r="AP232" i="10"/>
  <c r="AQ232" i="10"/>
  <c r="AR232" i="10"/>
  <c r="AS232" i="10"/>
  <c r="AT232" i="10"/>
  <c r="AU232" i="10"/>
  <c r="AV232" i="10"/>
  <c r="AW232" i="10"/>
  <c r="AX232" i="10"/>
  <c r="AY232" i="10"/>
  <c r="AZ232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J233" i="10"/>
  <c r="AK233" i="10"/>
  <c r="AL233" i="10"/>
  <c r="AM233" i="10"/>
  <c r="AN233" i="10"/>
  <c r="AO233" i="10"/>
  <c r="AP233" i="10"/>
  <c r="AQ233" i="10"/>
  <c r="AR233" i="10"/>
  <c r="AS233" i="10"/>
  <c r="AT233" i="10"/>
  <c r="AU233" i="10"/>
  <c r="AV233" i="10"/>
  <c r="AW233" i="10"/>
  <c r="AX233" i="10"/>
  <c r="AY233" i="10"/>
  <c r="AZ233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J234" i="10"/>
  <c r="AK234" i="10"/>
  <c r="AL234" i="10"/>
  <c r="AM234" i="10"/>
  <c r="AN234" i="10"/>
  <c r="AO234" i="10"/>
  <c r="AP234" i="10"/>
  <c r="AQ234" i="10"/>
  <c r="AR234" i="10"/>
  <c r="AS234" i="10"/>
  <c r="AT234" i="10"/>
  <c r="AU234" i="10"/>
  <c r="AV234" i="10"/>
  <c r="AW234" i="10"/>
  <c r="AX234" i="10"/>
  <c r="AY234" i="10"/>
  <c r="AZ234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J235" i="10"/>
  <c r="AK235" i="10"/>
  <c r="AL235" i="10"/>
  <c r="AM235" i="10"/>
  <c r="AN235" i="10"/>
  <c r="AO235" i="10"/>
  <c r="AP235" i="10"/>
  <c r="AQ235" i="10"/>
  <c r="AR235" i="10"/>
  <c r="AS235" i="10"/>
  <c r="AT235" i="10"/>
  <c r="AU235" i="10"/>
  <c r="AV235" i="10"/>
  <c r="AW235" i="10"/>
  <c r="AX235" i="10"/>
  <c r="AY235" i="10"/>
  <c r="AZ235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J236" i="10"/>
  <c r="AK236" i="10"/>
  <c r="AL236" i="10"/>
  <c r="AM236" i="10"/>
  <c r="AN236" i="10"/>
  <c r="AO236" i="10"/>
  <c r="AP236" i="10"/>
  <c r="AQ236" i="10"/>
  <c r="AR236" i="10"/>
  <c r="AS236" i="10"/>
  <c r="AT236" i="10"/>
  <c r="AU236" i="10"/>
  <c r="AV236" i="10"/>
  <c r="AW236" i="10"/>
  <c r="AX236" i="10"/>
  <c r="AY236" i="10"/>
  <c r="AZ236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J237" i="10"/>
  <c r="AK237" i="10"/>
  <c r="AL237" i="10"/>
  <c r="AM237" i="10"/>
  <c r="AN237" i="10"/>
  <c r="AO237" i="10"/>
  <c r="AP237" i="10"/>
  <c r="AQ237" i="10"/>
  <c r="AR237" i="10"/>
  <c r="AS237" i="10"/>
  <c r="AT237" i="10"/>
  <c r="AU237" i="10"/>
  <c r="AV237" i="10"/>
  <c r="AW237" i="10"/>
  <c r="AX237" i="10"/>
  <c r="AY237" i="10"/>
  <c r="AZ237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J238" i="10"/>
  <c r="AK238" i="10"/>
  <c r="AL238" i="10"/>
  <c r="AM238" i="10"/>
  <c r="AN238" i="10"/>
  <c r="AO238" i="10"/>
  <c r="AP238" i="10"/>
  <c r="AQ238" i="10"/>
  <c r="AR238" i="10"/>
  <c r="AS238" i="10"/>
  <c r="AT238" i="10"/>
  <c r="AU238" i="10"/>
  <c r="AV238" i="10"/>
  <c r="AW238" i="10"/>
  <c r="AX238" i="10"/>
  <c r="AY238" i="10"/>
  <c r="AZ238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J239" i="10"/>
  <c r="AK239" i="10"/>
  <c r="AL239" i="10"/>
  <c r="AM239" i="10"/>
  <c r="AN239" i="10"/>
  <c r="AO239" i="10"/>
  <c r="AP239" i="10"/>
  <c r="AQ239" i="10"/>
  <c r="AR239" i="10"/>
  <c r="AS239" i="10"/>
  <c r="AT239" i="10"/>
  <c r="AU239" i="10"/>
  <c r="AV239" i="10"/>
  <c r="AW239" i="10"/>
  <c r="AX239" i="10"/>
  <c r="AY239" i="10"/>
  <c r="AZ239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J240" i="10"/>
  <c r="AK240" i="10"/>
  <c r="AL240" i="10"/>
  <c r="AM240" i="10"/>
  <c r="AN240" i="10"/>
  <c r="AO240" i="10"/>
  <c r="AP240" i="10"/>
  <c r="AQ240" i="10"/>
  <c r="AR240" i="10"/>
  <c r="AS240" i="10"/>
  <c r="AT240" i="10"/>
  <c r="AU240" i="10"/>
  <c r="AV240" i="10"/>
  <c r="AW240" i="10"/>
  <c r="AX240" i="10"/>
  <c r="AY240" i="10"/>
  <c r="AZ240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J241" i="10"/>
  <c r="AK241" i="10"/>
  <c r="AL241" i="10"/>
  <c r="AM241" i="10"/>
  <c r="AN241" i="10"/>
  <c r="AO241" i="10"/>
  <c r="AP241" i="10"/>
  <c r="AQ241" i="10"/>
  <c r="AR241" i="10"/>
  <c r="AS241" i="10"/>
  <c r="AT241" i="10"/>
  <c r="AU241" i="10"/>
  <c r="AV241" i="10"/>
  <c r="AW241" i="10"/>
  <c r="AX241" i="10"/>
  <c r="AY241" i="10"/>
  <c r="AZ241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J242" i="10"/>
  <c r="AK242" i="10"/>
  <c r="AL242" i="10"/>
  <c r="AM242" i="10"/>
  <c r="AN242" i="10"/>
  <c r="AO242" i="10"/>
  <c r="AP242" i="10"/>
  <c r="AQ242" i="10"/>
  <c r="AR242" i="10"/>
  <c r="AS242" i="10"/>
  <c r="AT242" i="10"/>
  <c r="AU242" i="10"/>
  <c r="AV242" i="10"/>
  <c r="AW242" i="10"/>
  <c r="AX242" i="10"/>
  <c r="AY242" i="10"/>
  <c r="AZ242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J243" i="10"/>
  <c r="AK243" i="10"/>
  <c r="AL243" i="10"/>
  <c r="AM243" i="10"/>
  <c r="AN243" i="10"/>
  <c r="AO243" i="10"/>
  <c r="AP243" i="10"/>
  <c r="AQ243" i="10"/>
  <c r="AR243" i="10"/>
  <c r="AS243" i="10"/>
  <c r="AT243" i="10"/>
  <c r="AU243" i="10"/>
  <c r="AV243" i="10"/>
  <c r="AW243" i="10"/>
  <c r="AX243" i="10"/>
  <c r="AY243" i="10"/>
  <c r="AZ243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J244" i="10"/>
  <c r="AK244" i="10"/>
  <c r="AL244" i="10"/>
  <c r="AM244" i="10"/>
  <c r="AN244" i="10"/>
  <c r="AO244" i="10"/>
  <c r="AP244" i="10"/>
  <c r="AQ244" i="10"/>
  <c r="AR244" i="10"/>
  <c r="AS244" i="10"/>
  <c r="AT244" i="10"/>
  <c r="AU244" i="10"/>
  <c r="AV244" i="10"/>
  <c r="AW244" i="10"/>
  <c r="AX244" i="10"/>
  <c r="AY244" i="10"/>
  <c r="AZ244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J245" i="10"/>
  <c r="AK245" i="10"/>
  <c r="AL245" i="10"/>
  <c r="AM245" i="10"/>
  <c r="AN245" i="10"/>
  <c r="AO245" i="10"/>
  <c r="AP245" i="10"/>
  <c r="AQ245" i="10"/>
  <c r="AR245" i="10"/>
  <c r="AS245" i="10"/>
  <c r="AT245" i="10"/>
  <c r="AU245" i="10"/>
  <c r="AV245" i="10"/>
  <c r="AW245" i="10"/>
  <c r="AX245" i="10"/>
  <c r="AY245" i="10"/>
  <c r="AZ245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J246" i="10"/>
  <c r="AK246" i="10"/>
  <c r="AL246" i="10"/>
  <c r="AM246" i="10"/>
  <c r="AN246" i="10"/>
  <c r="AO246" i="10"/>
  <c r="AP246" i="10"/>
  <c r="AQ246" i="10"/>
  <c r="AR246" i="10"/>
  <c r="AS246" i="10"/>
  <c r="AT246" i="10"/>
  <c r="AU246" i="10"/>
  <c r="AV246" i="10"/>
  <c r="AW246" i="10"/>
  <c r="AX246" i="10"/>
  <c r="AY246" i="10"/>
  <c r="AZ246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AW247" i="10"/>
  <c r="AX247" i="10"/>
  <c r="AY247" i="10"/>
  <c r="AZ247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J248" i="10"/>
  <c r="AK248" i="10"/>
  <c r="AL248" i="10"/>
  <c r="AM248" i="10"/>
  <c r="AN248" i="10"/>
  <c r="AO248" i="10"/>
  <c r="AP248" i="10"/>
  <c r="AQ248" i="10"/>
  <c r="AR248" i="10"/>
  <c r="AS248" i="10"/>
  <c r="AT248" i="10"/>
  <c r="AU248" i="10"/>
  <c r="AV248" i="10"/>
  <c r="AW248" i="10"/>
  <c r="AX248" i="10"/>
  <c r="AY248" i="10"/>
  <c r="AZ248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J249" i="10"/>
  <c r="AK249" i="10"/>
  <c r="AL249" i="10"/>
  <c r="AM249" i="10"/>
  <c r="AN249" i="10"/>
  <c r="AO249" i="10"/>
  <c r="AP249" i="10"/>
  <c r="AQ249" i="10"/>
  <c r="AR249" i="10"/>
  <c r="AS249" i="10"/>
  <c r="AT249" i="10"/>
  <c r="AU249" i="10"/>
  <c r="AV249" i="10"/>
  <c r="AW249" i="10"/>
  <c r="AX249" i="10"/>
  <c r="AY249" i="10"/>
  <c r="AZ249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J250" i="10"/>
  <c r="AK250" i="10"/>
  <c r="AL250" i="10"/>
  <c r="AM250" i="10"/>
  <c r="AN250" i="10"/>
  <c r="AO250" i="10"/>
  <c r="AP250" i="10"/>
  <c r="AQ250" i="10"/>
  <c r="AR250" i="10"/>
  <c r="AS250" i="10"/>
  <c r="AT250" i="10"/>
  <c r="AU250" i="10"/>
  <c r="AV250" i="10"/>
  <c r="AW250" i="10"/>
  <c r="AX250" i="10"/>
  <c r="AY250" i="10"/>
  <c r="AZ250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J251" i="10"/>
  <c r="AK251" i="10"/>
  <c r="AL251" i="10"/>
  <c r="AM251" i="10"/>
  <c r="AN251" i="10"/>
  <c r="AO251" i="10"/>
  <c r="AP251" i="10"/>
  <c r="AQ251" i="10"/>
  <c r="AR251" i="10"/>
  <c r="AS251" i="10"/>
  <c r="AT251" i="10"/>
  <c r="AU251" i="10"/>
  <c r="AV251" i="10"/>
  <c r="AW251" i="10"/>
  <c r="AX251" i="10"/>
  <c r="AY251" i="10"/>
  <c r="AZ251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J252" i="10"/>
  <c r="AK252" i="10"/>
  <c r="AL252" i="10"/>
  <c r="AM252" i="10"/>
  <c r="AN252" i="10"/>
  <c r="AO252" i="10"/>
  <c r="AP252" i="10"/>
  <c r="AQ252" i="10"/>
  <c r="AR252" i="10"/>
  <c r="AS252" i="10"/>
  <c r="AT252" i="10"/>
  <c r="AU252" i="10"/>
  <c r="AV252" i="10"/>
  <c r="AW252" i="10"/>
  <c r="AX252" i="10"/>
  <c r="AY252" i="10"/>
  <c r="AZ252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J253" i="10"/>
  <c r="AK253" i="10"/>
  <c r="AL253" i="10"/>
  <c r="AM253" i="10"/>
  <c r="AN253" i="10"/>
  <c r="AO253" i="10"/>
  <c r="AP253" i="10"/>
  <c r="AQ253" i="10"/>
  <c r="AR253" i="10"/>
  <c r="AS253" i="10"/>
  <c r="AT253" i="10"/>
  <c r="AU253" i="10"/>
  <c r="AV253" i="10"/>
  <c r="AW253" i="10"/>
  <c r="AX253" i="10"/>
  <c r="AY253" i="10"/>
  <c r="AZ253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J254" i="10"/>
  <c r="AK254" i="10"/>
  <c r="AL254" i="10"/>
  <c r="AM254" i="10"/>
  <c r="AN254" i="10"/>
  <c r="AO254" i="10"/>
  <c r="AP254" i="10"/>
  <c r="AQ254" i="10"/>
  <c r="AR254" i="10"/>
  <c r="AS254" i="10"/>
  <c r="AT254" i="10"/>
  <c r="AU254" i="10"/>
  <c r="AV254" i="10"/>
  <c r="AW254" i="10"/>
  <c r="AX254" i="10"/>
  <c r="AY254" i="10"/>
  <c r="AZ254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J255" i="10"/>
  <c r="AK255" i="10"/>
  <c r="AL255" i="10"/>
  <c r="AM255" i="10"/>
  <c r="AN255" i="10"/>
  <c r="AO255" i="10"/>
  <c r="AP255" i="10"/>
  <c r="AQ255" i="10"/>
  <c r="AR255" i="10"/>
  <c r="AS255" i="10"/>
  <c r="AT255" i="10"/>
  <c r="AU255" i="10"/>
  <c r="AV255" i="10"/>
  <c r="AW255" i="10"/>
  <c r="AX255" i="10"/>
  <c r="AY255" i="10"/>
  <c r="AZ255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J256" i="10"/>
  <c r="AK256" i="10"/>
  <c r="AL256" i="10"/>
  <c r="AM256" i="10"/>
  <c r="AN256" i="10"/>
  <c r="AO256" i="10"/>
  <c r="AP256" i="10"/>
  <c r="AQ256" i="10"/>
  <c r="AR256" i="10"/>
  <c r="AS256" i="10"/>
  <c r="AT256" i="10"/>
  <c r="AU256" i="10"/>
  <c r="AV256" i="10"/>
  <c r="AW256" i="10"/>
  <c r="AX256" i="10"/>
  <c r="AY256" i="10"/>
  <c r="AZ256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J257" i="10"/>
  <c r="AK257" i="10"/>
  <c r="AL257" i="10"/>
  <c r="AM257" i="10"/>
  <c r="AN257" i="10"/>
  <c r="AO257" i="10"/>
  <c r="AP257" i="10"/>
  <c r="AQ257" i="10"/>
  <c r="AR257" i="10"/>
  <c r="AS257" i="10"/>
  <c r="AT257" i="10"/>
  <c r="AU257" i="10"/>
  <c r="AV257" i="10"/>
  <c r="AW257" i="10"/>
  <c r="AX257" i="10"/>
  <c r="AY257" i="10"/>
  <c r="AZ257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J258" i="10"/>
  <c r="AK258" i="10"/>
  <c r="AL258" i="10"/>
  <c r="AM258" i="10"/>
  <c r="AN258" i="10"/>
  <c r="AO258" i="10"/>
  <c r="AP258" i="10"/>
  <c r="AQ258" i="10"/>
  <c r="AR258" i="10"/>
  <c r="AS258" i="10"/>
  <c r="AT258" i="10"/>
  <c r="AU258" i="10"/>
  <c r="AV258" i="10"/>
  <c r="AW258" i="10"/>
  <c r="AX258" i="10"/>
  <c r="AY258" i="10"/>
  <c r="AZ258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M259" i="10"/>
  <c r="AN259" i="10"/>
  <c r="AO259" i="10"/>
  <c r="AP259" i="10"/>
  <c r="AQ259" i="10"/>
  <c r="AR259" i="10"/>
  <c r="AS259" i="10"/>
  <c r="AT259" i="10"/>
  <c r="AU259" i="10"/>
  <c r="AV259" i="10"/>
  <c r="AW259" i="10"/>
  <c r="AX259" i="10"/>
  <c r="AY259" i="10"/>
  <c r="AZ259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J260" i="10"/>
  <c r="AK260" i="10"/>
  <c r="AL260" i="10"/>
  <c r="AM260" i="10"/>
  <c r="AN260" i="10"/>
  <c r="AO260" i="10"/>
  <c r="AP260" i="10"/>
  <c r="AQ260" i="10"/>
  <c r="AR260" i="10"/>
  <c r="AS260" i="10"/>
  <c r="AT260" i="10"/>
  <c r="AU260" i="10"/>
  <c r="AV260" i="10"/>
  <c r="AW260" i="10"/>
  <c r="AX260" i="10"/>
  <c r="AY260" i="10"/>
  <c r="AZ260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J261" i="10"/>
  <c r="AK261" i="10"/>
  <c r="AL261" i="10"/>
  <c r="AM261" i="10"/>
  <c r="AN261" i="10"/>
  <c r="AO261" i="10"/>
  <c r="AP261" i="10"/>
  <c r="AQ261" i="10"/>
  <c r="AR261" i="10"/>
  <c r="AS261" i="10"/>
  <c r="AT261" i="10"/>
  <c r="AU261" i="10"/>
  <c r="AV261" i="10"/>
  <c r="AW261" i="10"/>
  <c r="AX261" i="10"/>
  <c r="AY261" i="10"/>
  <c r="AZ261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J262" i="10"/>
  <c r="AK262" i="10"/>
  <c r="AL262" i="10"/>
  <c r="AM262" i="10"/>
  <c r="AN262" i="10"/>
  <c r="AO262" i="10"/>
  <c r="AP262" i="10"/>
  <c r="AQ262" i="10"/>
  <c r="AR262" i="10"/>
  <c r="AS262" i="10"/>
  <c r="AT262" i="10"/>
  <c r="AU262" i="10"/>
  <c r="AV262" i="10"/>
  <c r="AW262" i="10"/>
  <c r="AX262" i="10"/>
  <c r="AY262" i="10"/>
  <c r="AZ262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J263" i="10"/>
  <c r="AK263" i="10"/>
  <c r="AL263" i="10"/>
  <c r="AM263" i="10"/>
  <c r="AN263" i="10"/>
  <c r="AO263" i="10"/>
  <c r="AP263" i="10"/>
  <c r="AQ263" i="10"/>
  <c r="AR263" i="10"/>
  <c r="AS263" i="10"/>
  <c r="AT263" i="10"/>
  <c r="AU263" i="10"/>
  <c r="AV263" i="10"/>
  <c r="AW263" i="10"/>
  <c r="AX263" i="10"/>
  <c r="AY263" i="10"/>
  <c r="AZ263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J264" i="10"/>
  <c r="AK264" i="10"/>
  <c r="AL264" i="10"/>
  <c r="AM264" i="10"/>
  <c r="AN264" i="10"/>
  <c r="AO264" i="10"/>
  <c r="AP264" i="10"/>
  <c r="AQ264" i="10"/>
  <c r="AR264" i="10"/>
  <c r="AS264" i="10"/>
  <c r="AT264" i="10"/>
  <c r="AU264" i="10"/>
  <c r="AV264" i="10"/>
  <c r="AW264" i="10"/>
  <c r="AX264" i="10"/>
  <c r="AY264" i="10"/>
  <c r="AZ264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J265" i="10"/>
  <c r="AK265" i="10"/>
  <c r="AL265" i="10"/>
  <c r="AM265" i="10"/>
  <c r="AN265" i="10"/>
  <c r="AO265" i="10"/>
  <c r="AP265" i="10"/>
  <c r="AQ265" i="10"/>
  <c r="AR265" i="10"/>
  <c r="AS265" i="10"/>
  <c r="AT265" i="10"/>
  <c r="AU265" i="10"/>
  <c r="AV265" i="10"/>
  <c r="AW265" i="10"/>
  <c r="AX265" i="10"/>
  <c r="AY265" i="10"/>
  <c r="AZ265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J266" i="10"/>
  <c r="AK266" i="10"/>
  <c r="AL266" i="10"/>
  <c r="AM266" i="10"/>
  <c r="AN266" i="10"/>
  <c r="AO266" i="10"/>
  <c r="AP266" i="10"/>
  <c r="AQ266" i="10"/>
  <c r="AR266" i="10"/>
  <c r="AS266" i="10"/>
  <c r="AT266" i="10"/>
  <c r="AU266" i="10"/>
  <c r="AV266" i="10"/>
  <c r="AW266" i="10"/>
  <c r="AX266" i="10"/>
  <c r="AY266" i="10"/>
  <c r="AZ266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J267" i="10"/>
  <c r="AK267" i="10"/>
  <c r="AL267" i="10"/>
  <c r="AM267" i="10"/>
  <c r="AN267" i="10"/>
  <c r="AO267" i="10"/>
  <c r="AP267" i="10"/>
  <c r="AQ267" i="10"/>
  <c r="AR267" i="10"/>
  <c r="AS267" i="10"/>
  <c r="AT267" i="10"/>
  <c r="AU267" i="10"/>
  <c r="AV267" i="10"/>
  <c r="AW267" i="10"/>
  <c r="AX267" i="10"/>
  <c r="AY267" i="10"/>
  <c r="AZ267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J268" i="10"/>
  <c r="AK268" i="10"/>
  <c r="AL268" i="10"/>
  <c r="AM268" i="10"/>
  <c r="AN268" i="10"/>
  <c r="AO268" i="10"/>
  <c r="AP268" i="10"/>
  <c r="AQ268" i="10"/>
  <c r="AR268" i="10"/>
  <c r="AS268" i="10"/>
  <c r="AT268" i="10"/>
  <c r="AU268" i="10"/>
  <c r="AV268" i="10"/>
  <c r="AW268" i="10"/>
  <c r="AX268" i="10"/>
  <c r="AY268" i="10"/>
  <c r="AZ268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J269" i="10"/>
  <c r="AK269" i="10"/>
  <c r="AL269" i="10"/>
  <c r="AM269" i="10"/>
  <c r="AN269" i="10"/>
  <c r="AO269" i="10"/>
  <c r="AP269" i="10"/>
  <c r="AQ269" i="10"/>
  <c r="AR269" i="10"/>
  <c r="AS269" i="10"/>
  <c r="AT269" i="10"/>
  <c r="AU269" i="10"/>
  <c r="AV269" i="10"/>
  <c r="AW269" i="10"/>
  <c r="AX269" i="10"/>
  <c r="AY269" i="10"/>
  <c r="AZ269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J270" i="10"/>
  <c r="AK270" i="10"/>
  <c r="AL270" i="10"/>
  <c r="AM270" i="10"/>
  <c r="AN270" i="10"/>
  <c r="AO270" i="10"/>
  <c r="AP270" i="10"/>
  <c r="AQ270" i="10"/>
  <c r="AR270" i="10"/>
  <c r="AS270" i="10"/>
  <c r="AT270" i="10"/>
  <c r="AU270" i="10"/>
  <c r="AV270" i="10"/>
  <c r="AW270" i="10"/>
  <c r="AX270" i="10"/>
  <c r="AY270" i="10"/>
  <c r="AZ270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J271" i="10"/>
  <c r="AK271" i="10"/>
  <c r="AL271" i="10"/>
  <c r="AM271" i="10"/>
  <c r="AN271" i="10"/>
  <c r="AO271" i="10"/>
  <c r="AP271" i="10"/>
  <c r="AQ271" i="10"/>
  <c r="AR271" i="10"/>
  <c r="AS271" i="10"/>
  <c r="AT271" i="10"/>
  <c r="AU271" i="10"/>
  <c r="AV271" i="10"/>
  <c r="AW271" i="10"/>
  <c r="AX271" i="10"/>
  <c r="AY271" i="10"/>
  <c r="AZ271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J272" i="10"/>
  <c r="AK272" i="10"/>
  <c r="AL272" i="10"/>
  <c r="AM272" i="10"/>
  <c r="AN272" i="10"/>
  <c r="AO272" i="10"/>
  <c r="AP272" i="10"/>
  <c r="AQ272" i="10"/>
  <c r="AR272" i="10"/>
  <c r="AS272" i="10"/>
  <c r="AT272" i="10"/>
  <c r="AU272" i="10"/>
  <c r="AV272" i="10"/>
  <c r="AW272" i="10"/>
  <c r="AX272" i="10"/>
  <c r="AY272" i="10"/>
  <c r="AZ272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J273" i="10"/>
  <c r="AK273" i="10"/>
  <c r="AL273" i="10"/>
  <c r="AM273" i="10"/>
  <c r="AN273" i="10"/>
  <c r="AO273" i="10"/>
  <c r="AP273" i="10"/>
  <c r="AQ273" i="10"/>
  <c r="AR273" i="10"/>
  <c r="AS273" i="10"/>
  <c r="AT273" i="10"/>
  <c r="AU273" i="10"/>
  <c r="AV273" i="10"/>
  <c r="AW273" i="10"/>
  <c r="AX273" i="10"/>
  <c r="AY273" i="10"/>
  <c r="AZ273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J274" i="10"/>
  <c r="AK274" i="10"/>
  <c r="AL274" i="10"/>
  <c r="AM274" i="10"/>
  <c r="AN274" i="10"/>
  <c r="AO274" i="10"/>
  <c r="AP274" i="10"/>
  <c r="AQ274" i="10"/>
  <c r="AR274" i="10"/>
  <c r="AS274" i="10"/>
  <c r="AT274" i="10"/>
  <c r="AU274" i="10"/>
  <c r="AV274" i="10"/>
  <c r="AW274" i="10"/>
  <c r="AX274" i="10"/>
  <c r="AY274" i="10"/>
  <c r="AZ274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J275" i="10"/>
  <c r="AK275" i="10"/>
  <c r="AL275" i="10"/>
  <c r="AM275" i="10"/>
  <c r="AN275" i="10"/>
  <c r="AO275" i="10"/>
  <c r="AP275" i="10"/>
  <c r="AQ275" i="10"/>
  <c r="AR275" i="10"/>
  <c r="AS275" i="10"/>
  <c r="AT275" i="10"/>
  <c r="AU275" i="10"/>
  <c r="AV275" i="10"/>
  <c r="AW275" i="10"/>
  <c r="AX275" i="10"/>
  <c r="AY275" i="10"/>
  <c r="AZ275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J276" i="10"/>
  <c r="AK276" i="10"/>
  <c r="AL276" i="10"/>
  <c r="AM276" i="10"/>
  <c r="AN276" i="10"/>
  <c r="AO276" i="10"/>
  <c r="AP276" i="10"/>
  <c r="AQ276" i="10"/>
  <c r="AR276" i="10"/>
  <c r="AS276" i="10"/>
  <c r="AT276" i="10"/>
  <c r="AU276" i="10"/>
  <c r="AV276" i="10"/>
  <c r="AW276" i="10"/>
  <c r="AX276" i="10"/>
  <c r="AY276" i="10"/>
  <c r="AZ276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J277" i="10"/>
  <c r="AK277" i="10"/>
  <c r="AL277" i="10"/>
  <c r="AM277" i="10"/>
  <c r="AN277" i="10"/>
  <c r="AO277" i="10"/>
  <c r="AP277" i="10"/>
  <c r="AQ277" i="10"/>
  <c r="AR277" i="10"/>
  <c r="AS277" i="10"/>
  <c r="AT277" i="10"/>
  <c r="AU277" i="10"/>
  <c r="AV277" i="10"/>
  <c r="AW277" i="10"/>
  <c r="AX277" i="10"/>
  <c r="AY277" i="10"/>
  <c r="AZ277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J278" i="10"/>
  <c r="AK278" i="10"/>
  <c r="AL278" i="10"/>
  <c r="AM278" i="10"/>
  <c r="AN278" i="10"/>
  <c r="AO278" i="10"/>
  <c r="AP278" i="10"/>
  <c r="AQ278" i="10"/>
  <c r="AR278" i="10"/>
  <c r="AS278" i="10"/>
  <c r="AT278" i="10"/>
  <c r="AU278" i="10"/>
  <c r="AV278" i="10"/>
  <c r="AW278" i="10"/>
  <c r="AX278" i="10"/>
  <c r="AY278" i="10"/>
  <c r="AZ278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J279" i="10"/>
  <c r="AK279" i="10"/>
  <c r="AL279" i="10"/>
  <c r="AM279" i="10"/>
  <c r="AN279" i="10"/>
  <c r="AO279" i="10"/>
  <c r="AP279" i="10"/>
  <c r="AQ279" i="10"/>
  <c r="AR279" i="10"/>
  <c r="AS279" i="10"/>
  <c r="AT279" i="10"/>
  <c r="AU279" i="10"/>
  <c r="AV279" i="10"/>
  <c r="AW279" i="10"/>
  <c r="AX279" i="10"/>
  <c r="AY279" i="10"/>
  <c r="AZ279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J280" i="10"/>
  <c r="AK280" i="10"/>
  <c r="AL280" i="10"/>
  <c r="AM280" i="10"/>
  <c r="AN280" i="10"/>
  <c r="AO280" i="10"/>
  <c r="AP280" i="10"/>
  <c r="AQ280" i="10"/>
  <c r="AR280" i="10"/>
  <c r="AS280" i="10"/>
  <c r="AT280" i="10"/>
  <c r="AU280" i="10"/>
  <c r="AV280" i="10"/>
  <c r="AW280" i="10"/>
  <c r="AX280" i="10"/>
  <c r="AY280" i="10"/>
  <c r="AZ280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J281" i="10"/>
  <c r="AK281" i="10"/>
  <c r="AL281" i="10"/>
  <c r="AM281" i="10"/>
  <c r="AN281" i="10"/>
  <c r="AO281" i="10"/>
  <c r="AP281" i="10"/>
  <c r="AQ281" i="10"/>
  <c r="AR281" i="10"/>
  <c r="AS281" i="10"/>
  <c r="AT281" i="10"/>
  <c r="AU281" i="10"/>
  <c r="AV281" i="10"/>
  <c r="AW281" i="10"/>
  <c r="AX281" i="10"/>
  <c r="AY281" i="10"/>
  <c r="AZ281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J282" i="10"/>
  <c r="AK282" i="10"/>
  <c r="AL282" i="10"/>
  <c r="AM282" i="10"/>
  <c r="AN282" i="10"/>
  <c r="AO282" i="10"/>
  <c r="AP282" i="10"/>
  <c r="AQ282" i="10"/>
  <c r="AR282" i="10"/>
  <c r="AS282" i="10"/>
  <c r="AT282" i="10"/>
  <c r="AU282" i="10"/>
  <c r="AV282" i="10"/>
  <c r="AW282" i="10"/>
  <c r="AX282" i="10"/>
  <c r="AY282" i="10"/>
  <c r="AZ282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J283" i="10"/>
  <c r="AK283" i="10"/>
  <c r="AL283" i="10"/>
  <c r="AM283" i="10"/>
  <c r="AN283" i="10"/>
  <c r="AO283" i="10"/>
  <c r="AP283" i="10"/>
  <c r="AQ283" i="10"/>
  <c r="AR283" i="10"/>
  <c r="AS283" i="10"/>
  <c r="AT283" i="10"/>
  <c r="AU283" i="10"/>
  <c r="AV283" i="10"/>
  <c r="AW283" i="10"/>
  <c r="AX283" i="10"/>
  <c r="AY283" i="10"/>
  <c r="AZ283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J284" i="10"/>
  <c r="AK284" i="10"/>
  <c r="AL284" i="10"/>
  <c r="AM284" i="10"/>
  <c r="AN284" i="10"/>
  <c r="AO284" i="10"/>
  <c r="AP284" i="10"/>
  <c r="AQ284" i="10"/>
  <c r="AR284" i="10"/>
  <c r="AS284" i="10"/>
  <c r="AT284" i="10"/>
  <c r="AU284" i="10"/>
  <c r="AV284" i="10"/>
  <c r="AW284" i="10"/>
  <c r="AX284" i="10"/>
  <c r="AY284" i="10"/>
  <c r="AZ284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J285" i="10"/>
  <c r="AK285" i="10"/>
  <c r="AL285" i="10"/>
  <c r="AM285" i="10"/>
  <c r="AN285" i="10"/>
  <c r="AO285" i="10"/>
  <c r="AP285" i="10"/>
  <c r="AQ285" i="10"/>
  <c r="AR285" i="10"/>
  <c r="AS285" i="10"/>
  <c r="AT285" i="10"/>
  <c r="AU285" i="10"/>
  <c r="AV285" i="10"/>
  <c r="AW285" i="10"/>
  <c r="AX285" i="10"/>
  <c r="AY285" i="10"/>
  <c r="AZ285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J286" i="10"/>
  <c r="AK286" i="10"/>
  <c r="AL286" i="10"/>
  <c r="AM286" i="10"/>
  <c r="AN286" i="10"/>
  <c r="AO286" i="10"/>
  <c r="AP286" i="10"/>
  <c r="AQ286" i="10"/>
  <c r="AR286" i="10"/>
  <c r="AS286" i="10"/>
  <c r="AT286" i="10"/>
  <c r="AU286" i="10"/>
  <c r="AV286" i="10"/>
  <c r="AW286" i="10"/>
  <c r="AX286" i="10"/>
  <c r="AY286" i="10"/>
  <c r="AZ286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J287" i="10"/>
  <c r="AK287" i="10"/>
  <c r="AL287" i="10"/>
  <c r="AM287" i="10"/>
  <c r="AN287" i="10"/>
  <c r="AO287" i="10"/>
  <c r="AP287" i="10"/>
  <c r="AQ287" i="10"/>
  <c r="AR287" i="10"/>
  <c r="AS287" i="10"/>
  <c r="AT287" i="10"/>
  <c r="AU287" i="10"/>
  <c r="AV287" i="10"/>
  <c r="AW287" i="10"/>
  <c r="AX287" i="10"/>
  <c r="AY287" i="10"/>
  <c r="AZ287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J288" i="10"/>
  <c r="AK288" i="10"/>
  <c r="AL288" i="10"/>
  <c r="AM288" i="10"/>
  <c r="AN288" i="10"/>
  <c r="AO288" i="10"/>
  <c r="AP288" i="10"/>
  <c r="AQ288" i="10"/>
  <c r="AR288" i="10"/>
  <c r="AS288" i="10"/>
  <c r="AT288" i="10"/>
  <c r="AU288" i="10"/>
  <c r="AV288" i="10"/>
  <c r="AW288" i="10"/>
  <c r="AX288" i="10"/>
  <c r="AY288" i="10"/>
  <c r="AZ288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J289" i="10"/>
  <c r="AK289" i="10"/>
  <c r="AL289" i="10"/>
  <c r="AM289" i="10"/>
  <c r="AN289" i="10"/>
  <c r="AO289" i="10"/>
  <c r="AP289" i="10"/>
  <c r="AQ289" i="10"/>
  <c r="AR289" i="10"/>
  <c r="AS289" i="10"/>
  <c r="AT289" i="10"/>
  <c r="AU289" i="10"/>
  <c r="AV289" i="10"/>
  <c r="AW289" i="10"/>
  <c r="AX289" i="10"/>
  <c r="AY289" i="10"/>
  <c r="AZ289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J290" i="10"/>
  <c r="AK290" i="10"/>
  <c r="AL290" i="10"/>
  <c r="AM290" i="10"/>
  <c r="AN290" i="10"/>
  <c r="AO290" i="10"/>
  <c r="AP290" i="10"/>
  <c r="AQ290" i="10"/>
  <c r="AR290" i="10"/>
  <c r="AS290" i="10"/>
  <c r="AT290" i="10"/>
  <c r="AU290" i="10"/>
  <c r="AV290" i="10"/>
  <c r="AW290" i="10"/>
  <c r="AX290" i="10"/>
  <c r="AY290" i="10"/>
  <c r="AZ290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J291" i="10"/>
  <c r="AK291" i="10"/>
  <c r="AL291" i="10"/>
  <c r="AM291" i="10"/>
  <c r="AN291" i="10"/>
  <c r="AO291" i="10"/>
  <c r="AP291" i="10"/>
  <c r="AQ291" i="10"/>
  <c r="AR291" i="10"/>
  <c r="AS291" i="10"/>
  <c r="AT291" i="10"/>
  <c r="AU291" i="10"/>
  <c r="AV291" i="10"/>
  <c r="AW291" i="10"/>
  <c r="AX291" i="10"/>
  <c r="AY291" i="10"/>
  <c r="AZ291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J292" i="10"/>
  <c r="AK292" i="10"/>
  <c r="AL292" i="10"/>
  <c r="AM292" i="10"/>
  <c r="AN292" i="10"/>
  <c r="AO292" i="10"/>
  <c r="AP292" i="10"/>
  <c r="AQ292" i="10"/>
  <c r="AR292" i="10"/>
  <c r="AS292" i="10"/>
  <c r="AT292" i="10"/>
  <c r="AU292" i="10"/>
  <c r="AV292" i="10"/>
  <c r="AW292" i="10"/>
  <c r="AX292" i="10"/>
  <c r="AY292" i="10"/>
  <c r="AZ292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J293" i="10"/>
  <c r="AK293" i="10"/>
  <c r="AL293" i="10"/>
  <c r="AM293" i="10"/>
  <c r="AN293" i="10"/>
  <c r="AO293" i="10"/>
  <c r="AP293" i="10"/>
  <c r="AQ293" i="10"/>
  <c r="AR293" i="10"/>
  <c r="AS293" i="10"/>
  <c r="AT293" i="10"/>
  <c r="AU293" i="10"/>
  <c r="AV293" i="10"/>
  <c r="AW293" i="10"/>
  <c r="AX293" i="10"/>
  <c r="AY293" i="10"/>
  <c r="AZ293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J294" i="10"/>
  <c r="AK294" i="10"/>
  <c r="AL294" i="10"/>
  <c r="AM294" i="10"/>
  <c r="AN294" i="10"/>
  <c r="AO294" i="10"/>
  <c r="AP294" i="10"/>
  <c r="AQ294" i="10"/>
  <c r="AR294" i="10"/>
  <c r="AS294" i="10"/>
  <c r="AT294" i="10"/>
  <c r="AU294" i="10"/>
  <c r="AV294" i="10"/>
  <c r="AW294" i="10"/>
  <c r="AX294" i="10"/>
  <c r="AY294" i="10"/>
  <c r="AZ294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J295" i="10"/>
  <c r="AK295" i="10"/>
  <c r="AL295" i="10"/>
  <c r="AM295" i="10"/>
  <c r="AN295" i="10"/>
  <c r="AO295" i="10"/>
  <c r="AP295" i="10"/>
  <c r="AQ295" i="10"/>
  <c r="AR295" i="10"/>
  <c r="AS295" i="10"/>
  <c r="AT295" i="10"/>
  <c r="AU295" i="10"/>
  <c r="AV295" i="10"/>
  <c r="AW295" i="10"/>
  <c r="AX295" i="10"/>
  <c r="AY295" i="10"/>
  <c r="AZ295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J296" i="10"/>
  <c r="AK296" i="10"/>
  <c r="AL296" i="10"/>
  <c r="AM296" i="10"/>
  <c r="AN296" i="10"/>
  <c r="AO296" i="10"/>
  <c r="AP296" i="10"/>
  <c r="AQ296" i="10"/>
  <c r="AR296" i="10"/>
  <c r="AS296" i="10"/>
  <c r="AT296" i="10"/>
  <c r="AU296" i="10"/>
  <c r="AV296" i="10"/>
  <c r="AW296" i="10"/>
  <c r="AX296" i="10"/>
  <c r="AY296" i="10"/>
  <c r="AZ296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J297" i="10"/>
  <c r="AK297" i="10"/>
  <c r="AL297" i="10"/>
  <c r="AM297" i="10"/>
  <c r="AN297" i="10"/>
  <c r="AO297" i="10"/>
  <c r="AP297" i="10"/>
  <c r="AQ297" i="10"/>
  <c r="AR297" i="10"/>
  <c r="AS297" i="10"/>
  <c r="AT297" i="10"/>
  <c r="AU297" i="10"/>
  <c r="AV297" i="10"/>
  <c r="AW297" i="10"/>
  <c r="AX297" i="10"/>
  <c r="AY297" i="10"/>
  <c r="AZ297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J298" i="10"/>
  <c r="AK298" i="10"/>
  <c r="AL298" i="10"/>
  <c r="AM298" i="10"/>
  <c r="AN298" i="10"/>
  <c r="AO298" i="10"/>
  <c r="AP298" i="10"/>
  <c r="AQ298" i="10"/>
  <c r="AR298" i="10"/>
  <c r="AS298" i="10"/>
  <c r="AT298" i="10"/>
  <c r="AU298" i="10"/>
  <c r="AV298" i="10"/>
  <c r="AW298" i="10"/>
  <c r="AX298" i="10"/>
  <c r="AY298" i="10"/>
  <c r="AZ298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J299" i="10"/>
  <c r="AK299" i="10"/>
  <c r="AL299" i="10"/>
  <c r="AM299" i="10"/>
  <c r="AN299" i="10"/>
  <c r="AO299" i="10"/>
  <c r="AP299" i="10"/>
  <c r="AQ299" i="10"/>
  <c r="AR299" i="10"/>
  <c r="AS299" i="10"/>
  <c r="AT299" i="10"/>
  <c r="AU299" i="10"/>
  <c r="AV299" i="10"/>
  <c r="AW299" i="10"/>
  <c r="AX299" i="10"/>
  <c r="AY299" i="10"/>
  <c r="AZ299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J300" i="10"/>
  <c r="AK300" i="10"/>
  <c r="AL300" i="10"/>
  <c r="AM300" i="10"/>
  <c r="AN300" i="10"/>
  <c r="AO300" i="10"/>
  <c r="AP300" i="10"/>
  <c r="AQ300" i="10"/>
  <c r="AR300" i="10"/>
  <c r="AS300" i="10"/>
  <c r="AT300" i="10"/>
  <c r="AU300" i="10"/>
  <c r="AV300" i="10"/>
  <c r="AW300" i="10"/>
  <c r="AX300" i="10"/>
  <c r="AY300" i="10"/>
  <c r="AZ300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J301" i="10"/>
  <c r="AK301" i="10"/>
  <c r="AL301" i="10"/>
  <c r="AM301" i="10"/>
  <c r="AN301" i="10"/>
  <c r="AO301" i="10"/>
  <c r="AP301" i="10"/>
  <c r="AQ301" i="10"/>
  <c r="AR301" i="10"/>
  <c r="AS301" i="10"/>
  <c r="AT301" i="10"/>
  <c r="AU301" i="10"/>
  <c r="AV301" i="10"/>
  <c r="AW301" i="10"/>
  <c r="AX301" i="10"/>
  <c r="AY301" i="10"/>
  <c r="AZ301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J302" i="10"/>
  <c r="AK302" i="10"/>
  <c r="AL302" i="10"/>
  <c r="AM302" i="10"/>
  <c r="AN302" i="10"/>
  <c r="AO302" i="10"/>
  <c r="AP302" i="10"/>
  <c r="AQ302" i="10"/>
  <c r="AR302" i="10"/>
  <c r="AS302" i="10"/>
  <c r="AT302" i="10"/>
  <c r="AU302" i="10"/>
  <c r="AV302" i="10"/>
  <c r="AW302" i="10"/>
  <c r="AX302" i="10"/>
  <c r="AY302" i="10"/>
  <c r="AZ302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J303" i="10"/>
  <c r="AK303" i="10"/>
  <c r="AL303" i="10"/>
  <c r="AM303" i="10"/>
  <c r="AN303" i="10"/>
  <c r="AO303" i="10"/>
  <c r="AP303" i="10"/>
  <c r="AQ303" i="10"/>
  <c r="AR303" i="10"/>
  <c r="AS303" i="10"/>
  <c r="AT303" i="10"/>
  <c r="AU303" i="10"/>
  <c r="AV303" i="10"/>
  <c r="AW303" i="10"/>
  <c r="AX303" i="10"/>
  <c r="AY303" i="10"/>
  <c r="AZ303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J304" i="10"/>
  <c r="AK304" i="10"/>
  <c r="AL304" i="10"/>
  <c r="AM304" i="10"/>
  <c r="AN304" i="10"/>
  <c r="AO304" i="10"/>
  <c r="AP304" i="10"/>
  <c r="AQ304" i="10"/>
  <c r="AR304" i="10"/>
  <c r="AS304" i="10"/>
  <c r="AT304" i="10"/>
  <c r="AU304" i="10"/>
  <c r="AV304" i="10"/>
  <c r="AW304" i="10"/>
  <c r="AX304" i="10"/>
  <c r="AY304" i="10"/>
  <c r="AZ304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J305" i="10"/>
  <c r="AK305" i="10"/>
  <c r="AL305" i="10"/>
  <c r="AM305" i="10"/>
  <c r="AN305" i="10"/>
  <c r="AO305" i="10"/>
  <c r="AP305" i="10"/>
  <c r="AQ305" i="10"/>
  <c r="AR305" i="10"/>
  <c r="AS305" i="10"/>
  <c r="AT305" i="10"/>
  <c r="AU305" i="10"/>
  <c r="AV305" i="10"/>
  <c r="AW305" i="10"/>
  <c r="AX305" i="10"/>
  <c r="AY305" i="10"/>
  <c r="AZ305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J306" i="10"/>
  <c r="AK306" i="10"/>
  <c r="AL306" i="10"/>
  <c r="AM306" i="10"/>
  <c r="AN306" i="10"/>
  <c r="AO306" i="10"/>
  <c r="AP306" i="10"/>
  <c r="AQ306" i="10"/>
  <c r="AR306" i="10"/>
  <c r="AS306" i="10"/>
  <c r="AT306" i="10"/>
  <c r="AU306" i="10"/>
  <c r="AV306" i="10"/>
  <c r="AW306" i="10"/>
  <c r="AX306" i="10"/>
  <c r="AY306" i="10"/>
  <c r="AZ306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J307" i="10"/>
  <c r="AK307" i="10"/>
  <c r="AL307" i="10"/>
  <c r="AM307" i="10"/>
  <c r="AN307" i="10"/>
  <c r="AO307" i="10"/>
  <c r="AP307" i="10"/>
  <c r="AQ307" i="10"/>
  <c r="AR307" i="10"/>
  <c r="AS307" i="10"/>
  <c r="AT307" i="10"/>
  <c r="AU307" i="10"/>
  <c r="AV307" i="10"/>
  <c r="AW307" i="10"/>
  <c r="AX307" i="10"/>
  <c r="AY307" i="10"/>
  <c r="AZ307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J308" i="10"/>
  <c r="AK308" i="10"/>
  <c r="AL308" i="10"/>
  <c r="AM308" i="10"/>
  <c r="AN308" i="10"/>
  <c r="AO308" i="10"/>
  <c r="AP308" i="10"/>
  <c r="AQ308" i="10"/>
  <c r="AR308" i="10"/>
  <c r="AS308" i="10"/>
  <c r="AT308" i="10"/>
  <c r="AU308" i="10"/>
  <c r="AV308" i="10"/>
  <c r="AW308" i="10"/>
  <c r="AX308" i="10"/>
  <c r="AY308" i="10"/>
  <c r="AZ308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J309" i="10"/>
  <c r="AK309" i="10"/>
  <c r="AL309" i="10"/>
  <c r="AM309" i="10"/>
  <c r="AN309" i="10"/>
  <c r="AO309" i="10"/>
  <c r="AP309" i="10"/>
  <c r="AQ309" i="10"/>
  <c r="AR309" i="10"/>
  <c r="AS309" i="10"/>
  <c r="AT309" i="10"/>
  <c r="AU309" i="10"/>
  <c r="AV309" i="10"/>
  <c r="AW309" i="10"/>
  <c r="AX309" i="10"/>
  <c r="AY309" i="10"/>
  <c r="AZ309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J310" i="10"/>
  <c r="AK310" i="10"/>
  <c r="AL310" i="10"/>
  <c r="AM310" i="10"/>
  <c r="AN310" i="10"/>
  <c r="AO310" i="10"/>
  <c r="AP310" i="10"/>
  <c r="AQ310" i="10"/>
  <c r="AR310" i="10"/>
  <c r="AS310" i="10"/>
  <c r="AT310" i="10"/>
  <c r="AU310" i="10"/>
  <c r="AV310" i="10"/>
  <c r="AW310" i="10"/>
  <c r="AX310" i="10"/>
  <c r="AY310" i="10"/>
  <c r="AZ310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J311" i="10"/>
  <c r="AK311" i="10"/>
  <c r="AL311" i="10"/>
  <c r="AM311" i="10"/>
  <c r="AN311" i="10"/>
  <c r="AO311" i="10"/>
  <c r="AP311" i="10"/>
  <c r="AQ311" i="10"/>
  <c r="AR311" i="10"/>
  <c r="AS311" i="10"/>
  <c r="AT311" i="10"/>
  <c r="AU311" i="10"/>
  <c r="AV311" i="10"/>
  <c r="AW311" i="10"/>
  <c r="AX311" i="10"/>
  <c r="AY311" i="10"/>
  <c r="AZ311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J312" i="10"/>
  <c r="AK312" i="10"/>
  <c r="AL312" i="10"/>
  <c r="AM312" i="10"/>
  <c r="AN312" i="10"/>
  <c r="AO312" i="10"/>
  <c r="AP312" i="10"/>
  <c r="AQ312" i="10"/>
  <c r="AR312" i="10"/>
  <c r="AS312" i="10"/>
  <c r="AT312" i="10"/>
  <c r="AU312" i="10"/>
  <c r="AV312" i="10"/>
  <c r="AW312" i="10"/>
  <c r="AX312" i="10"/>
  <c r="AY312" i="10"/>
  <c r="AZ312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J313" i="10"/>
  <c r="AK313" i="10"/>
  <c r="AL313" i="10"/>
  <c r="AM313" i="10"/>
  <c r="AN313" i="10"/>
  <c r="AO313" i="10"/>
  <c r="AP313" i="10"/>
  <c r="AQ313" i="10"/>
  <c r="AR313" i="10"/>
  <c r="AS313" i="10"/>
  <c r="AT313" i="10"/>
  <c r="AU313" i="10"/>
  <c r="AV313" i="10"/>
  <c r="AW313" i="10"/>
  <c r="AX313" i="10"/>
  <c r="AY313" i="10"/>
  <c r="AZ313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J314" i="10"/>
  <c r="AK314" i="10"/>
  <c r="AL314" i="10"/>
  <c r="AM314" i="10"/>
  <c r="AN314" i="10"/>
  <c r="AO314" i="10"/>
  <c r="AP314" i="10"/>
  <c r="AQ314" i="10"/>
  <c r="AR314" i="10"/>
  <c r="AS314" i="10"/>
  <c r="AT314" i="10"/>
  <c r="AU314" i="10"/>
  <c r="AV314" i="10"/>
  <c r="AW314" i="10"/>
  <c r="AX314" i="10"/>
  <c r="AY314" i="10"/>
  <c r="AZ314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J315" i="10"/>
  <c r="AK315" i="10"/>
  <c r="AL315" i="10"/>
  <c r="AM315" i="10"/>
  <c r="AN315" i="10"/>
  <c r="AO315" i="10"/>
  <c r="AP315" i="10"/>
  <c r="AQ315" i="10"/>
  <c r="AR315" i="10"/>
  <c r="AS315" i="10"/>
  <c r="AT315" i="10"/>
  <c r="AU315" i="10"/>
  <c r="AV315" i="10"/>
  <c r="AW315" i="10"/>
  <c r="AX315" i="10"/>
  <c r="AY315" i="10"/>
  <c r="AZ315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J316" i="10"/>
  <c r="AK316" i="10"/>
  <c r="AL316" i="10"/>
  <c r="AM316" i="10"/>
  <c r="AN316" i="10"/>
  <c r="AO316" i="10"/>
  <c r="AP316" i="10"/>
  <c r="AQ316" i="10"/>
  <c r="AR316" i="10"/>
  <c r="AS316" i="10"/>
  <c r="AT316" i="10"/>
  <c r="AU316" i="10"/>
  <c r="AV316" i="10"/>
  <c r="AW316" i="10"/>
  <c r="AX316" i="10"/>
  <c r="AY316" i="10"/>
  <c r="AZ316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J317" i="10"/>
  <c r="AK317" i="10"/>
  <c r="AL317" i="10"/>
  <c r="AM317" i="10"/>
  <c r="AN317" i="10"/>
  <c r="AO317" i="10"/>
  <c r="AP317" i="10"/>
  <c r="AQ317" i="10"/>
  <c r="AR317" i="10"/>
  <c r="AS317" i="10"/>
  <c r="AT317" i="10"/>
  <c r="AU317" i="10"/>
  <c r="AV317" i="10"/>
  <c r="AW317" i="10"/>
  <c r="AX317" i="10"/>
  <c r="AY317" i="10"/>
  <c r="AZ317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J318" i="10"/>
  <c r="AK318" i="10"/>
  <c r="AL318" i="10"/>
  <c r="AM318" i="10"/>
  <c r="AN318" i="10"/>
  <c r="AO318" i="10"/>
  <c r="AP318" i="10"/>
  <c r="AQ318" i="10"/>
  <c r="AR318" i="10"/>
  <c r="AS318" i="10"/>
  <c r="AT318" i="10"/>
  <c r="AU318" i="10"/>
  <c r="AV318" i="10"/>
  <c r="AW318" i="10"/>
  <c r="AX318" i="10"/>
  <c r="AY318" i="10"/>
  <c r="AZ318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J319" i="10"/>
  <c r="AK319" i="10"/>
  <c r="AL319" i="10"/>
  <c r="AM319" i="10"/>
  <c r="AN319" i="10"/>
  <c r="AO319" i="10"/>
  <c r="AP319" i="10"/>
  <c r="AQ319" i="10"/>
  <c r="AR319" i="10"/>
  <c r="AS319" i="10"/>
  <c r="AT319" i="10"/>
  <c r="AU319" i="10"/>
  <c r="AV319" i="10"/>
  <c r="AW319" i="10"/>
  <c r="AX319" i="10"/>
  <c r="AY319" i="10"/>
  <c r="AZ319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J320" i="10"/>
  <c r="AK320" i="10"/>
  <c r="AL320" i="10"/>
  <c r="AM320" i="10"/>
  <c r="AN320" i="10"/>
  <c r="AO320" i="10"/>
  <c r="AP320" i="10"/>
  <c r="AQ320" i="10"/>
  <c r="AR320" i="10"/>
  <c r="AS320" i="10"/>
  <c r="AT320" i="10"/>
  <c r="AU320" i="10"/>
  <c r="AV320" i="10"/>
  <c r="AW320" i="10"/>
  <c r="AX320" i="10"/>
  <c r="AY320" i="10"/>
  <c r="AZ320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J321" i="10"/>
  <c r="AK321" i="10"/>
  <c r="AL321" i="10"/>
  <c r="AM321" i="10"/>
  <c r="AN321" i="10"/>
  <c r="AO321" i="10"/>
  <c r="AP321" i="10"/>
  <c r="AQ321" i="10"/>
  <c r="AR321" i="10"/>
  <c r="AS321" i="10"/>
  <c r="AT321" i="10"/>
  <c r="AU321" i="10"/>
  <c r="AV321" i="10"/>
  <c r="AW321" i="10"/>
  <c r="AX321" i="10"/>
  <c r="AY321" i="10"/>
  <c r="AZ321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J322" i="10"/>
  <c r="AK322" i="10"/>
  <c r="AL322" i="10"/>
  <c r="AM322" i="10"/>
  <c r="AN322" i="10"/>
  <c r="AO322" i="10"/>
  <c r="AP322" i="10"/>
  <c r="AQ322" i="10"/>
  <c r="AR322" i="10"/>
  <c r="AS322" i="10"/>
  <c r="AT322" i="10"/>
  <c r="AU322" i="10"/>
  <c r="AV322" i="10"/>
  <c r="AW322" i="10"/>
  <c r="AX322" i="10"/>
  <c r="AY322" i="10"/>
  <c r="AZ322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J323" i="10"/>
  <c r="AK323" i="10"/>
  <c r="AL323" i="10"/>
  <c r="AM323" i="10"/>
  <c r="AN323" i="10"/>
  <c r="AO323" i="10"/>
  <c r="AP323" i="10"/>
  <c r="AQ323" i="10"/>
  <c r="AR323" i="10"/>
  <c r="AS323" i="10"/>
  <c r="AT323" i="10"/>
  <c r="AU323" i="10"/>
  <c r="AV323" i="10"/>
  <c r="AW323" i="10"/>
  <c r="AX323" i="10"/>
  <c r="AY323" i="10"/>
  <c r="AZ323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J324" i="10"/>
  <c r="AK324" i="10"/>
  <c r="AL324" i="10"/>
  <c r="AM324" i="10"/>
  <c r="AN324" i="10"/>
  <c r="AO324" i="10"/>
  <c r="AP324" i="10"/>
  <c r="AQ324" i="10"/>
  <c r="AR324" i="10"/>
  <c r="AS324" i="10"/>
  <c r="AT324" i="10"/>
  <c r="AU324" i="10"/>
  <c r="AV324" i="10"/>
  <c r="AW324" i="10"/>
  <c r="AX324" i="10"/>
  <c r="AY324" i="10"/>
  <c r="AZ324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J325" i="10"/>
  <c r="AK325" i="10"/>
  <c r="AL325" i="10"/>
  <c r="AM325" i="10"/>
  <c r="AN325" i="10"/>
  <c r="AO325" i="10"/>
  <c r="AP325" i="10"/>
  <c r="AQ325" i="10"/>
  <c r="AR325" i="10"/>
  <c r="AS325" i="10"/>
  <c r="AT325" i="10"/>
  <c r="AU325" i="10"/>
  <c r="AV325" i="10"/>
  <c r="AW325" i="10"/>
  <c r="AX325" i="10"/>
  <c r="AY325" i="10"/>
  <c r="AZ325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J326" i="10"/>
  <c r="AK326" i="10"/>
  <c r="AL326" i="10"/>
  <c r="AM326" i="10"/>
  <c r="AN326" i="10"/>
  <c r="AO326" i="10"/>
  <c r="AP326" i="10"/>
  <c r="AQ326" i="10"/>
  <c r="AR326" i="10"/>
  <c r="AS326" i="10"/>
  <c r="AT326" i="10"/>
  <c r="AU326" i="10"/>
  <c r="AV326" i="10"/>
  <c r="AW326" i="10"/>
  <c r="AX326" i="10"/>
  <c r="AY326" i="10"/>
  <c r="AZ326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J327" i="10"/>
  <c r="AK327" i="10"/>
  <c r="AL327" i="10"/>
  <c r="AM327" i="10"/>
  <c r="AN327" i="10"/>
  <c r="AO327" i="10"/>
  <c r="AP327" i="10"/>
  <c r="AQ327" i="10"/>
  <c r="AR327" i="10"/>
  <c r="AS327" i="10"/>
  <c r="AT327" i="10"/>
  <c r="AU327" i="10"/>
  <c r="AV327" i="10"/>
  <c r="AW327" i="10"/>
  <c r="AX327" i="10"/>
  <c r="AY327" i="10"/>
  <c r="AZ327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J328" i="10"/>
  <c r="AK328" i="10"/>
  <c r="AL328" i="10"/>
  <c r="AM328" i="10"/>
  <c r="AN328" i="10"/>
  <c r="AO328" i="10"/>
  <c r="AP328" i="10"/>
  <c r="AQ328" i="10"/>
  <c r="AR328" i="10"/>
  <c r="AS328" i="10"/>
  <c r="AT328" i="10"/>
  <c r="AU328" i="10"/>
  <c r="AV328" i="10"/>
  <c r="AW328" i="10"/>
  <c r="AX328" i="10"/>
  <c r="AY328" i="10"/>
  <c r="AZ328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J329" i="10"/>
  <c r="AK329" i="10"/>
  <c r="AL329" i="10"/>
  <c r="AM329" i="10"/>
  <c r="AN329" i="10"/>
  <c r="AO329" i="10"/>
  <c r="AP329" i="10"/>
  <c r="AQ329" i="10"/>
  <c r="AR329" i="10"/>
  <c r="AS329" i="10"/>
  <c r="AT329" i="10"/>
  <c r="AU329" i="10"/>
  <c r="AV329" i="10"/>
  <c r="AW329" i="10"/>
  <c r="AX329" i="10"/>
  <c r="AY329" i="10"/>
  <c r="AZ329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J330" i="10"/>
  <c r="AK330" i="10"/>
  <c r="AL330" i="10"/>
  <c r="AM330" i="10"/>
  <c r="AN330" i="10"/>
  <c r="AO330" i="10"/>
  <c r="AP330" i="10"/>
  <c r="AQ330" i="10"/>
  <c r="AR330" i="10"/>
  <c r="AS330" i="10"/>
  <c r="AT330" i="10"/>
  <c r="AU330" i="10"/>
  <c r="AV330" i="10"/>
  <c r="AW330" i="10"/>
  <c r="AX330" i="10"/>
  <c r="AY330" i="10"/>
  <c r="AZ330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J331" i="10"/>
  <c r="AK331" i="10"/>
  <c r="AL331" i="10"/>
  <c r="AM331" i="10"/>
  <c r="AN331" i="10"/>
  <c r="AO331" i="10"/>
  <c r="AP331" i="10"/>
  <c r="AQ331" i="10"/>
  <c r="AR331" i="10"/>
  <c r="AS331" i="10"/>
  <c r="AT331" i="10"/>
  <c r="AU331" i="10"/>
  <c r="AV331" i="10"/>
  <c r="AW331" i="10"/>
  <c r="AX331" i="10"/>
  <c r="AY331" i="10"/>
  <c r="AZ331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J332" i="10"/>
  <c r="AK332" i="10"/>
  <c r="AL332" i="10"/>
  <c r="AM332" i="10"/>
  <c r="AN332" i="10"/>
  <c r="AO332" i="10"/>
  <c r="AP332" i="10"/>
  <c r="AQ332" i="10"/>
  <c r="AR332" i="10"/>
  <c r="AS332" i="10"/>
  <c r="AT332" i="10"/>
  <c r="AU332" i="10"/>
  <c r="AV332" i="10"/>
  <c r="AW332" i="10"/>
  <c r="AX332" i="10"/>
  <c r="AY332" i="10"/>
  <c r="AZ332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J333" i="10"/>
  <c r="AK333" i="10"/>
  <c r="AL333" i="10"/>
  <c r="AM333" i="10"/>
  <c r="AN333" i="10"/>
  <c r="AO333" i="10"/>
  <c r="AP333" i="10"/>
  <c r="AQ333" i="10"/>
  <c r="AR333" i="10"/>
  <c r="AS333" i="10"/>
  <c r="AT333" i="10"/>
  <c r="AU333" i="10"/>
  <c r="AV333" i="10"/>
  <c r="AW333" i="10"/>
  <c r="AX333" i="10"/>
  <c r="AY333" i="10"/>
  <c r="AZ333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J334" i="10"/>
  <c r="AK334" i="10"/>
  <c r="AL334" i="10"/>
  <c r="AM334" i="10"/>
  <c r="AN334" i="10"/>
  <c r="AO334" i="10"/>
  <c r="AP334" i="10"/>
  <c r="AQ334" i="10"/>
  <c r="AR334" i="10"/>
  <c r="AS334" i="10"/>
  <c r="AT334" i="10"/>
  <c r="AU334" i="10"/>
  <c r="AV334" i="10"/>
  <c r="AW334" i="10"/>
  <c r="AX334" i="10"/>
  <c r="AY334" i="10"/>
  <c r="AZ334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J335" i="10"/>
  <c r="AK335" i="10"/>
  <c r="AL335" i="10"/>
  <c r="AM335" i="10"/>
  <c r="AN335" i="10"/>
  <c r="AO335" i="10"/>
  <c r="AP335" i="10"/>
  <c r="AQ335" i="10"/>
  <c r="AR335" i="10"/>
  <c r="AS335" i="10"/>
  <c r="AT335" i="10"/>
  <c r="AU335" i="10"/>
  <c r="AV335" i="10"/>
  <c r="AW335" i="10"/>
  <c r="AX335" i="10"/>
  <c r="AY335" i="10"/>
  <c r="AZ335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J336" i="10"/>
  <c r="AK336" i="10"/>
  <c r="AL336" i="10"/>
  <c r="AM336" i="10"/>
  <c r="AN336" i="10"/>
  <c r="AO336" i="10"/>
  <c r="AP336" i="10"/>
  <c r="AQ336" i="10"/>
  <c r="AR336" i="10"/>
  <c r="AS336" i="10"/>
  <c r="AT336" i="10"/>
  <c r="AU336" i="10"/>
  <c r="AV336" i="10"/>
  <c r="AW336" i="10"/>
  <c r="AX336" i="10"/>
  <c r="AY336" i="10"/>
  <c r="AZ336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J337" i="10"/>
  <c r="AK337" i="10"/>
  <c r="AL337" i="10"/>
  <c r="AM337" i="10"/>
  <c r="AN337" i="10"/>
  <c r="AO337" i="10"/>
  <c r="AP337" i="10"/>
  <c r="AQ337" i="10"/>
  <c r="AR337" i="10"/>
  <c r="AS337" i="10"/>
  <c r="AT337" i="10"/>
  <c r="AU337" i="10"/>
  <c r="AV337" i="10"/>
  <c r="AW337" i="10"/>
  <c r="AX337" i="10"/>
  <c r="AY337" i="10"/>
  <c r="AZ337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J338" i="10"/>
  <c r="AK338" i="10"/>
  <c r="AL338" i="10"/>
  <c r="AM338" i="10"/>
  <c r="AN338" i="10"/>
  <c r="AO338" i="10"/>
  <c r="AP338" i="10"/>
  <c r="AQ338" i="10"/>
  <c r="AR338" i="10"/>
  <c r="AS338" i="10"/>
  <c r="AT338" i="10"/>
  <c r="AU338" i="10"/>
  <c r="AV338" i="10"/>
  <c r="AW338" i="10"/>
  <c r="AX338" i="10"/>
  <c r="AY338" i="10"/>
  <c r="AZ338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J339" i="10"/>
  <c r="AK339" i="10"/>
  <c r="AL339" i="10"/>
  <c r="AM339" i="10"/>
  <c r="AN339" i="10"/>
  <c r="AO339" i="10"/>
  <c r="AP339" i="10"/>
  <c r="AQ339" i="10"/>
  <c r="AR339" i="10"/>
  <c r="AS339" i="10"/>
  <c r="AT339" i="10"/>
  <c r="AU339" i="10"/>
  <c r="AV339" i="10"/>
  <c r="AW339" i="10"/>
  <c r="AX339" i="10"/>
  <c r="AY339" i="10"/>
  <c r="AZ339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J340" i="10"/>
  <c r="AK340" i="10"/>
  <c r="AL340" i="10"/>
  <c r="AM340" i="10"/>
  <c r="AN340" i="10"/>
  <c r="AO340" i="10"/>
  <c r="AP340" i="10"/>
  <c r="AQ340" i="10"/>
  <c r="AR340" i="10"/>
  <c r="AS340" i="10"/>
  <c r="AT340" i="10"/>
  <c r="AU340" i="10"/>
  <c r="AV340" i="10"/>
  <c r="AW340" i="10"/>
  <c r="AX340" i="10"/>
  <c r="AY340" i="10"/>
  <c r="AZ340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J341" i="10"/>
  <c r="AK341" i="10"/>
  <c r="AL341" i="10"/>
  <c r="AM341" i="10"/>
  <c r="AN341" i="10"/>
  <c r="AO341" i="10"/>
  <c r="AP341" i="10"/>
  <c r="AQ341" i="10"/>
  <c r="AR341" i="10"/>
  <c r="AS341" i="10"/>
  <c r="AT341" i="10"/>
  <c r="AU341" i="10"/>
  <c r="AV341" i="10"/>
  <c r="AW341" i="10"/>
  <c r="AX341" i="10"/>
  <c r="AY341" i="10"/>
  <c r="AZ341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J342" i="10"/>
  <c r="AK342" i="10"/>
  <c r="AL342" i="10"/>
  <c r="AM342" i="10"/>
  <c r="AN342" i="10"/>
  <c r="AO342" i="10"/>
  <c r="AP342" i="10"/>
  <c r="AQ342" i="10"/>
  <c r="AR342" i="10"/>
  <c r="AS342" i="10"/>
  <c r="AT342" i="10"/>
  <c r="AU342" i="10"/>
  <c r="AV342" i="10"/>
  <c r="AW342" i="10"/>
  <c r="AX342" i="10"/>
  <c r="AY342" i="10"/>
  <c r="AZ342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J343" i="10"/>
  <c r="AK343" i="10"/>
  <c r="AL343" i="10"/>
  <c r="AM343" i="10"/>
  <c r="AN343" i="10"/>
  <c r="AO343" i="10"/>
  <c r="AP343" i="10"/>
  <c r="AQ343" i="10"/>
  <c r="AR343" i="10"/>
  <c r="AS343" i="10"/>
  <c r="AT343" i="10"/>
  <c r="AU343" i="10"/>
  <c r="AV343" i="10"/>
  <c r="AW343" i="10"/>
  <c r="AX343" i="10"/>
  <c r="AY343" i="10"/>
  <c r="AZ343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J344" i="10"/>
  <c r="AK344" i="10"/>
  <c r="AL344" i="10"/>
  <c r="AM344" i="10"/>
  <c r="AN344" i="10"/>
  <c r="AO344" i="10"/>
  <c r="AP344" i="10"/>
  <c r="AQ344" i="10"/>
  <c r="AR344" i="10"/>
  <c r="AS344" i="10"/>
  <c r="AT344" i="10"/>
  <c r="AU344" i="10"/>
  <c r="AV344" i="10"/>
  <c r="AW344" i="10"/>
  <c r="AX344" i="10"/>
  <c r="AY344" i="10"/>
  <c r="AZ344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J345" i="10"/>
  <c r="AK345" i="10"/>
  <c r="AL345" i="10"/>
  <c r="AM345" i="10"/>
  <c r="AN345" i="10"/>
  <c r="AO345" i="10"/>
  <c r="AP345" i="10"/>
  <c r="AQ345" i="10"/>
  <c r="AR345" i="10"/>
  <c r="AS345" i="10"/>
  <c r="AT345" i="10"/>
  <c r="AU345" i="10"/>
  <c r="AV345" i="10"/>
  <c r="AW345" i="10"/>
  <c r="AX345" i="10"/>
  <c r="AY345" i="10"/>
  <c r="AZ345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J346" i="10"/>
  <c r="AK346" i="10"/>
  <c r="AL346" i="10"/>
  <c r="AM346" i="10"/>
  <c r="AN346" i="10"/>
  <c r="AO346" i="10"/>
  <c r="AP346" i="10"/>
  <c r="AQ346" i="10"/>
  <c r="AR346" i="10"/>
  <c r="AS346" i="10"/>
  <c r="AT346" i="10"/>
  <c r="AU346" i="10"/>
  <c r="AV346" i="10"/>
  <c r="AW346" i="10"/>
  <c r="AX346" i="10"/>
  <c r="AY346" i="10"/>
  <c r="AZ346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J347" i="10"/>
  <c r="AK347" i="10"/>
  <c r="AL347" i="10"/>
  <c r="AM347" i="10"/>
  <c r="AN347" i="10"/>
  <c r="AO347" i="10"/>
  <c r="AP347" i="10"/>
  <c r="AQ347" i="10"/>
  <c r="AR347" i="10"/>
  <c r="AS347" i="10"/>
  <c r="AT347" i="10"/>
  <c r="AU347" i="10"/>
  <c r="AV347" i="10"/>
  <c r="AW347" i="10"/>
  <c r="AX347" i="10"/>
  <c r="AY347" i="10"/>
  <c r="AZ347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J348" i="10"/>
  <c r="AK348" i="10"/>
  <c r="AL348" i="10"/>
  <c r="AM348" i="10"/>
  <c r="AN348" i="10"/>
  <c r="AO348" i="10"/>
  <c r="AP348" i="10"/>
  <c r="AQ348" i="10"/>
  <c r="AR348" i="10"/>
  <c r="AS348" i="10"/>
  <c r="AT348" i="10"/>
  <c r="AU348" i="10"/>
  <c r="AV348" i="10"/>
  <c r="AW348" i="10"/>
  <c r="AX348" i="10"/>
  <c r="AY348" i="10"/>
  <c r="AZ348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J349" i="10"/>
  <c r="AK349" i="10"/>
  <c r="AL349" i="10"/>
  <c r="AM349" i="10"/>
  <c r="AN349" i="10"/>
  <c r="AO349" i="10"/>
  <c r="AP349" i="10"/>
  <c r="AQ349" i="10"/>
  <c r="AR349" i="10"/>
  <c r="AS349" i="10"/>
  <c r="AT349" i="10"/>
  <c r="AU349" i="10"/>
  <c r="AV349" i="10"/>
  <c r="AW349" i="10"/>
  <c r="AX349" i="10"/>
  <c r="AY349" i="10"/>
  <c r="AZ349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J350" i="10"/>
  <c r="AK350" i="10"/>
  <c r="AL350" i="10"/>
  <c r="AM350" i="10"/>
  <c r="AN350" i="10"/>
  <c r="AO350" i="10"/>
  <c r="AP350" i="10"/>
  <c r="AQ350" i="10"/>
  <c r="AR350" i="10"/>
  <c r="AS350" i="10"/>
  <c r="AT350" i="10"/>
  <c r="AU350" i="10"/>
  <c r="AV350" i="10"/>
  <c r="AW350" i="10"/>
  <c r="AX350" i="10"/>
  <c r="AY350" i="10"/>
  <c r="AZ350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J351" i="10"/>
  <c r="AK351" i="10"/>
  <c r="AL351" i="10"/>
  <c r="AM351" i="10"/>
  <c r="AN351" i="10"/>
  <c r="AO351" i="10"/>
  <c r="AP351" i="10"/>
  <c r="AQ351" i="10"/>
  <c r="AR351" i="10"/>
  <c r="AS351" i="10"/>
  <c r="AT351" i="10"/>
  <c r="AU351" i="10"/>
  <c r="AV351" i="10"/>
  <c r="AW351" i="10"/>
  <c r="AX351" i="10"/>
  <c r="AY351" i="10"/>
  <c r="AZ351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J352" i="10"/>
  <c r="AK352" i="10"/>
  <c r="AL352" i="10"/>
  <c r="AM352" i="10"/>
  <c r="AN352" i="10"/>
  <c r="AO352" i="10"/>
  <c r="AP352" i="10"/>
  <c r="AQ352" i="10"/>
  <c r="AR352" i="10"/>
  <c r="AS352" i="10"/>
  <c r="AT352" i="10"/>
  <c r="AU352" i="10"/>
  <c r="AV352" i="10"/>
  <c r="AW352" i="10"/>
  <c r="AX352" i="10"/>
  <c r="AY352" i="10"/>
  <c r="AZ352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J353" i="10"/>
  <c r="AK353" i="10"/>
  <c r="AL353" i="10"/>
  <c r="AM353" i="10"/>
  <c r="AN353" i="10"/>
  <c r="AO353" i="10"/>
  <c r="AP353" i="10"/>
  <c r="AQ353" i="10"/>
  <c r="AR353" i="10"/>
  <c r="AS353" i="10"/>
  <c r="AT353" i="10"/>
  <c r="AU353" i="10"/>
  <c r="AV353" i="10"/>
  <c r="AW353" i="10"/>
  <c r="AX353" i="10"/>
  <c r="AY353" i="10"/>
  <c r="AZ353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J354" i="10"/>
  <c r="AK354" i="10"/>
  <c r="AL354" i="10"/>
  <c r="AM354" i="10"/>
  <c r="AN354" i="10"/>
  <c r="AO354" i="10"/>
  <c r="AP354" i="10"/>
  <c r="AQ354" i="10"/>
  <c r="AR354" i="10"/>
  <c r="AS354" i="10"/>
  <c r="AT354" i="10"/>
  <c r="AU354" i="10"/>
  <c r="AV354" i="10"/>
  <c r="AW354" i="10"/>
  <c r="AX354" i="10"/>
  <c r="AY354" i="10"/>
  <c r="AZ354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J355" i="10"/>
  <c r="AK355" i="10"/>
  <c r="AL355" i="10"/>
  <c r="AM355" i="10"/>
  <c r="AN355" i="10"/>
  <c r="AO355" i="10"/>
  <c r="AP355" i="10"/>
  <c r="AQ355" i="10"/>
  <c r="AR355" i="10"/>
  <c r="AS355" i="10"/>
  <c r="AT355" i="10"/>
  <c r="AU355" i="10"/>
  <c r="AV355" i="10"/>
  <c r="AW355" i="10"/>
  <c r="AX355" i="10"/>
  <c r="AY355" i="10"/>
  <c r="AZ355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J356" i="10"/>
  <c r="AK356" i="10"/>
  <c r="AL356" i="10"/>
  <c r="AM356" i="10"/>
  <c r="AN356" i="10"/>
  <c r="AO356" i="10"/>
  <c r="AP356" i="10"/>
  <c r="AQ356" i="10"/>
  <c r="AR356" i="10"/>
  <c r="AS356" i="10"/>
  <c r="AT356" i="10"/>
  <c r="AU356" i="10"/>
  <c r="AV356" i="10"/>
  <c r="AW356" i="10"/>
  <c r="AX356" i="10"/>
  <c r="AY356" i="10"/>
  <c r="AZ356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J357" i="10"/>
  <c r="AK357" i="10"/>
  <c r="AL357" i="10"/>
  <c r="AM357" i="10"/>
  <c r="AN357" i="10"/>
  <c r="AO357" i="10"/>
  <c r="AP357" i="10"/>
  <c r="AQ357" i="10"/>
  <c r="AR357" i="10"/>
  <c r="AS357" i="10"/>
  <c r="AT357" i="10"/>
  <c r="AU357" i="10"/>
  <c r="AV357" i="10"/>
  <c r="AW357" i="10"/>
  <c r="AX357" i="10"/>
  <c r="AY357" i="10"/>
  <c r="AZ357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J358" i="10"/>
  <c r="AK358" i="10"/>
  <c r="AL358" i="10"/>
  <c r="AM358" i="10"/>
  <c r="AN358" i="10"/>
  <c r="AO358" i="10"/>
  <c r="AP358" i="10"/>
  <c r="AQ358" i="10"/>
  <c r="AR358" i="10"/>
  <c r="AS358" i="10"/>
  <c r="AT358" i="10"/>
  <c r="AU358" i="10"/>
  <c r="AV358" i="10"/>
  <c r="AW358" i="10"/>
  <c r="AX358" i="10"/>
  <c r="AY358" i="10"/>
  <c r="AZ358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J359" i="10"/>
  <c r="AK359" i="10"/>
  <c r="AL359" i="10"/>
  <c r="AM359" i="10"/>
  <c r="AN359" i="10"/>
  <c r="AO359" i="10"/>
  <c r="AP359" i="10"/>
  <c r="AQ359" i="10"/>
  <c r="AR359" i="10"/>
  <c r="AS359" i="10"/>
  <c r="AT359" i="10"/>
  <c r="AU359" i="10"/>
  <c r="AV359" i="10"/>
  <c r="AW359" i="10"/>
  <c r="AX359" i="10"/>
  <c r="AY359" i="10"/>
  <c r="AZ359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J360" i="10"/>
  <c r="AK360" i="10"/>
  <c r="AL360" i="10"/>
  <c r="AM360" i="10"/>
  <c r="AN360" i="10"/>
  <c r="AO360" i="10"/>
  <c r="AP360" i="10"/>
  <c r="AQ360" i="10"/>
  <c r="AR360" i="10"/>
  <c r="AS360" i="10"/>
  <c r="AT360" i="10"/>
  <c r="AU360" i="10"/>
  <c r="AV360" i="10"/>
  <c r="AW360" i="10"/>
  <c r="AX360" i="10"/>
  <c r="AY360" i="10"/>
  <c r="AZ360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J361" i="10"/>
  <c r="AK361" i="10"/>
  <c r="AL361" i="10"/>
  <c r="AM361" i="10"/>
  <c r="AN361" i="10"/>
  <c r="AO361" i="10"/>
  <c r="AP361" i="10"/>
  <c r="AQ361" i="10"/>
  <c r="AR361" i="10"/>
  <c r="AS361" i="10"/>
  <c r="AT361" i="10"/>
  <c r="AU361" i="10"/>
  <c r="AV361" i="10"/>
  <c r="AW361" i="10"/>
  <c r="AX361" i="10"/>
  <c r="AY361" i="10"/>
  <c r="AZ361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J362" i="10"/>
  <c r="AK362" i="10"/>
  <c r="AL362" i="10"/>
  <c r="AM362" i="10"/>
  <c r="AN362" i="10"/>
  <c r="AO362" i="10"/>
  <c r="AP362" i="10"/>
  <c r="AQ362" i="10"/>
  <c r="AR362" i="10"/>
  <c r="AS362" i="10"/>
  <c r="AT362" i="10"/>
  <c r="AU362" i="10"/>
  <c r="AV362" i="10"/>
  <c r="AW362" i="10"/>
  <c r="AX362" i="10"/>
  <c r="AY362" i="10"/>
  <c r="AZ362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J363" i="10"/>
  <c r="AK363" i="10"/>
  <c r="AL363" i="10"/>
  <c r="AM363" i="10"/>
  <c r="AN363" i="10"/>
  <c r="AO363" i="10"/>
  <c r="AP363" i="10"/>
  <c r="AQ363" i="10"/>
  <c r="AR363" i="10"/>
  <c r="AS363" i="10"/>
  <c r="AT363" i="10"/>
  <c r="AU363" i="10"/>
  <c r="AV363" i="10"/>
  <c r="AW363" i="10"/>
  <c r="AX363" i="10"/>
  <c r="AY363" i="10"/>
  <c r="AZ363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J364" i="10"/>
  <c r="AK364" i="10"/>
  <c r="AL364" i="10"/>
  <c r="AM364" i="10"/>
  <c r="AN364" i="10"/>
  <c r="AO364" i="10"/>
  <c r="AP364" i="10"/>
  <c r="AQ364" i="10"/>
  <c r="AR364" i="10"/>
  <c r="AS364" i="10"/>
  <c r="AT364" i="10"/>
  <c r="AU364" i="10"/>
  <c r="AV364" i="10"/>
  <c r="AW364" i="10"/>
  <c r="AX364" i="10"/>
  <c r="AY364" i="10"/>
  <c r="AZ364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J365" i="10"/>
  <c r="AK365" i="10"/>
  <c r="AL365" i="10"/>
  <c r="AM365" i="10"/>
  <c r="AN365" i="10"/>
  <c r="AO365" i="10"/>
  <c r="AP365" i="10"/>
  <c r="AQ365" i="10"/>
  <c r="AR365" i="10"/>
  <c r="AS365" i="10"/>
  <c r="AT365" i="10"/>
  <c r="AU365" i="10"/>
  <c r="AV365" i="10"/>
  <c r="AW365" i="10"/>
  <c r="AX365" i="10"/>
  <c r="AY365" i="10"/>
  <c r="AZ365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J366" i="10"/>
  <c r="AK366" i="10"/>
  <c r="AL366" i="10"/>
  <c r="AM366" i="10"/>
  <c r="AN366" i="10"/>
  <c r="AO366" i="10"/>
  <c r="AP366" i="10"/>
  <c r="AQ366" i="10"/>
  <c r="AR366" i="10"/>
  <c r="AS366" i="10"/>
  <c r="AT366" i="10"/>
  <c r="AU366" i="10"/>
  <c r="AV366" i="10"/>
  <c r="AW366" i="10"/>
  <c r="AX366" i="10"/>
  <c r="AY366" i="10"/>
  <c r="AZ366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J367" i="10"/>
  <c r="AK367" i="10"/>
  <c r="AL367" i="10"/>
  <c r="AM367" i="10"/>
  <c r="AN367" i="10"/>
  <c r="AO367" i="10"/>
  <c r="AP367" i="10"/>
  <c r="AQ367" i="10"/>
  <c r="AR367" i="10"/>
  <c r="AS367" i="10"/>
  <c r="AT367" i="10"/>
  <c r="AU367" i="10"/>
  <c r="AV367" i="10"/>
  <c r="AW367" i="10"/>
  <c r="AX367" i="10"/>
  <c r="AY367" i="10"/>
  <c r="AZ367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J368" i="10"/>
  <c r="AK368" i="10"/>
  <c r="AL368" i="10"/>
  <c r="AM368" i="10"/>
  <c r="AN368" i="10"/>
  <c r="AO368" i="10"/>
  <c r="AP368" i="10"/>
  <c r="AQ368" i="10"/>
  <c r="AR368" i="10"/>
  <c r="AS368" i="10"/>
  <c r="AT368" i="10"/>
  <c r="AU368" i="10"/>
  <c r="AV368" i="10"/>
  <c r="AW368" i="10"/>
  <c r="AX368" i="10"/>
  <c r="AY368" i="10"/>
  <c r="AZ368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J369" i="10"/>
  <c r="AK369" i="10"/>
  <c r="AL369" i="10"/>
  <c r="AM369" i="10"/>
  <c r="AN369" i="10"/>
  <c r="AO369" i="10"/>
  <c r="AP369" i="10"/>
  <c r="AQ369" i="10"/>
  <c r="AR369" i="10"/>
  <c r="AS369" i="10"/>
  <c r="AT369" i="10"/>
  <c r="AU369" i="10"/>
  <c r="AV369" i="10"/>
  <c r="AW369" i="10"/>
  <c r="AX369" i="10"/>
  <c r="AY369" i="10"/>
  <c r="AZ369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J370" i="10"/>
  <c r="AK370" i="10"/>
  <c r="AL370" i="10"/>
  <c r="AM370" i="10"/>
  <c r="AN370" i="10"/>
  <c r="AO370" i="10"/>
  <c r="AP370" i="10"/>
  <c r="AQ370" i="10"/>
  <c r="AR370" i="10"/>
  <c r="AS370" i="10"/>
  <c r="AT370" i="10"/>
  <c r="AU370" i="10"/>
  <c r="AV370" i="10"/>
  <c r="AW370" i="10"/>
  <c r="AX370" i="10"/>
  <c r="AY370" i="10"/>
  <c r="AZ370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J371" i="10"/>
  <c r="AK371" i="10"/>
  <c r="AL371" i="10"/>
  <c r="AM371" i="10"/>
  <c r="AN371" i="10"/>
  <c r="AO371" i="10"/>
  <c r="AP371" i="10"/>
  <c r="AQ371" i="10"/>
  <c r="AR371" i="10"/>
  <c r="AS371" i="10"/>
  <c r="AT371" i="10"/>
  <c r="AU371" i="10"/>
  <c r="AV371" i="10"/>
  <c r="AW371" i="10"/>
  <c r="AX371" i="10"/>
  <c r="AY371" i="10"/>
  <c r="AZ371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J372" i="10"/>
  <c r="AK372" i="10"/>
  <c r="AL372" i="10"/>
  <c r="AM372" i="10"/>
  <c r="AN372" i="10"/>
  <c r="AO372" i="10"/>
  <c r="AP372" i="10"/>
  <c r="AQ372" i="10"/>
  <c r="AR372" i="10"/>
  <c r="AS372" i="10"/>
  <c r="AT372" i="10"/>
  <c r="AU372" i="10"/>
  <c r="AV372" i="10"/>
  <c r="AW372" i="10"/>
  <c r="AX372" i="10"/>
  <c r="AY372" i="10"/>
  <c r="AZ372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J373" i="10"/>
  <c r="AK373" i="10"/>
  <c r="AL373" i="10"/>
  <c r="AM373" i="10"/>
  <c r="AN373" i="10"/>
  <c r="AO373" i="10"/>
  <c r="AP373" i="10"/>
  <c r="AQ373" i="10"/>
  <c r="AR373" i="10"/>
  <c r="AS373" i="10"/>
  <c r="AT373" i="10"/>
  <c r="AU373" i="10"/>
  <c r="AV373" i="10"/>
  <c r="AW373" i="10"/>
  <c r="AX373" i="10"/>
  <c r="AY373" i="10"/>
  <c r="AZ373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J374" i="10"/>
  <c r="AK374" i="10"/>
  <c r="AL374" i="10"/>
  <c r="AM374" i="10"/>
  <c r="AN374" i="10"/>
  <c r="AO374" i="10"/>
  <c r="AP374" i="10"/>
  <c r="AQ374" i="10"/>
  <c r="AR374" i="10"/>
  <c r="AS374" i="10"/>
  <c r="AT374" i="10"/>
  <c r="AU374" i="10"/>
  <c r="AV374" i="10"/>
  <c r="AW374" i="10"/>
  <c r="AX374" i="10"/>
  <c r="AY374" i="10"/>
  <c r="AZ374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J375" i="10"/>
  <c r="AK375" i="10"/>
  <c r="AL375" i="10"/>
  <c r="AM375" i="10"/>
  <c r="AN375" i="10"/>
  <c r="AO375" i="10"/>
  <c r="AP375" i="10"/>
  <c r="AQ375" i="10"/>
  <c r="AR375" i="10"/>
  <c r="AS375" i="10"/>
  <c r="AT375" i="10"/>
  <c r="AU375" i="10"/>
  <c r="AV375" i="10"/>
  <c r="AW375" i="10"/>
  <c r="AX375" i="10"/>
  <c r="AY375" i="10"/>
  <c r="AZ375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J376" i="10"/>
  <c r="AK376" i="10"/>
  <c r="AL376" i="10"/>
  <c r="AM376" i="10"/>
  <c r="AN376" i="10"/>
  <c r="AO376" i="10"/>
  <c r="AP376" i="10"/>
  <c r="AQ376" i="10"/>
  <c r="AR376" i="10"/>
  <c r="AS376" i="10"/>
  <c r="AT376" i="10"/>
  <c r="AU376" i="10"/>
  <c r="AV376" i="10"/>
  <c r="AW376" i="10"/>
  <c r="AX376" i="10"/>
  <c r="AY376" i="10"/>
  <c r="AZ376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J377" i="10"/>
  <c r="AK377" i="10"/>
  <c r="AL377" i="10"/>
  <c r="AM377" i="10"/>
  <c r="AN377" i="10"/>
  <c r="AO377" i="10"/>
  <c r="AP377" i="10"/>
  <c r="AQ377" i="10"/>
  <c r="AR377" i="10"/>
  <c r="AS377" i="10"/>
  <c r="AT377" i="10"/>
  <c r="AU377" i="10"/>
  <c r="AV377" i="10"/>
  <c r="AW377" i="10"/>
  <c r="AX377" i="10"/>
  <c r="AY377" i="10"/>
  <c r="AZ377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J378" i="10"/>
  <c r="AK378" i="10"/>
  <c r="AL378" i="10"/>
  <c r="AM378" i="10"/>
  <c r="AN378" i="10"/>
  <c r="AO378" i="10"/>
  <c r="AP378" i="10"/>
  <c r="AQ378" i="10"/>
  <c r="AR378" i="10"/>
  <c r="AS378" i="10"/>
  <c r="AT378" i="10"/>
  <c r="AU378" i="10"/>
  <c r="AV378" i="10"/>
  <c r="AW378" i="10"/>
  <c r="AX378" i="10"/>
  <c r="AY378" i="10"/>
  <c r="AZ378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J379" i="10"/>
  <c r="AK379" i="10"/>
  <c r="AL379" i="10"/>
  <c r="AM379" i="10"/>
  <c r="AN379" i="10"/>
  <c r="AO379" i="10"/>
  <c r="AP379" i="10"/>
  <c r="AQ379" i="10"/>
  <c r="AR379" i="10"/>
  <c r="AS379" i="10"/>
  <c r="AT379" i="10"/>
  <c r="AU379" i="10"/>
  <c r="AV379" i="10"/>
  <c r="AW379" i="10"/>
  <c r="AX379" i="10"/>
  <c r="AY379" i="10"/>
  <c r="AZ379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J380" i="10"/>
  <c r="AK380" i="10"/>
  <c r="AL380" i="10"/>
  <c r="AM380" i="10"/>
  <c r="AN380" i="10"/>
  <c r="AO380" i="10"/>
  <c r="AP380" i="10"/>
  <c r="AQ380" i="10"/>
  <c r="AR380" i="10"/>
  <c r="AS380" i="10"/>
  <c r="AT380" i="10"/>
  <c r="AU380" i="10"/>
  <c r="AV380" i="10"/>
  <c r="AW380" i="10"/>
  <c r="AX380" i="10"/>
  <c r="AY380" i="10"/>
  <c r="AZ380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J381" i="10"/>
  <c r="AK381" i="10"/>
  <c r="AL381" i="10"/>
  <c r="AM381" i="10"/>
  <c r="AN381" i="10"/>
  <c r="AO381" i="10"/>
  <c r="AP381" i="10"/>
  <c r="AQ381" i="10"/>
  <c r="AR381" i="10"/>
  <c r="AS381" i="10"/>
  <c r="AT381" i="10"/>
  <c r="AU381" i="10"/>
  <c r="AV381" i="10"/>
  <c r="AW381" i="10"/>
  <c r="AX381" i="10"/>
  <c r="AY381" i="10"/>
  <c r="AZ381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J382" i="10"/>
  <c r="AK382" i="10"/>
  <c r="AL382" i="10"/>
  <c r="AM382" i="10"/>
  <c r="AN382" i="10"/>
  <c r="AO382" i="10"/>
  <c r="AP382" i="10"/>
  <c r="AQ382" i="10"/>
  <c r="AR382" i="10"/>
  <c r="AS382" i="10"/>
  <c r="AT382" i="10"/>
  <c r="AU382" i="10"/>
  <c r="AV382" i="10"/>
  <c r="AW382" i="10"/>
  <c r="AX382" i="10"/>
  <c r="AY382" i="10"/>
  <c r="AZ382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J383" i="10"/>
  <c r="AK383" i="10"/>
  <c r="AL383" i="10"/>
  <c r="AM383" i="10"/>
  <c r="AN383" i="10"/>
  <c r="AO383" i="10"/>
  <c r="AP383" i="10"/>
  <c r="AQ383" i="10"/>
  <c r="AR383" i="10"/>
  <c r="AS383" i="10"/>
  <c r="AT383" i="10"/>
  <c r="AU383" i="10"/>
  <c r="AV383" i="10"/>
  <c r="AW383" i="10"/>
  <c r="AX383" i="10"/>
  <c r="AY383" i="10"/>
  <c r="AZ383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J384" i="10"/>
  <c r="AK384" i="10"/>
  <c r="AL384" i="10"/>
  <c r="AM384" i="10"/>
  <c r="AN384" i="10"/>
  <c r="AO384" i="10"/>
  <c r="AP384" i="10"/>
  <c r="AQ384" i="10"/>
  <c r="AR384" i="10"/>
  <c r="AS384" i="10"/>
  <c r="AT384" i="10"/>
  <c r="AU384" i="10"/>
  <c r="AV384" i="10"/>
  <c r="AW384" i="10"/>
  <c r="AX384" i="10"/>
  <c r="AY384" i="10"/>
  <c r="AZ384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J385" i="10"/>
  <c r="AK385" i="10"/>
  <c r="AL385" i="10"/>
  <c r="AM385" i="10"/>
  <c r="AN385" i="10"/>
  <c r="AO385" i="10"/>
  <c r="AP385" i="10"/>
  <c r="AQ385" i="10"/>
  <c r="AR385" i="10"/>
  <c r="AS385" i="10"/>
  <c r="AT385" i="10"/>
  <c r="AU385" i="10"/>
  <c r="AV385" i="10"/>
  <c r="AW385" i="10"/>
  <c r="AX385" i="10"/>
  <c r="AY385" i="10"/>
  <c r="AZ385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J386" i="10"/>
  <c r="AK386" i="10"/>
  <c r="AL386" i="10"/>
  <c r="AM386" i="10"/>
  <c r="AN386" i="10"/>
  <c r="AO386" i="10"/>
  <c r="AP386" i="10"/>
  <c r="AQ386" i="10"/>
  <c r="AR386" i="10"/>
  <c r="AS386" i="10"/>
  <c r="AT386" i="10"/>
  <c r="AU386" i="10"/>
  <c r="AV386" i="10"/>
  <c r="AW386" i="10"/>
  <c r="AX386" i="10"/>
  <c r="AY386" i="10"/>
  <c r="AZ386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J387" i="10"/>
  <c r="AK387" i="10"/>
  <c r="AL387" i="10"/>
  <c r="AM387" i="10"/>
  <c r="AN387" i="10"/>
  <c r="AO387" i="10"/>
  <c r="AP387" i="10"/>
  <c r="AQ387" i="10"/>
  <c r="AR387" i="10"/>
  <c r="AS387" i="10"/>
  <c r="AT387" i="10"/>
  <c r="AU387" i="10"/>
  <c r="AV387" i="10"/>
  <c r="AW387" i="10"/>
  <c r="AX387" i="10"/>
  <c r="AY387" i="10"/>
  <c r="AZ387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J388" i="10"/>
  <c r="AK388" i="10"/>
  <c r="AL388" i="10"/>
  <c r="AM388" i="10"/>
  <c r="AN388" i="10"/>
  <c r="AO388" i="10"/>
  <c r="AP388" i="10"/>
  <c r="AQ388" i="10"/>
  <c r="AR388" i="10"/>
  <c r="AS388" i="10"/>
  <c r="AT388" i="10"/>
  <c r="AU388" i="10"/>
  <c r="AV388" i="10"/>
  <c r="AW388" i="10"/>
  <c r="AX388" i="10"/>
  <c r="AY388" i="10"/>
  <c r="AZ388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J389" i="10"/>
  <c r="AK389" i="10"/>
  <c r="AL389" i="10"/>
  <c r="AM389" i="10"/>
  <c r="AN389" i="10"/>
  <c r="AO389" i="10"/>
  <c r="AP389" i="10"/>
  <c r="AQ389" i="10"/>
  <c r="AR389" i="10"/>
  <c r="AS389" i="10"/>
  <c r="AT389" i="10"/>
  <c r="AU389" i="10"/>
  <c r="AV389" i="10"/>
  <c r="AW389" i="10"/>
  <c r="AX389" i="10"/>
  <c r="AY389" i="10"/>
  <c r="AZ389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J390" i="10"/>
  <c r="AK390" i="10"/>
  <c r="AL390" i="10"/>
  <c r="AM390" i="10"/>
  <c r="AN390" i="10"/>
  <c r="AO390" i="10"/>
  <c r="AP390" i="10"/>
  <c r="AQ390" i="10"/>
  <c r="AR390" i="10"/>
  <c r="AS390" i="10"/>
  <c r="AT390" i="10"/>
  <c r="AU390" i="10"/>
  <c r="AV390" i="10"/>
  <c r="AW390" i="10"/>
  <c r="AX390" i="10"/>
  <c r="AY390" i="10"/>
  <c r="AZ390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J391" i="10"/>
  <c r="AK391" i="10"/>
  <c r="AL391" i="10"/>
  <c r="AM391" i="10"/>
  <c r="AN391" i="10"/>
  <c r="AO391" i="10"/>
  <c r="AP391" i="10"/>
  <c r="AQ391" i="10"/>
  <c r="AR391" i="10"/>
  <c r="AS391" i="10"/>
  <c r="AT391" i="10"/>
  <c r="AU391" i="10"/>
  <c r="AV391" i="10"/>
  <c r="AW391" i="10"/>
  <c r="AX391" i="10"/>
  <c r="AY391" i="10"/>
  <c r="AZ391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J392" i="10"/>
  <c r="AK392" i="10"/>
  <c r="AL392" i="10"/>
  <c r="AM392" i="10"/>
  <c r="AN392" i="10"/>
  <c r="AO392" i="10"/>
  <c r="AP392" i="10"/>
  <c r="AQ392" i="10"/>
  <c r="AR392" i="10"/>
  <c r="AS392" i="10"/>
  <c r="AT392" i="10"/>
  <c r="AU392" i="10"/>
  <c r="AV392" i="10"/>
  <c r="AW392" i="10"/>
  <c r="AX392" i="10"/>
  <c r="AY392" i="10"/>
  <c r="AZ392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J393" i="10"/>
  <c r="AK393" i="10"/>
  <c r="AL393" i="10"/>
  <c r="AM393" i="10"/>
  <c r="AN393" i="10"/>
  <c r="AO393" i="10"/>
  <c r="AP393" i="10"/>
  <c r="AQ393" i="10"/>
  <c r="AR393" i="10"/>
  <c r="AS393" i="10"/>
  <c r="AT393" i="10"/>
  <c r="AU393" i="10"/>
  <c r="AV393" i="10"/>
  <c r="AW393" i="10"/>
  <c r="AX393" i="10"/>
  <c r="AY393" i="10"/>
  <c r="AZ393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J394" i="10"/>
  <c r="AK394" i="10"/>
  <c r="AL394" i="10"/>
  <c r="AM394" i="10"/>
  <c r="AN394" i="10"/>
  <c r="AO394" i="10"/>
  <c r="AP394" i="10"/>
  <c r="AQ394" i="10"/>
  <c r="AR394" i="10"/>
  <c r="AS394" i="10"/>
  <c r="AT394" i="10"/>
  <c r="AU394" i="10"/>
  <c r="AV394" i="10"/>
  <c r="AW394" i="10"/>
  <c r="AX394" i="10"/>
  <c r="AY394" i="10"/>
  <c r="AZ394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J395" i="10"/>
  <c r="AK395" i="10"/>
  <c r="AL395" i="10"/>
  <c r="AM395" i="10"/>
  <c r="AN395" i="10"/>
  <c r="AO395" i="10"/>
  <c r="AP395" i="10"/>
  <c r="AQ395" i="10"/>
  <c r="AR395" i="10"/>
  <c r="AS395" i="10"/>
  <c r="AT395" i="10"/>
  <c r="AU395" i="10"/>
  <c r="AV395" i="10"/>
  <c r="AW395" i="10"/>
  <c r="AX395" i="10"/>
  <c r="AY395" i="10"/>
  <c r="AZ395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J396" i="10"/>
  <c r="AK396" i="10"/>
  <c r="AL396" i="10"/>
  <c r="AM396" i="10"/>
  <c r="AN396" i="10"/>
  <c r="AO396" i="10"/>
  <c r="AP396" i="10"/>
  <c r="AQ396" i="10"/>
  <c r="AR396" i="10"/>
  <c r="AS396" i="10"/>
  <c r="AT396" i="10"/>
  <c r="AU396" i="10"/>
  <c r="AV396" i="10"/>
  <c r="AW396" i="10"/>
  <c r="AX396" i="10"/>
  <c r="AY396" i="10"/>
  <c r="AZ396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J397" i="10"/>
  <c r="AK397" i="10"/>
  <c r="AL397" i="10"/>
  <c r="AM397" i="10"/>
  <c r="AN397" i="10"/>
  <c r="AO397" i="10"/>
  <c r="AP397" i="10"/>
  <c r="AQ397" i="10"/>
  <c r="AR397" i="10"/>
  <c r="AS397" i="10"/>
  <c r="AT397" i="10"/>
  <c r="AU397" i="10"/>
  <c r="AV397" i="10"/>
  <c r="AW397" i="10"/>
  <c r="AX397" i="10"/>
  <c r="AY397" i="10"/>
  <c r="AZ397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J398" i="10"/>
  <c r="AK398" i="10"/>
  <c r="AL398" i="10"/>
  <c r="AM398" i="10"/>
  <c r="AN398" i="10"/>
  <c r="AO398" i="10"/>
  <c r="AP398" i="10"/>
  <c r="AQ398" i="10"/>
  <c r="AR398" i="10"/>
  <c r="AS398" i="10"/>
  <c r="AT398" i="10"/>
  <c r="AU398" i="10"/>
  <c r="AV398" i="10"/>
  <c r="AW398" i="10"/>
  <c r="AX398" i="10"/>
  <c r="AY398" i="10"/>
  <c r="AZ398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J399" i="10"/>
  <c r="AK399" i="10"/>
  <c r="AL399" i="10"/>
  <c r="AM399" i="10"/>
  <c r="AN399" i="10"/>
  <c r="AO399" i="10"/>
  <c r="AP399" i="10"/>
  <c r="AQ399" i="10"/>
  <c r="AR399" i="10"/>
  <c r="AS399" i="10"/>
  <c r="AT399" i="10"/>
  <c r="AU399" i="10"/>
  <c r="AV399" i="10"/>
  <c r="AW399" i="10"/>
  <c r="AX399" i="10"/>
  <c r="AY399" i="10"/>
  <c r="AZ399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J400" i="10"/>
  <c r="AK400" i="10"/>
  <c r="AL400" i="10"/>
  <c r="AM400" i="10"/>
  <c r="AN400" i="10"/>
  <c r="AO400" i="10"/>
  <c r="AP400" i="10"/>
  <c r="AQ400" i="10"/>
  <c r="AR400" i="10"/>
  <c r="AS400" i="10"/>
  <c r="AT400" i="10"/>
  <c r="AU400" i="10"/>
  <c r="AV400" i="10"/>
  <c r="AW400" i="10"/>
  <c r="AX400" i="10"/>
  <c r="AY400" i="10"/>
  <c r="AZ400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J401" i="10"/>
  <c r="AK401" i="10"/>
  <c r="AL401" i="10"/>
  <c r="AM401" i="10"/>
  <c r="AN401" i="10"/>
  <c r="AO401" i="10"/>
  <c r="AP401" i="10"/>
  <c r="AQ401" i="10"/>
  <c r="AR401" i="10"/>
  <c r="AS401" i="10"/>
  <c r="AT401" i="10"/>
  <c r="AU401" i="10"/>
  <c r="AV401" i="10"/>
  <c r="AW401" i="10"/>
  <c r="AX401" i="10"/>
  <c r="AY401" i="10"/>
  <c r="AZ401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J402" i="10"/>
  <c r="AK402" i="10"/>
  <c r="AL402" i="10"/>
  <c r="AM402" i="10"/>
  <c r="AN402" i="10"/>
  <c r="AO402" i="10"/>
  <c r="AP402" i="10"/>
  <c r="AQ402" i="10"/>
  <c r="AR402" i="10"/>
  <c r="AS402" i="10"/>
  <c r="AT402" i="10"/>
  <c r="AU402" i="10"/>
  <c r="AV402" i="10"/>
  <c r="AW402" i="10"/>
  <c r="AX402" i="10"/>
  <c r="AY402" i="10"/>
  <c r="AZ402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J403" i="10"/>
  <c r="AK403" i="10"/>
  <c r="AL403" i="10"/>
  <c r="AM403" i="10"/>
  <c r="AN403" i="10"/>
  <c r="AO403" i="10"/>
  <c r="AP403" i="10"/>
  <c r="AQ403" i="10"/>
  <c r="AR403" i="10"/>
  <c r="AS403" i="10"/>
  <c r="AT403" i="10"/>
  <c r="AU403" i="10"/>
  <c r="AV403" i="10"/>
  <c r="AW403" i="10"/>
  <c r="AX403" i="10"/>
  <c r="AY403" i="10"/>
  <c r="AZ403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J404" i="10"/>
  <c r="AK404" i="10"/>
  <c r="AL404" i="10"/>
  <c r="AM404" i="10"/>
  <c r="AN404" i="10"/>
  <c r="AO404" i="10"/>
  <c r="AP404" i="10"/>
  <c r="AQ404" i="10"/>
  <c r="AR404" i="10"/>
  <c r="AS404" i="10"/>
  <c r="AT404" i="10"/>
  <c r="AU404" i="10"/>
  <c r="AV404" i="10"/>
  <c r="AW404" i="10"/>
  <c r="AX404" i="10"/>
  <c r="AY404" i="10"/>
  <c r="AZ404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J405" i="10"/>
  <c r="AK405" i="10"/>
  <c r="AL405" i="10"/>
  <c r="AM405" i="10"/>
  <c r="AN405" i="10"/>
  <c r="AO405" i="10"/>
  <c r="AP405" i="10"/>
  <c r="AQ405" i="10"/>
  <c r="AR405" i="10"/>
  <c r="AS405" i="10"/>
  <c r="AT405" i="10"/>
  <c r="AU405" i="10"/>
  <c r="AV405" i="10"/>
  <c r="AW405" i="10"/>
  <c r="AX405" i="10"/>
  <c r="AY405" i="10"/>
  <c r="AZ405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J406" i="10"/>
  <c r="AK406" i="10"/>
  <c r="AL406" i="10"/>
  <c r="AM406" i="10"/>
  <c r="AN406" i="10"/>
  <c r="AO406" i="10"/>
  <c r="AP406" i="10"/>
  <c r="AQ406" i="10"/>
  <c r="AR406" i="10"/>
  <c r="AS406" i="10"/>
  <c r="AT406" i="10"/>
  <c r="AU406" i="10"/>
  <c r="AV406" i="10"/>
  <c r="AW406" i="10"/>
  <c r="AX406" i="10"/>
  <c r="AY406" i="10"/>
  <c r="AZ406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J407" i="10"/>
  <c r="AK407" i="10"/>
  <c r="AL407" i="10"/>
  <c r="AM407" i="10"/>
  <c r="AN407" i="10"/>
  <c r="AO407" i="10"/>
  <c r="AP407" i="10"/>
  <c r="AQ407" i="10"/>
  <c r="AR407" i="10"/>
  <c r="AS407" i="10"/>
  <c r="AT407" i="10"/>
  <c r="AU407" i="10"/>
  <c r="AV407" i="10"/>
  <c r="AW407" i="10"/>
  <c r="AX407" i="10"/>
  <c r="AY407" i="10"/>
  <c r="AZ407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J408" i="10"/>
  <c r="AK408" i="10"/>
  <c r="AL408" i="10"/>
  <c r="AM408" i="10"/>
  <c r="AN408" i="10"/>
  <c r="AO408" i="10"/>
  <c r="AP408" i="10"/>
  <c r="AQ408" i="10"/>
  <c r="AR408" i="10"/>
  <c r="AS408" i="10"/>
  <c r="AT408" i="10"/>
  <c r="AU408" i="10"/>
  <c r="AV408" i="10"/>
  <c r="AW408" i="10"/>
  <c r="AX408" i="10"/>
  <c r="AY408" i="10"/>
  <c r="AZ408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J409" i="10"/>
  <c r="AK409" i="10"/>
  <c r="AL409" i="10"/>
  <c r="AM409" i="10"/>
  <c r="AN409" i="10"/>
  <c r="AO409" i="10"/>
  <c r="AP409" i="10"/>
  <c r="AQ409" i="10"/>
  <c r="AR409" i="10"/>
  <c r="AS409" i="10"/>
  <c r="AT409" i="10"/>
  <c r="AU409" i="10"/>
  <c r="AV409" i="10"/>
  <c r="AW409" i="10"/>
  <c r="AX409" i="10"/>
  <c r="AY409" i="10"/>
  <c r="AZ409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J410" i="10"/>
  <c r="AK410" i="10"/>
  <c r="AL410" i="10"/>
  <c r="AM410" i="10"/>
  <c r="AN410" i="10"/>
  <c r="AO410" i="10"/>
  <c r="AP410" i="10"/>
  <c r="AQ410" i="10"/>
  <c r="AR410" i="10"/>
  <c r="AS410" i="10"/>
  <c r="AT410" i="10"/>
  <c r="AU410" i="10"/>
  <c r="AV410" i="10"/>
  <c r="AW410" i="10"/>
  <c r="AX410" i="10"/>
  <c r="AY410" i="10"/>
  <c r="AZ410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J411" i="10"/>
  <c r="AK411" i="10"/>
  <c r="AL411" i="10"/>
  <c r="AM411" i="10"/>
  <c r="AN411" i="10"/>
  <c r="AO411" i="10"/>
  <c r="AP411" i="10"/>
  <c r="AQ411" i="10"/>
  <c r="AR411" i="10"/>
  <c r="AS411" i="10"/>
  <c r="AT411" i="10"/>
  <c r="AU411" i="10"/>
  <c r="AV411" i="10"/>
  <c r="AW411" i="10"/>
  <c r="AX411" i="10"/>
  <c r="AY411" i="10"/>
  <c r="AZ411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J412" i="10"/>
  <c r="AK412" i="10"/>
  <c r="AL412" i="10"/>
  <c r="AM412" i="10"/>
  <c r="AN412" i="10"/>
  <c r="AO412" i="10"/>
  <c r="AP412" i="10"/>
  <c r="AQ412" i="10"/>
  <c r="AR412" i="10"/>
  <c r="AS412" i="10"/>
  <c r="AT412" i="10"/>
  <c r="AU412" i="10"/>
  <c r="AV412" i="10"/>
  <c r="AW412" i="10"/>
  <c r="AX412" i="10"/>
  <c r="AY412" i="10"/>
  <c r="AZ412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J413" i="10"/>
  <c r="AK413" i="10"/>
  <c r="AL413" i="10"/>
  <c r="AM413" i="10"/>
  <c r="AN413" i="10"/>
  <c r="AO413" i="10"/>
  <c r="AP413" i="10"/>
  <c r="AQ413" i="10"/>
  <c r="AR413" i="10"/>
  <c r="AS413" i="10"/>
  <c r="AT413" i="10"/>
  <c r="AU413" i="10"/>
  <c r="AV413" i="10"/>
  <c r="AW413" i="10"/>
  <c r="AX413" i="10"/>
  <c r="AY413" i="10"/>
  <c r="AZ413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J414" i="10"/>
  <c r="AK414" i="10"/>
  <c r="AL414" i="10"/>
  <c r="AM414" i="10"/>
  <c r="AN414" i="10"/>
  <c r="AO414" i="10"/>
  <c r="AP414" i="10"/>
  <c r="AQ414" i="10"/>
  <c r="AR414" i="10"/>
  <c r="AS414" i="10"/>
  <c r="AT414" i="10"/>
  <c r="AU414" i="10"/>
  <c r="AV414" i="10"/>
  <c r="AW414" i="10"/>
  <c r="AX414" i="10"/>
  <c r="AY414" i="10"/>
  <c r="AZ414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J415" i="10"/>
  <c r="AK415" i="10"/>
  <c r="AL415" i="10"/>
  <c r="AM415" i="10"/>
  <c r="AN415" i="10"/>
  <c r="AO415" i="10"/>
  <c r="AP415" i="10"/>
  <c r="AQ415" i="10"/>
  <c r="AR415" i="10"/>
  <c r="AS415" i="10"/>
  <c r="AT415" i="10"/>
  <c r="AU415" i="10"/>
  <c r="AV415" i="10"/>
  <c r="AW415" i="10"/>
  <c r="AX415" i="10"/>
  <c r="AY415" i="10"/>
  <c r="AZ415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J416" i="10"/>
  <c r="AK416" i="10"/>
  <c r="AL416" i="10"/>
  <c r="AM416" i="10"/>
  <c r="AN416" i="10"/>
  <c r="AO416" i="10"/>
  <c r="AP416" i="10"/>
  <c r="AQ416" i="10"/>
  <c r="AR416" i="10"/>
  <c r="AS416" i="10"/>
  <c r="AT416" i="10"/>
  <c r="AU416" i="10"/>
  <c r="AV416" i="10"/>
  <c r="AW416" i="10"/>
  <c r="AX416" i="10"/>
  <c r="AY416" i="10"/>
  <c r="AZ416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J417" i="10"/>
  <c r="AK417" i="10"/>
  <c r="AL417" i="10"/>
  <c r="AM417" i="10"/>
  <c r="AN417" i="10"/>
  <c r="AO417" i="10"/>
  <c r="AP417" i="10"/>
  <c r="AQ417" i="10"/>
  <c r="AR417" i="10"/>
  <c r="AS417" i="10"/>
  <c r="AT417" i="10"/>
  <c r="AU417" i="10"/>
  <c r="AV417" i="10"/>
  <c r="AW417" i="10"/>
  <c r="AX417" i="10"/>
  <c r="AY417" i="10"/>
  <c r="AZ417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J418" i="10"/>
  <c r="AK418" i="10"/>
  <c r="AL418" i="10"/>
  <c r="AM418" i="10"/>
  <c r="AN418" i="10"/>
  <c r="AO418" i="10"/>
  <c r="AP418" i="10"/>
  <c r="AQ418" i="10"/>
  <c r="AR418" i="10"/>
  <c r="AS418" i="10"/>
  <c r="AT418" i="10"/>
  <c r="AU418" i="10"/>
  <c r="AV418" i="10"/>
  <c r="AW418" i="10"/>
  <c r="AX418" i="10"/>
  <c r="AY418" i="10"/>
  <c r="AZ418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J419" i="10"/>
  <c r="AK419" i="10"/>
  <c r="AL419" i="10"/>
  <c r="AM419" i="10"/>
  <c r="AN419" i="10"/>
  <c r="AO419" i="10"/>
  <c r="AP419" i="10"/>
  <c r="AQ419" i="10"/>
  <c r="AR419" i="10"/>
  <c r="AS419" i="10"/>
  <c r="AT419" i="10"/>
  <c r="AU419" i="10"/>
  <c r="AV419" i="10"/>
  <c r="AW419" i="10"/>
  <c r="AX419" i="10"/>
  <c r="AY419" i="10"/>
  <c r="AZ419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J420" i="10"/>
  <c r="AK420" i="10"/>
  <c r="AL420" i="10"/>
  <c r="AM420" i="10"/>
  <c r="AN420" i="10"/>
  <c r="AO420" i="10"/>
  <c r="AP420" i="10"/>
  <c r="AQ420" i="10"/>
  <c r="AR420" i="10"/>
  <c r="AS420" i="10"/>
  <c r="AT420" i="10"/>
  <c r="AU420" i="10"/>
  <c r="AV420" i="10"/>
  <c r="AW420" i="10"/>
  <c r="AX420" i="10"/>
  <c r="AY420" i="10"/>
  <c r="AZ420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J421" i="10"/>
  <c r="AK421" i="10"/>
  <c r="AL421" i="10"/>
  <c r="AM421" i="10"/>
  <c r="AN421" i="10"/>
  <c r="AO421" i="10"/>
  <c r="AP421" i="10"/>
  <c r="AQ421" i="10"/>
  <c r="AR421" i="10"/>
  <c r="AS421" i="10"/>
  <c r="AT421" i="10"/>
  <c r="AU421" i="10"/>
  <c r="AV421" i="10"/>
  <c r="AW421" i="10"/>
  <c r="AX421" i="10"/>
  <c r="AY421" i="10"/>
  <c r="AZ421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J422" i="10"/>
  <c r="AK422" i="10"/>
  <c r="AL422" i="10"/>
  <c r="AM422" i="10"/>
  <c r="AN422" i="10"/>
  <c r="AO422" i="10"/>
  <c r="AP422" i="10"/>
  <c r="AQ422" i="10"/>
  <c r="AR422" i="10"/>
  <c r="AS422" i="10"/>
  <c r="AT422" i="10"/>
  <c r="AU422" i="10"/>
  <c r="AV422" i="10"/>
  <c r="AW422" i="10"/>
  <c r="AX422" i="10"/>
  <c r="AY422" i="10"/>
  <c r="AZ422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J423" i="10"/>
  <c r="AK423" i="10"/>
  <c r="AL423" i="10"/>
  <c r="AM423" i="10"/>
  <c r="AN423" i="10"/>
  <c r="AO423" i="10"/>
  <c r="AP423" i="10"/>
  <c r="AQ423" i="10"/>
  <c r="AR423" i="10"/>
  <c r="AS423" i="10"/>
  <c r="AT423" i="10"/>
  <c r="AU423" i="10"/>
  <c r="AV423" i="10"/>
  <c r="AW423" i="10"/>
  <c r="AX423" i="10"/>
  <c r="AY423" i="10"/>
  <c r="AZ423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J424" i="10"/>
  <c r="AK424" i="10"/>
  <c r="AL424" i="10"/>
  <c r="AM424" i="10"/>
  <c r="AN424" i="10"/>
  <c r="AO424" i="10"/>
  <c r="AP424" i="10"/>
  <c r="AQ424" i="10"/>
  <c r="AR424" i="10"/>
  <c r="AS424" i="10"/>
  <c r="AT424" i="10"/>
  <c r="AU424" i="10"/>
  <c r="AV424" i="10"/>
  <c r="AW424" i="10"/>
  <c r="AX424" i="10"/>
  <c r="AY424" i="10"/>
  <c r="AZ424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J425" i="10"/>
  <c r="AK425" i="10"/>
  <c r="AL425" i="10"/>
  <c r="AM425" i="10"/>
  <c r="AN425" i="10"/>
  <c r="AO425" i="10"/>
  <c r="AP425" i="10"/>
  <c r="AQ425" i="10"/>
  <c r="AR425" i="10"/>
  <c r="AS425" i="10"/>
  <c r="AT425" i="10"/>
  <c r="AU425" i="10"/>
  <c r="AV425" i="10"/>
  <c r="AW425" i="10"/>
  <c r="AX425" i="10"/>
  <c r="AY425" i="10"/>
  <c r="AZ425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J426" i="10"/>
  <c r="AK426" i="10"/>
  <c r="AL426" i="10"/>
  <c r="AM426" i="10"/>
  <c r="AN426" i="10"/>
  <c r="AO426" i="10"/>
  <c r="AP426" i="10"/>
  <c r="AQ426" i="10"/>
  <c r="AR426" i="10"/>
  <c r="AS426" i="10"/>
  <c r="AT426" i="10"/>
  <c r="AU426" i="10"/>
  <c r="AV426" i="10"/>
  <c r="AW426" i="10"/>
  <c r="AX426" i="10"/>
  <c r="AY426" i="10"/>
  <c r="AZ426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J427" i="10"/>
  <c r="AK427" i="10"/>
  <c r="AL427" i="10"/>
  <c r="AM427" i="10"/>
  <c r="AN427" i="10"/>
  <c r="AO427" i="10"/>
  <c r="AP427" i="10"/>
  <c r="AQ427" i="10"/>
  <c r="AR427" i="10"/>
  <c r="AS427" i="10"/>
  <c r="AT427" i="10"/>
  <c r="AU427" i="10"/>
  <c r="AV427" i="10"/>
  <c r="AW427" i="10"/>
  <c r="AX427" i="10"/>
  <c r="AY427" i="10"/>
  <c r="AZ427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J428" i="10"/>
  <c r="AK428" i="10"/>
  <c r="AL428" i="10"/>
  <c r="AM428" i="10"/>
  <c r="AN428" i="10"/>
  <c r="AO428" i="10"/>
  <c r="AP428" i="10"/>
  <c r="AQ428" i="10"/>
  <c r="AR428" i="10"/>
  <c r="AS428" i="10"/>
  <c r="AT428" i="10"/>
  <c r="AU428" i="10"/>
  <c r="AV428" i="10"/>
  <c r="AW428" i="10"/>
  <c r="AX428" i="10"/>
  <c r="AY428" i="10"/>
  <c r="AZ428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J429" i="10"/>
  <c r="AK429" i="10"/>
  <c r="AL429" i="10"/>
  <c r="AM429" i="10"/>
  <c r="AN429" i="10"/>
  <c r="AO429" i="10"/>
  <c r="AP429" i="10"/>
  <c r="AQ429" i="10"/>
  <c r="AR429" i="10"/>
  <c r="AS429" i="10"/>
  <c r="AT429" i="10"/>
  <c r="AU429" i="10"/>
  <c r="AV429" i="10"/>
  <c r="AW429" i="10"/>
  <c r="AX429" i="10"/>
  <c r="AY429" i="10"/>
  <c r="AZ429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J430" i="10"/>
  <c r="AK430" i="10"/>
  <c r="AL430" i="10"/>
  <c r="AM430" i="10"/>
  <c r="AN430" i="10"/>
  <c r="AO430" i="10"/>
  <c r="AP430" i="10"/>
  <c r="AQ430" i="10"/>
  <c r="AR430" i="10"/>
  <c r="AS430" i="10"/>
  <c r="AT430" i="10"/>
  <c r="AU430" i="10"/>
  <c r="AV430" i="10"/>
  <c r="AW430" i="10"/>
  <c r="AX430" i="10"/>
  <c r="AY430" i="10"/>
  <c r="AZ430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J431" i="10"/>
  <c r="AK431" i="10"/>
  <c r="AL431" i="10"/>
  <c r="AM431" i="10"/>
  <c r="AN431" i="10"/>
  <c r="AO431" i="10"/>
  <c r="AP431" i="10"/>
  <c r="AQ431" i="10"/>
  <c r="AR431" i="10"/>
  <c r="AS431" i="10"/>
  <c r="AT431" i="10"/>
  <c r="AU431" i="10"/>
  <c r="AV431" i="10"/>
  <c r="AW431" i="10"/>
  <c r="AX431" i="10"/>
  <c r="AY431" i="10"/>
  <c r="AZ431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J432" i="10"/>
  <c r="AK432" i="10"/>
  <c r="AL432" i="10"/>
  <c r="AM432" i="10"/>
  <c r="AN432" i="10"/>
  <c r="AO432" i="10"/>
  <c r="AP432" i="10"/>
  <c r="AQ432" i="10"/>
  <c r="AR432" i="10"/>
  <c r="AS432" i="10"/>
  <c r="AT432" i="10"/>
  <c r="AU432" i="10"/>
  <c r="AV432" i="10"/>
  <c r="AW432" i="10"/>
  <c r="AX432" i="10"/>
  <c r="AY432" i="10"/>
  <c r="AZ432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J433" i="10"/>
  <c r="AK433" i="10"/>
  <c r="AL433" i="10"/>
  <c r="AM433" i="10"/>
  <c r="AN433" i="10"/>
  <c r="AO433" i="10"/>
  <c r="AP433" i="10"/>
  <c r="AQ433" i="10"/>
  <c r="AR433" i="10"/>
  <c r="AS433" i="10"/>
  <c r="AT433" i="10"/>
  <c r="AU433" i="10"/>
  <c r="AV433" i="10"/>
  <c r="AW433" i="10"/>
  <c r="AX433" i="10"/>
  <c r="AY433" i="10"/>
  <c r="AZ433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J434" i="10"/>
  <c r="AK434" i="10"/>
  <c r="AL434" i="10"/>
  <c r="AM434" i="10"/>
  <c r="AN434" i="10"/>
  <c r="AO434" i="10"/>
  <c r="AP434" i="10"/>
  <c r="AQ434" i="10"/>
  <c r="AR434" i="10"/>
  <c r="AS434" i="10"/>
  <c r="AT434" i="10"/>
  <c r="AU434" i="10"/>
  <c r="AV434" i="10"/>
  <c r="AW434" i="10"/>
  <c r="AX434" i="10"/>
  <c r="AY434" i="10"/>
  <c r="AZ434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J435" i="10"/>
  <c r="AK435" i="10"/>
  <c r="AL435" i="10"/>
  <c r="AM435" i="10"/>
  <c r="AN435" i="10"/>
  <c r="AO435" i="10"/>
  <c r="AP435" i="10"/>
  <c r="AQ435" i="10"/>
  <c r="AR435" i="10"/>
  <c r="AS435" i="10"/>
  <c r="AT435" i="10"/>
  <c r="AU435" i="10"/>
  <c r="AV435" i="10"/>
  <c r="AW435" i="10"/>
  <c r="AX435" i="10"/>
  <c r="AY435" i="10"/>
  <c r="AZ435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J436" i="10"/>
  <c r="AK436" i="10"/>
  <c r="AL436" i="10"/>
  <c r="AM436" i="10"/>
  <c r="AN436" i="10"/>
  <c r="AO436" i="10"/>
  <c r="AP436" i="10"/>
  <c r="AQ436" i="10"/>
  <c r="AR436" i="10"/>
  <c r="AS436" i="10"/>
  <c r="AT436" i="10"/>
  <c r="AU436" i="10"/>
  <c r="AV436" i="10"/>
  <c r="AW436" i="10"/>
  <c r="AX436" i="10"/>
  <c r="AY436" i="10"/>
  <c r="AZ436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J437" i="10"/>
  <c r="AK437" i="10"/>
  <c r="AL437" i="10"/>
  <c r="AM437" i="10"/>
  <c r="AN437" i="10"/>
  <c r="AO437" i="10"/>
  <c r="AP437" i="10"/>
  <c r="AQ437" i="10"/>
  <c r="AR437" i="10"/>
  <c r="AS437" i="10"/>
  <c r="AT437" i="10"/>
  <c r="AU437" i="10"/>
  <c r="AV437" i="10"/>
  <c r="AW437" i="10"/>
  <c r="AX437" i="10"/>
  <c r="AY437" i="10"/>
  <c r="AZ437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J438" i="10"/>
  <c r="AK438" i="10"/>
  <c r="AL438" i="10"/>
  <c r="AM438" i="10"/>
  <c r="AN438" i="10"/>
  <c r="AO438" i="10"/>
  <c r="AP438" i="10"/>
  <c r="AQ438" i="10"/>
  <c r="AR438" i="10"/>
  <c r="AS438" i="10"/>
  <c r="AT438" i="10"/>
  <c r="AU438" i="10"/>
  <c r="AV438" i="10"/>
  <c r="AW438" i="10"/>
  <c r="AX438" i="10"/>
  <c r="AY438" i="10"/>
  <c r="AZ438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J439" i="10"/>
  <c r="AK439" i="10"/>
  <c r="AL439" i="10"/>
  <c r="AM439" i="10"/>
  <c r="AN439" i="10"/>
  <c r="AO439" i="10"/>
  <c r="AP439" i="10"/>
  <c r="AQ439" i="10"/>
  <c r="AR439" i="10"/>
  <c r="AS439" i="10"/>
  <c r="AT439" i="10"/>
  <c r="AU439" i="10"/>
  <c r="AV439" i="10"/>
  <c r="AW439" i="10"/>
  <c r="AX439" i="10"/>
  <c r="AY439" i="10"/>
  <c r="AZ439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J440" i="10"/>
  <c r="AK440" i="10"/>
  <c r="AL440" i="10"/>
  <c r="AM440" i="10"/>
  <c r="AN440" i="10"/>
  <c r="AO440" i="10"/>
  <c r="AP440" i="10"/>
  <c r="AQ440" i="10"/>
  <c r="AR440" i="10"/>
  <c r="AS440" i="10"/>
  <c r="AT440" i="10"/>
  <c r="AU440" i="10"/>
  <c r="AV440" i="10"/>
  <c r="AW440" i="10"/>
  <c r="AX440" i="10"/>
  <c r="AY440" i="10"/>
  <c r="AZ440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J441" i="10"/>
  <c r="AK441" i="10"/>
  <c r="AL441" i="10"/>
  <c r="AM441" i="10"/>
  <c r="AN441" i="10"/>
  <c r="AO441" i="10"/>
  <c r="AP441" i="10"/>
  <c r="AQ441" i="10"/>
  <c r="AR441" i="10"/>
  <c r="AS441" i="10"/>
  <c r="AT441" i="10"/>
  <c r="AU441" i="10"/>
  <c r="AV441" i="10"/>
  <c r="AW441" i="10"/>
  <c r="AX441" i="10"/>
  <c r="AY441" i="10"/>
  <c r="AZ441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J442" i="10"/>
  <c r="AK442" i="10"/>
  <c r="AL442" i="10"/>
  <c r="AM442" i="10"/>
  <c r="AN442" i="10"/>
  <c r="AO442" i="10"/>
  <c r="AP442" i="10"/>
  <c r="AQ442" i="10"/>
  <c r="AR442" i="10"/>
  <c r="AS442" i="10"/>
  <c r="AT442" i="10"/>
  <c r="AU442" i="10"/>
  <c r="AV442" i="10"/>
  <c r="AW442" i="10"/>
  <c r="AX442" i="10"/>
  <c r="AY442" i="10"/>
  <c r="AZ442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J443" i="10"/>
  <c r="AK443" i="10"/>
  <c r="AL443" i="10"/>
  <c r="AM443" i="10"/>
  <c r="AN443" i="10"/>
  <c r="AO443" i="10"/>
  <c r="AP443" i="10"/>
  <c r="AQ443" i="10"/>
  <c r="AR443" i="10"/>
  <c r="AS443" i="10"/>
  <c r="AT443" i="10"/>
  <c r="AU443" i="10"/>
  <c r="AV443" i="10"/>
  <c r="AW443" i="10"/>
  <c r="AX443" i="10"/>
  <c r="AY443" i="10"/>
  <c r="AZ443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J444" i="10"/>
  <c r="AK444" i="10"/>
  <c r="AL444" i="10"/>
  <c r="AM444" i="10"/>
  <c r="AN444" i="10"/>
  <c r="AO444" i="10"/>
  <c r="AP444" i="10"/>
  <c r="AQ444" i="10"/>
  <c r="AR444" i="10"/>
  <c r="AS444" i="10"/>
  <c r="AT444" i="10"/>
  <c r="AU444" i="10"/>
  <c r="AV444" i="10"/>
  <c r="AW444" i="10"/>
  <c r="AX444" i="10"/>
  <c r="AY444" i="10"/>
  <c r="AZ444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J445" i="10"/>
  <c r="AK445" i="10"/>
  <c r="AL445" i="10"/>
  <c r="AM445" i="10"/>
  <c r="AN445" i="10"/>
  <c r="AO445" i="10"/>
  <c r="AP445" i="10"/>
  <c r="AQ445" i="10"/>
  <c r="AR445" i="10"/>
  <c r="AS445" i="10"/>
  <c r="AT445" i="10"/>
  <c r="AU445" i="10"/>
  <c r="AV445" i="10"/>
  <c r="AW445" i="10"/>
  <c r="AX445" i="10"/>
  <c r="AY445" i="10"/>
  <c r="AZ445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J446" i="10"/>
  <c r="AK446" i="10"/>
  <c r="AL446" i="10"/>
  <c r="AM446" i="10"/>
  <c r="AN446" i="10"/>
  <c r="AO446" i="10"/>
  <c r="AP446" i="10"/>
  <c r="AQ446" i="10"/>
  <c r="AR446" i="10"/>
  <c r="AS446" i="10"/>
  <c r="AT446" i="10"/>
  <c r="AU446" i="10"/>
  <c r="AV446" i="10"/>
  <c r="AW446" i="10"/>
  <c r="AX446" i="10"/>
  <c r="AY446" i="10"/>
  <c r="AZ446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J447" i="10"/>
  <c r="AK447" i="10"/>
  <c r="AL447" i="10"/>
  <c r="AM447" i="10"/>
  <c r="AN447" i="10"/>
  <c r="AO447" i="10"/>
  <c r="AP447" i="10"/>
  <c r="AQ447" i="10"/>
  <c r="AR447" i="10"/>
  <c r="AS447" i="10"/>
  <c r="AT447" i="10"/>
  <c r="AU447" i="10"/>
  <c r="AV447" i="10"/>
  <c r="AW447" i="10"/>
  <c r="AX447" i="10"/>
  <c r="AY447" i="10"/>
  <c r="AZ447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J448" i="10"/>
  <c r="AK448" i="10"/>
  <c r="AL448" i="10"/>
  <c r="AM448" i="10"/>
  <c r="AN448" i="10"/>
  <c r="AO448" i="10"/>
  <c r="AP448" i="10"/>
  <c r="AQ448" i="10"/>
  <c r="AR448" i="10"/>
  <c r="AS448" i="10"/>
  <c r="AT448" i="10"/>
  <c r="AU448" i="10"/>
  <c r="AV448" i="10"/>
  <c r="AW448" i="10"/>
  <c r="AX448" i="10"/>
  <c r="AY448" i="10"/>
  <c r="AZ448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J449" i="10"/>
  <c r="AK449" i="10"/>
  <c r="AL449" i="10"/>
  <c r="AM449" i="10"/>
  <c r="AN449" i="10"/>
  <c r="AO449" i="10"/>
  <c r="AP449" i="10"/>
  <c r="AQ449" i="10"/>
  <c r="AR449" i="10"/>
  <c r="AS449" i="10"/>
  <c r="AT449" i="10"/>
  <c r="AU449" i="10"/>
  <c r="AV449" i="10"/>
  <c r="AW449" i="10"/>
  <c r="AX449" i="10"/>
  <c r="AY449" i="10"/>
  <c r="AZ449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J450" i="10"/>
  <c r="AK450" i="10"/>
  <c r="AL450" i="10"/>
  <c r="AM450" i="10"/>
  <c r="AN450" i="10"/>
  <c r="AO450" i="10"/>
  <c r="AP450" i="10"/>
  <c r="AQ450" i="10"/>
  <c r="AR450" i="10"/>
  <c r="AS450" i="10"/>
  <c r="AT450" i="10"/>
  <c r="AU450" i="10"/>
  <c r="AV450" i="10"/>
  <c r="AW450" i="10"/>
  <c r="AX450" i="10"/>
  <c r="AY450" i="10"/>
  <c r="AZ450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J451" i="10"/>
  <c r="AK451" i="10"/>
  <c r="AL451" i="10"/>
  <c r="AM451" i="10"/>
  <c r="AN451" i="10"/>
  <c r="AO451" i="10"/>
  <c r="AP451" i="10"/>
  <c r="AQ451" i="10"/>
  <c r="AR451" i="10"/>
  <c r="AS451" i="10"/>
  <c r="AT451" i="10"/>
  <c r="AU451" i="10"/>
  <c r="AV451" i="10"/>
  <c r="AW451" i="10"/>
  <c r="AX451" i="10"/>
  <c r="AY451" i="10"/>
  <c r="AZ451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J452" i="10"/>
  <c r="AK452" i="10"/>
  <c r="AL452" i="10"/>
  <c r="AM452" i="10"/>
  <c r="AN452" i="10"/>
  <c r="AO452" i="10"/>
  <c r="AP452" i="10"/>
  <c r="AQ452" i="10"/>
  <c r="AR452" i="10"/>
  <c r="AS452" i="10"/>
  <c r="AT452" i="10"/>
  <c r="AU452" i="10"/>
  <c r="AV452" i="10"/>
  <c r="AW452" i="10"/>
  <c r="AX452" i="10"/>
  <c r="AY452" i="10"/>
  <c r="AZ452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J453" i="10"/>
  <c r="AK453" i="10"/>
  <c r="AL453" i="10"/>
  <c r="AM453" i="10"/>
  <c r="AN453" i="10"/>
  <c r="AO453" i="10"/>
  <c r="AP453" i="10"/>
  <c r="AQ453" i="10"/>
  <c r="AR453" i="10"/>
  <c r="AS453" i="10"/>
  <c r="AT453" i="10"/>
  <c r="AU453" i="10"/>
  <c r="AV453" i="10"/>
  <c r="AW453" i="10"/>
  <c r="AX453" i="10"/>
  <c r="AY453" i="10"/>
  <c r="AZ453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J454" i="10"/>
  <c r="AK454" i="10"/>
  <c r="AL454" i="10"/>
  <c r="AM454" i="10"/>
  <c r="AN454" i="10"/>
  <c r="AO454" i="10"/>
  <c r="AP454" i="10"/>
  <c r="AQ454" i="10"/>
  <c r="AR454" i="10"/>
  <c r="AS454" i="10"/>
  <c r="AT454" i="10"/>
  <c r="AU454" i="10"/>
  <c r="AV454" i="10"/>
  <c r="AW454" i="10"/>
  <c r="AX454" i="10"/>
  <c r="AY454" i="10"/>
  <c r="AZ454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J455" i="10"/>
  <c r="AK455" i="10"/>
  <c r="AL455" i="10"/>
  <c r="AM455" i="10"/>
  <c r="AN455" i="10"/>
  <c r="AO455" i="10"/>
  <c r="AP455" i="10"/>
  <c r="AQ455" i="10"/>
  <c r="AR455" i="10"/>
  <c r="AS455" i="10"/>
  <c r="AT455" i="10"/>
  <c r="AU455" i="10"/>
  <c r="AV455" i="10"/>
  <c r="AW455" i="10"/>
  <c r="AX455" i="10"/>
  <c r="AY455" i="10"/>
  <c r="AZ455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J456" i="10"/>
  <c r="AK456" i="10"/>
  <c r="AL456" i="10"/>
  <c r="AM456" i="10"/>
  <c r="AN456" i="10"/>
  <c r="AO456" i="10"/>
  <c r="AP456" i="10"/>
  <c r="AQ456" i="10"/>
  <c r="AR456" i="10"/>
  <c r="AS456" i="10"/>
  <c r="AT456" i="10"/>
  <c r="AU456" i="10"/>
  <c r="AV456" i="10"/>
  <c r="AW456" i="10"/>
  <c r="AX456" i="10"/>
  <c r="AY456" i="10"/>
  <c r="AZ456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J457" i="10"/>
  <c r="AK457" i="10"/>
  <c r="AL457" i="10"/>
  <c r="AM457" i="10"/>
  <c r="AN457" i="10"/>
  <c r="AO457" i="10"/>
  <c r="AP457" i="10"/>
  <c r="AQ457" i="10"/>
  <c r="AR457" i="10"/>
  <c r="AS457" i="10"/>
  <c r="AT457" i="10"/>
  <c r="AU457" i="10"/>
  <c r="AV457" i="10"/>
  <c r="AW457" i="10"/>
  <c r="AX457" i="10"/>
  <c r="AY457" i="10"/>
  <c r="AZ457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J458" i="10"/>
  <c r="AK458" i="10"/>
  <c r="AL458" i="10"/>
  <c r="AM458" i="10"/>
  <c r="AN458" i="10"/>
  <c r="AO458" i="10"/>
  <c r="AP458" i="10"/>
  <c r="AQ458" i="10"/>
  <c r="AR458" i="10"/>
  <c r="AS458" i="10"/>
  <c r="AT458" i="10"/>
  <c r="AU458" i="10"/>
  <c r="AV458" i="10"/>
  <c r="AW458" i="10"/>
  <c r="AX458" i="10"/>
  <c r="AY458" i="10"/>
  <c r="AZ458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J459" i="10"/>
  <c r="AK459" i="10"/>
  <c r="AL459" i="10"/>
  <c r="AM459" i="10"/>
  <c r="AN459" i="10"/>
  <c r="AO459" i="10"/>
  <c r="AP459" i="10"/>
  <c r="AQ459" i="10"/>
  <c r="AR459" i="10"/>
  <c r="AS459" i="10"/>
  <c r="AT459" i="10"/>
  <c r="AU459" i="10"/>
  <c r="AV459" i="10"/>
  <c r="AW459" i="10"/>
  <c r="AX459" i="10"/>
  <c r="AY459" i="10"/>
  <c r="AZ459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J460" i="10"/>
  <c r="AK460" i="10"/>
  <c r="AL460" i="10"/>
  <c r="AM460" i="10"/>
  <c r="AN460" i="10"/>
  <c r="AO460" i="10"/>
  <c r="AP460" i="10"/>
  <c r="AQ460" i="10"/>
  <c r="AR460" i="10"/>
  <c r="AS460" i="10"/>
  <c r="AT460" i="10"/>
  <c r="AU460" i="10"/>
  <c r="AV460" i="10"/>
  <c r="AW460" i="10"/>
  <c r="AX460" i="10"/>
  <c r="AY460" i="10"/>
  <c r="AZ460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J461" i="10"/>
  <c r="AK461" i="10"/>
  <c r="AL461" i="10"/>
  <c r="AM461" i="10"/>
  <c r="AN461" i="10"/>
  <c r="AO461" i="10"/>
  <c r="AP461" i="10"/>
  <c r="AQ461" i="10"/>
  <c r="AR461" i="10"/>
  <c r="AS461" i="10"/>
  <c r="AT461" i="10"/>
  <c r="AU461" i="10"/>
  <c r="AV461" i="10"/>
  <c r="AW461" i="10"/>
  <c r="AX461" i="10"/>
  <c r="AY461" i="10"/>
  <c r="AZ461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J462" i="10"/>
  <c r="AK462" i="10"/>
  <c r="AL462" i="10"/>
  <c r="AM462" i="10"/>
  <c r="AN462" i="10"/>
  <c r="AO462" i="10"/>
  <c r="AP462" i="10"/>
  <c r="AQ462" i="10"/>
  <c r="AR462" i="10"/>
  <c r="AS462" i="10"/>
  <c r="AT462" i="10"/>
  <c r="AU462" i="10"/>
  <c r="AV462" i="10"/>
  <c r="AW462" i="10"/>
  <c r="AX462" i="10"/>
  <c r="AY462" i="10"/>
  <c r="AZ462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J463" i="10"/>
  <c r="AK463" i="10"/>
  <c r="AL463" i="10"/>
  <c r="AM463" i="10"/>
  <c r="AN463" i="10"/>
  <c r="AO463" i="10"/>
  <c r="AP463" i="10"/>
  <c r="AQ463" i="10"/>
  <c r="AR463" i="10"/>
  <c r="AS463" i="10"/>
  <c r="AT463" i="10"/>
  <c r="AU463" i="10"/>
  <c r="AV463" i="10"/>
  <c r="AW463" i="10"/>
  <c r="AX463" i="10"/>
  <c r="AY463" i="10"/>
  <c r="AZ463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J464" i="10"/>
  <c r="AK464" i="10"/>
  <c r="AL464" i="10"/>
  <c r="AM464" i="10"/>
  <c r="AN464" i="10"/>
  <c r="AO464" i="10"/>
  <c r="AP464" i="10"/>
  <c r="AQ464" i="10"/>
  <c r="AR464" i="10"/>
  <c r="AS464" i="10"/>
  <c r="AT464" i="10"/>
  <c r="AU464" i="10"/>
  <c r="AV464" i="10"/>
  <c r="AW464" i="10"/>
  <c r="AX464" i="10"/>
  <c r="AY464" i="10"/>
  <c r="AZ464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J465" i="10"/>
  <c r="AK465" i="10"/>
  <c r="AL465" i="10"/>
  <c r="AM465" i="10"/>
  <c r="AN465" i="10"/>
  <c r="AO465" i="10"/>
  <c r="AP465" i="10"/>
  <c r="AQ465" i="10"/>
  <c r="AR465" i="10"/>
  <c r="AS465" i="10"/>
  <c r="AT465" i="10"/>
  <c r="AU465" i="10"/>
  <c r="AV465" i="10"/>
  <c r="AW465" i="10"/>
  <c r="AX465" i="10"/>
  <c r="AY465" i="10"/>
  <c r="AZ465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J466" i="10"/>
  <c r="AK466" i="10"/>
  <c r="AL466" i="10"/>
  <c r="AM466" i="10"/>
  <c r="AN466" i="10"/>
  <c r="AO466" i="10"/>
  <c r="AP466" i="10"/>
  <c r="AQ466" i="10"/>
  <c r="AR466" i="10"/>
  <c r="AS466" i="10"/>
  <c r="AT466" i="10"/>
  <c r="AU466" i="10"/>
  <c r="AV466" i="10"/>
  <c r="AW466" i="10"/>
  <c r="AX466" i="10"/>
  <c r="AY466" i="10"/>
  <c r="AZ466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J467" i="10"/>
  <c r="AK467" i="10"/>
  <c r="AL467" i="10"/>
  <c r="AM467" i="10"/>
  <c r="AN467" i="10"/>
  <c r="AO467" i="10"/>
  <c r="AP467" i="10"/>
  <c r="AQ467" i="10"/>
  <c r="AR467" i="10"/>
  <c r="AS467" i="10"/>
  <c r="AT467" i="10"/>
  <c r="AU467" i="10"/>
  <c r="AV467" i="10"/>
  <c r="AW467" i="10"/>
  <c r="AX467" i="10"/>
  <c r="AY467" i="10"/>
  <c r="AZ467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J468" i="10"/>
  <c r="AK468" i="10"/>
  <c r="AL468" i="10"/>
  <c r="AM468" i="10"/>
  <c r="AN468" i="10"/>
  <c r="AO468" i="10"/>
  <c r="AP468" i="10"/>
  <c r="AQ468" i="10"/>
  <c r="AR468" i="10"/>
  <c r="AS468" i="10"/>
  <c r="AT468" i="10"/>
  <c r="AU468" i="10"/>
  <c r="AV468" i="10"/>
  <c r="AW468" i="10"/>
  <c r="AX468" i="10"/>
  <c r="AY468" i="10"/>
  <c r="AZ468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J469" i="10"/>
  <c r="AK469" i="10"/>
  <c r="AL469" i="10"/>
  <c r="AM469" i="10"/>
  <c r="AN469" i="10"/>
  <c r="AO469" i="10"/>
  <c r="AP469" i="10"/>
  <c r="AQ469" i="10"/>
  <c r="AR469" i="10"/>
  <c r="AS469" i="10"/>
  <c r="AT469" i="10"/>
  <c r="AU469" i="10"/>
  <c r="AV469" i="10"/>
  <c r="AW469" i="10"/>
  <c r="AX469" i="10"/>
  <c r="AY469" i="10"/>
  <c r="AZ469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J470" i="10"/>
  <c r="AK470" i="10"/>
  <c r="AL470" i="10"/>
  <c r="AM470" i="10"/>
  <c r="AN470" i="10"/>
  <c r="AO470" i="10"/>
  <c r="AP470" i="10"/>
  <c r="AQ470" i="10"/>
  <c r="AR470" i="10"/>
  <c r="AS470" i="10"/>
  <c r="AT470" i="10"/>
  <c r="AU470" i="10"/>
  <c r="AV470" i="10"/>
  <c r="AW470" i="10"/>
  <c r="AX470" i="10"/>
  <c r="AY470" i="10"/>
  <c r="AZ470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J471" i="10"/>
  <c r="AK471" i="10"/>
  <c r="AL471" i="10"/>
  <c r="AM471" i="10"/>
  <c r="AN471" i="10"/>
  <c r="AO471" i="10"/>
  <c r="AP471" i="10"/>
  <c r="AQ471" i="10"/>
  <c r="AR471" i="10"/>
  <c r="AS471" i="10"/>
  <c r="AT471" i="10"/>
  <c r="AU471" i="10"/>
  <c r="AV471" i="10"/>
  <c r="AW471" i="10"/>
  <c r="AX471" i="10"/>
  <c r="AY471" i="10"/>
  <c r="AZ471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J472" i="10"/>
  <c r="AK472" i="10"/>
  <c r="AL472" i="10"/>
  <c r="AM472" i="10"/>
  <c r="AN472" i="10"/>
  <c r="AO472" i="10"/>
  <c r="AP472" i="10"/>
  <c r="AQ472" i="10"/>
  <c r="AR472" i="10"/>
  <c r="AS472" i="10"/>
  <c r="AT472" i="10"/>
  <c r="AU472" i="10"/>
  <c r="AV472" i="10"/>
  <c r="AW472" i="10"/>
  <c r="AX472" i="10"/>
  <c r="AY472" i="10"/>
  <c r="AZ472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J473" i="10"/>
  <c r="AK473" i="10"/>
  <c r="AL473" i="10"/>
  <c r="AM473" i="10"/>
  <c r="AN473" i="10"/>
  <c r="AO473" i="10"/>
  <c r="AP473" i="10"/>
  <c r="AQ473" i="10"/>
  <c r="AR473" i="10"/>
  <c r="AS473" i="10"/>
  <c r="AT473" i="10"/>
  <c r="AU473" i="10"/>
  <c r="AV473" i="10"/>
  <c r="AW473" i="10"/>
  <c r="AX473" i="10"/>
  <c r="AY473" i="10"/>
  <c r="AZ473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J474" i="10"/>
  <c r="AK474" i="10"/>
  <c r="AL474" i="10"/>
  <c r="AM474" i="10"/>
  <c r="AN474" i="10"/>
  <c r="AO474" i="10"/>
  <c r="AP474" i="10"/>
  <c r="AQ474" i="10"/>
  <c r="AR474" i="10"/>
  <c r="AS474" i="10"/>
  <c r="AT474" i="10"/>
  <c r="AU474" i="10"/>
  <c r="AV474" i="10"/>
  <c r="AW474" i="10"/>
  <c r="AX474" i="10"/>
  <c r="AY474" i="10"/>
  <c r="AZ474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J475" i="10"/>
  <c r="AK475" i="10"/>
  <c r="AL475" i="10"/>
  <c r="AM475" i="10"/>
  <c r="AN475" i="10"/>
  <c r="AO475" i="10"/>
  <c r="AP475" i="10"/>
  <c r="AQ475" i="10"/>
  <c r="AR475" i="10"/>
  <c r="AS475" i="10"/>
  <c r="AT475" i="10"/>
  <c r="AU475" i="10"/>
  <c r="AV475" i="10"/>
  <c r="AW475" i="10"/>
  <c r="AX475" i="10"/>
  <c r="AY475" i="10"/>
  <c r="AZ475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J476" i="10"/>
  <c r="AK476" i="10"/>
  <c r="AL476" i="10"/>
  <c r="AM476" i="10"/>
  <c r="AN476" i="10"/>
  <c r="AO476" i="10"/>
  <c r="AP476" i="10"/>
  <c r="AQ476" i="10"/>
  <c r="AR476" i="10"/>
  <c r="AS476" i="10"/>
  <c r="AT476" i="10"/>
  <c r="AU476" i="10"/>
  <c r="AV476" i="10"/>
  <c r="AW476" i="10"/>
  <c r="AX476" i="10"/>
  <c r="AY476" i="10"/>
  <c r="AZ476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J477" i="10"/>
  <c r="AK477" i="10"/>
  <c r="AL477" i="10"/>
  <c r="AM477" i="10"/>
  <c r="AN477" i="10"/>
  <c r="AO477" i="10"/>
  <c r="AP477" i="10"/>
  <c r="AQ477" i="10"/>
  <c r="AR477" i="10"/>
  <c r="AS477" i="10"/>
  <c r="AT477" i="10"/>
  <c r="AU477" i="10"/>
  <c r="AV477" i="10"/>
  <c r="AW477" i="10"/>
  <c r="AX477" i="10"/>
  <c r="AY477" i="10"/>
  <c r="AZ477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J478" i="10"/>
  <c r="AK478" i="10"/>
  <c r="AL478" i="10"/>
  <c r="AM478" i="10"/>
  <c r="AN478" i="10"/>
  <c r="AO478" i="10"/>
  <c r="AP478" i="10"/>
  <c r="AQ478" i="10"/>
  <c r="AR478" i="10"/>
  <c r="AS478" i="10"/>
  <c r="AT478" i="10"/>
  <c r="AU478" i="10"/>
  <c r="AV478" i="10"/>
  <c r="AW478" i="10"/>
  <c r="AX478" i="10"/>
  <c r="AY478" i="10"/>
  <c r="AZ478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J479" i="10"/>
  <c r="AK479" i="10"/>
  <c r="AL479" i="10"/>
  <c r="AM479" i="10"/>
  <c r="AN479" i="10"/>
  <c r="AO479" i="10"/>
  <c r="AP479" i="10"/>
  <c r="AQ479" i="10"/>
  <c r="AR479" i="10"/>
  <c r="AS479" i="10"/>
  <c r="AT479" i="10"/>
  <c r="AU479" i="10"/>
  <c r="AV479" i="10"/>
  <c r="AW479" i="10"/>
  <c r="AX479" i="10"/>
  <c r="AY479" i="10"/>
  <c r="AZ479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J480" i="10"/>
  <c r="AK480" i="10"/>
  <c r="AL480" i="10"/>
  <c r="AM480" i="10"/>
  <c r="AN480" i="10"/>
  <c r="AO480" i="10"/>
  <c r="AP480" i="10"/>
  <c r="AQ480" i="10"/>
  <c r="AR480" i="10"/>
  <c r="AS480" i="10"/>
  <c r="AT480" i="10"/>
  <c r="AU480" i="10"/>
  <c r="AV480" i="10"/>
  <c r="AW480" i="10"/>
  <c r="AX480" i="10"/>
  <c r="AY480" i="10"/>
  <c r="AZ480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J481" i="10"/>
  <c r="AK481" i="10"/>
  <c r="AL481" i="10"/>
  <c r="AM481" i="10"/>
  <c r="AN481" i="10"/>
  <c r="AO481" i="10"/>
  <c r="AP481" i="10"/>
  <c r="AQ481" i="10"/>
  <c r="AR481" i="10"/>
  <c r="AS481" i="10"/>
  <c r="AT481" i="10"/>
  <c r="AU481" i="10"/>
  <c r="AV481" i="10"/>
  <c r="AW481" i="10"/>
  <c r="AX481" i="10"/>
  <c r="AY481" i="10"/>
  <c r="AZ481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J482" i="10"/>
  <c r="AK482" i="10"/>
  <c r="AL482" i="10"/>
  <c r="AM482" i="10"/>
  <c r="AN482" i="10"/>
  <c r="AO482" i="10"/>
  <c r="AP482" i="10"/>
  <c r="AQ482" i="10"/>
  <c r="AR482" i="10"/>
  <c r="AS482" i="10"/>
  <c r="AT482" i="10"/>
  <c r="AU482" i="10"/>
  <c r="AV482" i="10"/>
  <c r="AW482" i="10"/>
  <c r="AX482" i="10"/>
  <c r="AY482" i="10"/>
  <c r="AZ482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J483" i="10"/>
  <c r="AK483" i="10"/>
  <c r="AL483" i="10"/>
  <c r="AM483" i="10"/>
  <c r="AN483" i="10"/>
  <c r="AO483" i="10"/>
  <c r="AP483" i="10"/>
  <c r="AQ483" i="10"/>
  <c r="AR483" i="10"/>
  <c r="AS483" i="10"/>
  <c r="AT483" i="10"/>
  <c r="AU483" i="10"/>
  <c r="AV483" i="10"/>
  <c r="AW483" i="10"/>
  <c r="AX483" i="10"/>
  <c r="AY483" i="10"/>
  <c r="AZ483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J484" i="10"/>
  <c r="AK484" i="10"/>
  <c r="AL484" i="10"/>
  <c r="AM484" i="10"/>
  <c r="AN484" i="10"/>
  <c r="AO484" i="10"/>
  <c r="AP484" i="10"/>
  <c r="AQ484" i="10"/>
  <c r="AR484" i="10"/>
  <c r="AS484" i="10"/>
  <c r="AT484" i="10"/>
  <c r="AU484" i="10"/>
  <c r="AV484" i="10"/>
  <c r="AW484" i="10"/>
  <c r="AX484" i="10"/>
  <c r="AY484" i="10"/>
  <c r="AZ484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J485" i="10"/>
  <c r="AK485" i="10"/>
  <c r="AL485" i="10"/>
  <c r="AM485" i="10"/>
  <c r="AN485" i="10"/>
  <c r="AO485" i="10"/>
  <c r="AP485" i="10"/>
  <c r="AQ485" i="10"/>
  <c r="AR485" i="10"/>
  <c r="AS485" i="10"/>
  <c r="AT485" i="10"/>
  <c r="AU485" i="10"/>
  <c r="AV485" i="10"/>
  <c r="AW485" i="10"/>
  <c r="AX485" i="10"/>
  <c r="AY485" i="10"/>
  <c r="AZ485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J486" i="10"/>
  <c r="AK486" i="10"/>
  <c r="AL486" i="10"/>
  <c r="AM486" i="10"/>
  <c r="AN486" i="10"/>
  <c r="AO486" i="10"/>
  <c r="AP486" i="10"/>
  <c r="AQ486" i="10"/>
  <c r="AR486" i="10"/>
  <c r="AS486" i="10"/>
  <c r="AT486" i="10"/>
  <c r="AU486" i="10"/>
  <c r="AV486" i="10"/>
  <c r="AW486" i="10"/>
  <c r="AX486" i="10"/>
  <c r="AY486" i="10"/>
  <c r="AZ486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J487" i="10"/>
  <c r="AK487" i="10"/>
  <c r="AL487" i="10"/>
  <c r="AM487" i="10"/>
  <c r="AN487" i="10"/>
  <c r="AO487" i="10"/>
  <c r="AP487" i="10"/>
  <c r="AQ487" i="10"/>
  <c r="AR487" i="10"/>
  <c r="AS487" i="10"/>
  <c r="AT487" i="10"/>
  <c r="AU487" i="10"/>
  <c r="AV487" i="10"/>
  <c r="AW487" i="10"/>
  <c r="AX487" i="10"/>
  <c r="AY487" i="10"/>
  <c r="AZ487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J488" i="10"/>
  <c r="AK488" i="10"/>
  <c r="AL488" i="10"/>
  <c r="AM488" i="10"/>
  <c r="AN488" i="10"/>
  <c r="AO488" i="10"/>
  <c r="AP488" i="10"/>
  <c r="AQ488" i="10"/>
  <c r="AR488" i="10"/>
  <c r="AS488" i="10"/>
  <c r="AT488" i="10"/>
  <c r="AU488" i="10"/>
  <c r="AV488" i="10"/>
  <c r="AW488" i="10"/>
  <c r="AX488" i="10"/>
  <c r="AY488" i="10"/>
  <c r="AZ488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J489" i="10"/>
  <c r="AK489" i="10"/>
  <c r="AL489" i="10"/>
  <c r="AM489" i="10"/>
  <c r="AN489" i="10"/>
  <c r="AO489" i="10"/>
  <c r="AP489" i="10"/>
  <c r="AQ489" i="10"/>
  <c r="AR489" i="10"/>
  <c r="AS489" i="10"/>
  <c r="AT489" i="10"/>
  <c r="AU489" i="10"/>
  <c r="AV489" i="10"/>
  <c r="AW489" i="10"/>
  <c r="AX489" i="10"/>
  <c r="AY489" i="10"/>
  <c r="AZ489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J490" i="10"/>
  <c r="AK490" i="10"/>
  <c r="AL490" i="10"/>
  <c r="AM490" i="10"/>
  <c r="AN490" i="10"/>
  <c r="AO490" i="10"/>
  <c r="AP490" i="10"/>
  <c r="AQ490" i="10"/>
  <c r="AR490" i="10"/>
  <c r="AS490" i="10"/>
  <c r="AT490" i="10"/>
  <c r="AU490" i="10"/>
  <c r="AV490" i="10"/>
  <c r="AW490" i="10"/>
  <c r="AX490" i="10"/>
  <c r="AY490" i="10"/>
  <c r="AZ490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J491" i="10"/>
  <c r="AK491" i="10"/>
  <c r="AL491" i="10"/>
  <c r="AM491" i="10"/>
  <c r="AN491" i="10"/>
  <c r="AO491" i="10"/>
  <c r="AP491" i="10"/>
  <c r="AQ491" i="10"/>
  <c r="AR491" i="10"/>
  <c r="AS491" i="10"/>
  <c r="AT491" i="10"/>
  <c r="AU491" i="10"/>
  <c r="AV491" i="10"/>
  <c r="AW491" i="10"/>
  <c r="AX491" i="10"/>
  <c r="AY491" i="10"/>
  <c r="AZ491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J492" i="10"/>
  <c r="AK492" i="10"/>
  <c r="AL492" i="10"/>
  <c r="AM492" i="10"/>
  <c r="AN492" i="10"/>
  <c r="AO492" i="10"/>
  <c r="AP492" i="10"/>
  <c r="AQ492" i="10"/>
  <c r="AR492" i="10"/>
  <c r="AS492" i="10"/>
  <c r="AT492" i="10"/>
  <c r="AU492" i="10"/>
  <c r="AV492" i="10"/>
  <c r="AW492" i="10"/>
  <c r="AX492" i="10"/>
  <c r="AY492" i="10"/>
  <c r="AZ492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J493" i="10"/>
  <c r="AK493" i="10"/>
  <c r="AL493" i="10"/>
  <c r="AM493" i="10"/>
  <c r="AN493" i="10"/>
  <c r="AO493" i="10"/>
  <c r="AP493" i="10"/>
  <c r="AQ493" i="10"/>
  <c r="AR493" i="10"/>
  <c r="AS493" i="10"/>
  <c r="AT493" i="10"/>
  <c r="AU493" i="10"/>
  <c r="AV493" i="10"/>
  <c r="AW493" i="10"/>
  <c r="AX493" i="10"/>
  <c r="AY493" i="10"/>
  <c r="AZ493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J494" i="10"/>
  <c r="AK494" i="10"/>
  <c r="AL494" i="10"/>
  <c r="AM494" i="10"/>
  <c r="AN494" i="10"/>
  <c r="AO494" i="10"/>
  <c r="AP494" i="10"/>
  <c r="AQ494" i="10"/>
  <c r="AR494" i="10"/>
  <c r="AS494" i="10"/>
  <c r="AT494" i="10"/>
  <c r="AU494" i="10"/>
  <c r="AV494" i="10"/>
  <c r="AW494" i="10"/>
  <c r="AX494" i="10"/>
  <c r="AY494" i="10"/>
  <c r="AZ494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J495" i="10"/>
  <c r="AK495" i="10"/>
  <c r="AL495" i="10"/>
  <c r="AM495" i="10"/>
  <c r="AN495" i="10"/>
  <c r="AO495" i="10"/>
  <c r="AP495" i="10"/>
  <c r="AQ495" i="10"/>
  <c r="AR495" i="10"/>
  <c r="AS495" i="10"/>
  <c r="AT495" i="10"/>
  <c r="AU495" i="10"/>
  <c r="AV495" i="10"/>
  <c r="AW495" i="10"/>
  <c r="AX495" i="10"/>
  <c r="AY495" i="10"/>
  <c r="AZ495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J496" i="10"/>
  <c r="AK496" i="10"/>
  <c r="AL496" i="10"/>
  <c r="AM496" i="10"/>
  <c r="AN496" i="10"/>
  <c r="AO496" i="10"/>
  <c r="AP496" i="10"/>
  <c r="AQ496" i="10"/>
  <c r="AR496" i="10"/>
  <c r="AS496" i="10"/>
  <c r="AT496" i="10"/>
  <c r="AU496" i="10"/>
  <c r="AV496" i="10"/>
  <c r="AW496" i="10"/>
  <c r="AX496" i="10"/>
  <c r="AY496" i="10"/>
  <c r="AZ496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J497" i="10"/>
  <c r="AK497" i="10"/>
  <c r="AL497" i="10"/>
  <c r="AM497" i="10"/>
  <c r="AN497" i="10"/>
  <c r="AO497" i="10"/>
  <c r="AP497" i="10"/>
  <c r="AQ497" i="10"/>
  <c r="AR497" i="10"/>
  <c r="AS497" i="10"/>
  <c r="AT497" i="10"/>
  <c r="AU497" i="10"/>
  <c r="AV497" i="10"/>
  <c r="AW497" i="10"/>
  <c r="AX497" i="10"/>
  <c r="AY497" i="10"/>
  <c r="AZ497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J498" i="10"/>
  <c r="AK498" i="10"/>
  <c r="AL498" i="10"/>
  <c r="AM498" i="10"/>
  <c r="AN498" i="10"/>
  <c r="AO498" i="10"/>
  <c r="AP498" i="10"/>
  <c r="AQ498" i="10"/>
  <c r="AR498" i="10"/>
  <c r="AS498" i="10"/>
  <c r="AT498" i="10"/>
  <c r="AU498" i="10"/>
  <c r="AV498" i="10"/>
  <c r="AW498" i="10"/>
  <c r="AX498" i="10"/>
  <c r="AY498" i="10"/>
  <c r="AZ498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J499" i="10"/>
  <c r="AK499" i="10"/>
  <c r="AL499" i="10"/>
  <c r="AM499" i="10"/>
  <c r="AN499" i="10"/>
  <c r="AO499" i="10"/>
  <c r="AP499" i="10"/>
  <c r="AQ499" i="10"/>
  <c r="AR499" i="10"/>
  <c r="AS499" i="10"/>
  <c r="AT499" i="10"/>
  <c r="AU499" i="10"/>
  <c r="AV499" i="10"/>
  <c r="AW499" i="10"/>
  <c r="AX499" i="10"/>
  <c r="AY499" i="10"/>
  <c r="AZ499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J500" i="10"/>
  <c r="AK500" i="10"/>
  <c r="AL500" i="10"/>
  <c r="AM500" i="10"/>
  <c r="AN500" i="10"/>
  <c r="AO500" i="10"/>
  <c r="AP500" i="10"/>
  <c r="AQ500" i="10"/>
  <c r="AR500" i="10"/>
  <c r="AS500" i="10"/>
  <c r="AT500" i="10"/>
  <c r="AU500" i="10"/>
  <c r="AV500" i="10"/>
  <c r="AW500" i="10"/>
  <c r="AX500" i="10"/>
  <c r="AY500" i="10"/>
  <c r="AZ500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J501" i="10"/>
  <c r="AK501" i="10"/>
  <c r="AL501" i="10"/>
  <c r="AM501" i="10"/>
  <c r="AN501" i="10"/>
  <c r="AO501" i="10"/>
  <c r="AP501" i="10"/>
  <c r="AQ501" i="10"/>
  <c r="AR501" i="10"/>
  <c r="AS501" i="10"/>
  <c r="AT501" i="10"/>
  <c r="AU501" i="10"/>
  <c r="AV501" i="10"/>
  <c r="AW501" i="10"/>
  <c r="AX501" i="10"/>
  <c r="AY501" i="10"/>
  <c r="AZ501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J502" i="10"/>
  <c r="AK502" i="10"/>
  <c r="AL502" i="10"/>
  <c r="AM502" i="10"/>
  <c r="AN502" i="10"/>
  <c r="AO502" i="10"/>
  <c r="AP502" i="10"/>
  <c r="AQ502" i="10"/>
  <c r="AR502" i="10"/>
  <c r="AS502" i="10"/>
  <c r="AT502" i="10"/>
  <c r="AU502" i="10"/>
  <c r="AV502" i="10"/>
  <c r="AW502" i="10"/>
  <c r="AX502" i="10"/>
  <c r="AY502" i="10"/>
  <c r="AZ502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J503" i="10"/>
  <c r="AK503" i="10"/>
  <c r="AL503" i="10"/>
  <c r="AM503" i="10"/>
  <c r="AN503" i="10"/>
  <c r="AO503" i="10"/>
  <c r="AP503" i="10"/>
  <c r="AQ503" i="10"/>
  <c r="AR503" i="10"/>
  <c r="AS503" i="10"/>
  <c r="AT503" i="10"/>
  <c r="AU503" i="10"/>
  <c r="AV503" i="10"/>
  <c r="AW503" i="10"/>
  <c r="AX503" i="10"/>
  <c r="AY503" i="10"/>
  <c r="AZ503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J504" i="10"/>
  <c r="AK504" i="10"/>
  <c r="AL504" i="10"/>
  <c r="AM504" i="10"/>
  <c r="AN504" i="10"/>
  <c r="AO504" i="10"/>
  <c r="AP504" i="10"/>
  <c r="AQ504" i="10"/>
  <c r="AR504" i="10"/>
  <c r="AS504" i="10"/>
  <c r="AT504" i="10"/>
  <c r="AU504" i="10"/>
  <c r="AV504" i="10"/>
  <c r="AW504" i="10"/>
  <c r="AX504" i="10"/>
  <c r="AY504" i="10"/>
  <c r="AZ504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J505" i="10"/>
  <c r="AK505" i="10"/>
  <c r="AL505" i="10"/>
  <c r="AM505" i="10"/>
  <c r="AN505" i="10"/>
  <c r="AO505" i="10"/>
  <c r="AP505" i="10"/>
  <c r="AQ505" i="10"/>
  <c r="AR505" i="10"/>
  <c r="AS505" i="10"/>
  <c r="AT505" i="10"/>
  <c r="AU505" i="10"/>
  <c r="AV505" i="10"/>
  <c r="AW505" i="10"/>
  <c r="AX505" i="10"/>
  <c r="AY505" i="10"/>
  <c r="AZ505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O9" i="10"/>
  <c r="P9" i="10"/>
  <c r="O10" i="10"/>
  <c r="P10" i="10"/>
  <c r="O11" i="10"/>
  <c r="P11" i="10"/>
  <c r="O12" i="10"/>
  <c r="P12" i="10"/>
  <c r="O13" i="10"/>
  <c r="P13" i="10"/>
  <c r="O14" i="10"/>
  <c r="P14" i="10"/>
  <c r="O15" i="10"/>
  <c r="P15" i="10"/>
  <c r="O16" i="10"/>
  <c r="P16" i="10"/>
  <c r="O17" i="10"/>
  <c r="P17" i="10"/>
  <c r="O18" i="10"/>
  <c r="P18" i="10"/>
  <c r="O19" i="10"/>
  <c r="P19" i="10"/>
  <c r="O20" i="10"/>
  <c r="P20" i="10"/>
  <c r="O21" i="10"/>
  <c r="P21" i="10"/>
  <c r="O22" i="10"/>
  <c r="P22" i="10"/>
  <c r="O23" i="10"/>
  <c r="P23" i="10"/>
  <c r="O24" i="10"/>
  <c r="P24" i="10"/>
  <c r="O25" i="10"/>
  <c r="P25" i="10"/>
  <c r="O26" i="10"/>
  <c r="P26" i="10"/>
  <c r="O27" i="10"/>
  <c r="P27" i="10"/>
  <c r="O28" i="10"/>
  <c r="P28" i="10"/>
  <c r="O29" i="10"/>
  <c r="P29" i="10"/>
  <c r="O30" i="10"/>
  <c r="P30" i="10"/>
  <c r="O31" i="10"/>
  <c r="P31" i="10"/>
  <c r="O32" i="10"/>
  <c r="P32" i="10"/>
  <c r="O33" i="10"/>
  <c r="P33" i="10"/>
  <c r="O34" i="10"/>
  <c r="P34" i="10"/>
  <c r="O35" i="10"/>
  <c r="P35" i="10"/>
  <c r="O36" i="10"/>
  <c r="P36" i="10"/>
  <c r="O37" i="10"/>
  <c r="P37" i="10"/>
  <c r="O38" i="10"/>
  <c r="P38" i="10"/>
  <c r="O39" i="10"/>
  <c r="P39" i="10"/>
  <c r="O40" i="10"/>
  <c r="P40" i="10"/>
  <c r="O41" i="10"/>
  <c r="P41" i="10"/>
  <c r="O42" i="10"/>
  <c r="P42" i="10"/>
  <c r="O43" i="10"/>
  <c r="P43" i="10"/>
  <c r="O44" i="10"/>
  <c r="P44" i="10"/>
  <c r="O45" i="10"/>
  <c r="P45" i="10"/>
  <c r="O46" i="10"/>
  <c r="P46" i="10"/>
  <c r="O47" i="10"/>
  <c r="P47" i="10"/>
  <c r="O48" i="10"/>
  <c r="P48" i="10"/>
  <c r="O49" i="10"/>
  <c r="P49" i="10"/>
  <c r="O50" i="10"/>
  <c r="P50" i="10"/>
  <c r="O51" i="10"/>
  <c r="P51" i="10"/>
  <c r="O52" i="10"/>
  <c r="P52" i="10"/>
  <c r="O53" i="10"/>
  <c r="P53" i="10"/>
  <c r="O54" i="10"/>
  <c r="P54" i="10"/>
  <c r="O55" i="10"/>
  <c r="P55" i="10"/>
  <c r="O56" i="10"/>
  <c r="P56" i="10"/>
  <c r="O57" i="10"/>
  <c r="P57" i="10"/>
  <c r="O58" i="10"/>
  <c r="P58" i="10"/>
  <c r="O59" i="10"/>
  <c r="P59" i="10"/>
  <c r="O60" i="10"/>
  <c r="P60" i="10"/>
  <c r="O61" i="10"/>
  <c r="P61" i="10"/>
  <c r="O62" i="10"/>
  <c r="P62" i="10"/>
  <c r="O63" i="10"/>
  <c r="P63" i="10"/>
  <c r="O64" i="10"/>
  <c r="P64" i="10"/>
  <c r="O65" i="10"/>
  <c r="P65" i="10"/>
  <c r="O66" i="10"/>
  <c r="P66" i="10"/>
  <c r="O67" i="10"/>
  <c r="P67" i="10"/>
  <c r="O68" i="10"/>
  <c r="P68" i="10"/>
  <c r="O69" i="10"/>
  <c r="P69" i="10"/>
  <c r="O70" i="10"/>
  <c r="P70" i="10"/>
  <c r="O71" i="10"/>
  <c r="P71" i="10"/>
  <c r="O72" i="10"/>
  <c r="P72" i="10"/>
  <c r="O73" i="10"/>
  <c r="P73" i="10"/>
  <c r="O74" i="10"/>
  <c r="P74" i="10"/>
  <c r="O75" i="10"/>
  <c r="P75" i="10"/>
  <c r="O76" i="10"/>
  <c r="P76" i="10"/>
  <c r="O77" i="10"/>
  <c r="P77" i="10"/>
  <c r="O78" i="10"/>
  <c r="P78" i="10"/>
  <c r="O79" i="10"/>
  <c r="P79" i="10"/>
  <c r="O80" i="10"/>
  <c r="P80" i="10"/>
  <c r="O81" i="10"/>
  <c r="P81" i="10"/>
  <c r="O82" i="10"/>
  <c r="P82" i="10"/>
  <c r="O83" i="10"/>
  <c r="P83" i="10"/>
  <c r="O84" i="10"/>
  <c r="P84" i="10"/>
  <c r="O85" i="10"/>
  <c r="P85" i="10"/>
  <c r="O86" i="10"/>
  <c r="P86" i="10"/>
  <c r="O87" i="10"/>
  <c r="P87" i="10"/>
  <c r="O88" i="10"/>
  <c r="P88" i="10"/>
  <c r="O89" i="10"/>
  <c r="P89" i="10"/>
  <c r="O90" i="10"/>
  <c r="P90" i="10"/>
  <c r="O91" i="10"/>
  <c r="P91" i="10"/>
  <c r="O92" i="10"/>
  <c r="P92" i="10"/>
  <c r="O93" i="10"/>
  <c r="P93" i="10"/>
  <c r="O94" i="10"/>
  <c r="P94" i="10"/>
  <c r="O95" i="10"/>
  <c r="P95" i="10"/>
  <c r="O96" i="10"/>
  <c r="P96" i="10"/>
  <c r="O97" i="10"/>
  <c r="P97" i="10"/>
  <c r="O98" i="10"/>
  <c r="P98" i="10"/>
  <c r="O99" i="10"/>
  <c r="P99" i="10"/>
  <c r="O100" i="10"/>
  <c r="P100" i="10"/>
  <c r="O101" i="10"/>
  <c r="P101" i="10"/>
  <c r="O102" i="10"/>
  <c r="P102" i="10"/>
  <c r="O103" i="10"/>
  <c r="P103" i="10"/>
  <c r="O104" i="10"/>
  <c r="P104" i="10"/>
  <c r="O105" i="10"/>
  <c r="P105" i="10"/>
  <c r="O106" i="10"/>
  <c r="P106" i="10"/>
  <c r="O107" i="10"/>
  <c r="P107" i="10"/>
  <c r="O108" i="10"/>
  <c r="P108" i="10"/>
  <c r="O109" i="10"/>
  <c r="P109" i="10"/>
  <c r="O110" i="10"/>
  <c r="P110" i="10"/>
  <c r="O111" i="10"/>
  <c r="P111" i="10"/>
  <c r="O112" i="10"/>
  <c r="P112" i="10"/>
  <c r="O113" i="10"/>
  <c r="P113" i="10"/>
  <c r="O114" i="10"/>
  <c r="P114" i="10"/>
  <c r="O115" i="10"/>
  <c r="P115" i="10"/>
  <c r="O116" i="10"/>
  <c r="P116" i="10"/>
  <c r="O117" i="10"/>
  <c r="P117" i="10"/>
  <c r="O118" i="10"/>
  <c r="P118" i="10"/>
  <c r="O119" i="10"/>
  <c r="P119" i="10"/>
  <c r="O120" i="10"/>
  <c r="P120" i="10"/>
  <c r="O121" i="10"/>
  <c r="P121" i="10"/>
  <c r="O122" i="10"/>
  <c r="P122" i="10"/>
  <c r="O123" i="10"/>
  <c r="P123" i="10"/>
  <c r="O124" i="10"/>
  <c r="P124" i="10"/>
  <c r="O125" i="10"/>
  <c r="P125" i="10"/>
  <c r="O126" i="10"/>
  <c r="P126" i="10"/>
  <c r="O127" i="10"/>
  <c r="P127" i="10"/>
  <c r="O128" i="10"/>
  <c r="P128" i="10"/>
  <c r="O129" i="10"/>
  <c r="P129" i="10"/>
  <c r="O130" i="10"/>
  <c r="P130" i="10"/>
  <c r="O131" i="10"/>
  <c r="P131" i="10"/>
  <c r="O132" i="10"/>
  <c r="P132" i="10"/>
  <c r="O133" i="10"/>
  <c r="P133" i="10"/>
  <c r="O134" i="10"/>
  <c r="P134" i="10"/>
  <c r="O135" i="10"/>
  <c r="P135" i="10"/>
  <c r="O136" i="10"/>
  <c r="P136" i="10"/>
  <c r="O137" i="10"/>
  <c r="P137" i="10"/>
  <c r="O138" i="10"/>
  <c r="P138" i="10"/>
  <c r="O139" i="10"/>
  <c r="P139" i="10"/>
  <c r="O140" i="10"/>
  <c r="P140" i="10"/>
  <c r="O141" i="10"/>
  <c r="P141" i="10"/>
  <c r="O142" i="10"/>
  <c r="P142" i="10"/>
  <c r="O143" i="10"/>
  <c r="P143" i="10"/>
  <c r="O144" i="10"/>
  <c r="P144" i="10"/>
  <c r="O145" i="10"/>
  <c r="P145" i="10"/>
  <c r="O146" i="10"/>
  <c r="P146" i="10"/>
  <c r="O147" i="10"/>
  <c r="P147" i="10"/>
  <c r="O148" i="10"/>
  <c r="P148" i="10"/>
  <c r="O149" i="10"/>
  <c r="P149" i="10"/>
  <c r="O150" i="10"/>
  <c r="P150" i="10"/>
  <c r="O151" i="10"/>
  <c r="P151" i="10"/>
  <c r="O152" i="10"/>
  <c r="P152" i="10"/>
  <c r="O153" i="10"/>
  <c r="P153" i="10"/>
  <c r="O154" i="10"/>
  <c r="P154" i="10"/>
  <c r="O155" i="10"/>
  <c r="P155" i="10"/>
  <c r="O156" i="10"/>
  <c r="P156" i="10"/>
  <c r="O157" i="10"/>
  <c r="P157" i="10"/>
  <c r="O158" i="10"/>
  <c r="P158" i="10"/>
  <c r="O159" i="10"/>
  <c r="P159" i="10"/>
  <c r="O160" i="10"/>
  <c r="P160" i="10"/>
  <c r="O161" i="10"/>
  <c r="P161" i="10"/>
  <c r="O162" i="10"/>
  <c r="P162" i="10"/>
  <c r="O163" i="10"/>
  <c r="P163" i="10"/>
  <c r="O164" i="10"/>
  <c r="P164" i="10"/>
  <c r="O165" i="10"/>
  <c r="P165" i="10"/>
  <c r="O166" i="10"/>
  <c r="P166" i="10"/>
  <c r="O167" i="10"/>
  <c r="P167" i="10"/>
  <c r="O168" i="10"/>
  <c r="P168" i="10"/>
  <c r="O169" i="10"/>
  <c r="P169" i="10"/>
  <c r="O170" i="10"/>
  <c r="P170" i="10"/>
  <c r="O171" i="10"/>
  <c r="P171" i="10"/>
  <c r="O172" i="10"/>
  <c r="P172" i="10"/>
  <c r="O173" i="10"/>
  <c r="P173" i="10"/>
  <c r="O174" i="10"/>
  <c r="P174" i="10"/>
  <c r="O175" i="10"/>
  <c r="P175" i="10"/>
  <c r="O176" i="10"/>
  <c r="P176" i="10"/>
  <c r="O177" i="10"/>
  <c r="P177" i="10"/>
  <c r="O178" i="10"/>
  <c r="P178" i="10"/>
  <c r="O179" i="10"/>
  <c r="P179" i="10"/>
  <c r="O180" i="10"/>
  <c r="P180" i="10"/>
  <c r="O181" i="10"/>
  <c r="P181" i="10"/>
  <c r="O182" i="10"/>
  <c r="P182" i="10"/>
  <c r="O183" i="10"/>
  <c r="P183" i="10"/>
  <c r="O184" i="10"/>
  <c r="P184" i="10"/>
  <c r="O185" i="10"/>
  <c r="P185" i="10"/>
  <c r="O186" i="10"/>
  <c r="P186" i="10"/>
  <c r="O187" i="10"/>
  <c r="P187" i="10"/>
  <c r="O188" i="10"/>
  <c r="P188" i="10"/>
  <c r="O189" i="10"/>
  <c r="P189" i="10"/>
  <c r="O190" i="10"/>
  <c r="P190" i="10"/>
  <c r="O191" i="10"/>
  <c r="P191" i="10"/>
  <c r="O192" i="10"/>
  <c r="P192" i="10"/>
  <c r="O193" i="10"/>
  <c r="P193" i="10"/>
  <c r="O194" i="10"/>
  <c r="P194" i="10"/>
  <c r="O195" i="10"/>
  <c r="P195" i="10"/>
  <c r="O196" i="10"/>
  <c r="P196" i="10"/>
  <c r="O197" i="10"/>
  <c r="P197" i="10"/>
  <c r="O198" i="10"/>
  <c r="P198" i="10"/>
  <c r="O199" i="10"/>
  <c r="P199" i="10"/>
  <c r="O200" i="10"/>
  <c r="P200" i="10"/>
  <c r="O201" i="10"/>
  <c r="P201" i="10"/>
  <c r="O202" i="10"/>
  <c r="P202" i="10"/>
  <c r="O203" i="10"/>
  <c r="P203" i="10"/>
  <c r="O204" i="10"/>
  <c r="P204" i="10"/>
  <c r="O205" i="10"/>
  <c r="P205" i="10"/>
  <c r="O206" i="10"/>
  <c r="P206" i="10"/>
  <c r="O207" i="10"/>
  <c r="P207" i="10"/>
  <c r="O208" i="10"/>
  <c r="P208" i="10"/>
  <c r="O209" i="10"/>
  <c r="P209" i="10"/>
  <c r="O210" i="10"/>
  <c r="P210" i="10"/>
  <c r="O211" i="10"/>
  <c r="P211" i="10"/>
  <c r="O212" i="10"/>
  <c r="P212" i="10"/>
  <c r="O213" i="10"/>
  <c r="P213" i="10"/>
  <c r="O214" i="10"/>
  <c r="P214" i="10"/>
  <c r="O215" i="10"/>
  <c r="P215" i="10"/>
  <c r="O216" i="10"/>
  <c r="P216" i="10"/>
  <c r="O217" i="10"/>
  <c r="P217" i="10"/>
  <c r="O218" i="10"/>
  <c r="P218" i="10"/>
  <c r="O219" i="10"/>
  <c r="P219" i="10"/>
  <c r="O220" i="10"/>
  <c r="P220" i="10"/>
  <c r="O221" i="10"/>
  <c r="P221" i="10"/>
  <c r="O222" i="10"/>
  <c r="P222" i="10"/>
  <c r="O223" i="10"/>
  <c r="P223" i="10"/>
  <c r="O224" i="10"/>
  <c r="P224" i="10"/>
  <c r="O225" i="10"/>
  <c r="P225" i="10"/>
  <c r="O226" i="10"/>
  <c r="P226" i="10"/>
  <c r="O227" i="10"/>
  <c r="P227" i="10"/>
  <c r="O228" i="10"/>
  <c r="P228" i="10"/>
  <c r="O229" i="10"/>
  <c r="P229" i="10"/>
  <c r="O230" i="10"/>
  <c r="P230" i="10"/>
  <c r="O231" i="10"/>
  <c r="P231" i="10"/>
  <c r="O232" i="10"/>
  <c r="P232" i="10"/>
  <c r="O233" i="10"/>
  <c r="P233" i="10"/>
  <c r="O234" i="10"/>
  <c r="P234" i="10"/>
  <c r="O235" i="10"/>
  <c r="P235" i="10"/>
  <c r="O236" i="10"/>
  <c r="P236" i="10"/>
  <c r="O237" i="10"/>
  <c r="P237" i="10"/>
  <c r="O238" i="10"/>
  <c r="P238" i="10"/>
  <c r="O239" i="10"/>
  <c r="P239" i="10"/>
  <c r="O240" i="10"/>
  <c r="P240" i="10"/>
  <c r="O241" i="10"/>
  <c r="P241" i="10"/>
  <c r="O242" i="10"/>
  <c r="P242" i="10"/>
  <c r="O243" i="10"/>
  <c r="P243" i="10"/>
  <c r="O244" i="10"/>
  <c r="P244" i="10"/>
  <c r="O245" i="10"/>
  <c r="P245" i="10"/>
  <c r="O246" i="10"/>
  <c r="P246" i="10"/>
  <c r="O247" i="10"/>
  <c r="P247" i="10"/>
  <c r="O248" i="10"/>
  <c r="P248" i="10"/>
  <c r="O249" i="10"/>
  <c r="P249" i="10"/>
  <c r="O250" i="10"/>
  <c r="P250" i="10"/>
  <c r="O251" i="10"/>
  <c r="P251" i="10"/>
  <c r="O252" i="10"/>
  <c r="P252" i="10"/>
  <c r="O253" i="10"/>
  <c r="P253" i="10"/>
  <c r="O254" i="10"/>
  <c r="P254" i="10"/>
  <c r="O255" i="10"/>
  <c r="P255" i="10"/>
  <c r="O256" i="10"/>
  <c r="P256" i="10"/>
  <c r="O257" i="10"/>
  <c r="P257" i="10"/>
  <c r="O258" i="10"/>
  <c r="P258" i="10"/>
  <c r="O259" i="10"/>
  <c r="P259" i="10"/>
  <c r="O260" i="10"/>
  <c r="P260" i="10"/>
  <c r="O261" i="10"/>
  <c r="P261" i="10"/>
  <c r="O262" i="10"/>
  <c r="P262" i="10"/>
  <c r="O263" i="10"/>
  <c r="P263" i="10"/>
  <c r="O264" i="10"/>
  <c r="P264" i="10"/>
  <c r="O265" i="10"/>
  <c r="P265" i="10"/>
  <c r="O266" i="10"/>
  <c r="P266" i="10"/>
  <c r="O267" i="10"/>
  <c r="P267" i="10"/>
  <c r="O268" i="10"/>
  <c r="P268" i="10"/>
  <c r="O269" i="10"/>
  <c r="P269" i="10"/>
  <c r="O270" i="10"/>
  <c r="P270" i="10"/>
  <c r="O271" i="10"/>
  <c r="P271" i="10"/>
  <c r="O272" i="10"/>
  <c r="P272" i="10"/>
  <c r="O273" i="10"/>
  <c r="P273" i="10"/>
  <c r="O274" i="10"/>
  <c r="P274" i="10"/>
  <c r="O275" i="10"/>
  <c r="P275" i="10"/>
  <c r="O276" i="10"/>
  <c r="P276" i="10"/>
  <c r="O277" i="10"/>
  <c r="P277" i="10"/>
  <c r="O278" i="10"/>
  <c r="P278" i="10"/>
  <c r="O279" i="10"/>
  <c r="P279" i="10"/>
  <c r="O280" i="10"/>
  <c r="P280" i="10"/>
  <c r="O281" i="10"/>
  <c r="P281" i="10"/>
  <c r="O282" i="10"/>
  <c r="P282" i="10"/>
  <c r="O283" i="10"/>
  <c r="P283" i="10"/>
  <c r="O284" i="10"/>
  <c r="P284" i="10"/>
  <c r="O285" i="10"/>
  <c r="P285" i="10"/>
  <c r="O286" i="10"/>
  <c r="P286" i="10"/>
  <c r="O287" i="10"/>
  <c r="P287" i="10"/>
  <c r="O288" i="10"/>
  <c r="P288" i="10"/>
  <c r="O289" i="10"/>
  <c r="P289" i="10"/>
  <c r="O290" i="10"/>
  <c r="P290" i="10"/>
  <c r="O291" i="10"/>
  <c r="P291" i="10"/>
  <c r="O292" i="10"/>
  <c r="P292" i="10"/>
  <c r="O293" i="10"/>
  <c r="P293" i="10"/>
  <c r="O294" i="10"/>
  <c r="P294" i="10"/>
  <c r="O295" i="10"/>
  <c r="P295" i="10"/>
  <c r="O296" i="10"/>
  <c r="P296" i="10"/>
  <c r="O297" i="10"/>
  <c r="P297" i="10"/>
  <c r="O298" i="10"/>
  <c r="P298" i="10"/>
  <c r="O299" i="10"/>
  <c r="P299" i="10"/>
  <c r="O300" i="10"/>
  <c r="P300" i="10"/>
  <c r="O301" i="10"/>
  <c r="P301" i="10"/>
  <c r="O302" i="10"/>
  <c r="P302" i="10"/>
  <c r="O303" i="10"/>
  <c r="P303" i="10"/>
  <c r="O304" i="10"/>
  <c r="P304" i="10"/>
  <c r="O305" i="10"/>
  <c r="P305" i="10"/>
  <c r="O306" i="10"/>
  <c r="P306" i="10"/>
  <c r="O307" i="10"/>
  <c r="P307" i="10"/>
  <c r="O308" i="10"/>
  <c r="P308" i="10"/>
  <c r="O309" i="10"/>
  <c r="P309" i="10"/>
  <c r="O310" i="10"/>
  <c r="P310" i="10"/>
  <c r="O311" i="10"/>
  <c r="P311" i="10"/>
  <c r="O312" i="10"/>
  <c r="P312" i="10"/>
  <c r="O313" i="10"/>
  <c r="P313" i="10"/>
  <c r="O314" i="10"/>
  <c r="P314" i="10"/>
  <c r="O315" i="10"/>
  <c r="P315" i="10"/>
  <c r="O316" i="10"/>
  <c r="P316" i="10"/>
  <c r="O317" i="10"/>
  <c r="P317" i="10"/>
  <c r="O318" i="10"/>
  <c r="P318" i="10"/>
  <c r="O319" i="10"/>
  <c r="P319" i="10"/>
  <c r="O320" i="10"/>
  <c r="P320" i="10"/>
  <c r="O321" i="10"/>
  <c r="P321" i="10"/>
  <c r="O322" i="10"/>
  <c r="P322" i="10"/>
  <c r="O323" i="10"/>
  <c r="P323" i="10"/>
  <c r="O324" i="10"/>
  <c r="P324" i="10"/>
  <c r="O325" i="10"/>
  <c r="P325" i="10"/>
  <c r="O326" i="10"/>
  <c r="P326" i="10"/>
  <c r="O327" i="10"/>
  <c r="P327" i="10"/>
  <c r="O328" i="10"/>
  <c r="P328" i="10"/>
  <c r="O329" i="10"/>
  <c r="P329" i="10"/>
  <c r="O330" i="10"/>
  <c r="P330" i="10"/>
  <c r="O331" i="10"/>
  <c r="P331" i="10"/>
  <c r="O332" i="10"/>
  <c r="P332" i="10"/>
  <c r="O333" i="10"/>
  <c r="P333" i="10"/>
  <c r="O334" i="10"/>
  <c r="P334" i="10"/>
  <c r="O335" i="10"/>
  <c r="P335" i="10"/>
  <c r="O336" i="10"/>
  <c r="P336" i="10"/>
  <c r="O337" i="10"/>
  <c r="P337" i="10"/>
  <c r="O338" i="10"/>
  <c r="P338" i="10"/>
  <c r="O339" i="10"/>
  <c r="P339" i="10"/>
  <c r="O340" i="10"/>
  <c r="P340" i="10"/>
  <c r="O341" i="10"/>
  <c r="P341" i="10"/>
  <c r="O342" i="10"/>
  <c r="P342" i="10"/>
  <c r="O343" i="10"/>
  <c r="P343" i="10"/>
  <c r="O344" i="10"/>
  <c r="P344" i="10"/>
  <c r="O345" i="10"/>
  <c r="P345" i="10"/>
  <c r="O346" i="10"/>
  <c r="P346" i="10"/>
  <c r="O347" i="10"/>
  <c r="P347" i="10"/>
  <c r="O348" i="10"/>
  <c r="P348" i="10"/>
  <c r="O349" i="10"/>
  <c r="P349" i="10"/>
  <c r="O350" i="10"/>
  <c r="P350" i="10"/>
  <c r="O351" i="10"/>
  <c r="P351" i="10"/>
  <c r="O352" i="10"/>
  <c r="P352" i="10"/>
  <c r="O353" i="10"/>
  <c r="P353" i="10"/>
  <c r="O354" i="10"/>
  <c r="P354" i="10"/>
  <c r="O355" i="10"/>
  <c r="P355" i="10"/>
  <c r="O356" i="10"/>
  <c r="P356" i="10"/>
  <c r="O357" i="10"/>
  <c r="P357" i="10"/>
  <c r="O358" i="10"/>
  <c r="P358" i="10"/>
  <c r="O359" i="10"/>
  <c r="P359" i="10"/>
  <c r="O360" i="10"/>
  <c r="P360" i="10"/>
  <c r="O361" i="10"/>
  <c r="P361" i="10"/>
  <c r="O362" i="10"/>
  <c r="P362" i="10"/>
  <c r="O363" i="10"/>
  <c r="P363" i="10"/>
  <c r="O364" i="10"/>
  <c r="P364" i="10"/>
  <c r="O365" i="10"/>
  <c r="P365" i="10"/>
  <c r="O366" i="10"/>
  <c r="P366" i="10"/>
  <c r="O367" i="10"/>
  <c r="P367" i="10"/>
  <c r="O368" i="10"/>
  <c r="P368" i="10"/>
  <c r="O369" i="10"/>
  <c r="P369" i="10"/>
  <c r="O370" i="10"/>
  <c r="P370" i="10"/>
  <c r="O371" i="10"/>
  <c r="P371" i="10"/>
  <c r="O372" i="10"/>
  <c r="P372" i="10"/>
  <c r="O373" i="10"/>
  <c r="P373" i="10"/>
  <c r="O374" i="10"/>
  <c r="P374" i="10"/>
  <c r="O375" i="10"/>
  <c r="P375" i="10"/>
  <c r="O376" i="10"/>
  <c r="P376" i="10"/>
  <c r="O377" i="10"/>
  <c r="P377" i="10"/>
  <c r="O378" i="10"/>
  <c r="P378" i="10"/>
  <c r="O379" i="10"/>
  <c r="P379" i="10"/>
  <c r="O380" i="10"/>
  <c r="P380" i="10"/>
  <c r="O381" i="10"/>
  <c r="P381" i="10"/>
  <c r="O382" i="10"/>
  <c r="P382" i="10"/>
  <c r="O383" i="10"/>
  <c r="P383" i="10"/>
  <c r="O384" i="10"/>
  <c r="P384" i="10"/>
  <c r="O385" i="10"/>
  <c r="P385" i="10"/>
  <c r="O386" i="10"/>
  <c r="P386" i="10"/>
  <c r="O387" i="10"/>
  <c r="P387" i="10"/>
  <c r="O388" i="10"/>
  <c r="P388" i="10"/>
  <c r="O389" i="10"/>
  <c r="P389" i="10"/>
  <c r="O390" i="10"/>
  <c r="P390" i="10"/>
  <c r="O391" i="10"/>
  <c r="P391" i="10"/>
  <c r="O392" i="10"/>
  <c r="P392" i="10"/>
  <c r="O393" i="10"/>
  <c r="P393" i="10"/>
  <c r="O394" i="10"/>
  <c r="P394" i="10"/>
  <c r="O395" i="10"/>
  <c r="P395" i="10"/>
  <c r="O396" i="10"/>
  <c r="P396" i="10"/>
  <c r="O397" i="10"/>
  <c r="P397" i="10"/>
  <c r="O398" i="10"/>
  <c r="P398" i="10"/>
  <c r="O399" i="10"/>
  <c r="P399" i="10"/>
  <c r="O400" i="10"/>
  <c r="P400" i="10"/>
  <c r="O401" i="10"/>
  <c r="P401" i="10"/>
  <c r="O402" i="10"/>
  <c r="P402" i="10"/>
  <c r="O403" i="10"/>
  <c r="P403" i="10"/>
  <c r="O404" i="10"/>
  <c r="P404" i="10"/>
  <c r="O405" i="10"/>
  <c r="P405" i="10"/>
  <c r="O406" i="10"/>
  <c r="P406" i="10"/>
  <c r="O407" i="10"/>
  <c r="P407" i="10"/>
  <c r="O408" i="10"/>
  <c r="P408" i="10"/>
  <c r="O409" i="10"/>
  <c r="P409" i="10"/>
  <c r="O410" i="10"/>
  <c r="P410" i="10"/>
  <c r="O411" i="10"/>
  <c r="P411" i="10"/>
  <c r="O412" i="10"/>
  <c r="P412" i="10"/>
  <c r="O413" i="10"/>
  <c r="P413" i="10"/>
  <c r="O414" i="10"/>
  <c r="P414" i="10"/>
  <c r="O415" i="10"/>
  <c r="P415" i="10"/>
  <c r="O416" i="10"/>
  <c r="P416" i="10"/>
  <c r="O417" i="10"/>
  <c r="P417" i="10"/>
  <c r="O418" i="10"/>
  <c r="P418" i="10"/>
  <c r="O419" i="10"/>
  <c r="P419" i="10"/>
  <c r="O420" i="10"/>
  <c r="P420" i="10"/>
  <c r="O421" i="10"/>
  <c r="P421" i="10"/>
  <c r="O422" i="10"/>
  <c r="P422" i="10"/>
  <c r="O423" i="10"/>
  <c r="P423" i="10"/>
  <c r="O424" i="10"/>
  <c r="P424" i="10"/>
  <c r="O425" i="10"/>
  <c r="P425" i="10"/>
  <c r="O426" i="10"/>
  <c r="P426" i="10"/>
  <c r="O427" i="10"/>
  <c r="P427" i="10"/>
  <c r="O428" i="10"/>
  <c r="P428" i="10"/>
  <c r="O429" i="10"/>
  <c r="P429" i="10"/>
  <c r="O430" i="10"/>
  <c r="P430" i="10"/>
  <c r="O431" i="10"/>
  <c r="P431" i="10"/>
  <c r="O432" i="10"/>
  <c r="P432" i="10"/>
  <c r="O433" i="10"/>
  <c r="P433" i="10"/>
  <c r="O434" i="10"/>
  <c r="P434" i="10"/>
  <c r="O435" i="10"/>
  <c r="P435" i="10"/>
  <c r="O436" i="10"/>
  <c r="P436" i="10"/>
  <c r="O437" i="10"/>
  <c r="P437" i="10"/>
  <c r="O438" i="10"/>
  <c r="P438" i="10"/>
  <c r="O439" i="10"/>
  <c r="P439" i="10"/>
  <c r="O440" i="10"/>
  <c r="P440" i="10"/>
  <c r="O441" i="10"/>
  <c r="P441" i="10"/>
  <c r="O442" i="10"/>
  <c r="P442" i="10"/>
  <c r="O443" i="10"/>
  <c r="P443" i="10"/>
  <c r="O444" i="10"/>
  <c r="P444" i="10"/>
  <c r="O445" i="10"/>
  <c r="P445" i="10"/>
  <c r="O446" i="10"/>
  <c r="P446" i="10"/>
  <c r="O447" i="10"/>
  <c r="P447" i="10"/>
  <c r="O448" i="10"/>
  <c r="P448" i="10"/>
  <c r="O449" i="10"/>
  <c r="P449" i="10"/>
  <c r="O450" i="10"/>
  <c r="P450" i="10"/>
  <c r="O451" i="10"/>
  <c r="P451" i="10"/>
  <c r="O452" i="10"/>
  <c r="P452" i="10"/>
  <c r="O453" i="10"/>
  <c r="P453" i="10"/>
  <c r="O454" i="10"/>
  <c r="P454" i="10"/>
  <c r="O455" i="10"/>
  <c r="P455" i="10"/>
  <c r="O456" i="10"/>
  <c r="P456" i="10"/>
  <c r="O457" i="10"/>
  <c r="P457" i="10"/>
  <c r="O458" i="10"/>
  <c r="P458" i="10"/>
  <c r="O459" i="10"/>
  <c r="P459" i="10"/>
  <c r="O460" i="10"/>
  <c r="P460" i="10"/>
  <c r="O461" i="10"/>
  <c r="P461" i="10"/>
  <c r="O462" i="10"/>
  <c r="P462" i="10"/>
  <c r="O463" i="10"/>
  <c r="P463" i="10"/>
  <c r="O464" i="10"/>
  <c r="P464" i="10"/>
  <c r="O465" i="10"/>
  <c r="P465" i="10"/>
  <c r="O466" i="10"/>
  <c r="P466" i="10"/>
  <c r="O467" i="10"/>
  <c r="P467" i="10"/>
  <c r="O468" i="10"/>
  <c r="P468" i="10"/>
  <c r="O469" i="10"/>
  <c r="P469" i="10"/>
  <c r="O470" i="10"/>
  <c r="P470" i="10"/>
  <c r="O471" i="10"/>
  <c r="P471" i="10"/>
  <c r="O472" i="10"/>
  <c r="P472" i="10"/>
  <c r="O473" i="10"/>
  <c r="P473" i="10"/>
  <c r="O474" i="10"/>
  <c r="P474" i="10"/>
  <c r="O475" i="10"/>
  <c r="P475" i="10"/>
  <c r="O476" i="10"/>
  <c r="P476" i="10"/>
  <c r="O477" i="10"/>
  <c r="P477" i="10"/>
  <c r="O478" i="10"/>
  <c r="P478" i="10"/>
  <c r="O479" i="10"/>
  <c r="P479" i="10"/>
  <c r="O480" i="10"/>
  <c r="P480" i="10"/>
  <c r="O481" i="10"/>
  <c r="P481" i="10"/>
  <c r="O482" i="10"/>
  <c r="P482" i="10"/>
  <c r="O483" i="10"/>
  <c r="P483" i="10"/>
  <c r="O484" i="10"/>
  <c r="P484" i="10"/>
  <c r="O485" i="10"/>
  <c r="P485" i="10"/>
  <c r="O486" i="10"/>
  <c r="P486" i="10"/>
  <c r="O487" i="10"/>
  <c r="P487" i="10"/>
  <c r="O488" i="10"/>
  <c r="P488" i="10"/>
  <c r="O489" i="10"/>
  <c r="P489" i="10"/>
  <c r="O490" i="10"/>
  <c r="P490" i="10"/>
  <c r="O491" i="10"/>
  <c r="P491" i="10"/>
  <c r="O492" i="10"/>
  <c r="P492" i="10"/>
  <c r="O493" i="10"/>
  <c r="P493" i="10"/>
  <c r="O494" i="10"/>
  <c r="P494" i="10"/>
  <c r="O495" i="10"/>
  <c r="P495" i="10"/>
  <c r="O496" i="10"/>
  <c r="P496" i="10"/>
  <c r="O497" i="10"/>
  <c r="P497" i="10"/>
  <c r="O498" i="10"/>
  <c r="P498" i="10"/>
  <c r="O499" i="10"/>
  <c r="P499" i="10"/>
  <c r="O500" i="10"/>
  <c r="P500" i="10"/>
  <c r="O501" i="10"/>
  <c r="P501" i="10"/>
  <c r="O502" i="10"/>
  <c r="P502" i="10"/>
  <c r="O503" i="10"/>
  <c r="P503" i="10"/>
  <c r="O504" i="10"/>
  <c r="P504" i="10"/>
  <c r="O505" i="10"/>
  <c r="P505" i="10"/>
  <c r="O7" i="10"/>
  <c r="P7" i="10"/>
  <c r="O8" i="10"/>
  <c r="P8" i="10"/>
  <c r="P6" i="10"/>
  <c r="O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6" i="10"/>
  <c r="F505" i="10"/>
  <c r="E505" i="10"/>
  <c r="F504" i="10"/>
  <c r="E504" i="10"/>
  <c r="F503" i="10"/>
  <c r="E503" i="10"/>
  <c r="F502" i="10"/>
  <c r="E502" i="10"/>
  <c r="F501" i="10"/>
  <c r="E501" i="10"/>
  <c r="F500" i="10"/>
  <c r="E500" i="10"/>
  <c r="F499" i="10"/>
  <c r="E499" i="10"/>
  <c r="F498" i="10"/>
  <c r="E498" i="10"/>
  <c r="F497" i="10"/>
  <c r="E497" i="10"/>
  <c r="F496" i="10"/>
  <c r="E496" i="10"/>
  <c r="F495" i="10"/>
  <c r="E495" i="10"/>
  <c r="F494" i="10"/>
  <c r="E494" i="10"/>
  <c r="F493" i="10"/>
  <c r="E493" i="10"/>
  <c r="F492" i="10"/>
  <c r="E492" i="10"/>
  <c r="F491" i="10"/>
  <c r="E491" i="10"/>
  <c r="F490" i="10"/>
  <c r="E490" i="10"/>
  <c r="F489" i="10"/>
  <c r="E489" i="10"/>
  <c r="F488" i="10"/>
  <c r="E488" i="10"/>
  <c r="F487" i="10"/>
  <c r="E487" i="10"/>
  <c r="F486" i="10"/>
  <c r="E486" i="10"/>
  <c r="F485" i="10"/>
  <c r="E485" i="10"/>
  <c r="F484" i="10"/>
  <c r="E484" i="10"/>
  <c r="F483" i="10"/>
  <c r="E483" i="10"/>
  <c r="F482" i="10"/>
  <c r="E482" i="10"/>
  <c r="F481" i="10"/>
  <c r="E481" i="10"/>
  <c r="F480" i="10"/>
  <c r="E480" i="10"/>
  <c r="F479" i="10"/>
  <c r="E479" i="10"/>
  <c r="F478" i="10"/>
  <c r="E478" i="10"/>
  <c r="F477" i="10"/>
  <c r="E477" i="10"/>
  <c r="F476" i="10"/>
  <c r="E476" i="10"/>
  <c r="F475" i="10"/>
  <c r="E475" i="10"/>
  <c r="F474" i="10"/>
  <c r="E474" i="10"/>
  <c r="F473" i="10"/>
  <c r="E473" i="10"/>
  <c r="F472" i="10"/>
  <c r="E472" i="10"/>
  <c r="F471" i="10"/>
  <c r="E471" i="10"/>
  <c r="F470" i="10"/>
  <c r="E470" i="10"/>
  <c r="F469" i="10"/>
  <c r="E469" i="10"/>
  <c r="F468" i="10"/>
  <c r="E468" i="10"/>
  <c r="F467" i="10"/>
  <c r="E467" i="10"/>
  <c r="F466" i="10"/>
  <c r="E466" i="10"/>
  <c r="F465" i="10"/>
  <c r="E465" i="10"/>
  <c r="F464" i="10"/>
  <c r="E464" i="10"/>
  <c r="F463" i="10"/>
  <c r="E463" i="10"/>
  <c r="F462" i="10"/>
  <c r="E462" i="10"/>
  <c r="F461" i="10"/>
  <c r="E461" i="10"/>
  <c r="F460" i="10"/>
  <c r="E460" i="10"/>
  <c r="F459" i="10"/>
  <c r="E459" i="10"/>
  <c r="F458" i="10"/>
  <c r="E458" i="10"/>
  <c r="F457" i="10"/>
  <c r="E457" i="10"/>
  <c r="F456" i="10"/>
  <c r="E456" i="10"/>
  <c r="F455" i="10"/>
  <c r="E455" i="10"/>
  <c r="F454" i="10"/>
  <c r="E454" i="10"/>
  <c r="F453" i="10"/>
  <c r="E453" i="10"/>
  <c r="F452" i="10"/>
  <c r="E452" i="10"/>
  <c r="F451" i="10"/>
  <c r="E451" i="10"/>
  <c r="F450" i="10"/>
  <c r="E450" i="10"/>
  <c r="F449" i="10"/>
  <c r="E449" i="10"/>
  <c r="F448" i="10"/>
  <c r="E448" i="10"/>
  <c r="F447" i="10"/>
  <c r="E447" i="10"/>
  <c r="F446" i="10"/>
  <c r="E446" i="10"/>
  <c r="F445" i="10"/>
  <c r="E445" i="10"/>
  <c r="F444" i="10"/>
  <c r="E444" i="10"/>
  <c r="F443" i="10"/>
  <c r="E443" i="10"/>
  <c r="F442" i="10"/>
  <c r="E442" i="10"/>
  <c r="F441" i="10"/>
  <c r="E441" i="10"/>
  <c r="F440" i="10"/>
  <c r="E440" i="10"/>
  <c r="F439" i="10"/>
  <c r="E439" i="10"/>
  <c r="F438" i="10"/>
  <c r="E438" i="10"/>
  <c r="F437" i="10"/>
  <c r="E437" i="10"/>
  <c r="F436" i="10"/>
  <c r="E436" i="10"/>
  <c r="F435" i="10"/>
  <c r="E435" i="10"/>
  <c r="F434" i="10"/>
  <c r="E434" i="10"/>
  <c r="F433" i="10"/>
  <c r="E433" i="10"/>
  <c r="F432" i="10"/>
  <c r="E432" i="10"/>
  <c r="F431" i="10"/>
  <c r="E431" i="10"/>
  <c r="F430" i="10"/>
  <c r="E430" i="10"/>
  <c r="F429" i="10"/>
  <c r="E429" i="10"/>
  <c r="F428" i="10"/>
  <c r="E428" i="10"/>
  <c r="F427" i="10"/>
  <c r="E427" i="10"/>
  <c r="F426" i="10"/>
  <c r="E426" i="10"/>
  <c r="F425" i="10"/>
  <c r="E425" i="10"/>
  <c r="F424" i="10"/>
  <c r="E424" i="10"/>
  <c r="F423" i="10"/>
  <c r="E423" i="10"/>
  <c r="F422" i="10"/>
  <c r="E422" i="10"/>
  <c r="F421" i="10"/>
  <c r="E421" i="10"/>
  <c r="F420" i="10"/>
  <c r="E420" i="10"/>
  <c r="F419" i="10"/>
  <c r="E419" i="10"/>
  <c r="F418" i="10"/>
  <c r="E418" i="10"/>
  <c r="F417" i="10"/>
  <c r="E417" i="10"/>
  <c r="F416" i="10"/>
  <c r="E416" i="10"/>
  <c r="F415" i="10"/>
  <c r="E415" i="10"/>
  <c r="F414" i="10"/>
  <c r="E414" i="10"/>
  <c r="F413" i="10"/>
  <c r="E413" i="10"/>
  <c r="F412" i="10"/>
  <c r="E412" i="10"/>
  <c r="F411" i="10"/>
  <c r="E411" i="10"/>
  <c r="F410" i="10"/>
  <c r="E410" i="10"/>
  <c r="F409" i="10"/>
  <c r="E409" i="10"/>
  <c r="F408" i="10"/>
  <c r="E408" i="10"/>
  <c r="F407" i="10"/>
  <c r="E407" i="10"/>
  <c r="F406" i="10"/>
  <c r="E406" i="10"/>
  <c r="F405" i="10"/>
  <c r="E405" i="10"/>
  <c r="F404" i="10"/>
  <c r="E404" i="10"/>
  <c r="F403" i="10"/>
  <c r="E403" i="10"/>
  <c r="F402" i="10"/>
  <c r="E402" i="10"/>
  <c r="F401" i="10"/>
  <c r="E401" i="10"/>
  <c r="F400" i="10"/>
  <c r="E400" i="10"/>
  <c r="F399" i="10"/>
  <c r="E399" i="10"/>
  <c r="F398" i="10"/>
  <c r="E398" i="10"/>
  <c r="F397" i="10"/>
  <c r="E397" i="10"/>
  <c r="F396" i="10"/>
  <c r="E396" i="10"/>
  <c r="F395" i="10"/>
  <c r="E395" i="10"/>
  <c r="F394" i="10"/>
  <c r="E394" i="10"/>
  <c r="F393" i="10"/>
  <c r="E393" i="10"/>
  <c r="F392" i="10"/>
  <c r="E392" i="10"/>
  <c r="F391" i="10"/>
  <c r="E391" i="10"/>
  <c r="F390" i="10"/>
  <c r="E390" i="10"/>
  <c r="F389" i="10"/>
  <c r="E389" i="10"/>
  <c r="F388" i="10"/>
  <c r="E388" i="10"/>
  <c r="F387" i="10"/>
  <c r="E387" i="10"/>
  <c r="F386" i="10"/>
  <c r="E386" i="10"/>
  <c r="F385" i="10"/>
  <c r="E385" i="10"/>
  <c r="F384" i="10"/>
  <c r="E384" i="10"/>
  <c r="F383" i="10"/>
  <c r="E383" i="10"/>
  <c r="F382" i="10"/>
  <c r="E382" i="10"/>
  <c r="F381" i="10"/>
  <c r="E381" i="10"/>
  <c r="F380" i="10"/>
  <c r="E380" i="10"/>
  <c r="F379" i="10"/>
  <c r="E379" i="10"/>
  <c r="F378" i="10"/>
  <c r="E378" i="10"/>
  <c r="F377" i="10"/>
  <c r="E377" i="10"/>
  <c r="F376" i="10"/>
  <c r="E376" i="10"/>
  <c r="F375" i="10"/>
  <c r="E375" i="10"/>
  <c r="F374" i="10"/>
  <c r="E374" i="10"/>
  <c r="F373" i="10"/>
  <c r="E373" i="10"/>
  <c r="F372" i="10"/>
  <c r="E372" i="10"/>
  <c r="F371" i="10"/>
  <c r="E371" i="10"/>
  <c r="F370" i="10"/>
  <c r="E370" i="10"/>
  <c r="F369" i="10"/>
  <c r="E369" i="10"/>
  <c r="F368" i="10"/>
  <c r="E368" i="10"/>
  <c r="F367" i="10"/>
  <c r="E367" i="10"/>
  <c r="F366" i="10"/>
  <c r="E366" i="10"/>
  <c r="F365" i="10"/>
  <c r="E365" i="10"/>
  <c r="F364" i="10"/>
  <c r="E364" i="10"/>
  <c r="F363" i="10"/>
  <c r="E363" i="10"/>
  <c r="F362" i="10"/>
  <c r="E362" i="10"/>
  <c r="F361" i="10"/>
  <c r="E361" i="10"/>
  <c r="F360" i="10"/>
  <c r="E360" i="10"/>
  <c r="F359" i="10"/>
  <c r="E359" i="10"/>
  <c r="F358" i="10"/>
  <c r="E358" i="10"/>
  <c r="F357" i="10"/>
  <c r="E357" i="10"/>
  <c r="F356" i="10"/>
  <c r="E356" i="10"/>
  <c r="F355" i="10"/>
  <c r="E355" i="10"/>
  <c r="F354" i="10"/>
  <c r="E354" i="10"/>
  <c r="F353" i="10"/>
  <c r="E353" i="10"/>
  <c r="F352" i="10"/>
  <c r="E352" i="10"/>
  <c r="F351" i="10"/>
  <c r="E351" i="10"/>
  <c r="F350" i="10"/>
  <c r="E350" i="10"/>
  <c r="F349" i="10"/>
  <c r="E349" i="10"/>
  <c r="F348" i="10"/>
  <c r="E348" i="10"/>
  <c r="F347" i="10"/>
  <c r="E347" i="10"/>
  <c r="F346" i="10"/>
  <c r="E346" i="10"/>
  <c r="F345" i="10"/>
  <c r="E345" i="10"/>
  <c r="F344" i="10"/>
  <c r="E344" i="10"/>
  <c r="F343" i="10"/>
  <c r="E343" i="10"/>
  <c r="F342" i="10"/>
  <c r="E342" i="10"/>
  <c r="F341" i="10"/>
  <c r="E341" i="10"/>
  <c r="F340" i="10"/>
  <c r="E340" i="10"/>
  <c r="F339" i="10"/>
  <c r="E339" i="10"/>
  <c r="F338" i="10"/>
  <c r="E338" i="10"/>
  <c r="F337" i="10"/>
  <c r="E337" i="10"/>
  <c r="F336" i="10"/>
  <c r="E336" i="10"/>
  <c r="F335" i="10"/>
  <c r="E335" i="10"/>
  <c r="F334" i="10"/>
  <c r="E334" i="10"/>
  <c r="F333" i="10"/>
  <c r="E333" i="10"/>
  <c r="F332" i="10"/>
  <c r="E332" i="10"/>
  <c r="F331" i="10"/>
  <c r="E331" i="10"/>
  <c r="F330" i="10"/>
  <c r="E330" i="10"/>
  <c r="F329" i="10"/>
  <c r="E329" i="10"/>
  <c r="F328" i="10"/>
  <c r="E328" i="10"/>
  <c r="F327" i="10"/>
  <c r="E327" i="10"/>
  <c r="F326" i="10"/>
  <c r="E326" i="10"/>
  <c r="F325" i="10"/>
  <c r="E325" i="10"/>
  <c r="F324" i="10"/>
  <c r="E324" i="10"/>
  <c r="F323" i="10"/>
  <c r="E323" i="10"/>
  <c r="F322" i="10"/>
  <c r="E322" i="10"/>
  <c r="F321" i="10"/>
  <c r="E321" i="10"/>
  <c r="F320" i="10"/>
  <c r="E320" i="10"/>
  <c r="F319" i="10"/>
  <c r="E319" i="10"/>
  <c r="F318" i="10"/>
  <c r="E318" i="10"/>
  <c r="F317" i="10"/>
  <c r="E317" i="10"/>
  <c r="F316" i="10"/>
  <c r="E316" i="10"/>
  <c r="F315" i="10"/>
  <c r="E315" i="10"/>
  <c r="F314" i="10"/>
  <c r="E314" i="10"/>
  <c r="F313" i="10"/>
  <c r="E313" i="10"/>
  <c r="F312" i="10"/>
  <c r="E312" i="10"/>
  <c r="F311" i="10"/>
  <c r="E311" i="10"/>
  <c r="F310" i="10"/>
  <c r="E310" i="10"/>
  <c r="F309" i="10"/>
  <c r="E309" i="10"/>
  <c r="F308" i="10"/>
  <c r="E308" i="10"/>
  <c r="F307" i="10"/>
  <c r="E307" i="10"/>
  <c r="F306" i="10"/>
  <c r="E306" i="10"/>
  <c r="F305" i="10"/>
  <c r="E305" i="10"/>
  <c r="F304" i="10"/>
  <c r="E304" i="10"/>
  <c r="F303" i="10"/>
  <c r="E303" i="10"/>
  <c r="F302" i="10"/>
  <c r="E302" i="10"/>
  <c r="F301" i="10"/>
  <c r="E301" i="10"/>
  <c r="F300" i="10"/>
  <c r="E300" i="10"/>
  <c r="F299" i="10"/>
  <c r="E299" i="10"/>
  <c r="F298" i="10"/>
  <c r="E298" i="10"/>
  <c r="F297" i="10"/>
  <c r="E297" i="10"/>
  <c r="F296" i="10"/>
  <c r="E296" i="10"/>
  <c r="F295" i="10"/>
  <c r="E295" i="10"/>
  <c r="F294" i="10"/>
  <c r="E294" i="10"/>
  <c r="F293" i="10"/>
  <c r="E293" i="10"/>
  <c r="F292" i="10"/>
  <c r="E292" i="10"/>
  <c r="F291" i="10"/>
  <c r="E291" i="10"/>
  <c r="F290" i="10"/>
  <c r="E290" i="10"/>
  <c r="F289" i="10"/>
  <c r="E289" i="10"/>
  <c r="F288" i="10"/>
  <c r="E288" i="10"/>
  <c r="F287" i="10"/>
  <c r="E287" i="10"/>
  <c r="F286" i="10"/>
  <c r="E286" i="10"/>
  <c r="F285" i="10"/>
  <c r="E285" i="10"/>
  <c r="F284" i="10"/>
  <c r="E284" i="10"/>
  <c r="F283" i="10"/>
  <c r="E283" i="10"/>
  <c r="F282" i="10"/>
  <c r="E282" i="10"/>
  <c r="F281" i="10"/>
  <c r="E281" i="10"/>
  <c r="F280" i="10"/>
  <c r="E280" i="10"/>
  <c r="F279" i="10"/>
  <c r="E279" i="10"/>
  <c r="F278" i="10"/>
  <c r="E278" i="10"/>
  <c r="F277" i="10"/>
  <c r="E277" i="10"/>
  <c r="F276" i="10"/>
  <c r="E276" i="10"/>
  <c r="F275" i="10"/>
  <c r="E275" i="10"/>
  <c r="F274" i="10"/>
  <c r="E274" i="10"/>
  <c r="F273" i="10"/>
  <c r="E273" i="10"/>
  <c r="F272" i="10"/>
  <c r="E272" i="10"/>
  <c r="F271" i="10"/>
  <c r="E271" i="10"/>
  <c r="F270" i="10"/>
  <c r="E270" i="10"/>
  <c r="F269" i="10"/>
  <c r="E269" i="10"/>
  <c r="F268" i="10"/>
  <c r="E268" i="10"/>
  <c r="F267" i="10"/>
  <c r="E267" i="10"/>
  <c r="F266" i="10"/>
  <c r="E266" i="10"/>
  <c r="F265" i="10"/>
  <c r="E265" i="10"/>
  <c r="F264" i="10"/>
  <c r="E264" i="10"/>
  <c r="F263" i="10"/>
  <c r="E263" i="10"/>
  <c r="F262" i="10"/>
  <c r="E262" i="10"/>
  <c r="F261" i="10"/>
  <c r="E261" i="10"/>
  <c r="F260" i="10"/>
  <c r="E260" i="10"/>
  <c r="F259" i="10"/>
  <c r="E259" i="10"/>
  <c r="F258" i="10"/>
  <c r="E258" i="10"/>
  <c r="F257" i="10"/>
  <c r="E257" i="10"/>
  <c r="F256" i="10"/>
  <c r="E256" i="10"/>
  <c r="F255" i="10"/>
  <c r="E255" i="10"/>
  <c r="F254" i="10"/>
  <c r="E254" i="10"/>
  <c r="F253" i="10"/>
  <c r="E253" i="10"/>
  <c r="F252" i="10"/>
  <c r="E252" i="10"/>
  <c r="F251" i="10"/>
  <c r="E251" i="10"/>
  <c r="F250" i="10"/>
  <c r="E250" i="10"/>
  <c r="F249" i="10"/>
  <c r="E249" i="10"/>
  <c r="F248" i="10"/>
  <c r="E248" i="10"/>
  <c r="F247" i="10"/>
  <c r="E247" i="10"/>
  <c r="F246" i="10"/>
  <c r="E246" i="10"/>
  <c r="F245" i="10"/>
  <c r="E245" i="10"/>
  <c r="F244" i="10"/>
  <c r="E244" i="10"/>
  <c r="F243" i="10"/>
  <c r="E243" i="10"/>
  <c r="F242" i="10"/>
  <c r="E242" i="10"/>
  <c r="F241" i="10"/>
  <c r="E241" i="10"/>
  <c r="F240" i="10"/>
  <c r="E240" i="10"/>
  <c r="F239" i="10"/>
  <c r="E239" i="10"/>
  <c r="F238" i="10"/>
  <c r="E238" i="10"/>
  <c r="F237" i="10"/>
  <c r="E237" i="10"/>
  <c r="F236" i="10"/>
  <c r="E236" i="10"/>
  <c r="F235" i="10"/>
  <c r="E235" i="10"/>
  <c r="F234" i="10"/>
  <c r="E234" i="10"/>
  <c r="F233" i="10"/>
  <c r="E233" i="10"/>
  <c r="F232" i="10"/>
  <c r="E232" i="10"/>
  <c r="F231" i="10"/>
  <c r="E231" i="10"/>
  <c r="F230" i="10"/>
  <c r="E230" i="10"/>
  <c r="F229" i="10"/>
  <c r="E229" i="10"/>
  <c r="F228" i="10"/>
  <c r="E228" i="10"/>
  <c r="F227" i="10"/>
  <c r="E227" i="10"/>
  <c r="F226" i="10"/>
  <c r="E226" i="10"/>
  <c r="F225" i="10"/>
  <c r="E225" i="10"/>
  <c r="F224" i="10"/>
  <c r="E224" i="10"/>
  <c r="F223" i="10"/>
  <c r="E223" i="10"/>
  <c r="F222" i="10"/>
  <c r="E222" i="10"/>
  <c r="F221" i="10"/>
  <c r="E221" i="10"/>
  <c r="F220" i="10"/>
  <c r="E220" i="10"/>
  <c r="F219" i="10"/>
  <c r="E219" i="10"/>
  <c r="F218" i="10"/>
  <c r="E218" i="10"/>
  <c r="F217" i="10"/>
  <c r="E217" i="10"/>
  <c r="F216" i="10"/>
  <c r="E216" i="10"/>
  <c r="F215" i="10"/>
  <c r="E215" i="10"/>
  <c r="F214" i="10"/>
  <c r="E214" i="10"/>
  <c r="F213" i="10"/>
  <c r="E213" i="10"/>
  <c r="F212" i="10"/>
  <c r="E212" i="10"/>
  <c r="F211" i="10"/>
  <c r="E211" i="10"/>
  <c r="F210" i="10"/>
  <c r="E210" i="10"/>
  <c r="F209" i="10"/>
  <c r="E209" i="10"/>
  <c r="F208" i="10"/>
  <c r="E208" i="10"/>
  <c r="F207" i="10"/>
  <c r="E207" i="10"/>
  <c r="F206" i="10"/>
  <c r="E206" i="10"/>
  <c r="F205" i="10"/>
  <c r="E205" i="10"/>
  <c r="F204" i="10"/>
  <c r="E204" i="10"/>
  <c r="F203" i="10"/>
  <c r="E203" i="10"/>
  <c r="F202" i="10"/>
  <c r="E202" i="10"/>
  <c r="F201" i="10"/>
  <c r="E201" i="10"/>
  <c r="F200" i="10"/>
  <c r="E200" i="10"/>
  <c r="F199" i="10"/>
  <c r="E199" i="10"/>
  <c r="F198" i="10"/>
  <c r="E198" i="10"/>
  <c r="F197" i="10"/>
  <c r="E197" i="10"/>
  <c r="F196" i="10"/>
  <c r="E196" i="10"/>
  <c r="F195" i="10"/>
  <c r="E195" i="10"/>
  <c r="F194" i="10"/>
  <c r="E194" i="10"/>
  <c r="F193" i="10"/>
  <c r="E193" i="10"/>
  <c r="F192" i="10"/>
  <c r="E192" i="10"/>
  <c r="F191" i="10"/>
  <c r="E191" i="10"/>
  <c r="F190" i="10"/>
  <c r="E190" i="10"/>
  <c r="F189" i="10"/>
  <c r="E189" i="10"/>
  <c r="F188" i="10"/>
  <c r="E188" i="10"/>
  <c r="F187" i="10"/>
  <c r="E187" i="10"/>
  <c r="F186" i="10"/>
  <c r="E186" i="10"/>
  <c r="F185" i="10"/>
  <c r="E185" i="10"/>
  <c r="F184" i="10"/>
  <c r="E184" i="10"/>
  <c r="F183" i="10"/>
  <c r="E183" i="10"/>
  <c r="F182" i="10"/>
  <c r="E182" i="10"/>
  <c r="F181" i="10"/>
  <c r="E181" i="10"/>
  <c r="F180" i="10"/>
  <c r="E180" i="10"/>
  <c r="F179" i="10"/>
  <c r="E179" i="10"/>
  <c r="F178" i="10"/>
  <c r="E178" i="10"/>
  <c r="F177" i="10"/>
  <c r="E177" i="10"/>
  <c r="F176" i="10"/>
  <c r="E176" i="10"/>
  <c r="F175" i="10"/>
  <c r="E175" i="10"/>
  <c r="F174" i="10"/>
  <c r="E174" i="10"/>
  <c r="F173" i="10"/>
  <c r="E173" i="10"/>
  <c r="F172" i="10"/>
  <c r="E172" i="10"/>
  <c r="F171" i="10"/>
  <c r="E171" i="10"/>
  <c r="F170" i="10"/>
  <c r="E170" i="10"/>
  <c r="F169" i="10"/>
  <c r="E169" i="10"/>
  <c r="F168" i="10"/>
  <c r="E168" i="10"/>
  <c r="F167" i="10"/>
  <c r="E167" i="10"/>
  <c r="F166" i="10"/>
  <c r="E166" i="10"/>
  <c r="F165" i="10"/>
  <c r="E165" i="10"/>
  <c r="F164" i="10"/>
  <c r="E164" i="10"/>
  <c r="F163" i="10"/>
  <c r="E163" i="10"/>
  <c r="F162" i="10"/>
  <c r="E162" i="10"/>
  <c r="F161" i="10"/>
  <c r="E161" i="10"/>
  <c r="F160" i="10"/>
  <c r="E160" i="10"/>
  <c r="F159" i="10"/>
  <c r="E159" i="10"/>
  <c r="F158" i="10"/>
  <c r="E158" i="10"/>
  <c r="F157" i="10"/>
  <c r="E157" i="10"/>
  <c r="F156" i="10"/>
  <c r="E156" i="10"/>
  <c r="F155" i="10"/>
  <c r="E155" i="10"/>
  <c r="F154" i="10"/>
  <c r="E154" i="10"/>
  <c r="F153" i="10"/>
  <c r="E153" i="10"/>
  <c r="F152" i="10"/>
  <c r="E152" i="10"/>
  <c r="F151" i="10"/>
  <c r="E151" i="10"/>
  <c r="F150" i="10"/>
  <c r="E150" i="10"/>
  <c r="F149" i="10"/>
  <c r="E149" i="10"/>
  <c r="F148" i="10"/>
  <c r="E148" i="10"/>
  <c r="F147" i="10"/>
  <c r="E147" i="10"/>
  <c r="F146" i="10"/>
  <c r="E146" i="10"/>
  <c r="F145" i="10"/>
  <c r="E145" i="10"/>
  <c r="F144" i="10"/>
  <c r="E144" i="10"/>
  <c r="F143" i="10"/>
  <c r="E143" i="10"/>
  <c r="F142" i="10"/>
  <c r="E142" i="10"/>
  <c r="F141" i="10"/>
  <c r="E141" i="10"/>
  <c r="F140" i="10"/>
  <c r="E140" i="10"/>
  <c r="F139" i="10"/>
  <c r="E139" i="10"/>
  <c r="F138" i="10"/>
  <c r="E138" i="10"/>
  <c r="F137" i="10"/>
  <c r="E137" i="10"/>
  <c r="F136" i="10"/>
  <c r="E136" i="10"/>
  <c r="F135" i="10"/>
  <c r="E135" i="10"/>
  <c r="F134" i="10"/>
  <c r="E134" i="10"/>
  <c r="F133" i="10"/>
  <c r="E133" i="10"/>
  <c r="F132" i="10"/>
  <c r="E132" i="10"/>
  <c r="F131" i="10"/>
  <c r="E131" i="10"/>
  <c r="F130" i="10"/>
  <c r="E130" i="10"/>
  <c r="F129" i="10"/>
  <c r="E129" i="10"/>
  <c r="F128" i="10"/>
  <c r="E128" i="10"/>
  <c r="F127" i="10"/>
  <c r="E127" i="10"/>
  <c r="F126" i="10"/>
  <c r="E126" i="10"/>
  <c r="F125" i="10"/>
  <c r="E125" i="10"/>
  <c r="F124" i="10"/>
  <c r="E124" i="10"/>
  <c r="F123" i="10"/>
  <c r="E123" i="10"/>
  <c r="F122" i="10"/>
  <c r="E122" i="10"/>
  <c r="F121" i="10"/>
  <c r="E121" i="10"/>
  <c r="F120" i="10"/>
  <c r="E120" i="10"/>
  <c r="F119" i="10"/>
  <c r="E119" i="10"/>
  <c r="F118" i="10"/>
  <c r="E118" i="10"/>
  <c r="F117" i="10"/>
  <c r="E117" i="10"/>
  <c r="F116" i="10"/>
  <c r="E116" i="10"/>
  <c r="F115" i="10"/>
  <c r="E115" i="10"/>
  <c r="F114" i="10"/>
  <c r="E114" i="10"/>
  <c r="F113" i="10"/>
  <c r="E113" i="10"/>
  <c r="F112" i="10"/>
  <c r="E112" i="10"/>
  <c r="F111" i="10"/>
  <c r="E111" i="10"/>
  <c r="F110" i="10"/>
  <c r="E110" i="10"/>
  <c r="F109" i="10"/>
  <c r="E109" i="10"/>
  <c r="F108" i="10"/>
  <c r="E108" i="10"/>
  <c r="F107" i="10"/>
  <c r="E107" i="10"/>
  <c r="F106" i="10"/>
  <c r="E106" i="10"/>
  <c r="F105" i="10"/>
  <c r="E105" i="10"/>
  <c r="F104" i="10"/>
  <c r="E104" i="10"/>
  <c r="F103" i="10"/>
  <c r="E103" i="10"/>
  <c r="F102" i="10"/>
  <c r="E102" i="10"/>
  <c r="F101" i="10"/>
  <c r="E101" i="10"/>
  <c r="F100" i="10"/>
  <c r="E100" i="10"/>
  <c r="F99" i="10"/>
  <c r="E99" i="10"/>
  <c r="F98" i="10"/>
  <c r="E98" i="10"/>
  <c r="F97" i="10"/>
  <c r="E97" i="10"/>
  <c r="F96" i="10"/>
  <c r="E96" i="10"/>
  <c r="F95" i="10"/>
  <c r="E95" i="10"/>
  <c r="F94" i="10"/>
  <c r="E94" i="10"/>
  <c r="F93" i="10"/>
  <c r="E93" i="10"/>
  <c r="F92" i="10"/>
  <c r="E92" i="10"/>
  <c r="F91" i="10"/>
  <c r="E91" i="10"/>
  <c r="F90" i="10"/>
  <c r="E90" i="10"/>
  <c r="F89" i="10"/>
  <c r="E89" i="10"/>
  <c r="F88" i="10"/>
  <c r="E88" i="10"/>
  <c r="F87" i="10"/>
  <c r="E87" i="10"/>
  <c r="F86" i="10"/>
  <c r="E86" i="10"/>
  <c r="F85" i="10"/>
  <c r="E85" i="10"/>
  <c r="F84" i="10"/>
  <c r="E84" i="10"/>
  <c r="F83" i="10"/>
  <c r="E83" i="10"/>
  <c r="F82" i="10"/>
  <c r="E82" i="10"/>
  <c r="F81" i="10"/>
  <c r="E81" i="10"/>
  <c r="F80" i="10"/>
  <c r="E80" i="10"/>
  <c r="F79" i="10"/>
  <c r="E79" i="10"/>
  <c r="F78" i="10"/>
  <c r="E78" i="10"/>
  <c r="F77" i="10"/>
  <c r="E77" i="10"/>
  <c r="F76" i="10"/>
  <c r="E76" i="10"/>
  <c r="F75" i="10"/>
  <c r="E75" i="10"/>
  <c r="F74" i="10"/>
  <c r="E74" i="10"/>
  <c r="F73" i="10"/>
  <c r="E73" i="10"/>
  <c r="F72" i="10"/>
  <c r="E72" i="10"/>
  <c r="F71" i="10"/>
  <c r="E71" i="10"/>
  <c r="F70" i="10"/>
  <c r="E70" i="10"/>
  <c r="F69" i="10"/>
  <c r="E69" i="10"/>
  <c r="F68" i="10"/>
  <c r="E68" i="10"/>
  <c r="F67" i="10"/>
  <c r="E67" i="10"/>
  <c r="F66" i="10"/>
  <c r="E66" i="10"/>
  <c r="F65" i="10"/>
  <c r="E65" i="10"/>
  <c r="F64" i="10"/>
  <c r="E64" i="10"/>
  <c r="F63" i="10"/>
  <c r="E63" i="10"/>
  <c r="F62" i="10"/>
  <c r="E62" i="10"/>
  <c r="F61" i="10"/>
  <c r="E61" i="10"/>
  <c r="F60" i="10"/>
  <c r="E60" i="10"/>
  <c r="F59" i="10"/>
  <c r="E59" i="10"/>
  <c r="F58" i="10"/>
  <c r="E58" i="10"/>
  <c r="F57" i="10"/>
  <c r="E57" i="10"/>
  <c r="F56" i="10"/>
  <c r="E56" i="10"/>
  <c r="F55" i="10"/>
  <c r="E55" i="10"/>
  <c r="F54" i="10"/>
  <c r="E54" i="10"/>
  <c r="F53" i="10"/>
  <c r="E53" i="10"/>
  <c r="F52" i="10"/>
  <c r="E52" i="10"/>
  <c r="F51" i="10"/>
  <c r="E51" i="10"/>
  <c r="F50" i="10"/>
  <c r="E50" i="10"/>
  <c r="F49" i="10"/>
  <c r="E49" i="10"/>
  <c r="F48" i="10"/>
  <c r="E48" i="10"/>
  <c r="F47" i="10"/>
  <c r="E47" i="10"/>
  <c r="F46" i="10"/>
  <c r="E46" i="10"/>
  <c r="F45" i="10"/>
  <c r="E45" i="10"/>
  <c r="F44" i="10"/>
  <c r="E44" i="10"/>
  <c r="F43" i="10"/>
  <c r="E43" i="10"/>
  <c r="F42" i="10"/>
  <c r="E42" i="10"/>
  <c r="F41" i="10"/>
  <c r="E41" i="10"/>
  <c r="F40" i="10"/>
  <c r="E40" i="10"/>
  <c r="F39" i="10"/>
  <c r="E39" i="10"/>
  <c r="F38" i="10"/>
  <c r="E38" i="10"/>
  <c r="F37" i="10"/>
  <c r="E37" i="10"/>
  <c r="F36" i="10"/>
  <c r="E36" i="10"/>
  <c r="F35" i="10"/>
  <c r="E35" i="10"/>
  <c r="F34" i="10"/>
  <c r="E34" i="10"/>
  <c r="F33" i="10"/>
  <c r="E33" i="10"/>
  <c r="F32" i="10"/>
  <c r="E32" i="10"/>
  <c r="F31" i="10"/>
  <c r="E31" i="10"/>
  <c r="F30" i="10"/>
  <c r="E30" i="10"/>
  <c r="F29" i="10"/>
  <c r="E29" i="10"/>
  <c r="F28" i="10"/>
  <c r="E28" i="10"/>
  <c r="F27" i="10"/>
  <c r="E27" i="10"/>
  <c r="F26" i="10"/>
  <c r="E26" i="10"/>
  <c r="F25" i="10"/>
  <c r="E25" i="10"/>
  <c r="F24" i="10"/>
  <c r="E24" i="10"/>
  <c r="F23" i="10"/>
  <c r="E23" i="10"/>
  <c r="F22" i="10"/>
  <c r="E22" i="10"/>
  <c r="F21" i="10"/>
  <c r="E21" i="10"/>
  <c r="F20" i="10"/>
  <c r="E20" i="10"/>
  <c r="F19" i="10"/>
  <c r="E19" i="10"/>
  <c r="F18" i="10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J6" i="10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  <c r="J202" i="10" s="1"/>
  <c r="J203" i="10" s="1"/>
  <c r="J204" i="10" s="1"/>
  <c r="J205" i="10" s="1"/>
  <c r="J206" i="10" s="1"/>
  <c r="J207" i="10" s="1"/>
  <c r="J208" i="10" s="1"/>
  <c r="J209" i="10" s="1"/>
  <c r="J210" i="10" s="1"/>
  <c r="J211" i="10" s="1"/>
  <c r="J212" i="10" s="1"/>
  <c r="J213" i="10" s="1"/>
  <c r="J214" i="10" s="1"/>
  <c r="J215" i="10" s="1"/>
  <c r="J216" i="10" s="1"/>
  <c r="J217" i="10" s="1"/>
  <c r="J218" i="10" s="1"/>
  <c r="J219" i="10" s="1"/>
  <c r="J220" i="10" s="1"/>
  <c r="J221" i="10" s="1"/>
  <c r="J222" i="10" s="1"/>
  <c r="J223" i="10" s="1"/>
  <c r="J224" i="10" s="1"/>
  <c r="J225" i="10" s="1"/>
  <c r="J226" i="10" s="1"/>
  <c r="J227" i="10" s="1"/>
  <c r="J228" i="10" s="1"/>
  <c r="J229" i="10" s="1"/>
  <c r="J230" i="10" s="1"/>
  <c r="J231" i="10" s="1"/>
  <c r="J232" i="10" s="1"/>
  <c r="J233" i="10" s="1"/>
  <c r="J234" i="10" s="1"/>
  <c r="J235" i="10" s="1"/>
  <c r="J236" i="10" s="1"/>
  <c r="J237" i="10" s="1"/>
  <c r="J238" i="10" s="1"/>
  <c r="J239" i="10" s="1"/>
  <c r="J240" i="10" s="1"/>
  <c r="J241" i="10" s="1"/>
  <c r="J242" i="10" s="1"/>
  <c r="J243" i="10" s="1"/>
  <c r="J244" i="10" s="1"/>
  <c r="J245" i="10" s="1"/>
  <c r="J246" i="10" s="1"/>
  <c r="J247" i="10" s="1"/>
  <c r="J248" i="10" s="1"/>
  <c r="J249" i="10" s="1"/>
  <c r="J250" i="10" s="1"/>
  <c r="J251" i="10" s="1"/>
  <c r="J252" i="10" s="1"/>
  <c r="J253" i="10" s="1"/>
  <c r="J254" i="10" s="1"/>
  <c r="J255" i="10" s="1"/>
  <c r="J256" i="10" s="1"/>
  <c r="J257" i="10" s="1"/>
  <c r="J258" i="10" s="1"/>
  <c r="J259" i="10" s="1"/>
  <c r="J260" i="10" s="1"/>
  <c r="J261" i="10" s="1"/>
  <c r="J262" i="10" s="1"/>
  <c r="J263" i="10" s="1"/>
  <c r="J264" i="10" s="1"/>
  <c r="J265" i="10" s="1"/>
  <c r="J266" i="10" s="1"/>
  <c r="J267" i="10" s="1"/>
  <c r="J268" i="10" s="1"/>
  <c r="J269" i="10" s="1"/>
  <c r="J270" i="10" s="1"/>
  <c r="J271" i="10" s="1"/>
  <c r="J272" i="10" s="1"/>
  <c r="J273" i="10" s="1"/>
  <c r="J274" i="10" s="1"/>
  <c r="J275" i="10" s="1"/>
  <c r="J276" i="10" s="1"/>
  <c r="J277" i="10" s="1"/>
  <c r="J278" i="10" s="1"/>
  <c r="J279" i="10" s="1"/>
  <c r="J280" i="10" s="1"/>
  <c r="J281" i="10" s="1"/>
  <c r="J282" i="10" s="1"/>
  <c r="J283" i="10" s="1"/>
  <c r="J284" i="10" s="1"/>
  <c r="J285" i="10" s="1"/>
  <c r="J286" i="10" s="1"/>
  <c r="J287" i="10" s="1"/>
  <c r="J288" i="10" s="1"/>
  <c r="J289" i="10" s="1"/>
  <c r="J290" i="10" s="1"/>
  <c r="J291" i="10" s="1"/>
  <c r="J292" i="10" s="1"/>
  <c r="J293" i="10" s="1"/>
  <c r="J294" i="10" s="1"/>
  <c r="J295" i="10" s="1"/>
  <c r="J296" i="10" s="1"/>
  <c r="J297" i="10" s="1"/>
  <c r="J298" i="10" s="1"/>
  <c r="J299" i="10" s="1"/>
  <c r="J300" i="10" s="1"/>
  <c r="J301" i="10" s="1"/>
  <c r="J302" i="10" s="1"/>
  <c r="J303" i="10" s="1"/>
  <c r="J304" i="10" s="1"/>
  <c r="J305" i="10" s="1"/>
  <c r="J306" i="10" s="1"/>
  <c r="J307" i="10" s="1"/>
  <c r="J308" i="10" s="1"/>
  <c r="J309" i="10" s="1"/>
  <c r="J310" i="10" s="1"/>
  <c r="J311" i="10" s="1"/>
  <c r="J312" i="10" s="1"/>
  <c r="J313" i="10" s="1"/>
  <c r="J314" i="10" s="1"/>
  <c r="J315" i="10" s="1"/>
  <c r="J316" i="10" s="1"/>
  <c r="J317" i="10" s="1"/>
  <c r="J318" i="10" s="1"/>
  <c r="J319" i="10" s="1"/>
  <c r="J320" i="10" s="1"/>
  <c r="J321" i="10" s="1"/>
  <c r="J322" i="10" s="1"/>
  <c r="J323" i="10" s="1"/>
  <c r="J324" i="10" s="1"/>
  <c r="J325" i="10" s="1"/>
  <c r="J326" i="10" s="1"/>
  <c r="J327" i="10" s="1"/>
  <c r="J328" i="10" s="1"/>
  <c r="J329" i="10" s="1"/>
  <c r="J330" i="10" s="1"/>
  <c r="J331" i="10" s="1"/>
  <c r="J332" i="10" s="1"/>
  <c r="J333" i="10" s="1"/>
  <c r="J334" i="10" s="1"/>
  <c r="J335" i="10" s="1"/>
  <c r="J336" i="10" s="1"/>
  <c r="J337" i="10" s="1"/>
  <c r="J338" i="10" s="1"/>
  <c r="J339" i="10" s="1"/>
  <c r="J340" i="10" s="1"/>
  <c r="J341" i="10" s="1"/>
  <c r="J342" i="10" s="1"/>
  <c r="J343" i="10" s="1"/>
  <c r="J344" i="10" s="1"/>
  <c r="J345" i="10" s="1"/>
  <c r="J346" i="10" s="1"/>
  <c r="J347" i="10" s="1"/>
  <c r="J348" i="10" s="1"/>
  <c r="J349" i="10" s="1"/>
  <c r="J350" i="10" s="1"/>
  <c r="J351" i="10" s="1"/>
  <c r="J352" i="10" s="1"/>
  <c r="J353" i="10" s="1"/>
  <c r="J354" i="10" s="1"/>
  <c r="J355" i="10" s="1"/>
  <c r="J356" i="10" s="1"/>
  <c r="J357" i="10" s="1"/>
  <c r="J358" i="10" s="1"/>
  <c r="J359" i="10" s="1"/>
  <c r="J360" i="10" s="1"/>
  <c r="J361" i="10" s="1"/>
  <c r="J362" i="10" s="1"/>
  <c r="J363" i="10" s="1"/>
  <c r="J364" i="10" s="1"/>
  <c r="J365" i="10" s="1"/>
  <c r="J366" i="10" s="1"/>
  <c r="J367" i="10" s="1"/>
  <c r="J368" i="10" s="1"/>
  <c r="J369" i="10" s="1"/>
  <c r="J370" i="10" s="1"/>
  <c r="J371" i="10" s="1"/>
  <c r="J372" i="10" s="1"/>
  <c r="J373" i="10" s="1"/>
  <c r="J374" i="10" s="1"/>
  <c r="J375" i="10" s="1"/>
  <c r="J376" i="10" s="1"/>
  <c r="J377" i="10" s="1"/>
  <c r="J378" i="10" s="1"/>
  <c r="J379" i="10" s="1"/>
  <c r="J380" i="10" s="1"/>
  <c r="J381" i="10" s="1"/>
  <c r="J382" i="10" s="1"/>
  <c r="J383" i="10" s="1"/>
  <c r="J384" i="10" s="1"/>
  <c r="J385" i="10" s="1"/>
  <c r="J386" i="10" s="1"/>
  <c r="J387" i="10" s="1"/>
  <c r="J388" i="10" s="1"/>
  <c r="J389" i="10" s="1"/>
  <c r="J390" i="10" s="1"/>
  <c r="J391" i="10" s="1"/>
  <c r="J392" i="10" s="1"/>
  <c r="J393" i="10" s="1"/>
  <c r="J394" i="10" s="1"/>
  <c r="J395" i="10" s="1"/>
  <c r="J396" i="10" s="1"/>
  <c r="J397" i="10" s="1"/>
  <c r="J398" i="10" s="1"/>
  <c r="J399" i="10" s="1"/>
  <c r="J400" i="10" s="1"/>
  <c r="J401" i="10" s="1"/>
  <c r="J402" i="10" s="1"/>
  <c r="J403" i="10" s="1"/>
  <c r="J404" i="10" s="1"/>
  <c r="J405" i="10" s="1"/>
  <c r="J406" i="10" s="1"/>
  <c r="J407" i="10" s="1"/>
  <c r="J408" i="10" s="1"/>
  <c r="J409" i="10" s="1"/>
  <c r="J410" i="10" s="1"/>
  <c r="J411" i="10" s="1"/>
  <c r="J412" i="10" s="1"/>
  <c r="J413" i="10" s="1"/>
  <c r="J414" i="10" s="1"/>
  <c r="J415" i="10" s="1"/>
  <c r="J416" i="10" s="1"/>
  <c r="J417" i="10" s="1"/>
  <c r="J418" i="10" s="1"/>
  <c r="J419" i="10" s="1"/>
  <c r="J420" i="10" s="1"/>
  <c r="J421" i="10" s="1"/>
  <c r="J422" i="10" s="1"/>
  <c r="J423" i="10" s="1"/>
  <c r="J424" i="10" s="1"/>
  <c r="J425" i="10" s="1"/>
  <c r="J426" i="10" s="1"/>
  <c r="J427" i="10" s="1"/>
  <c r="J428" i="10" s="1"/>
  <c r="J429" i="10" s="1"/>
  <c r="J430" i="10" s="1"/>
  <c r="J431" i="10" s="1"/>
  <c r="J432" i="10" s="1"/>
  <c r="J433" i="10" s="1"/>
  <c r="J434" i="10" s="1"/>
  <c r="J435" i="10" s="1"/>
  <c r="J436" i="10" s="1"/>
  <c r="J437" i="10" s="1"/>
  <c r="J438" i="10" s="1"/>
  <c r="J439" i="10" s="1"/>
  <c r="J440" i="10" s="1"/>
  <c r="J441" i="10" s="1"/>
  <c r="J442" i="10" s="1"/>
  <c r="J443" i="10" s="1"/>
  <c r="J444" i="10" s="1"/>
  <c r="J445" i="10" s="1"/>
  <c r="J446" i="10" s="1"/>
  <c r="J447" i="10" s="1"/>
  <c r="J448" i="10" s="1"/>
  <c r="J449" i="10" s="1"/>
  <c r="J450" i="10" s="1"/>
  <c r="J451" i="10" s="1"/>
  <c r="J452" i="10" s="1"/>
  <c r="J453" i="10" s="1"/>
  <c r="J454" i="10" s="1"/>
  <c r="J455" i="10" s="1"/>
  <c r="J456" i="10" s="1"/>
  <c r="J457" i="10" s="1"/>
  <c r="J458" i="10" s="1"/>
  <c r="J459" i="10" s="1"/>
  <c r="J460" i="10" s="1"/>
  <c r="J461" i="10" s="1"/>
  <c r="J462" i="10" s="1"/>
  <c r="J463" i="10" s="1"/>
  <c r="J464" i="10" s="1"/>
  <c r="J465" i="10" s="1"/>
  <c r="J466" i="10" s="1"/>
  <c r="J467" i="10" s="1"/>
  <c r="J468" i="10" s="1"/>
  <c r="J469" i="10" s="1"/>
  <c r="J470" i="10" s="1"/>
  <c r="J471" i="10" s="1"/>
  <c r="J472" i="10" s="1"/>
  <c r="J473" i="10" s="1"/>
  <c r="J474" i="10" s="1"/>
  <c r="J475" i="10" s="1"/>
  <c r="J476" i="10" s="1"/>
  <c r="J477" i="10" s="1"/>
  <c r="J478" i="10" s="1"/>
  <c r="J479" i="10" s="1"/>
  <c r="J480" i="10" s="1"/>
  <c r="J481" i="10" s="1"/>
  <c r="J482" i="10" s="1"/>
  <c r="J483" i="10" s="1"/>
  <c r="J484" i="10" s="1"/>
  <c r="J485" i="10" s="1"/>
  <c r="J486" i="10" s="1"/>
  <c r="J487" i="10" s="1"/>
  <c r="J488" i="10" s="1"/>
  <c r="J489" i="10" s="1"/>
  <c r="J490" i="10" s="1"/>
  <c r="J491" i="10" s="1"/>
  <c r="J492" i="10" s="1"/>
  <c r="J493" i="10" s="1"/>
  <c r="J494" i="10" s="1"/>
  <c r="J495" i="10" s="1"/>
  <c r="J496" i="10" s="1"/>
  <c r="J497" i="10" s="1"/>
  <c r="J498" i="10" s="1"/>
  <c r="J499" i="10" s="1"/>
  <c r="J500" i="10" s="1"/>
  <c r="J501" i="10" s="1"/>
  <c r="J502" i="10" s="1"/>
  <c r="J503" i="10" s="1"/>
  <c r="J504" i="10" s="1"/>
  <c r="J505" i="10" s="1"/>
  <c r="F6" i="10"/>
  <c r="E6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1" i="10" s="1"/>
  <c r="K142" i="10" s="1"/>
  <c r="K143" i="10" s="1"/>
  <c r="K144" i="10" s="1"/>
  <c r="K145" i="10" s="1"/>
  <c r="K146" i="10" s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81" i="10" s="1"/>
  <c r="K182" i="10" s="1"/>
  <c r="K183" i="10" s="1"/>
  <c r="K184" i="10" s="1"/>
  <c r="K185" i="10" s="1"/>
  <c r="K186" i="10" s="1"/>
  <c r="K187" i="10" s="1"/>
  <c r="K188" i="10" s="1"/>
  <c r="K189" i="10" s="1"/>
  <c r="K190" i="10" s="1"/>
  <c r="K191" i="10" s="1"/>
  <c r="K192" i="10" s="1"/>
  <c r="K193" i="10" s="1"/>
  <c r="K194" i="10" s="1"/>
  <c r="K195" i="10" s="1"/>
  <c r="K196" i="10" s="1"/>
  <c r="K197" i="10" s="1"/>
  <c r="K198" i="10" s="1"/>
  <c r="K199" i="10" s="1"/>
  <c r="K200" i="10" s="1"/>
  <c r="K201" i="10" s="1"/>
  <c r="K202" i="10" s="1"/>
  <c r="K203" i="10" s="1"/>
  <c r="K204" i="10" s="1"/>
  <c r="K205" i="10" s="1"/>
  <c r="K206" i="10" s="1"/>
  <c r="K207" i="10" s="1"/>
  <c r="K208" i="10" s="1"/>
  <c r="K209" i="10" s="1"/>
  <c r="K210" i="10" s="1"/>
  <c r="K211" i="10" s="1"/>
  <c r="K212" i="10" s="1"/>
  <c r="K213" i="10" s="1"/>
  <c r="K214" i="10" s="1"/>
  <c r="K215" i="10" s="1"/>
  <c r="K216" i="10" s="1"/>
  <c r="K217" i="10" s="1"/>
  <c r="K218" i="10" s="1"/>
  <c r="K219" i="10" s="1"/>
  <c r="K220" i="10" s="1"/>
  <c r="K221" i="10" s="1"/>
  <c r="K222" i="10" s="1"/>
  <c r="K223" i="10" s="1"/>
  <c r="K224" i="10" s="1"/>
  <c r="K225" i="10" s="1"/>
  <c r="K226" i="10" s="1"/>
  <c r="K227" i="10" s="1"/>
  <c r="K228" i="10" s="1"/>
  <c r="K229" i="10" s="1"/>
  <c r="K230" i="10" s="1"/>
  <c r="K231" i="10" s="1"/>
  <c r="K232" i="10" s="1"/>
  <c r="K233" i="10" s="1"/>
  <c r="K234" i="10" s="1"/>
  <c r="K235" i="10" s="1"/>
  <c r="K236" i="10" s="1"/>
  <c r="K237" i="10" s="1"/>
  <c r="K238" i="10" s="1"/>
  <c r="K239" i="10" s="1"/>
  <c r="K240" i="10" s="1"/>
  <c r="K241" i="10" s="1"/>
  <c r="K242" i="10" s="1"/>
  <c r="K243" i="10" s="1"/>
  <c r="K244" i="10" s="1"/>
  <c r="K245" i="10" s="1"/>
  <c r="K246" i="10" s="1"/>
  <c r="K247" i="10" s="1"/>
  <c r="K248" i="10" s="1"/>
  <c r="K249" i="10" s="1"/>
  <c r="K250" i="10" s="1"/>
  <c r="K251" i="10" s="1"/>
  <c r="K252" i="10" s="1"/>
  <c r="K253" i="10" s="1"/>
  <c r="K254" i="10" s="1"/>
  <c r="K255" i="10" s="1"/>
  <c r="K256" i="10" s="1"/>
  <c r="K257" i="10" s="1"/>
  <c r="K258" i="10" s="1"/>
  <c r="K259" i="10" s="1"/>
  <c r="K260" i="10" s="1"/>
  <c r="K261" i="10" s="1"/>
  <c r="K262" i="10" s="1"/>
  <c r="K263" i="10" s="1"/>
  <c r="K264" i="10" s="1"/>
  <c r="K265" i="10" s="1"/>
  <c r="K266" i="10" s="1"/>
  <c r="K267" i="10" s="1"/>
  <c r="K268" i="10" s="1"/>
  <c r="K269" i="10" s="1"/>
  <c r="K270" i="10" s="1"/>
  <c r="K271" i="10" s="1"/>
  <c r="K272" i="10" s="1"/>
  <c r="K273" i="10" s="1"/>
  <c r="K274" i="10" s="1"/>
  <c r="K275" i="10" s="1"/>
  <c r="K276" i="10" s="1"/>
  <c r="K277" i="10" s="1"/>
  <c r="K278" i="10" s="1"/>
  <c r="K279" i="10" s="1"/>
  <c r="K280" i="10" s="1"/>
  <c r="K281" i="10" s="1"/>
  <c r="K282" i="10" s="1"/>
  <c r="K283" i="10" s="1"/>
  <c r="K284" i="10" s="1"/>
  <c r="K285" i="10" s="1"/>
  <c r="K286" i="10" s="1"/>
  <c r="K287" i="10" s="1"/>
  <c r="K288" i="10" s="1"/>
  <c r="K289" i="10" s="1"/>
  <c r="K290" i="10" s="1"/>
  <c r="K291" i="10" s="1"/>
  <c r="K292" i="10" s="1"/>
  <c r="K293" i="10" s="1"/>
  <c r="K294" i="10" s="1"/>
  <c r="K295" i="10" s="1"/>
  <c r="K296" i="10" s="1"/>
  <c r="K297" i="10" s="1"/>
  <c r="K298" i="10" s="1"/>
  <c r="K299" i="10" s="1"/>
  <c r="K300" i="10" s="1"/>
  <c r="K301" i="10" s="1"/>
  <c r="K302" i="10" s="1"/>
  <c r="K303" i="10" s="1"/>
  <c r="K304" i="10" s="1"/>
  <c r="K305" i="10" s="1"/>
  <c r="K306" i="10" s="1"/>
  <c r="K307" i="10" s="1"/>
  <c r="K308" i="10" s="1"/>
  <c r="K309" i="10" s="1"/>
  <c r="K310" i="10" s="1"/>
  <c r="K311" i="10" s="1"/>
  <c r="K312" i="10" s="1"/>
  <c r="K313" i="10" s="1"/>
  <c r="K314" i="10" s="1"/>
  <c r="K315" i="10" s="1"/>
  <c r="K316" i="10" s="1"/>
  <c r="K317" i="10" s="1"/>
  <c r="K318" i="10" s="1"/>
  <c r="K319" i="10" s="1"/>
  <c r="K320" i="10" s="1"/>
  <c r="K321" i="10" s="1"/>
  <c r="K322" i="10" s="1"/>
  <c r="K323" i="10" s="1"/>
  <c r="K324" i="10" s="1"/>
  <c r="K325" i="10" s="1"/>
  <c r="K326" i="10" s="1"/>
  <c r="K327" i="10" s="1"/>
  <c r="K328" i="10" s="1"/>
  <c r="K329" i="10" s="1"/>
  <c r="K330" i="10" s="1"/>
  <c r="K331" i="10" s="1"/>
  <c r="K332" i="10" s="1"/>
  <c r="K333" i="10" s="1"/>
  <c r="K334" i="10" s="1"/>
  <c r="K335" i="10" s="1"/>
  <c r="K336" i="10" s="1"/>
  <c r="K337" i="10" s="1"/>
  <c r="K338" i="10" s="1"/>
  <c r="K339" i="10" s="1"/>
  <c r="K340" i="10" s="1"/>
  <c r="K341" i="10" s="1"/>
  <c r="K342" i="10" s="1"/>
  <c r="K343" i="10" s="1"/>
  <c r="K344" i="10" s="1"/>
  <c r="K345" i="10" s="1"/>
  <c r="K346" i="10" s="1"/>
  <c r="K347" i="10" s="1"/>
  <c r="K348" i="10" s="1"/>
  <c r="K349" i="10" s="1"/>
  <c r="K350" i="10" s="1"/>
  <c r="K351" i="10" s="1"/>
  <c r="K352" i="10" s="1"/>
  <c r="K353" i="10" s="1"/>
  <c r="K354" i="10" s="1"/>
  <c r="K355" i="10" s="1"/>
  <c r="K356" i="10" s="1"/>
  <c r="K357" i="10" s="1"/>
  <c r="K358" i="10" s="1"/>
  <c r="K359" i="10" s="1"/>
  <c r="K360" i="10" s="1"/>
  <c r="K361" i="10" s="1"/>
  <c r="K362" i="10" s="1"/>
  <c r="K363" i="10" s="1"/>
  <c r="K364" i="10" s="1"/>
  <c r="K365" i="10" s="1"/>
  <c r="K366" i="10" s="1"/>
  <c r="K367" i="10" s="1"/>
  <c r="K368" i="10" s="1"/>
  <c r="K369" i="10" s="1"/>
  <c r="K370" i="10" s="1"/>
  <c r="K371" i="10" s="1"/>
  <c r="K372" i="10" s="1"/>
  <c r="K373" i="10" s="1"/>
  <c r="K374" i="10" s="1"/>
  <c r="K375" i="10" s="1"/>
  <c r="K376" i="10" s="1"/>
  <c r="K377" i="10" s="1"/>
  <c r="K378" i="10" s="1"/>
  <c r="K379" i="10" s="1"/>
  <c r="K380" i="10" s="1"/>
  <c r="K381" i="10" s="1"/>
  <c r="K382" i="10" s="1"/>
  <c r="K383" i="10" s="1"/>
  <c r="K384" i="10" s="1"/>
  <c r="K385" i="10" s="1"/>
  <c r="K386" i="10" s="1"/>
  <c r="K387" i="10" s="1"/>
  <c r="K388" i="10" s="1"/>
  <c r="K389" i="10" s="1"/>
  <c r="K390" i="10" s="1"/>
  <c r="K391" i="10" s="1"/>
  <c r="K392" i="10" s="1"/>
  <c r="K393" i="10" s="1"/>
  <c r="K394" i="10" s="1"/>
  <c r="K395" i="10" s="1"/>
  <c r="K396" i="10" s="1"/>
  <c r="K397" i="10" s="1"/>
  <c r="K398" i="10" s="1"/>
  <c r="K399" i="10" s="1"/>
  <c r="K400" i="10" s="1"/>
  <c r="K401" i="10" s="1"/>
  <c r="K402" i="10" s="1"/>
  <c r="K403" i="10" s="1"/>
  <c r="K404" i="10" s="1"/>
  <c r="K405" i="10" s="1"/>
  <c r="K406" i="10" s="1"/>
  <c r="K407" i="10" s="1"/>
  <c r="K408" i="10" s="1"/>
  <c r="K409" i="10" s="1"/>
  <c r="K410" i="10" s="1"/>
  <c r="K411" i="10" s="1"/>
  <c r="K412" i="10" s="1"/>
  <c r="K413" i="10" s="1"/>
  <c r="K414" i="10" s="1"/>
  <c r="K415" i="10" s="1"/>
  <c r="K416" i="10" s="1"/>
  <c r="K417" i="10" s="1"/>
  <c r="K418" i="10" s="1"/>
  <c r="K419" i="10" s="1"/>
  <c r="K420" i="10" s="1"/>
  <c r="K421" i="10" s="1"/>
  <c r="K422" i="10" s="1"/>
  <c r="K423" i="10" s="1"/>
  <c r="K424" i="10" s="1"/>
  <c r="K425" i="10" s="1"/>
  <c r="K426" i="10" s="1"/>
  <c r="K427" i="10" s="1"/>
  <c r="K428" i="10" s="1"/>
  <c r="K429" i="10" s="1"/>
  <c r="K430" i="10" s="1"/>
  <c r="K431" i="10" s="1"/>
  <c r="K432" i="10" s="1"/>
  <c r="K433" i="10" s="1"/>
  <c r="K434" i="10" s="1"/>
  <c r="K435" i="10" s="1"/>
  <c r="K436" i="10" s="1"/>
  <c r="K437" i="10" s="1"/>
  <c r="K438" i="10" s="1"/>
  <c r="K439" i="10" s="1"/>
  <c r="K440" i="10" s="1"/>
  <c r="K441" i="10" s="1"/>
  <c r="K442" i="10" s="1"/>
  <c r="K443" i="10" s="1"/>
  <c r="K444" i="10" s="1"/>
  <c r="K445" i="10" s="1"/>
  <c r="K446" i="10" s="1"/>
  <c r="K447" i="10" s="1"/>
  <c r="K448" i="10" s="1"/>
  <c r="K449" i="10" s="1"/>
  <c r="K450" i="10" s="1"/>
  <c r="K451" i="10" s="1"/>
  <c r="K452" i="10" s="1"/>
  <c r="K453" i="10" s="1"/>
  <c r="K454" i="10" s="1"/>
  <c r="K455" i="10" s="1"/>
  <c r="K456" i="10" s="1"/>
  <c r="K457" i="10" s="1"/>
  <c r="K458" i="10" s="1"/>
  <c r="K459" i="10" s="1"/>
  <c r="K460" i="10" s="1"/>
  <c r="K461" i="10" s="1"/>
  <c r="K462" i="10" s="1"/>
  <c r="K463" i="10" s="1"/>
  <c r="K464" i="10" s="1"/>
  <c r="K465" i="10" s="1"/>
  <c r="K466" i="10" s="1"/>
  <c r="K467" i="10" s="1"/>
  <c r="K468" i="10" s="1"/>
  <c r="K469" i="10" s="1"/>
  <c r="K470" i="10" s="1"/>
  <c r="K471" i="10" s="1"/>
  <c r="K472" i="10" s="1"/>
  <c r="K473" i="10" s="1"/>
  <c r="K474" i="10" s="1"/>
  <c r="K475" i="10" s="1"/>
  <c r="K476" i="10" s="1"/>
  <c r="K477" i="10" s="1"/>
  <c r="K478" i="10" s="1"/>
  <c r="K479" i="10" s="1"/>
  <c r="K480" i="10" s="1"/>
  <c r="K481" i="10" s="1"/>
  <c r="K482" i="10" s="1"/>
  <c r="K483" i="10" s="1"/>
  <c r="K484" i="10" s="1"/>
  <c r="K485" i="10" s="1"/>
  <c r="K486" i="10" s="1"/>
  <c r="K487" i="10" s="1"/>
  <c r="K488" i="10" s="1"/>
  <c r="K489" i="10" s="1"/>
  <c r="K490" i="10" s="1"/>
  <c r="K491" i="10" s="1"/>
  <c r="K492" i="10" s="1"/>
  <c r="K493" i="10" s="1"/>
  <c r="K494" i="10" s="1"/>
  <c r="K495" i="10" s="1"/>
  <c r="K496" i="10" s="1"/>
  <c r="K497" i="10" s="1"/>
  <c r="K498" i="10" s="1"/>
  <c r="K499" i="10" s="1"/>
  <c r="K500" i="10" s="1"/>
  <c r="K501" i="10" s="1"/>
  <c r="K502" i="10" s="1"/>
  <c r="K503" i="10" s="1"/>
  <c r="K504" i="10" s="1"/>
  <c r="K505" i="10" s="1"/>
  <c r="I3" i="8"/>
  <c r="J3" i="8"/>
  <c r="I4" i="8"/>
  <c r="J4" i="8"/>
  <c r="I5" i="8"/>
  <c r="J5" i="8"/>
  <c r="I6" i="8"/>
  <c r="J6" i="8"/>
  <c r="I7" i="8"/>
  <c r="J7" i="8"/>
  <c r="I8" i="8"/>
  <c r="J8" i="8"/>
  <c r="I9" i="8"/>
  <c r="J9" i="8"/>
  <c r="I10" i="8"/>
  <c r="J10" i="8"/>
  <c r="I11" i="8"/>
  <c r="J11" i="8"/>
  <c r="I12" i="8"/>
  <c r="J12" i="8"/>
  <c r="I13" i="8"/>
  <c r="J13" i="8"/>
  <c r="I14" i="8"/>
  <c r="J14" i="8"/>
  <c r="I15" i="8"/>
  <c r="J15" i="8"/>
  <c r="I16" i="8"/>
  <c r="J16" i="8"/>
  <c r="I17" i="8"/>
  <c r="J17" i="8"/>
  <c r="I18" i="8"/>
  <c r="J18" i="8"/>
  <c r="I19" i="8"/>
  <c r="J19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6" i="8"/>
  <c r="J36" i="8"/>
  <c r="I37" i="8"/>
  <c r="J37" i="8"/>
  <c r="I38" i="8"/>
  <c r="J38" i="8"/>
  <c r="I39" i="8"/>
  <c r="J39" i="8"/>
  <c r="I40" i="8"/>
  <c r="J40" i="8"/>
  <c r="I41" i="8"/>
  <c r="J41" i="8"/>
  <c r="I42" i="8"/>
  <c r="J42" i="8"/>
  <c r="I43" i="8"/>
  <c r="J43" i="8"/>
  <c r="I44" i="8"/>
  <c r="J44" i="8"/>
  <c r="I45" i="8"/>
  <c r="J45" i="8"/>
  <c r="I46" i="8"/>
  <c r="J46" i="8"/>
  <c r="I47" i="8"/>
  <c r="J47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55" i="8"/>
  <c r="J55" i="8"/>
  <c r="I56" i="8"/>
  <c r="J56" i="8"/>
  <c r="I57" i="8"/>
  <c r="J57" i="8"/>
  <c r="I58" i="8"/>
  <c r="J58" i="8"/>
  <c r="I59" i="8"/>
  <c r="J59" i="8"/>
  <c r="I60" i="8"/>
  <c r="J60" i="8"/>
  <c r="I61" i="8"/>
  <c r="J61" i="8"/>
  <c r="I62" i="8"/>
  <c r="J62" i="8"/>
  <c r="I63" i="8"/>
  <c r="J63" i="8"/>
  <c r="I64" i="8"/>
  <c r="J64" i="8"/>
  <c r="I65" i="8"/>
  <c r="J65" i="8"/>
  <c r="I66" i="8"/>
  <c r="J66" i="8"/>
  <c r="I67" i="8"/>
  <c r="J67" i="8"/>
  <c r="I68" i="8"/>
  <c r="J68" i="8"/>
  <c r="I69" i="8"/>
  <c r="J69" i="8"/>
  <c r="I70" i="8"/>
  <c r="J70" i="8"/>
  <c r="I71" i="8"/>
  <c r="J71" i="8"/>
  <c r="I72" i="8"/>
  <c r="J72" i="8"/>
  <c r="I73" i="8"/>
  <c r="J73" i="8"/>
  <c r="I74" i="8"/>
  <c r="J74" i="8"/>
  <c r="I75" i="8"/>
  <c r="J75" i="8"/>
  <c r="I76" i="8"/>
  <c r="J76" i="8"/>
  <c r="I77" i="8"/>
  <c r="J77" i="8"/>
  <c r="I78" i="8"/>
  <c r="J78" i="8"/>
  <c r="I79" i="8"/>
  <c r="J79" i="8"/>
  <c r="I80" i="8"/>
  <c r="J80" i="8"/>
  <c r="I81" i="8"/>
  <c r="J81" i="8"/>
  <c r="I82" i="8"/>
  <c r="J82" i="8"/>
  <c r="I83" i="8"/>
  <c r="J83" i="8"/>
  <c r="I84" i="8"/>
  <c r="J84" i="8"/>
  <c r="I85" i="8"/>
  <c r="J85" i="8"/>
  <c r="I86" i="8"/>
  <c r="J86" i="8"/>
  <c r="I87" i="8"/>
  <c r="J87" i="8"/>
  <c r="I88" i="8"/>
  <c r="J88" i="8"/>
  <c r="I89" i="8"/>
  <c r="J89" i="8"/>
  <c r="I90" i="8"/>
  <c r="J90" i="8"/>
  <c r="I91" i="8"/>
  <c r="J91" i="8"/>
  <c r="I92" i="8"/>
  <c r="J92" i="8"/>
  <c r="I93" i="8"/>
  <c r="J93" i="8"/>
  <c r="I94" i="8"/>
  <c r="J94" i="8"/>
  <c r="I95" i="8"/>
  <c r="J95" i="8"/>
  <c r="I96" i="8"/>
  <c r="J96" i="8"/>
  <c r="I97" i="8"/>
  <c r="J97" i="8"/>
  <c r="I98" i="8"/>
  <c r="J98" i="8"/>
  <c r="I99" i="8"/>
  <c r="J99" i="8"/>
  <c r="I100" i="8"/>
  <c r="J100" i="8"/>
  <c r="I101" i="8"/>
  <c r="J101" i="8"/>
  <c r="I102" i="8"/>
  <c r="J102" i="8"/>
  <c r="I103" i="8"/>
  <c r="J103" i="8"/>
  <c r="I104" i="8"/>
  <c r="J104" i="8"/>
  <c r="I105" i="8"/>
  <c r="J105" i="8"/>
  <c r="I106" i="8"/>
  <c r="J106" i="8"/>
  <c r="I107" i="8"/>
  <c r="J107" i="8"/>
  <c r="I108" i="8"/>
  <c r="J108" i="8"/>
  <c r="I109" i="8"/>
  <c r="J109" i="8"/>
  <c r="I110" i="8"/>
  <c r="J110" i="8"/>
  <c r="I111" i="8"/>
  <c r="J111" i="8"/>
  <c r="I112" i="8"/>
  <c r="J112" i="8"/>
  <c r="I113" i="8"/>
  <c r="J113" i="8"/>
  <c r="I114" i="8"/>
  <c r="J114" i="8"/>
  <c r="I115" i="8"/>
  <c r="J115" i="8"/>
  <c r="I116" i="8"/>
  <c r="J116" i="8"/>
  <c r="I117" i="8"/>
  <c r="J117" i="8"/>
  <c r="I118" i="8"/>
  <c r="J118" i="8"/>
  <c r="I119" i="8"/>
  <c r="J119" i="8"/>
  <c r="I120" i="8"/>
  <c r="J120" i="8"/>
  <c r="I121" i="8"/>
  <c r="J121" i="8"/>
  <c r="I122" i="8"/>
  <c r="J122" i="8"/>
  <c r="I123" i="8"/>
  <c r="J123" i="8"/>
  <c r="I124" i="8"/>
  <c r="J124" i="8"/>
  <c r="I125" i="8"/>
  <c r="J125" i="8"/>
  <c r="I126" i="8"/>
  <c r="J126" i="8"/>
  <c r="I127" i="8"/>
  <c r="J127" i="8"/>
  <c r="I128" i="8"/>
  <c r="J128" i="8"/>
  <c r="I129" i="8"/>
  <c r="J129" i="8"/>
  <c r="I130" i="8"/>
  <c r="J130" i="8"/>
  <c r="I131" i="8"/>
  <c r="J131" i="8"/>
  <c r="I132" i="8"/>
  <c r="J132" i="8"/>
  <c r="I133" i="8"/>
  <c r="J133" i="8"/>
  <c r="I134" i="8"/>
  <c r="J134" i="8"/>
  <c r="I135" i="8"/>
  <c r="J135" i="8"/>
  <c r="I136" i="8"/>
  <c r="J136" i="8"/>
  <c r="I137" i="8"/>
  <c r="J137" i="8"/>
  <c r="I138" i="8"/>
  <c r="J138" i="8"/>
  <c r="I139" i="8"/>
  <c r="J139" i="8"/>
  <c r="I140" i="8"/>
  <c r="J140" i="8"/>
  <c r="I141" i="8"/>
  <c r="J141" i="8"/>
  <c r="I142" i="8"/>
  <c r="J142" i="8"/>
  <c r="I143" i="8"/>
  <c r="J143" i="8"/>
  <c r="I144" i="8"/>
  <c r="J144" i="8"/>
  <c r="I145" i="8"/>
  <c r="J145" i="8"/>
  <c r="I146" i="8"/>
  <c r="J146" i="8"/>
  <c r="I147" i="8"/>
  <c r="J147" i="8"/>
  <c r="I148" i="8"/>
  <c r="J148" i="8"/>
  <c r="I149" i="8"/>
  <c r="J149" i="8"/>
  <c r="I150" i="8"/>
  <c r="J150" i="8"/>
  <c r="I151" i="8"/>
  <c r="J151" i="8"/>
  <c r="I152" i="8"/>
  <c r="J152" i="8"/>
  <c r="I153" i="8"/>
  <c r="J153" i="8"/>
  <c r="I154" i="8"/>
  <c r="J154" i="8"/>
  <c r="I155" i="8"/>
  <c r="J155" i="8"/>
  <c r="I156" i="8"/>
  <c r="J156" i="8"/>
  <c r="I157" i="8"/>
  <c r="J157" i="8"/>
  <c r="I158" i="8"/>
  <c r="J158" i="8"/>
  <c r="I159" i="8"/>
  <c r="J159" i="8"/>
  <c r="I160" i="8"/>
  <c r="J160" i="8"/>
  <c r="I161" i="8"/>
  <c r="J161" i="8"/>
  <c r="I162" i="8"/>
  <c r="J162" i="8"/>
  <c r="I163" i="8"/>
  <c r="J163" i="8"/>
  <c r="I164" i="8"/>
  <c r="J164" i="8"/>
  <c r="I165" i="8"/>
  <c r="J165" i="8"/>
  <c r="I166" i="8"/>
  <c r="J166" i="8"/>
  <c r="I167" i="8"/>
  <c r="J167" i="8"/>
  <c r="I168" i="8"/>
  <c r="J168" i="8"/>
  <c r="I169" i="8"/>
  <c r="J169" i="8"/>
  <c r="I170" i="8"/>
  <c r="J170" i="8"/>
  <c r="I171" i="8"/>
  <c r="J171" i="8"/>
  <c r="I172" i="8"/>
  <c r="J172" i="8"/>
  <c r="I173" i="8"/>
  <c r="J173" i="8"/>
  <c r="I174" i="8"/>
  <c r="J174" i="8"/>
  <c r="I175" i="8"/>
  <c r="J175" i="8"/>
  <c r="I176" i="8"/>
  <c r="J176" i="8"/>
  <c r="I177" i="8"/>
  <c r="J177" i="8"/>
  <c r="I178" i="8"/>
  <c r="J178" i="8"/>
  <c r="I179" i="8"/>
  <c r="J179" i="8"/>
  <c r="I180" i="8"/>
  <c r="J180" i="8"/>
  <c r="I181" i="8"/>
  <c r="J181" i="8"/>
  <c r="I182" i="8"/>
  <c r="J182" i="8"/>
  <c r="I183" i="8"/>
  <c r="J183" i="8"/>
  <c r="I184" i="8"/>
  <c r="J184" i="8"/>
  <c r="I185" i="8"/>
  <c r="J185" i="8"/>
  <c r="I186" i="8"/>
  <c r="J186" i="8"/>
  <c r="I187" i="8"/>
  <c r="J187" i="8"/>
  <c r="I188" i="8"/>
  <c r="J188" i="8"/>
  <c r="I189" i="8"/>
  <c r="J189" i="8"/>
  <c r="I190" i="8"/>
  <c r="J190" i="8"/>
  <c r="I191" i="8"/>
  <c r="J191" i="8"/>
  <c r="I192" i="8"/>
  <c r="J192" i="8"/>
  <c r="I193" i="8"/>
  <c r="J193" i="8"/>
  <c r="I194" i="8"/>
  <c r="J194" i="8"/>
  <c r="I195" i="8"/>
  <c r="J195" i="8"/>
  <c r="I196" i="8"/>
  <c r="J196" i="8"/>
  <c r="I197" i="8"/>
  <c r="J197" i="8"/>
  <c r="I198" i="8"/>
  <c r="J198" i="8"/>
  <c r="I199" i="8"/>
  <c r="J199" i="8"/>
  <c r="I200" i="8"/>
  <c r="J200" i="8"/>
  <c r="I201" i="8"/>
  <c r="J201" i="8"/>
  <c r="I202" i="8"/>
  <c r="J202" i="8"/>
  <c r="I203" i="8"/>
  <c r="J203" i="8"/>
  <c r="I204" i="8"/>
  <c r="J204" i="8"/>
  <c r="I205" i="8"/>
  <c r="J205" i="8"/>
  <c r="I206" i="8"/>
  <c r="J206" i="8"/>
  <c r="I207" i="8"/>
  <c r="J207" i="8"/>
  <c r="I208" i="8"/>
  <c r="J208" i="8"/>
  <c r="I209" i="8"/>
  <c r="J209" i="8"/>
  <c r="I210" i="8"/>
  <c r="J210" i="8"/>
  <c r="I211" i="8"/>
  <c r="J211" i="8"/>
  <c r="I212" i="8"/>
  <c r="J212" i="8"/>
  <c r="I213" i="8"/>
  <c r="J213" i="8"/>
  <c r="I214" i="8"/>
  <c r="J214" i="8"/>
  <c r="I215" i="8"/>
  <c r="J215" i="8"/>
  <c r="I216" i="8"/>
  <c r="J216" i="8"/>
  <c r="I217" i="8"/>
  <c r="J217" i="8"/>
  <c r="I218" i="8"/>
  <c r="J218" i="8"/>
  <c r="I219" i="8"/>
  <c r="J219" i="8"/>
  <c r="I220" i="8"/>
  <c r="J220" i="8"/>
  <c r="I221" i="8"/>
  <c r="J221" i="8"/>
  <c r="I222" i="8"/>
  <c r="J222" i="8"/>
  <c r="I223" i="8"/>
  <c r="J223" i="8"/>
  <c r="I224" i="8"/>
  <c r="J224" i="8"/>
  <c r="I225" i="8"/>
  <c r="J225" i="8"/>
  <c r="I226" i="8"/>
  <c r="J226" i="8"/>
  <c r="I227" i="8"/>
  <c r="J227" i="8"/>
  <c r="I228" i="8"/>
  <c r="J228" i="8"/>
  <c r="I229" i="8"/>
  <c r="J229" i="8"/>
  <c r="I230" i="8"/>
  <c r="J230" i="8"/>
  <c r="I231" i="8"/>
  <c r="J231" i="8"/>
  <c r="I232" i="8"/>
  <c r="J232" i="8"/>
  <c r="I233" i="8"/>
  <c r="J233" i="8"/>
  <c r="I234" i="8"/>
  <c r="J234" i="8"/>
  <c r="I235" i="8"/>
  <c r="J235" i="8"/>
  <c r="I236" i="8"/>
  <c r="J236" i="8"/>
  <c r="I237" i="8"/>
  <c r="J237" i="8"/>
  <c r="I238" i="8"/>
  <c r="J238" i="8"/>
  <c r="I239" i="8"/>
  <c r="J239" i="8"/>
  <c r="I240" i="8"/>
  <c r="J240" i="8"/>
  <c r="I241" i="8"/>
  <c r="J241" i="8"/>
  <c r="I242" i="8"/>
  <c r="J242" i="8"/>
  <c r="I243" i="8"/>
  <c r="J243" i="8"/>
  <c r="I244" i="8"/>
  <c r="J244" i="8"/>
  <c r="I245" i="8"/>
  <c r="J245" i="8"/>
  <c r="I246" i="8"/>
  <c r="J246" i="8"/>
  <c r="I247" i="8"/>
  <c r="J247" i="8"/>
  <c r="I248" i="8"/>
  <c r="J248" i="8"/>
  <c r="I249" i="8"/>
  <c r="J249" i="8"/>
  <c r="I250" i="8"/>
  <c r="J250" i="8"/>
  <c r="I251" i="8"/>
  <c r="J251" i="8"/>
  <c r="I252" i="8"/>
  <c r="J252" i="8"/>
  <c r="I253" i="8"/>
  <c r="J253" i="8"/>
  <c r="I254" i="8"/>
  <c r="J254" i="8"/>
  <c r="I255" i="8"/>
  <c r="J255" i="8"/>
  <c r="I256" i="8"/>
  <c r="J256" i="8"/>
  <c r="I257" i="8"/>
  <c r="J257" i="8"/>
  <c r="I258" i="8"/>
  <c r="J258" i="8"/>
  <c r="I259" i="8"/>
  <c r="J259" i="8"/>
  <c r="I260" i="8"/>
  <c r="J260" i="8"/>
  <c r="I261" i="8"/>
  <c r="J261" i="8"/>
  <c r="I262" i="8"/>
  <c r="J262" i="8"/>
  <c r="I263" i="8"/>
  <c r="J263" i="8"/>
  <c r="I264" i="8"/>
  <c r="J264" i="8"/>
  <c r="I265" i="8"/>
  <c r="J265" i="8"/>
  <c r="I266" i="8"/>
  <c r="J266" i="8"/>
  <c r="I267" i="8"/>
  <c r="J267" i="8"/>
  <c r="I268" i="8"/>
  <c r="J268" i="8"/>
  <c r="I269" i="8"/>
  <c r="J269" i="8"/>
  <c r="I270" i="8"/>
  <c r="J270" i="8"/>
  <c r="I271" i="8"/>
  <c r="J271" i="8"/>
  <c r="I272" i="8"/>
  <c r="J272" i="8"/>
  <c r="I273" i="8"/>
  <c r="J273" i="8"/>
  <c r="I274" i="8"/>
  <c r="J274" i="8"/>
  <c r="I275" i="8"/>
  <c r="J275" i="8"/>
  <c r="I276" i="8"/>
  <c r="J276" i="8"/>
  <c r="I277" i="8"/>
  <c r="J277" i="8"/>
  <c r="I278" i="8"/>
  <c r="J278" i="8"/>
  <c r="I279" i="8"/>
  <c r="J279" i="8"/>
  <c r="I280" i="8"/>
  <c r="J280" i="8"/>
  <c r="I281" i="8"/>
  <c r="J281" i="8"/>
  <c r="I282" i="8"/>
  <c r="J282" i="8"/>
  <c r="I283" i="8"/>
  <c r="J283" i="8"/>
  <c r="I284" i="8"/>
  <c r="J284" i="8"/>
  <c r="I285" i="8"/>
  <c r="J285" i="8"/>
  <c r="I286" i="8"/>
  <c r="J286" i="8"/>
  <c r="I287" i="8"/>
  <c r="J287" i="8"/>
  <c r="I288" i="8"/>
  <c r="J288" i="8"/>
  <c r="I289" i="8"/>
  <c r="J289" i="8"/>
  <c r="I290" i="8"/>
  <c r="J290" i="8"/>
  <c r="I291" i="8"/>
  <c r="J291" i="8"/>
  <c r="I292" i="8"/>
  <c r="J292" i="8"/>
  <c r="I293" i="8"/>
  <c r="J293" i="8"/>
  <c r="I294" i="8"/>
  <c r="J294" i="8"/>
  <c r="I295" i="8"/>
  <c r="J295" i="8"/>
  <c r="I296" i="8"/>
  <c r="J296" i="8"/>
  <c r="I297" i="8"/>
  <c r="J297" i="8"/>
  <c r="I298" i="8"/>
  <c r="J298" i="8"/>
  <c r="I299" i="8"/>
  <c r="J299" i="8"/>
  <c r="I300" i="8"/>
  <c r="J300" i="8"/>
  <c r="I301" i="8"/>
  <c r="J301" i="8"/>
  <c r="I302" i="8"/>
  <c r="J302" i="8"/>
  <c r="I303" i="8"/>
  <c r="J303" i="8"/>
  <c r="I304" i="8"/>
  <c r="J304" i="8"/>
  <c r="I305" i="8"/>
  <c r="J305" i="8"/>
  <c r="I306" i="8"/>
  <c r="J306" i="8"/>
  <c r="I307" i="8"/>
  <c r="J307" i="8"/>
  <c r="I308" i="8"/>
  <c r="J308" i="8"/>
  <c r="I309" i="8"/>
  <c r="J309" i="8"/>
  <c r="I310" i="8"/>
  <c r="J310" i="8"/>
  <c r="I311" i="8"/>
  <c r="J311" i="8"/>
  <c r="I312" i="8"/>
  <c r="J312" i="8"/>
  <c r="I313" i="8"/>
  <c r="J313" i="8"/>
  <c r="I314" i="8"/>
  <c r="J314" i="8"/>
  <c r="I315" i="8"/>
  <c r="J315" i="8"/>
  <c r="I316" i="8"/>
  <c r="J316" i="8"/>
  <c r="I317" i="8"/>
  <c r="J317" i="8"/>
  <c r="I318" i="8"/>
  <c r="J318" i="8"/>
  <c r="I319" i="8"/>
  <c r="J319" i="8"/>
  <c r="I320" i="8"/>
  <c r="J320" i="8"/>
  <c r="I321" i="8"/>
  <c r="J321" i="8"/>
  <c r="I322" i="8"/>
  <c r="J322" i="8"/>
  <c r="I323" i="8"/>
  <c r="J323" i="8"/>
  <c r="I324" i="8"/>
  <c r="J324" i="8"/>
  <c r="I325" i="8"/>
  <c r="J325" i="8"/>
  <c r="I326" i="8"/>
  <c r="J326" i="8"/>
  <c r="I327" i="8"/>
  <c r="J327" i="8"/>
  <c r="I328" i="8"/>
  <c r="J328" i="8"/>
  <c r="I329" i="8"/>
  <c r="J329" i="8"/>
  <c r="I330" i="8"/>
  <c r="J330" i="8"/>
  <c r="I331" i="8"/>
  <c r="J331" i="8"/>
  <c r="I332" i="8"/>
  <c r="J332" i="8"/>
  <c r="I333" i="8"/>
  <c r="J333" i="8"/>
  <c r="I334" i="8"/>
  <c r="J334" i="8"/>
  <c r="I335" i="8"/>
  <c r="J335" i="8"/>
  <c r="I336" i="8"/>
  <c r="J336" i="8"/>
  <c r="I337" i="8"/>
  <c r="J337" i="8"/>
  <c r="I338" i="8"/>
  <c r="J338" i="8"/>
  <c r="I339" i="8"/>
  <c r="J339" i="8"/>
  <c r="I340" i="8"/>
  <c r="J340" i="8"/>
  <c r="I341" i="8"/>
  <c r="J341" i="8"/>
  <c r="I342" i="8"/>
  <c r="J342" i="8"/>
  <c r="I343" i="8"/>
  <c r="J343" i="8"/>
  <c r="I344" i="8"/>
  <c r="J344" i="8"/>
  <c r="I345" i="8"/>
  <c r="J345" i="8"/>
  <c r="I346" i="8"/>
  <c r="J346" i="8"/>
  <c r="I347" i="8"/>
  <c r="J347" i="8"/>
  <c r="I348" i="8"/>
  <c r="J348" i="8"/>
  <c r="I349" i="8"/>
  <c r="J349" i="8"/>
  <c r="I350" i="8"/>
  <c r="J350" i="8"/>
  <c r="I351" i="8"/>
  <c r="J351" i="8"/>
  <c r="I352" i="8"/>
  <c r="J352" i="8"/>
  <c r="I353" i="8"/>
  <c r="J353" i="8"/>
  <c r="I354" i="8"/>
  <c r="J354" i="8"/>
  <c r="I355" i="8"/>
  <c r="J355" i="8"/>
  <c r="I356" i="8"/>
  <c r="J356" i="8"/>
  <c r="I357" i="8"/>
  <c r="J357" i="8"/>
  <c r="I358" i="8"/>
  <c r="J358" i="8"/>
  <c r="I359" i="8"/>
  <c r="J359" i="8"/>
  <c r="I360" i="8"/>
  <c r="J360" i="8"/>
  <c r="I361" i="8"/>
  <c r="J361" i="8"/>
  <c r="I362" i="8"/>
  <c r="J362" i="8"/>
  <c r="I363" i="8"/>
  <c r="J363" i="8"/>
  <c r="I364" i="8"/>
  <c r="J364" i="8"/>
  <c r="I365" i="8"/>
  <c r="J365" i="8"/>
  <c r="I366" i="8"/>
  <c r="J366" i="8"/>
  <c r="I367" i="8"/>
  <c r="J367" i="8"/>
  <c r="I368" i="8"/>
  <c r="J368" i="8"/>
  <c r="I369" i="8"/>
  <c r="J369" i="8"/>
  <c r="I370" i="8"/>
  <c r="J370" i="8"/>
  <c r="I371" i="8"/>
  <c r="J371" i="8"/>
  <c r="I372" i="8"/>
  <c r="J372" i="8"/>
  <c r="I373" i="8"/>
  <c r="J373" i="8"/>
  <c r="I374" i="8"/>
  <c r="J374" i="8"/>
  <c r="I375" i="8"/>
  <c r="J375" i="8"/>
  <c r="I376" i="8"/>
  <c r="J376" i="8"/>
  <c r="I377" i="8"/>
  <c r="J377" i="8"/>
  <c r="I378" i="8"/>
  <c r="J378" i="8"/>
  <c r="I379" i="8"/>
  <c r="J379" i="8"/>
  <c r="I380" i="8"/>
  <c r="J380" i="8"/>
  <c r="I381" i="8"/>
  <c r="J381" i="8"/>
  <c r="I382" i="8"/>
  <c r="J382" i="8"/>
  <c r="I383" i="8"/>
  <c r="J383" i="8"/>
  <c r="I384" i="8"/>
  <c r="J384" i="8"/>
  <c r="I385" i="8"/>
  <c r="J385" i="8"/>
  <c r="I386" i="8"/>
  <c r="J386" i="8"/>
  <c r="I387" i="8"/>
  <c r="J387" i="8"/>
  <c r="I388" i="8"/>
  <c r="J388" i="8"/>
  <c r="I389" i="8"/>
  <c r="J389" i="8"/>
  <c r="I390" i="8"/>
  <c r="J390" i="8"/>
  <c r="I391" i="8"/>
  <c r="J391" i="8"/>
  <c r="I392" i="8"/>
  <c r="J392" i="8"/>
  <c r="I393" i="8"/>
  <c r="J393" i="8"/>
  <c r="I394" i="8"/>
  <c r="J394" i="8"/>
  <c r="I395" i="8"/>
  <c r="J395" i="8"/>
  <c r="I396" i="8"/>
  <c r="J396" i="8"/>
  <c r="I397" i="8"/>
  <c r="J397" i="8"/>
  <c r="I398" i="8"/>
  <c r="J398" i="8"/>
  <c r="I399" i="8"/>
  <c r="J399" i="8"/>
  <c r="I400" i="8"/>
  <c r="J400" i="8"/>
  <c r="I401" i="8"/>
  <c r="J401" i="8"/>
  <c r="I402" i="8"/>
  <c r="J402" i="8"/>
  <c r="I403" i="8"/>
  <c r="J403" i="8"/>
  <c r="I404" i="8"/>
  <c r="J404" i="8"/>
  <c r="I405" i="8"/>
  <c r="J405" i="8"/>
  <c r="I406" i="8"/>
  <c r="J406" i="8"/>
  <c r="I407" i="8"/>
  <c r="J407" i="8"/>
  <c r="I408" i="8"/>
  <c r="J408" i="8"/>
  <c r="I409" i="8"/>
  <c r="J409" i="8"/>
  <c r="I410" i="8"/>
  <c r="J410" i="8"/>
  <c r="I411" i="8"/>
  <c r="J411" i="8"/>
  <c r="I412" i="8"/>
  <c r="J412" i="8"/>
  <c r="I413" i="8"/>
  <c r="J413" i="8"/>
  <c r="I414" i="8"/>
  <c r="J414" i="8"/>
  <c r="I415" i="8"/>
  <c r="J415" i="8"/>
  <c r="I416" i="8"/>
  <c r="J416" i="8"/>
  <c r="I417" i="8"/>
  <c r="J417" i="8"/>
  <c r="I418" i="8"/>
  <c r="J418" i="8"/>
  <c r="I419" i="8"/>
  <c r="J419" i="8"/>
  <c r="I420" i="8"/>
  <c r="J420" i="8"/>
  <c r="I421" i="8"/>
  <c r="J421" i="8"/>
  <c r="I422" i="8"/>
  <c r="J422" i="8"/>
  <c r="I423" i="8"/>
  <c r="J423" i="8"/>
  <c r="I424" i="8"/>
  <c r="J424" i="8"/>
  <c r="I425" i="8"/>
  <c r="J425" i="8"/>
  <c r="I426" i="8"/>
  <c r="J426" i="8"/>
  <c r="I427" i="8"/>
  <c r="J427" i="8"/>
  <c r="I428" i="8"/>
  <c r="J428" i="8"/>
  <c r="I429" i="8"/>
  <c r="J429" i="8"/>
  <c r="I430" i="8"/>
  <c r="J430" i="8"/>
  <c r="I431" i="8"/>
  <c r="J431" i="8"/>
  <c r="I432" i="8"/>
  <c r="J432" i="8"/>
  <c r="I433" i="8"/>
  <c r="J433" i="8"/>
  <c r="I434" i="8"/>
  <c r="J434" i="8"/>
  <c r="I435" i="8"/>
  <c r="J435" i="8"/>
  <c r="I436" i="8"/>
  <c r="J436" i="8"/>
  <c r="I437" i="8"/>
  <c r="J437" i="8"/>
  <c r="I438" i="8"/>
  <c r="J438" i="8"/>
  <c r="I439" i="8"/>
  <c r="J439" i="8"/>
  <c r="I440" i="8"/>
  <c r="J440" i="8"/>
  <c r="I441" i="8"/>
  <c r="J441" i="8"/>
  <c r="I442" i="8"/>
  <c r="J442" i="8"/>
  <c r="I443" i="8"/>
  <c r="J443" i="8"/>
  <c r="I444" i="8"/>
  <c r="J444" i="8"/>
  <c r="I445" i="8"/>
  <c r="J445" i="8"/>
  <c r="I446" i="8"/>
  <c r="J446" i="8"/>
  <c r="I447" i="8"/>
  <c r="J447" i="8"/>
  <c r="I448" i="8"/>
  <c r="J448" i="8"/>
  <c r="I449" i="8"/>
  <c r="J449" i="8"/>
  <c r="I450" i="8"/>
  <c r="J450" i="8"/>
  <c r="I451" i="8"/>
  <c r="J451" i="8"/>
  <c r="I452" i="8"/>
  <c r="J452" i="8"/>
  <c r="I453" i="8"/>
  <c r="J453" i="8"/>
  <c r="I454" i="8"/>
  <c r="J454" i="8"/>
  <c r="I455" i="8"/>
  <c r="J455" i="8"/>
  <c r="I456" i="8"/>
  <c r="J456" i="8"/>
  <c r="I457" i="8"/>
  <c r="J457" i="8"/>
  <c r="I458" i="8"/>
  <c r="J458" i="8"/>
  <c r="I459" i="8"/>
  <c r="J459" i="8"/>
  <c r="I460" i="8"/>
  <c r="J460" i="8"/>
  <c r="I461" i="8"/>
  <c r="J461" i="8"/>
  <c r="I462" i="8"/>
  <c r="J462" i="8"/>
  <c r="I463" i="8"/>
  <c r="J463" i="8"/>
  <c r="I464" i="8"/>
  <c r="J464" i="8"/>
  <c r="I465" i="8"/>
  <c r="J465" i="8"/>
  <c r="I466" i="8"/>
  <c r="J466" i="8"/>
  <c r="I467" i="8"/>
  <c r="J467" i="8"/>
  <c r="I468" i="8"/>
  <c r="J468" i="8"/>
  <c r="I469" i="8"/>
  <c r="J469" i="8"/>
  <c r="I470" i="8"/>
  <c r="J470" i="8"/>
  <c r="I471" i="8"/>
  <c r="J471" i="8"/>
  <c r="I472" i="8"/>
  <c r="J472" i="8"/>
  <c r="I473" i="8"/>
  <c r="J473" i="8"/>
  <c r="I474" i="8"/>
  <c r="J474" i="8"/>
  <c r="I475" i="8"/>
  <c r="J475" i="8"/>
  <c r="I476" i="8"/>
  <c r="J476" i="8"/>
  <c r="I477" i="8"/>
  <c r="J477" i="8"/>
  <c r="I478" i="8"/>
  <c r="J478" i="8"/>
  <c r="I479" i="8"/>
  <c r="J479" i="8"/>
  <c r="I480" i="8"/>
  <c r="J480" i="8"/>
  <c r="I481" i="8"/>
  <c r="J481" i="8"/>
  <c r="I482" i="8"/>
  <c r="J482" i="8"/>
  <c r="I483" i="8"/>
  <c r="J483" i="8"/>
  <c r="I484" i="8"/>
  <c r="J484" i="8"/>
  <c r="I485" i="8"/>
  <c r="J485" i="8"/>
  <c r="I486" i="8"/>
  <c r="J486" i="8"/>
  <c r="I487" i="8"/>
  <c r="J487" i="8"/>
  <c r="I488" i="8"/>
  <c r="J488" i="8"/>
  <c r="I489" i="8"/>
  <c r="J489" i="8"/>
  <c r="I490" i="8"/>
  <c r="J490" i="8"/>
  <c r="I491" i="8"/>
  <c r="J491" i="8"/>
  <c r="I492" i="8"/>
  <c r="J492" i="8"/>
  <c r="I493" i="8"/>
  <c r="J493" i="8"/>
  <c r="I494" i="8"/>
  <c r="J494" i="8"/>
  <c r="I495" i="8"/>
  <c r="J495" i="8"/>
  <c r="I496" i="8"/>
  <c r="J496" i="8"/>
  <c r="I497" i="8"/>
  <c r="J497" i="8"/>
  <c r="I498" i="8"/>
  <c r="J498" i="8"/>
  <c r="I499" i="8"/>
  <c r="J499" i="8"/>
  <c r="I500" i="8"/>
  <c r="J500" i="8"/>
  <c r="I501" i="8"/>
  <c r="J501" i="8"/>
  <c r="J2" i="8"/>
  <c r="I2" i="8"/>
  <c r="K3" i="8"/>
  <c r="L3" i="8"/>
  <c r="K4" i="8"/>
  <c r="L4" i="8"/>
  <c r="K5" i="8"/>
  <c r="L5" i="8"/>
  <c r="K6" i="8"/>
  <c r="L6" i="8"/>
  <c r="K7" i="8"/>
  <c r="L7" i="8"/>
  <c r="K8" i="8"/>
  <c r="L8" i="8"/>
  <c r="K9" i="8"/>
  <c r="L9" i="8"/>
  <c r="K10" i="8"/>
  <c r="L10" i="8"/>
  <c r="K11" i="8"/>
  <c r="L11" i="8"/>
  <c r="K12" i="8"/>
  <c r="L12" i="8"/>
  <c r="K13" i="8"/>
  <c r="L13" i="8"/>
  <c r="K14" i="8"/>
  <c r="L14" i="8"/>
  <c r="K15" i="8"/>
  <c r="L15" i="8"/>
  <c r="K16" i="8"/>
  <c r="L16" i="8"/>
  <c r="K17" i="8"/>
  <c r="L17" i="8"/>
  <c r="K18" i="8"/>
  <c r="L18" i="8"/>
  <c r="K19" i="8"/>
  <c r="L19" i="8"/>
  <c r="K20" i="8"/>
  <c r="L20" i="8"/>
  <c r="K21" i="8"/>
  <c r="L21" i="8"/>
  <c r="K22" i="8"/>
  <c r="L22" i="8"/>
  <c r="K23" i="8"/>
  <c r="L23" i="8"/>
  <c r="K24" i="8"/>
  <c r="L24" i="8"/>
  <c r="K25" i="8"/>
  <c r="L25" i="8"/>
  <c r="K26" i="8"/>
  <c r="L26" i="8"/>
  <c r="K27" i="8"/>
  <c r="L27" i="8"/>
  <c r="K28" i="8"/>
  <c r="L28" i="8"/>
  <c r="K29" i="8"/>
  <c r="L29" i="8"/>
  <c r="K30" i="8"/>
  <c r="L30" i="8"/>
  <c r="K31" i="8"/>
  <c r="L31" i="8"/>
  <c r="K32" i="8"/>
  <c r="L32" i="8"/>
  <c r="K33" i="8"/>
  <c r="L33" i="8"/>
  <c r="K34" i="8"/>
  <c r="L34" i="8"/>
  <c r="K35" i="8"/>
  <c r="L35" i="8"/>
  <c r="K36" i="8"/>
  <c r="L36" i="8"/>
  <c r="K37" i="8"/>
  <c r="L37" i="8"/>
  <c r="K38" i="8"/>
  <c r="L38" i="8"/>
  <c r="K39" i="8"/>
  <c r="L39" i="8"/>
  <c r="K40" i="8"/>
  <c r="L40" i="8"/>
  <c r="K41" i="8"/>
  <c r="L41" i="8"/>
  <c r="K42" i="8"/>
  <c r="L42" i="8"/>
  <c r="K43" i="8"/>
  <c r="L43" i="8"/>
  <c r="K44" i="8"/>
  <c r="L44" i="8"/>
  <c r="K45" i="8"/>
  <c r="L45" i="8"/>
  <c r="K46" i="8"/>
  <c r="L46" i="8"/>
  <c r="K47" i="8"/>
  <c r="L47" i="8"/>
  <c r="K48" i="8"/>
  <c r="L48" i="8"/>
  <c r="K49" i="8"/>
  <c r="L49" i="8"/>
  <c r="K50" i="8"/>
  <c r="L50" i="8"/>
  <c r="K51" i="8"/>
  <c r="L51" i="8"/>
  <c r="K52" i="8"/>
  <c r="L52" i="8"/>
  <c r="K53" i="8"/>
  <c r="L53" i="8"/>
  <c r="K54" i="8"/>
  <c r="L54" i="8"/>
  <c r="K55" i="8"/>
  <c r="L55" i="8"/>
  <c r="K56" i="8"/>
  <c r="L56" i="8"/>
  <c r="K57" i="8"/>
  <c r="L57" i="8"/>
  <c r="K58" i="8"/>
  <c r="L58" i="8"/>
  <c r="K59" i="8"/>
  <c r="L59" i="8"/>
  <c r="K60" i="8"/>
  <c r="L60" i="8"/>
  <c r="K61" i="8"/>
  <c r="L61" i="8"/>
  <c r="K62" i="8"/>
  <c r="L62" i="8"/>
  <c r="K63" i="8"/>
  <c r="L63" i="8"/>
  <c r="K64" i="8"/>
  <c r="L64" i="8"/>
  <c r="K65" i="8"/>
  <c r="L65" i="8"/>
  <c r="K66" i="8"/>
  <c r="L66" i="8"/>
  <c r="K67" i="8"/>
  <c r="L67" i="8"/>
  <c r="K68" i="8"/>
  <c r="L68" i="8"/>
  <c r="K69" i="8"/>
  <c r="L69" i="8"/>
  <c r="K70" i="8"/>
  <c r="L70" i="8"/>
  <c r="K71" i="8"/>
  <c r="L71" i="8"/>
  <c r="K72" i="8"/>
  <c r="L72" i="8"/>
  <c r="K73" i="8"/>
  <c r="L73" i="8"/>
  <c r="K74" i="8"/>
  <c r="L74" i="8"/>
  <c r="K75" i="8"/>
  <c r="L75" i="8"/>
  <c r="K76" i="8"/>
  <c r="L76" i="8"/>
  <c r="K77" i="8"/>
  <c r="L77" i="8"/>
  <c r="K78" i="8"/>
  <c r="L78" i="8"/>
  <c r="K79" i="8"/>
  <c r="L79" i="8"/>
  <c r="K80" i="8"/>
  <c r="L80" i="8"/>
  <c r="K81" i="8"/>
  <c r="L81" i="8"/>
  <c r="K82" i="8"/>
  <c r="L82" i="8"/>
  <c r="K83" i="8"/>
  <c r="L83" i="8"/>
  <c r="K84" i="8"/>
  <c r="L84" i="8"/>
  <c r="K85" i="8"/>
  <c r="L85" i="8"/>
  <c r="K86" i="8"/>
  <c r="L86" i="8"/>
  <c r="K87" i="8"/>
  <c r="L87" i="8"/>
  <c r="K88" i="8"/>
  <c r="L88" i="8"/>
  <c r="K89" i="8"/>
  <c r="L89" i="8"/>
  <c r="K90" i="8"/>
  <c r="L90" i="8"/>
  <c r="K91" i="8"/>
  <c r="L91" i="8"/>
  <c r="K92" i="8"/>
  <c r="L92" i="8"/>
  <c r="K93" i="8"/>
  <c r="L93" i="8"/>
  <c r="K94" i="8"/>
  <c r="L94" i="8"/>
  <c r="K95" i="8"/>
  <c r="L95" i="8"/>
  <c r="K96" i="8"/>
  <c r="L96" i="8"/>
  <c r="K97" i="8"/>
  <c r="L97" i="8"/>
  <c r="K98" i="8"/>
  <c r="L98" i="8"/>
  <c r="K99" i="8"/>
  <c r="L99" i="8"/>
  <c r="K100" i="8"/>
  <c r="L100" i="8"/>
  <c r="K101" i="8"/>
  <c r="L101" i="8"/>
  <c r="K102" i="8"/>
  <c r="L102" i="8"/>
  <c r="K103" i="8"/>
  <c r="L103" i="8"/>
  <c r="K104" i="8"/>
  <c r="L104" i="8"/>
  <c r="K105" i="8"/>
  <c r="L105" i="8"/>
  <c r="K106" i="8"/>
  <c r="L106" i="8"/>
  <c r="K107" i="8"/>
  <c r="L107" i="8"/>
  <c r="K108" i="8"/>
  <c r="L108" i="8"/>
  <c r="K109" i="8"/>
  <c r="L109" i="8"/>
  <c r="K110" i="8"/>
  <c r="L110" i="8"/>
  <c r="K111" i="8"/>
  <c r="L111" i="8"/>
  <c r="K112" i="8"/>
  <c r="L112" i="8"/>
  <c r="K113" i="8"/>
  <c r="L113" i="8"/>
  <c r="K114" i="8"/>
  <c r="L114" i="8"/>
  <c r="K115" i="8"/>
  <c r="L115" i="8"/>
  <c r="K116" i="8"/>
  <c r="L116" i="8"/>
  <c r="K117" i="8"/>
  <c r="L117" i="8"/>
  <c r="K118" i="8"/>
  <c r="L118" i="8"/>
  <c r="K119" i="8"/>
  <c r="L119" i="8"/>
  <c r="K120" i="8"/>
  <c r="L120" i="8"/>
  <c r="K121" i="8"/>
  <c r="L121" i="8"/>
  <c r="K122" i="8"/>
  <c r="L122" i="8"/>
  <c r="K123" i="8"/>
  <c r="L123" i="8"/>
  <c r="K124" i="8"/>
  <c r="L124" i="8"/>
  <c r="K125" i="8"/>
  <c r="L125" i="8"/>
  <c r="K126" i="8"/>
  <c r="L126" i="8"/>
  <c r="K127" i="8"/>
  <c r="L127" i="8"/>
  <c r="K128" i="8"/>
  <c r="L128" i="8"/>
  <c r="K129" i="8"/>
  <c r="L129" i="8"/>
  <c r="K130" i="8"/>
  <c r="L130" i="8"/>
  <c r="K131" i="8"/>
  <c r="L131" i="8"/>
  <c r="K132" i="8"/>
  <c r="L132" i="8"/>
  <c r="K133" i="8"/>
  <c r="L133" i="8"/>
  <c r="K134" i="8"/>
  <c r="L134" i="8"/>
  <c r="K135" i="8"/>
  <c r="L135" i="8"/>
  <c r="K136" i="8"/>
  <c r="L136" i="8"/>
  <c r="K137" i="8"/>
  <c r="L137" i="8"/>
  <c r="K138" i="8"/>
  <c r="L138" i="8"/>
  <c r="K139" i="8"/>
  <c r="L139" i="8"/>
  <c r="K140" i="8"/>
  <c r="L140" i="8"/>
  <c r="K141" i="8"/>
  <c r="L141" i="8"/>
  <c r="K142" i="8"/>
  <c r="L142" i="8"/>
  <c r="K143" i="8"/>
  <c r="L143" i="8"/>
  <c r="K144" i="8"/>
  <c r="L144" i="8"/>
  <c r="K145" i="8"/>
  <c r="L145" i="8"/>
  <c r="K146" i="8"/>
  <c r="L146" i="8"/>
  <c r="K147" i="8"/>
  <c r="L147" i="8"/>
  <c r="K148" i="8"/>
  <c r="L148" i="8"/>
  <c r="K149" i="8"/>
  <c r="L149" i="8"/>
  <c r="K150" i="8"/>
  <c r="L150" i="8"/>
  <c r="K151" i="8"/>
  <c r="L151" i="8"/>
  <c r="K152" i="8"/>
  <c r="L152" i="8"/>
  <c r="K153" i="8"/>
  <c r="L153" i="8"/>
  <c r="K154" i="8"/>
  <c r="L154" i="8"/>
  <c r="K155" i="8"/>
  <c r="L155" i="8"/>
  <c r="K156" i="8"/>
  <c r="L156" i="8"/>
  <c r="K157" i="8"/>
  <c r="L157" i="8"/>
  <c r="K158" i="8"/>
  <c r="L158" i="8"/>
  <c r="K159" i="8"/>
  <c r="L159" i="8"/>
  <c r="K160" i="8"/>
  <c r="L160" i="8"/>
  <c r="K161" i="8"/>
  <c r="L161" i="8"/>
  <c r="K162" i="8"/>
  <c r="L162" i="8"/>
  <c r="K163" i="8"/>
  <c r="L163" i="8"/>
  <c r="K164" i="8"/>
  <c r="L164" i="8"/>
  <c r="K165" i="8"/>
  <c r="L165" i="8"/>
  <c r="K166" i="8"/>
  <c r="L166" i="8"/>
  <c r="K167" i="8"/>
  <c r="L167" i="8"/>
  <c r="K168" i="8"/>
  <c r="L168" i="8"/>
  <c r="K169" i="8"/>
  <c r="L169" i="8"/>
  <c r="K170" i="8"/>
  <c r="L170" i="8"/>
  <c r="K171" i="8"/>
  <c r="L171" i="8"/>
  <c r="K172" i="8"/>
  <c r="L172" i="8"/>
  <c r="K173" i="8"/>
  <c r="L173" i="8"/>
  <c r="K174" i="8"/>
  <c r="L174" i="8"/>
  <c r="K175" i="8"/>
  <c r="L175" i="8"/>
  <c r="K176" i="8"/>
  <c r="L176" i="8"/>
  <c r="K177" i="8"/>
  <c r="L177" i="8"/>
  <c r="K178" i="8"/>
  <c r="L178" i="8"/>
  <c r="K179" i="8"/>
  <c r="L179" i="8"/>
  <c r="K180" i="8"/>
  <c r="L180" i="8"/>
  <c r="K181" i="8"/>
  <c r="L181" i="8"/>
  <c r="K182" i="8"/>
  <c r="L182" i="8"/>
  <c r="K183" i="8"/>
  <c r="L183" i="8"/>
  <c r="K184" i="8"/>
  <c r="L184" i="8"/>
  <c r="K185" i="8"/>
  <c r="L185" i="8"/>
  <c r="K186" i="8"/>
  <c r="L186" i="8"/>
  <c r="K187" i="8"/>
  <c r="L187" i="8"/>
  <c r="K188" i="8"/>
  <c r="L188" i="8"/>
  <c r="K189" i="8"/>
  <c r="L189" i="8"/>
  <c r="K190" i="8"/>
  <c r="L190" i="8"/>
  <c r="K191" i="8"/>
  <c r="L191" i="8"/>
  <c r="K192" i="8"/>
  <c r="L192" i="8"/>
  <c r="K193" i="8"/>
  <c r="L193" i="8"/>
  <c r="K194" i="8"/>
  <c r="L194" i="8"/>
  <c r="K195" i="8"/>
  <c r="L195" i="8"/>
  <c r="K196" i="8"/>
  <c r="L196" i="8"/>
  <c r="K197" i="8"/>
  <c r="L197" i="8"/>
  <c r="K198" i="8"/>
  <c r="L198" i="8"/>
  <c r="K199" i="8"/>
  <c r="L199" i="8"/>
  <c r="K200" i="8"/>
  <c r="L200" i="8"/>
  <c r="K201" i="8"/>
  <c r="L201" i="8"/>
  <c r="K202" i="8"/>
  <c r="L202" i="8"/>
  <c r="K203" i="8"/>
  <c r="L203" i="8"/>
  <c r="K204" i="8"/>
  <c r="L204" i="8"/>
  <c r="K205" i="8"/>
  <c r="L205" i="8"/>
  <c r="K206" i="8"/>
  <c r="L206" i="8"/>
  <c r="K207" i="8"/>
  <c r="L207" i="8"/>
  <c r="K208" i="8"/>
  <c r="L208" i="8"/>
  <c r="K209" i="8"/>
  <c r="L209" i="8"/>
  <c r="K210" i="8"/>
  <c r="L210" i="8"/>
  <c r="K211" i="8"/>
  <c r="L211" i="8"/>
  <c r="K212" i="8"/>
  <c r="L212" i="8"/>
  <c r="K213" i="8"/>
  <c r="L213" i="8"/>
  <c r="K214" i="8"/>
  <c r="L214" i="8"/>
  <c r="K215" i="8"/>
  <c r="L215" i="8"/>
  <c r="K216" i="8"/>
  <c r="L216" i="8"/>
  <c r="K217" i="8"/>
  <c r="L217" i="8"/>
  <c r="K218" i="8"/>
  <c r="L218" i="8"/>
  <c r="K219" i="8"/>
  <c r="L219" i="8"/>
  <c r="K220" i="8"/>
  <c r="L220" i="8"/>
  <c r="K221" i="8"/>
  <c r="L221" i="8"/>
  <c r="K222" i="8"/>
  <c r="L222" i="8"/>
  <c r="K223" i="8"/>
  <c r="L223" i="8"/>
  <c r="K224" i="8"/>
  <c r="L224" i="8"/>
  <c r="K225" i="8"/>
  <c r="L225" i="8"/>
  <c r="K226" i="8"/>
  <c r="L226" i="8"/>
  <c r="K227" i="8"/>
  <c r="L227" i="8"/>
  <c r="K228" i="8"/>
  <c r="L228" i="8"/>
  <c r="K229" i="8"/>
  <c r="L229" i="8"/>
  <c r="K230" i="8"/>
  <c r="L230" i="8"/>
  <c r="K231" i="8"/>
  <c r="L231" i="8"/>
  <c r="K232" i="8"/>
  <c r="L232" i="8"/>
  <c r="K233" i="8"/>
  <c r="L233" i="8"/>
  <c r="K234" i="8"/>
  <c r="L234" i="8"/>
  <c r="K235" i="8"/>
  <c r="L235" i="8"/>
  <c r="K236" i="8"/>
  <c r="L236" i="8"/>
  <c r="K237" i="8"/>
  <c r="L237" i="8"/>
  <c r="K238" i="8"/>
  <c r="L238" i="8"/>
  <c r="K239" i="8"/>
  <c r="L239" i="8"/>
  <c r="K240" i="8"/>
  <c r="L240" i="8"/>
  <c r="K241" i="8"/>
  <c r="L241" i="8"/>
  <c r="K242" i="8"/>
  <c r="L242" i="8"/>
  <c r="K243" i="8"/>
  <c r="L243" i="8"/>
  <c r="K244" i="8"/>
  <c r="L244" i="8"/>
  <c r="K245" i="8"/>
  <c r="L245" i="8"/>
  <c r="K246" i="8"/>
  <c r="L246" i="8"/>
  <c r="K247" i="8"/>
  <c r="L247" i="8"/>
  <c r="K248" i="8"/>
  <c r="L248" i="8"/>
  <c r="K249" i="8"/>
  <c r="L249" i="8"/>
  <c r="K250" i="8"/>
  <c r="L250" i="8"/>
  <c r="K251" i="8"/>
  <c r="L251" i="8"/>
  <c r="K252" i="8"/>
  <c r="L252" i="8"/>
  <c r="K253" i="8"/>
  <c r="L253" i="8"/>
  <c r="K254" i="8"/>
  <c r="L254" i="8"/>
  <c r="K255" i="8"/>
  <c r="L255" i="8"/>
  <c r="K256" i="8"/>
  <c r="L256" i="8"/>
  <c r="K257" i="8"/>
  <c r="L257" i="8"/>
  <c r="K258" i="8"/>
  <c r="L258" i="8"/>
  <c r="K259" i="8"/>
  <c r="L259" i="8"/>
  <c r="K260" i="8"/>
  <c r="L260" i="8"/>
  <c r="K261" i="8"/>
  <c r="L261" i="8"/>
  <c r="K262" i="8"/>
  <c r="L262" i="8"/>
  <c r="K263" i="8"/>
  <c r="L263" i="8"/>
  <c r="K264" i="8"/>
  <c r="L264" i="8"/>
  <c r="K265" i="8"/>
  <c r="L265" i="8"/>
  <c r="K266" i="8"/>
  <c r="L266" i="8"/>
  <c r="K267" i="8"/>
  <c r="L267" i="8"/>
  <c r="K268" i="8"/>
  <c r="L268" i="8"/>
  <c r="K269" i="8"/>
  <c r="L269" i="8"/>
  <c r="K270" i="8"/>
  <c r="L270" i="8"/>
  <c r="K271" i="8"/>
  <c r="L271" i="8"/>
  <c r="K272" i="8"/>
  <c r="L272" i="8"/>
  <c r="K273" i="8"/>
  <c r="L273" i="8"/>
  <c r="K274" i="8"/>
  <c r="L274" i="8"/>
  <c r="K275" i="8"/>
  <c r="L275" i="8"/>
  <c r="K276" i="8"/>
  <c r="L276" i="8"/>
  <c r="K277" i="8"/>
  <c r="L277" i="8"/>
  <c r="K278" i="8"/>
  <c r="L278" i="8"/>
  <c r="K279" i="8"/>
  <c r="L279" i="8"/>
  <c r="K280" i="8"/>
  <c r="L280" i="8"/>
  <c r="K281" i="8"/>
  <c r="L281" i="8"/>
  <c r="K282" i="8"/>
  <c r="L282" i="8"/>
  <c r="K283" i="8"/>
  <c r="L283" i="8"/>
  <c r="K284" i="8"/>
  <c r="L284" i="8"/>
  <c r="K285" i="8"/>
  <c r="L285" i="8"/>
  <c r="K286" i="8"/>
  <c r="L286" i="8"/>
  <c r="K287" i="8"/>
  <c r="L287" i="8"/>
  <c r="K288" i="8"/>
  <c r="L288" i="8"/>
  <c r="K289" i="8"/>
  <c r="L289" i="8"/>
  <c r="K290" i="8"/>
  <c r="L290" i="8"/>
  <c r="K291" i="8"/>
  <c r="L291" i="8"/>
  <c r="K292" i="8"/>
  <c r="L292" i="8"/>
  <c r="K293" i="8"/>
  <c r="L293" i="8"/>
  <c r="K294" i="8"/>
  <c r="L294" i="8"/>
  <c r="K295" i="8"/>
  <c r="L295" i="8"/>
  <c r="K296" i="8"/>
  <c r="L296" i="8"/>
  <c r="K297" i="8"/>
  <c r="L297" i="8"/>
  <c r="K298" i="8"/>
  <c r="L298" i="8"/>
  <c r="K299" i="8"/>
  <c r="L299" i="8"/>
  <c r="K300" i="8"/>
  <c r="L300" i="8"/>
  <c r="K301" i="8"/>
  <c r="L301" i="8"/>
  <c r="K302" i="8"/>
  <c r="L302" i="8"/>
  <c r="K303" i="8"/>
  <c r="L303" i="8"/>
  <c r="K304" i="8"/>
  <c r="L304" i="8"/>
  <c r="K305" i="8"/>
  <c r="L305" i="8"/>
  <c r="K306" i="8"/>
  <c r="L306" i="8"/>
  <c r="K307" i="8"/>
  <c r="L307" i="8"/>
  <c r="K308" i="8"/>
  <c r="L308" i="8"/>
  <c r="K309" i="8"/>
  <c r="L309" i="8"/>
  <c r="K310" i="8"/>
  <c r="L310" i="8"/>
  <c r="K311" i="8"/>
  <c r="L311" i="8"/>
  <c r="K312" i="8"/>
  <c r="L312" i="8"/>
  <c r="K313" i="8"/>
  <c r="L313" i="8"/>
  <c r="K314" i="8"/>
  <c r="L314" i="8"/>
  <c r="K315" i="8"/>
  <c r="L315" i="8"/>
  <c r="K316" i="8"/>
  <c r="L316" i="8"/>
  <c r="K317" i="8"/>
  <c r="L317" i="8"/>
  <c r="K318" i="8"/>
  <c r="L318" i="8"/>
  <c r="K319" i="8"/>
  <c r="L319" i="8"/>
  <c r="K320" i="8"/>
  <c r="L320" i="8"/>
  <c r="K321" i="8"/>
  <c r="L321" i="8"/>
  <c r="K322" i="8"/>
  <c r="L322" i="8"/>
  <c r="K323" i="8"/>
  <c r="L323" i="8"/>
  <c r="K324" i="8"/>
  <c r="L324" i="8"/>
  <c r="K325" i="8"/>
  <c r="L325" i="8"/>
  <c r="K326" i="8"/>
  <c r="L326" i="8"/>
  <c r="K327" i="8"/>
  <c r="L327" i="8"/>
  <c r="K328" i="8"/>
  <c r="L328" i="8"/>
  <c r="K329" i="8"/>
  <c r="L329" i="8"/>
  <c r="K330" i="8"/>
  <c r="L330" i="8"/>
  <c r="K331" i="8"/>
  <c r="L331" i="8"/>
  <c r="K332" i="8"/>
  <c r="L332" i="8"/>
  <c r="K333" i="8"/>
  <c r="L333" i="8"/>
  <c r="K334" i="8"/>
  <c r="L334" i="8"/>
  <c r="K335" i="8"/>
  <c r="L335" i="8"/>
  <c r="K336" i="8"/>
  <c r="L336" i="8"/>
  <c r="K337" i="8"/>
  <c r="L337" i="8"/>
  <c r="K338" i="8"/>
  <c r="L338" i="8"/>
  <c r="K339" i="8"/>
  <c r="L339" i="8"/>
  <c r="K340" i="8"/>
  <c r="L340" i="8"/>
  <c r="K341" i="8"/>
  <c r="L341" i="8"/>
  <c r="K342" i="8"/>
  <c r="L342" i="8"/>
  <c r="K343" i="8"/>
  <c r="L343" i="8"/>
  <c r="K344" i="8"/>
  <c r="L344" i="8"/>
  <c r="K345" i="8"/>
  <c r="L345" i="8"/>
  <c r="K346" i="8"/>
  <c r="L346" i="8"/>
  <c r="K347" i="8"/>
  <c r="L347" i="8"/>
  <c r="K348" i="8"/>
  <c r="L348" i="8"/>
  <c r="K349" i="8"/>
  <c r="L349" i="8"/>
  <c r="K350" i="8"/>
  <c r="L350" i="8"/>
  <c r="K351" i="8"/>
  <c r="L351" i="8"/>
  <c r="K352" i="8"/>
  <c r="L352" i="8"/>
  <c r="K353" i="8"/>
  <c r="L353" i="8"/>
  <c r="K354" i="8"/>
  <c r="L354" i="8"/>
  <c r="K355" i="8"/>
  <c r="L355" i="8"/>
  <c r="K356" i="8"/>
  <c r="L356" i="8"/>
  <c r="K357" i="8"/>
  <c r="L357" i="8"/>
  <c r="K358" i="8"/>
  <c r="L358" i="8"/>
  <c r="K359" i="8"/>
  <c r="L359" i="8"/>
  <c r="K360" i="8"/>
  <c r="L360" i="8"/>
  <c r="K361" i="8"/>
  <c r="L361" i="8"/>
  <c r="K362" i="8"/>
  <c r="L362" i="8"/>
  <c r="K363" i="8"/>
  <c r="L363" i="8"/>
  <c r="K364" i="8"/>
  <c r="L364" i="8"/>
  <c r="K365" i="8"/>
  <c r="L365" i="8"/>
  <c r="K366" i="8"/>
  <c r="L366" i="8"/>
  <c r="K367" i="8"/>
  <c r="L367" i="8"/>
  <c r="K368" i="8"/>
  <c r="L368" i="8"/>
  <c r="K369" i="8"/>
  <c r="L369" i="8"/>
  <c r="K370" i="8"/>
  <c r="L370" i="8"/>
  <c r="K371" i="8"/>
  <c r="L371" i="8"/>
  <c r="K372" i="8"/>
  <c r="L372" i="8"/>
  <c r="K373" i="8"/>
  <c r="L373" i="8"/>
  <c r="K374" i="8"/>
  <c r="L374" i="8"/>
  <c r="K375" i="8"/>
  <c r="L375" i="8"/>
  <c r="K376" i="8"/>
  <c r="L376" i="8"/>
  <c r="K377" i="8"/>
  <c r="L377" i="8"/>
  <c r="K378" i="8"/>
  <c r="L378" i="8"/>
  <c r="K379" i="8"/>
  <c r="L379" i="8"/>
  <c r="K380" i="8"/>
  <c r="L380" i="8"/>
  <c r="K381" i="8"/>
  <c r="L381" i="8"/>
  <c r="K382" i="8"/>
  <c r="L382" i="8"/>
  <c r="K383" i="8"/>
  <c r="L383" i="8"/>
  <c r="K384" i="8"/>
  <c r="L384" i="8"/>
  <c r="K385" i="8"/>
  <c r="L385" i="8"/>
  <c r="K386" i="8"/>
  <c r="L386" i="8"/>
  <c r="K387" i="8"/>
  <c r="L387" i="8"/>
  <c r="K388" i="8"/>
  <c r="L388" i="8"/>
  <c r="K389" i="8"/>
  <c r="L389" i="8"/>
  <c r="K390" i="8"/>
  <c r="L390" i="8"/>
  <c r="K391" i="8"/>
  <c r="L391" i="8"/>
  <c r="K392" i="8"/>
  <c r="L392" i="8"/>
  <c r="K393" i="8"/>
  <c r="L393" i="8"/>
  <c r="K394" i="8"/>
  <c r="L394" i="8"/>
  <c r="K395" i="8"/>
  <c r="L395" i="8"/>
  <c r="K396" i="8"/>
  <c r="L396" i="8"/>
  <c r="K397" i="8"/>
  <c r="L397" i="8"/>
  <c r="K398" i="8"/>
  <c r="L398" i="8"/>
  <c r="K399" i="8"/>
  <c r="L399" i="8"/>
  <c r="K400" i="8"/>
  <c r="L400" i="8"/>
  <c r="K401" i="8"/>
  <c r="L401" i="8"/>
  <c r="K402" i="8"/>
  <c r="L402" i="8"/>
  <c r="K403" i="8"/>
  <c r="L403" i="8"/>
  <c r="K404" i="8"/>
  <c r="L404" i="8"/>
  <c r="K405" i="8"/>
  <c r="L405" i="8"/>
  <c r="K406" i="8"/>
  <c r="L406" i="8"/>
  <c r="K407" i="8"/>
  <c r="L407" i="8"/>
  <c r="K408" i="8"/>
  <c r="L408" i="8"/>
  <c r="K409" i="8"/>
  <c r="L409" i="8"/>
  <c r="K410" i="8"/>
  <c r="L410" i="8"/>
  <c r="K411" i="8"/>
  <c r="L411" i="8"/>
  <c r="K412" i="8"/>
  <c r="L412" i="8"/>
  <c r="K413" i="8"/>
  <c r="L413" i="8"/>
  <c r="K414" i="8"/>
  <c r="L414" i="8"/>
  <c r="K415" i="8"/>
  <c r="L415" i="8"/>
  <c r="K416" i="8"/>
  <c r="L416" i="8"/>
  <c r="K417" i="8"/>
  <c r="L417" i="8"/>
  <c r="K418" i="8"/>
  <c r="L418" i="8"/>
  <c r="K419" i="8"/>
  <c r="L419" i="8"/>
  <c r="K420" i="8"/>
  <c r="L420" i="8"/>
  <c r="K421" i="8"/>
  <c r="L421" i="8"/>
  <c r="K422" i="8"/>
  <c r="L422" i="8"/>
  <c r="K423" i="8"/>
  <c r="L423" i="8"/>
  <c r="K424" i="8"/>
  <c r="L424" i="8"/>
  <c r="K425" i="8"/>
  <c r="L425" i="8"/>
  <c r="K426" i="8"/>
  <c r="L426" i="8"/>
  <c r="K427" i="8"/>
  <c r="L427" i="8"/>
  <c r="K428" i="8"/>
  <c r="L428" i="8"/>
  <c r="K429" i="8"/>
  <c r="L429" i="8"/>
  <c r="K430" i="8"/>
  <c r="L430" i="8"/>
  <c r="K431" i="8"/>
  <c r="L431" i="8"/>
  <c r="K432" i="8"/>
  <c r="L432" i="8"/>
  <c r="K433" i="8"/>
  <c r="L433" i="8"/>
  <c r="K434" i="8"/>
  <c r="L434" i="8"/>
  <c r="K435" i="8"/>
  <c r="L435" i="8"/>
  <c r="K436" i="8"/>
  <c r="L436" i="8"/>
  <c r="K437" i="8"/>
  <c r="L437" i="8"/>
  <c r="K438" i="8"/>
  <c r="L438" i="8"/>
  <c r="K439" i="8"/>
  <c r="L439" i="8"/>
  <c r="K440" i="8"/>
  <c r="L440" i="8"/>
  <c r="K441" i="8"/>
  <c r="L441" i="8"/>
  <c r="K442" i="8"/>
  <c r="L442" i="8"/>
  <c r="K443" i="8"/>
  <c r="L443" i="8"/>
  <c r="K444" i="8"/>
  <c r="L444" i="8"/>
  <c r="K445" i="8"/>
  <c r="L445" i="8"/>
  <c r="K446" i="8"/>
  <c r="L446" i="8"/>
  <c r="K447" i="8"/>
  <c r="L447" i="8"/>
  <c r="K448" i="8"/>
  <c r="L448" i="8"/>
  <c r="K449" i="8"/>
  <c r="L449" i="8"/>
  <c r="K450" i="8"/>
  <c r="L450" i="8"/>
  <c r="K451" i="8"/>
  <c r="L451" i="8"/>
  <c r="K452" i="8"/>
  <c r="L452" i="8"/>
  <c r="K453" i="8"/>
  <c r="L453" i="8"/>
  <c r="K454" i="8"/>
  <c r="L454" i="8"/>
  <c r="K455" i="8"/>
  <c r="L455" i="8"/>
  <c r="K456" i="8"/>
  <c r="L456" i="8"/>
  <c r="K457" i="8"/>
  <c r="L457" i="8"/>
  <c r="K458" i="8"/>
  <c r="L458" i="8"/>
  <c r="K459" i="8"/>
  <c r="L459" i="8"/>
  <c r="K460" i="8"/>
  <c r="L460" i="8"/>
  <c r="K461" i="8"/>
  <c r="L461" i="8"/>
  <c r="K462" i="8"/>
  <c r="L462" i="8"/>
  <c r="K463" i="8"/>
  <c r="L463" i="8"/>
  <c r="K464" i="8"/>
  <c r="L464" i="8"/>
  <c r="K465" i="8"/>
  <c r="L465" i="8"/>
  <c r="K466" i="8"/>
  <c r="L466" i="8"/>
  <c r="K467" i="8"/>
  <c r="L467" i="8"/>
  <c r="K468" i="8"/>
  <c r="L468" i="8"/>
  <c r="K469" i="8"/>
  <c r="L469" i="8"/>
  <c r="K470" i="8"/>
  <c r="L470" i="8"/>
  <c r="K471" i="8"/>
  <c r="L471" i="8"/>
  <c r="K472" i="8"/>
  <c r="L472" i="8"/>
  <c r="K473" i="8"/>
  <c r="L473" i="8"/>
  <c r="K474" i="8"/>
  <c r="L474" i="8"/>
  <c r="K475" i="8"/>
  <c r="L475" i="8"/>
  <c r="K476" i="8"/>
  <c r="L476" i="8"/>
  <c r="K477" i="8"/>
  <c r="L477" i="8"/>
  <c r="K478" i="8"/>
  <c r="L478" i="8"/>
  <c r="K479" i="8"/>
  <c r="L479" i="8"/>
  <c r="K480" i="8"/>
  <c r="L480" i="8"/>
  <c r="K481" i="8"/>
  <c r="L481" i="8"/>
  <c r="K482" i="8"/>
  <c r="L482" i="8"/>
  <c r="K483" i="8"/>
  <c r="L483" i="8"/>
  <c r="K484" i="8"/>
  <c r="L484" i="8"/>
  <c r="K485" i="8"/>
  <c r="L485" i="8"/>
  <c r="K486" i="8"/>
  <c r="L486" i="8"/>
  <c r="K487" i="8"/>
  <c r="L487" i="8"/>
  <c r="K488" i="8"/>
  <c r="L488" i="8"/>
  <c r="K489" i="8"/>
  <c r="L489" i="8"/>
  <c r="K490" i="8"/>
  <c r="L490" i="8"/>
  <c r="K491" i="8"/>
  <c r="L491" i="8"/>
  <c r="K492" i="8"/>
  <c r="L492" i="8"/>
  <c r="K493" i="8"/>
  <c r="L493" i="8"/>
  <c r="K494" i="8"/>
  <c r="L494" i="8"/>
  <c r="K495" i="8"/>
  <c r="L495" i="8"/>
  <c r="K496" i="8"/>
  <c r="L496" i="8"/>
  <c r="K497" i="8"/>
  <c r="L497" i="8"/>
  <c r="K498" i="8"/>
  <c r="L498" i="8"/>
  <c r="K499" i="8"/>
  <c r="L499" i="8"/>
  <c r="K500" i="8"/>
  <c r="L500" i="8"/>
  <c r="K501" i="8"/>
  <c r="L501" i="8"/>
  <c r="K2" i="8"/>
  <c r="L2" i="8"/>
  <c r="D501" i="8"/>
  <c r="B501" i="8"/>
  <c r="D500" i="8"/>
  <c r="B500" i="8"/>
  <c r="D499" i="8"/>
  <c r="B499" i="8"/>
  <c r="D498" i="8"/>
  <c r="B498" i="8"/>
  <c r="D497" i="8"/>
  <c r="B497" i="8"/>
  <c r="D496" i="8"/>
  <c r="B496" i="8"/>
  <c r="D495" i="8"/>
  <c r="B495" i="8"/>
  <c r="D494" i="8"/>
  <c r="B494" i="8"/>
  <c r="D493" i="8"/>
  <c r="B493" i="8"/>
  <c r="D492" i="8"/>
  <c r="B492" i="8"/>
  <c r="D491" i="8"/>
  <c r="B491" i="8"/>
  <c r="D490" i="8"/>
  <c r="B490" i="8"/>
  <c r="D489" i="8"/>
  <c r="B489" i="8"/>
  <c r="D488" i="8"/>
  <c r="B488" i="8"/>
  <c r="D487" i="8"/>
  <c r="B487" i="8"/>
  <c r="D486" i="8"/>
  <c r="B486" i="8"/>
  <c r="D485" i="8"/>
  <c r="B485" i="8"/>
  <c r="D484" i="8"/>
  <c r="B484" i="8"/>
  <c r="D483" i="8"/>
  <c r="B483" i="8"/>
  <c r="D482" i="8"/>
  <c r="B482" i="8"/>
  <c r="D481" i="8"/>
  <c r="B481" i="8"/>
  <c r="D480" i="8"/>
  <c r="B480" i="8"/>
  <c r="D479" i="8"/>
  <c r="B479" i="8"/>
  <c r="D478" i="8"/>
  <c r="B478" i="8"/>
  <c r="D477" i="8"/>
  <c r="B477" i="8"/>
  <c r="D476" i="8"/>
  <c r="B476" i="8"/>
  <c r="D475" i="8"/>
  <c r="B475" i="8"/>
  <c r="D474" i="8"/>
  <c r="B474" i="8"/>
  <c r="D473" i="8"/>
  <c r="B473" i="8"/>
  <c r="D472" i="8"/>
  <c r="B472" i="8"/>
  <c r="D471" i="8"/>
  <c r="B471" i="8"/>
  <c r="D470" i="8"/>
  <c r="B470" i="8"/>
  <c r="D469" i="8"/>
  <c r="B469" i="8"/>
  <c r="D468" i="8"/>
  <c r="B468" i="8"/>
  <c r="D467" i="8"/>
  <c r="B467" i="8"/>
  <c r="D466" i="8"/>
  <c r="B466" i="8"/>
  <c r="D465" i="8"/>
  <c r="B465" i="8"/>
  <c r="D464" i="8"/>
  <c r="B464" i="8"/>
  <c r="D463" i="8"/>
  <c r="B463" i="8"/>
  <c r="D462" i="8"/>
  <c r="B462" i="8"/>
  <c r="D461" i="8"/>
  <c r="B461" i="8"/>
  <c r="D460" i="8"/>
  <c r="B460" i="8"/>
  <c r="D459" i="8"/>
  <c r="B459" i="8"/>
  <c r="D458" i="8"/>
  <c r="B458" i="8"/>
  <c r="D457" i="8"/>
  <c r="B457" i="8"/>
  <c r="D456" i="8"/>
  <c r="B456" i="8"/>
  <c r="D455" i="8"/>
  <c r="B455" i="8"/>
  <c r="D454" i="8"/>
  <c r="B454" i="8"/>
  <c r="D453" i="8"/>
  <c r="B453" i="8"/>
  <c r="D452" i="8"/>
  <c r="B452" i="8"/>
  <c r="D451" i="8"/>
  <c r="B451" i="8"/>
  <c r="D450" i="8"/>
  <c r="B450" i="8"/>
  <c r="D449" i="8"/>
  <c r="B449" i="8"/>
  <c r="D448" i="8"/>
  <c r="B448" i="8"/>
  <c r="D447" i="8"/>
  <c r="B447" i="8"/>
  <c r="D446" i="8"/>
  <c r="B446" i="8"/>
  <c r="D445" i="8"/>
  <c r="B445" i="8"/>
  <c r="D444" i="8"/>
  <c r="B444" i="8"/>
  <c r="D443" i="8"/>
  <c r="B443" i="8"/>
  <c r="D442" i="8"/>
  <c r="B442" i="8"/>
  <c r="D441" i="8"/>
  <c r="B441" i="8"/>
  <c r="D440" i="8"/>
  <c r="B440" i="8"/>
  <c r="D439" i="8"/>
  <c r="B439" i="8"/>
  <c r="D438" i="8"/>
  <c r="B438" i="8"/>
  <c r="D437" i="8"/>
  <c r="B437" i="8"/>
  <c r="D436" i="8"/>
  <c r="B436" i="8"/>
  <c r="D435" i="8"/>
  <c r="B435" i="8"/>
  <c r="D434" i="8"/>
  <c r="B434" i="8"/>
  <c r="D433" i="8"/>
  <c r="B433" i="8"/>
  <c r="D432" i="8"/>
  <c r="B432" i="8"/>
  <c r="D431" i="8"/>
  <c r="B431" i="8"/>
  <c r="D430" i="8"/>
  <c r="B430" i="8"/>
  <c r="D429" i="8"/>
  <c r="B429" i="8"/>
  <c r="D428" i="8"/>
  <c r="B428" i="8"/>
  <c r="D427" i="8"/>
  <c r="B427" i="8"/>
  <c r="D426" i="8"/>
  <c r="B426" i="8"/>
  <c r="D425" i="8"/>
  <c r="B425" i="8"/>
  <c r="D424" i="8"/>
  <c r="B424" i="8"/>
  <c r="D423" i="8"/>
  <c r="B423" i="8"/>
  <c r="D422" i="8"/>
  <c r="B422" i="8"/>
  <c r="D421" i="8"/>
  <c r="B421" i="8"/>
  <c r="D420" i="8"/>
  <c r="B420" i="8"/>
  <c r="D419" i="8"/>
  <c r="B419" i="8"/>
  <c r="D418" i="8"/>
  <c r="B418" i="8"/>
  <c r="D417" i="8"/>
  <c r="B417" i="8"/>
  <c r="D416" i="8"/>
  <c r="B416" i="8"/>
  <c r="D415" i="8"/>
  <c r="B415" i="8"/>
  <c r="D414" i="8"/>
  <c r="B414" i="8"/>
  <c r="D413" i="8"/>
  <c r="B413" i="8"/>
  <c r="D412" i="8"/>
  <c r="B412" i="8"/>
  <c r="D411" i="8"/>
  <c r="B411" i="8"/>
  <c r="D410" i="8"/>
  <c r="B410" i="8"/>
  <c r="D409" i="8"/>
  <c r="B409" i="8"/>
  <c r="D408" i="8"/>
  <c r="B408" i="8"/>
  <c r="D407" i="8"/>
  <c r="B407" i="8"/>
  <c r="D406" i="8"/>
  <c r="B406" i="8"/>
  <c r="D405" i="8"/>
  <c r="B405" i="8"/>
  <c r="D404" i="8"/>
  <c r="B404" i="8"/>
  <c r="D403" i="8"/>
  <c r="B403" i="8"/>
  <c r="D402" i="8"/>
  <c r="B402" i="8"/>
  <c r="D401" i="8"/>
  <c r="B401" i="8"/>
  <c r="D400" i="8"/>
  <c r="B400" i="8"/>
  <c r="D399" i="8"/>
  <c r="B399" i="8"/>
  <c r="D398" i="8"/>
  <c r="B398" i="8"/>
  <c r="D397" i="8"/>
  <c r="B397" i="8"/>
  <c r="D396" i="8"/>
  <c r="B396" i="8"/>
  <c r="D395" i="8"/>
  <c r="B395" i="8"/>
  <c r="D394" i="8"/>
  <c r="B394" i="8"/>
  <c r="D393" i="8"/>
  <c r="B393" i="8"/>
  <c r="D392" i="8"/>
  <c r="B392" i="8"/>
  <c r="D391" i="8"/>
  <c r="B391" i="8"/>
  <c r="D390" i="8"/>
  <c r="B390" i="8"/>
  <c r="D389" i="8"/>
  <c r="B389" i="8"/>
  <c r="D388" i="8"/>
  <c r="B388" i="8"/>
  <c r="D387" i="8"/>
  <c r="B387" i="8"/>
  <c r="D386" i="8"/>
  <c r="B386" i="8"/>
  <c r="D385" i="8"/>
  <c r="B385" i="8"/>
  <c r="D384" i="8"/>
  <c r="B384" i="8"/>
  <c r="D383" i="8"/>
  <c r="B383" i="8"/>
  <c r="D382" i="8"/>
  <c r="B382" i="8"/>
  <c r="D381" i="8"/>
  <c r="B381" i="8"/>
  <c r="D380" i="8"/>
  <c r="B380" i="8"/>
  <c r="D379" i="8"/>
  <c r="B379" i="8"/>
  <c r="D378" i="8"/>
  <c r="B378" i="8"/>
  <c r="D377" i="8"/>
  <c r="B377" i="8"/>
  <c r="D376" i="8"/>
  <c r="B376" i="8"/>
  <c r="D375" i="8"/>
  <c r="B375" i="8"/>
  <c r="D374" i="8"/>
  <c r="B374" i="8"/>
  <c r="D373" i="8"/>
  <c r="B373" i="8"/>
  <c r="D372" i="8"/>
  <c r="B372" i="8"/>
  <c r="D371" i="8"/>
  <c r="B371" i="8"/>
  <c r="D370" i="8"/>
  <c r="B370" i="8"/>
  <c r="D369" i="8"/>
  <c r="B369" i="8"/>
  <c r="D368" i="8"/>
  <c r="B368" i="8"/>
  <c r="D367" i="8"/>
  <c r="B367" i="8"/>
  <c r="D366" i="8"/>
  <c r="B366" i="8"/>
  <c r="D365" i="8"/>
  <c r="B365" i="8"/>
  <c r="D364" i="8"/>
  <c r="B364" i="8"/>
  <c r="D363" i="8"/>
  <c r="B363" i="8"/>
  <c r="D362" i="8"/>
  <c r="B362" i="8"/>
  <c r="D361" i="8"/>
  <c r="B361" i="8"/>
  <c r="D360" i="8"/>
  <c r="B360" i="8"/>
  <c r="D359" i="8"/>
  <c r="B359" i="8"/>
  <c r="D358" i="8"/>
  <c r="B358" i="8"/>
  <c r="D357" i="8"/>
  <c r="B357" i="8"/>
  <c r="D356" i="8"/>
  <c r="B356" i="8"/>
  <c r="D355" i="8"/>
  <c r="B355" i="8"/>
  <c r="D354" i="8"/>
  <c r="B354" i="8"/>
  <c r="D353" i="8"/>
  <c r="B353" i="8"/>
  <c r="D352" i="8"/>
  <c r="B352" i="8"/>
  <c r="D351" i="8"/>
  <c r="B351" i="8"/>
  <c r="D350" i="8"/>
  <c r="B350" i="8"/>
  <c r="D349" i="8"/>
  <c r="B349" i="8"/>
  <c r="D348" i="8"/>
  <c r="B348" i="8"/>
  <c r="D347" i="8"/>
  <c r="B347" i="8"/>
  <c r="D346" i="8"/>
  <c r="B346" i="8"/>
  <c r="D345" i="8"/>
  <c r="B345" i="8"/>
  <c r="D344" i="8"/>
  <c r="B344" i="8"/>
  <c r="D343" i="8"/>
  <c r="B343" i="8"/>
  <c r="D342" i="8"/>
  <c r="B342" i="8"/>
  <c r="D341" i="8"/>
  <c r="B341" i="8"/>
  <c r="D340" i="8"/>
  <c r="B340" i="8"/>
  <c r="D339" i="8"/>
  <c r="B339" i="8"/>
  <c r="D338" i="8"/>
  <c r="B338" i="8"/>
  <c r="D337" i="8"/>
  <c r="B337" i="8"/>
  <c r="D336" i="8"/>
  <c r="B336" i="8"/>
  <c r="D335" i="8"/>
  <c r="B335" i="8"/>
  <c r="D334" i="8"/>
  <c r="B334" i="8"/>
  <c r="D333" i="8"/>
  <c r="B333" i="8"/>
  <c r="D332" i="8"/>
  <c r="B332" i="8"/>
  <c r="D331" i="8"/>
  <c r="B331" i="8"/>
  <c r="D330" i="8"/>
  <c r="B330" i="8"/>
  <c r="D329" i="8"/>
  <c r="B329" i="8"/>
  <c r="D328" i="8"/>
  <c r="B328" i="8"/>
  <c r="D327" i="8"/>
  <c r="B327" i="8"/>
  <c r="D326" i="8"/>
  <c r="B326" i="8"/>
  <c r="D325" i="8"/>
  <c r="B325" i="8"/>
  <c r="D324" i="8"/>
  <c r="B324" i="8"/>
  <c r="D323" i="8"/>
  <c r="B323" i="8"/>
  <c r="D322" i="8"/>
  <c r="B322" i="8"/>
  <c r="D321" i="8"/>
  <c r="B321" i="8"/>
  <c r="D320" i="8"/>
  <c r="B320" i="8"/>
  <c r="D319" i="8"/>
  <c r="B319" i="8"/>
  <c r="D318" i="8"/>
  <c r="B318" i="8"/>
  <c r="D317" i="8"/>
  <c r="B317" i="8"/>
  <c r="D316" i="8"/>
  <c r="B316" i="8"/>
  <c r="D315" i="8"/>
  <c r="B315" i="8"/>
  <c r="D314" i="8"/>
  <c r="B314" i="8"/>
  <c r="D313" i="8"/>
  <c r="B313" i="8"/>
  <c r="D312" i="8"/>
  <c r="B312" i="8"/>
  <c r="D311" i="8"/>
  <c r="B311" i="8"/>
  <c r="D310" i="8"/>
  <c r="B310" i="8"/>
  <c r="D309" i="8"/>
  <c r="B309" i="8"/>
  <c r="D308" i="8"/>
  <c r="B308" i="8"/>
  <c r="D307" i="8"/>
  <c r="B307" i="8"/>
  <c r="D306" i="8"/>
  <c r="B306" i="8"/>
  <c r="D305" i="8"/>
  <c r="B305" i="8"/>
  <c r="D304" i="8"/>
  <c r="B304" i="8"/>
  <c r="D303" i="8"/>
  <c r="B303" i="8"/>
  <c r="D302" i="8"/>
  <c r="B302" i="8"/>
  <c r="D301" i="8"/>
  <c r="B301" i="8"/>
  <c r="D300" i="8"/>
  <c r="B300" i="8"/>
  <c r="D299" i="8"/>
  <c r="B299" i="8"/>
  <c r="D298" i="8"/>
  <c r="B298" i="8"/>
  <c r="D297" i="8"/>
  <c r="B297" i="8"/>
  <c r="D296" i="8"/>
  <c r="B296" i="8"/>
  <c r="D295" i="8"/>
  <c r="B295" i="8"/>
  <c r="D294" i="8"/>
  <c r="B294" i="8"/>
  <c r="D293" i="8"/>
  <c r="B293" i="8"/>
  <c r="D292" i="8"/>
  <c r="B292" i="8"/>
  <c r="D291" i="8"/>
  <c r="B291" i="8"/>
  <c r="D290" i="8"/>
  <c r="B290" i="8"/>
  <c r="D289" i="8"/>
  <c r="B289" i="8"/>
  <c r="D288" i="8"/>
  <c r="B288" i="8"/>
  <c r="D287" i="8"/>
  <c r="B287" i="8"/>
  <c r="D286" i="8"/>
  <c r="B286" i="8"/>
  <c r="D285" i="8"/>
  <c r="B285" i="8"/>
  <c r="D284" i="8"/>
  <c r="B284" i="8"/>
  <c r="D283" i="8"/>
  <c r="B283" i="8"/>
  <c r="D282" i="8"/>
  <c r="B282" i="8"/>
  <c r="D281" i="8"/>
  <c r="B281" i="8"/>
  <c r="D280" i="8"/>
  <c r="B280" i="8"/>
  <c r="D279" i="8"/>
  <c r="B279" i="8"/>
  <c r="D278" i="8"/>
  <c r="B278" i="8"/>
  <c r="D277" i="8"/>
  <c r="B277" i="8"/>
  <c r="D276" i="8"/>
  <c r="B276" i="8"/>
  <c r="D275" i="8"/>
  <c r="B275" i="8"/>
  <c r="D274" i="8"/>
  <c r="B274" i="8"/>
  <c r="D273" i="8"/>
  <c r="B273" i="8"/>
  <c r="D272" i="8"/>
  <c r="B272" i="8"/>
  <c r="D271" i="8"/>
  <c r="B271" i="8"/>
  <c r="D270" i="8"/>
  <c r="B270" i="8"/>
  <c r="D269" i="8"/>
  <c r="B269" i="8"/>
  <c r="D268" i="8"/>
  <c r="B268" i="8"/>
  <c r="D267" i="8"/>
  <c r="B267" i="8"/>
  <c r="D266" i="8"/>
  <c r="B266" i="8"/>
  <c r="D265" i="8"/>
  <c r="B265" i="8"/>
  <c r="D264" i="8"/>
  <c r="B264" i="8"/>
  <c r="D263" i="8"/>
  <c r="B263" i="8"/>
  <c r="D262" i="8"/>
  <c r="B262" i="8"/>
  <c r="D261" i="8"/>
  <c r="B261" i="8"/>
  <c r="D260" i="8"/>
  <c r="B260" i="8"/>
  <c r="D259" i="8"/>
  <c r="B259" i="8"/>
  <c r="D258" i="8"/>
  <c r="B258" i="8"/>
  <c r="D257" i="8"/>
  <c r="B257" i="8"/>
  <c r="D256" i="8"/>
  <c r="B256" i="8"/>
  <c r="D255" i="8"/>
  <c r="B255" i="8"/>
  <c r="D254" i="8"/>
  <c r="B254" i="8"/>
  <c r="D253" i="8"/>
  <c r="B253" i="8"/>
  <c r="D252" i="8"/>
  <c r="B252" i="8"/>
  <c r="D251" i="8"/>
  <c r="B251" i="8"/>
  <c r="D250" i="8"/>
  <c r="B250" i="8"/>
  <c r="D249" i="8"/>
  <c r="B249" i="8"/>
  <c r="D248" i="8"/>
  <c r="B248" i="8"/>
  <c r="D247" i="8"/>
  <c r="B247" i="8"/>
  <c r="D246" i="8"/>
  <c r="B246" i="8"/>
  <c r="D245" i="8"/>
  <c r="B245" i="8"/>
  <c r="D244" i="8"/>
  <c r="B244" i="8"/>
  <c r="D243" i="8"/>
  <c r="B243" i="8"/>
  <c r="D242" i="8"/>
  <c r="B242" i="8"/>
  <c r="D241" i="8"/>
  <c r="B241" i="8"/>
  <c r="D240" i="8"/>
  <c r="B240" i="8"/>
  <c r="D239" i="8"/>
  <c r="B239" i="8"/>
  <c r="D238" i="8"/>
  <c r="B238" i="8"/>
  <c r="D237" i="8"/>
  <c r="B237" i="8"/>
  <c r="D236" i="8"/>
  <c r="B236" i="8"/>
  <c r="D235" i="8"/>
  <c r="B235" i="8"/>
  <c r="D234" i="8"/>
  <c r="B234" i="8"/>
  <c r="D233" i="8"/>
  <c r="B233" i="8"/>
  <c r="D232" i="8"/>
  <c r="B232" i="8"/>
  <c r="D231" i="8"/>
  <c r="B231" i="8"/>
  <c r="D230" i="8"/>
  <c r="B230" i="8"/>
  <c r="D229" i="8"/>
  <c r="B229" i="8"/>
  <c r="D228" i="8"/>
  <c r="B228" i="8"/>
  <c r="D227" i="8"/>
  <c r="B227" i="8"/>
  <c r="D226" i="8"/>
  <c r="B226" i="8"/>
  <c r="D225" i="8"/>
  <c r="B225" i="8"/>
  <c r="D224" i="8"/>
  <c r="B224" i="8"/>
  <c r="D223" i="8"/>
  <c r="B223" i="8"/>
  <c r="D222" i="8"/>
  <c r="B222" i="8"/>
  <c r="D221" i="8"/>
  <c r="B221" i="8"/>
  <c r="D220" i="8"/>
  <c r="B220" i="8"/>
  <c r="D219" i="8"/>
  <c r="B219" i="8"/>
  <c r="D218" i="8"/>
  <c r="B218" i="8"/>
  <c r="D217" i="8"/>
  <c r="B217" i="8"/>
  <c r="D216" i="8"/>
  <c r="B216" i="8"/>
  <c r="D215" i="8"/>
  <c r="B215" i="8"/>
  <c r="D214" i="8"/>
  <c r="B214" i="8"/>
  <c r="D213" i="8"/>
  <c r="B213" i="8"/>
  <c r="D212" i="8"/>
  <c r="B212" i="8"/>
  <c r="D211" i="8"/>
  <c r="B211" i="8"/>
  <c r="D210" i="8"/>
  <c r="B210" i="8"/>
  <c r="D209" i="8"/>
  <c r="B209" i="8"/>
  <c r="D208" i="8"/>
  <c r="B208" i="8"/>
  <c r="D207" i="8"/>
  <c r="B207" i="8"/>
  <c r="D206" i="8"/>
  <c r="B206" i="8"/>
  <c r="D205" i="8"/>
  <c r="B205" i="8"/>
  <c r="D204" i="8"/>
  <c r="B204" i="8"/>
  <c r="D203" i="8"/>
  <c r="B203" i="8"/>
  <c r="D202" i="8"/>
  <c r="B202" i="8"/>
  <c r="D201" i="8"/>
  <c r="B201" i="8"/>
  <c r="D200" i="8"/>
  <c r="B200" i="8"/>
  <c r="D199" i="8"/>
  <c r="B199" i="8"/>
  <c r="D198" i="8"/>
  <c r="B198" i="8"/>
  <c r="D197" i="8"/>
  <c r="B197" i="8"/>
  <c r="D196" i="8"/>
  <c r="B196" i="8"/>
  <c r="D195" i="8"/>
  <c r="B195" i="8"/>
  <c r="D194" i="8"/>
  <c r="B194" i="8"/>
  <c r="D193" i="8"/>
  <c r="B193" i="8"/>
  <c r="D192" i="8"/>
  <c r="B192" i="8"/>
  <c r="D191" i="8"/>
  <c r="B191" i="8"/>
  <c r="D190" i="8"/>
  <c r="B190" i="8"/>
  <c r="D189" i="8"/>
  <c r="B189" i="8"/>
  <c r="D188" i="8"/>
  <c r="B188" i="8"/>
  <c r="D187" i="8"/>
  <c r="B187" i="8"/>
  <c r="D186" i="8"/>
  <c r="B186" i="8"/>
  <c r="D185" i="8"/>
  <c r="B185" i="8"/>
  <c r="D184" i="8"/>
  <c r="B184" i="8"/>
  <c r="D183" i="8"/>
  <c r="B183" i="8"/>
  <c r="D182" i="8"/>
  <c r="B182" i="8"/>
  <c r="D181" i="8"/>
  <c r="B181" i="8"/>
  <c r="D180" i="8"/>
  <c r="B180" i="8"/>
  <c r="D179" i="8"/>
  <c r="B179" i="8"/>
  <c r="D178" i="8"/>
  <c r="B178" i="8"/>
  <c r="D177" i="8"/>
  <c r="B177" i="8"/>
  <c r="D176" i="8"/>
  <c r="B176" i="8"/>
  <c r="D175" i="8"/>
  <c r="B175" i="8"/>
  <c r="D174" i="8"/>
  <c r="B174" i="8"/>
  <c r="D173" i="8"/>
  <c r="B173" i="8"/>
  <c r="D172" i="8"/>
  <c r="B172" i="8"/>
  <c r="D171" i="8"/>
  <c r="B171" i="8"/>
  <c r="D170" i="8"/>
  <c r="B170" i="8"/>
  <c r="D169" i="8"/>
  <c r="B169" i="8"/>
  <c r="D168" i="8"/>
  <c r="B168" i="8"/>
  <c r="D167" i="8"/>
  <c r="B167" i="8"/>
  <c r="D166" i="8"/>
  <c r="B166" i="8"/>
  <c r="D165" i="8"/>
  <c r="B165" i="8"/>
  <c r="D164" i="8"/>
  <c r="B164" i="8"/>
  <c r="D163" i="8"/>
  <c r="B163" i="8"/>
  <c r="D162" i="8"/>
  <c r="B162" i="8"/>
  <c r="D161" i="8"/>
  <c r="B161" i="8"/>
  <c r="D160" i="8"/>
  <c r="B160" i="8"/>
  <c r="D159" i="8"/>
  <c r="B159" i="8"/>
  <c r="D158" i="8"/>
  <c r="B158" i="8"/>
  <c r="D157" i="8"/>
  <c r="B157" i="8"/>
  <c r="D156" i="8"/>
  <c r="B156" i="8"/>
  <c r="D155" i="8"/>
  <c r="B155" i="8"/>
  <c r="D154" i="8"/>
  <c r="B154" i="8"/>
  <c r="D153" i="8"/>
  <c r="B153" i="8"/>
  <c r="D152" i="8"/>
  <c r="B152" i="8"/>
  <c r="D151" i="8"/>
  <c r="B151" i="8"/>
  <c r="D150" i="8"/>
  <c r="B150" i="8"/>
  <c r="D149" i="8"/>
  <c r="B149" i="8"/>
  <c r="D148" i="8"/>
  <c r="B148" i="8"/>
  <c r="D147" i="8"/>
  <c r="B147" i="8"/>
  <c r="D146" i="8"/>
  <c r="B146" i="8"/>
  <c r="D145" i="8"/>
  <c r="B145" i="8"/>
  <c r="D144" i="8"/>
  <c r="B144" i="8"/>
  <c r="D143" i="8"/>
  <c r="B143" i="8"/>
  <c r="D142" i="8"/>
  <c r="B142" i="8"/>
  <c r="D141" i="8"/>
  <c r="B141" i="8"/>
  <c r="D140" i="8"/>
  <c r="B140" i="8"/>
  <c r="D139" i="8"/>
  <c r="B139" i="8"/>
  <c r="D138" i="8"/>
  <c r="B138" i="8"/>
  <c r="D137" i="8"/>
  <c r="B137" i="8"/>
  <c r="D136" i="8"/>
  <c r="B136" i="8"/>
  <c r="D135" i="8"/>
  <c r="B135" i="8"/>
  <c r="D134" i="8"/>
  <c r="B134" i="8"/>
  <c r="D133" i="8"/>
  <c r="B133" i="8"/>
  <c r="D132" i="8"/>
  <c r="B132" i="8"/>
  <c r="D131" i="8"/>
  <c r="B131" i="8"/>
  <c r="D130" i="8"/>
  <c r="B130" i="8"/>
  <c r="D129" i="8"/>
  <c r="B129" i="8"/>
  <c r="D128" i="8"/>
  <c r="B128" i="8"/>
  <c r="D127" i="8"/>
  <c r="B127" i="8"/>
  <c r="D126" i="8"/>
  <c r="B126" i="8"/>
  <c r="D125" i="8"/>
  <c r="B125" i="8"/>
  <c r="D124" i="8"/>
  <c r="B124" i="8"/>
  <c r="D123" i="8"/>
  <c r="B123" i="8"/>
  <c r="D122" i="8"/>
  <c r="B122" i="8"/>
  <c r="D121" i="8"/>
  <c r="B121" i="8"/>
  <c r="D120" i="8"/>
  <c r="B120" i="8"/>
  <c r="D119" i="8"/>
  <c r="B119" i="8"/>
  <c r="D118" i="8"/>
  <c r="B118" i="8"/>
  <c r="D117" i="8"/>
  <c r="B117" i="8"/>
  <c r="D116" i="8"/>
  <c r="B116" i="8"/>
  <c r="D115" i="8"/>
  <c r="B115" i="8"/>
  <c r="D114" i="8"/>
  <c r="B114" i="8"/>
  <c r="D113" i="8"/>
  <c r="B113" i="8"/>
  <c r="D112" i="8"/>
  <c r="B112" i="8"/>
  <c r="D111" i="8"/>
  <c r="B111" i="8"/>
  <c r="D110" i="8"/>
  <c r="B110" i="8"/>
  <c r="D109" i="8"/>
  <c r="B109" i="8"/>
  <c r="D108" i="8"/>
  <c r="B108" i="8"/>
  <c r="D107" i="8"/>
  <c r="B107" i="8"/>
  <c r="D106" i="8"/>
  <c r="B106" i="8"/>
  <c r="D105" i="8"/>
  <c r="B105" i="8"/>
  <c r="D104" i="8"/>
  <c r="B104" i="8"/>
  <c r="D103" i="8"/>
  <c r="B103" i="8"/>
  <c r="D102" i="8"/>
  <c r="B102" i="8"/>
  <c r="D101" i="8"/>
  <c r="B101" i="8"/>
  <c r="D100" i="8"/>
  <c r="B100" i="8"/>
  <c r="D99" i="8"/>
  <c r="B99" i="8"/>
  <c r="D98" i="8"/>
  <c r="B98" i="8"/>
  <c r="D97" i="8"/>
  <c r="B97" i="8"/>
  <c r="D96" i="8"/>
  <c r="B96" i="8"/>
  <c r="D95" i="8"/>
  <c r="B95" i="8"/>
  <c r="D94" i="8"/>
  <c r="B94" i="8"/>
  <c r="D93" i="8"/>
  <c r="B93" i="8"/>
  <c r="D92" i="8"/>
  <c r="B92" i="8"/>
  <c r="D91" i="8"/>
  <c r="B91" i="8"/>
  <c r="D90" i="8"/>
  <c r="B90" i="8"/>
  <c r="D89" i="8"/>
  <c r="B89" i="8"/>
  <c r="D88" i="8"/>
  <c r="B88" i="8"/>
  <c r="D87" i="8"/>
  <c r="B87" i="8"/>
  <c r="D86" i="8"/>
  <c r="B86" i="8"/>
  <c r="D85" i="8"/>
  <c r="B85" i="8"/>
  <c r="D84" i="8"/>
  <c r="B84" i="8"/>
  <c r="D83" i="8"/>
  <c r="B83" i="8"/>
  <c r="D82" i="8"/>
  <c r="B82" i="8"/>
  <c r="D81" i="8"/>
  <c r="B81" i="8"/>
  <c r="D80" i="8"/>
  <c r="B80" i="8"/>
  <c r="D79" i="8"/>
  <c r="B79" i="8"/>
  <c r="D78" i="8"/>
  <c r="B78" i="8"/>
  <c r="D77" i="8"/>
  <c r="B77" i="8"/>
  <c r="D76" i="8"/>
  <c r="B76" i="8"/>
  <c r="D75" i="8"/>
  <c r="B75" i="8"/>
  <c r="D74" i="8"/>
  <c r="B74" i="8"/>
  <c r="D73" i="8"/>
  <c r="B73" i="8"/>
  <c r="D72" i="8"/>
  <c r="B72" i="8"/>
  <c r="D71" i="8"/>
  <c r="B71" i="8"/>
  <c r="D70" i="8"/>
  <c r="B70" i="8"/>
  <c r="D69" i="8"/>
  <c r="B69" i="8"/>
  <c r="D68" i="8"/>
  <c r="B68" i="8"/>
  <c r="D67" i="8"/>
  <c r="B67" i="8"/>
  <c r="D66" i="8"/>
  <c r="B66" i="8"/>
  <c r="D65" i="8"/>
  <c r="B65" i="8"/>
  <c r="D64" i="8"/>
  <c r="B64" i="8"/>
  <c r="D63" i="8"/>
  <c r="B63" i="8"/>
  <c r="D62" i="8"/>
  <c r="B62" i="8"/>
  <c r="D61" i="8"/>
  <c r="B61" i="8"/>
  <c r="D60" i="8"/>
  <c r="B60" i="8"/>
  <c r="D59" i="8"/>
  <c r="B59" i="8"/>
  <c r="D58" i="8"/>
  <c r="B58" i="8"/>
  <c r="D57" i="8"/>
  <c r="B57" i="8"/>
  <c r="D56" i="8"/>
  <c r="B56" i="8"/>
  <c r="D55" i="8"/>
  <c r="B55" i="8"/>
  <c r="D54" i="8"/>
  <c r="B54" i="8"/>
  <c r="D53" i="8"/>
  <c r="B53" i="8"/>
  <c r="D52" i="8"/>
  <c r="B52" i="8"/>
  <c r="D51" i="8"/>
  <c r="B51" i="8"/>
  <c r="D50" i="8"/>
  <c r="B50" i="8"/>
  <c r="D49" i="8"/>
  <c r="B49" i="8"/>
  <c r="D48" i="8"/>
  <c r="B48" i="8"/>
  <c r="D47" i="8"/>
  <c r="B47" i="8"/>
  <c r="D46" i="8"/>
  <c r="B46" i="8"/>
  <c r="D45" i="8"/>
  <c r="B45" i="8"/>
  <c r="D44" i="8"/>
  <c r="B44" i="8"/>
  <c r="D43" i="8"/>
  <c r="B43" i="8"/>
  <c r="D42" i="8"/>
  <c r="B42" i="8"/>
  <c r="D41" i="8"/>
  <c r="B41" i="8"/>
  <c r="D40" i="8"/>
  <c r="B40" i="8"/>
  <c r="D39" i="8"/>
  <c r="B39" i="8"/>
  <c r="D38" i="8"/>
  <c r="B38" i="8"/>
  <c r="D37" i="8"/>
  <c r="B37" i="8"/>
  <c r="D36" i="8"/>
  <c r="B36" i="8"/>
  <c r="D35" i="8"/>
  <c r="B35" i="8"/>
  <c r="D34" i="8"/>
  <c r="B34" i="8"/>
  <c r="D33" i="8"/>
  <c r="B33" i="8"/>
  <c r="D32" i="8"/>
  <c r="B32" i="8"/>
  <c r="D31" i="8"/>
  <c r="B31" i="8"/>
  <c r="D30" i="8"/>
  <c r="B30" i="8"/>
  <c r="D29" i="8"/>
  <c r="B29" i="8"/>
  <c r="D28" i="8"/>
  <c r="B28" i="8"/>
  <c r="D27" i="8"/>
  <c r="B27" i="8"/>
  <c r="D26" i="8"/>
  <c r="B26" i="8"/>
  <c r="D25" i="8"/>
  <c r="B25" i="8"/>
  <c r="D24" i="8"/>
  <c r="B24" i="8"/>
  <c r="D23" i="8"/>
  <c r="B23" i="8"/>
  <c r="D22" i="8"/>
  <c r="B22" i="8"/>
  <c r="D21" i="8"/>
  <c r="B21" i="8"/>
  <c r="D20" i="8"/>
  <c r="B20" i="8"/>
  <c r="D19" i="8"/>
  <c r="B19" i="8"/>
  <c r="D18" i="8"/>
  <c r="B18" i="8"/>
  <c r="D17" i="8"/>
  <c r="B17" i="8"/>
  <c r="D16" i="8"/>
  <c r="B16" i="8"/>
  <c r="D15" i="8"/>
  <c r="B15" i="8"/>
  <c r="D14" i="8"/>
  <c r="B14" i="8"/>
  <c r="D13" i="8"/>
  <c r="B13" i="8"/>
  <c r="D12" i="8"/>
  <c r="B12" i="8"/>
  <c r="D11" i="8"/>
  <c r="B11" i="8"/>
  <c r="D10" i="8"/>
  <c r="B10" i="8"/>
  <c r="D9" i="8"/>
  <c r="B9" i="8"/>
  <c r="D8" i="8"/>
  <c r="B8" i="8"/>
  <c r="D7" i="8"/>
  <c r="B7" i="8"/>
  <c r="D6" i="8"/>
  <c r="B6" i="8"/>
  <c r="D5" i="8"/>
  <c r="B5" i="8"/>
  <c r="D4" i="8"/>
  <c r="B4" i="8"/>
  <c r="D3" i="8"/>
  <c r="B3" i="8"/>
  <c r="D2" i="8"/>
  <c r="B2" i="8"/>
  <c r="K3" i="7"/>
  <c r="L3" i="7"/>
  <c r="K4" i="7"/>
  <c r="L4" i="7"/>
  <c r="K5" i="7"/>
  <c r="L5" i="7"/>
  <c r="K6" i="7"/>
  <c r="L6" i="7"/>
  <c r="K7" i="7"/>
  <c r="L7" i="7"/>
  <c r="K8" i="7"/>
  <c r="L8" i="7"/>
  <c r="K9" i="7"/>
  <c r="L9" i="7"/>
  <c r="K10" i="7"/>
  <c r="L10" i="7"/>
  <c r="K11" i="7"/>
  <c r="L11" i="7"/>
  <c r="K12" i="7"/>
  <c r="L12" i="7"/>
  <c r="K13" i="7"/>
  <c r="L13" i="7"/>
  <c r="K14" i="7"/>
  <c r="L14" i="7"/>
  <c r="K15" i="7"/>
  <c r="L15" i="7"/>
  <c r="K16" i="7"/>
  <c r="L16" i="7"/>
  <c r="K17" i="7"/>
  <c r="L17" i="7"/>
  <c r="K18" i="7"/>
  <c r="L18" i="7"/>
  <c r="K19" i="7"/>
  <c r="L19" i="7"/>
  <c r="K20" i="7"/>
  <c r="L20" i="7"/>
  <c r="K21" i="7"/>
  <c r="L21" i="7"/>
  <c r="K22" i="7"/>
  <c r="L22" i="7"/>
  <c r="K23" i="7"/>
  <c r="L23" i="7"/>
  <c r="K24" i="7"/>
  <c r="L24" i="7"/>
  <c r="K25" i="7"/>
  <c r="L25" i="7"/>
  <c r="K26" i="7"/>
  <c r="L26" i="7"/>
  <c r="K27" i="7"/>
  <c r="L27" i="7"/>
  <c r="K28" i="7"/>
  <c r="L28" i="7"/>
  <c r="K29" i="7"/>
  <c r="L29" i="7"/>
  <c r="K30" i="7"/>
  <c r="L30" i="7"/>
  <c r="K31" i="7"/>
  <c r="L31" i="7"/>
  <c r="K32" i="7"/>
  <c r="L32" i="7"/>
  <c r="K33" i="7"/>
  <c r="L33" i="7"/>
  <c r="K34" i="7"/>
  <c r="L34" i="7"/>
  <c r="K35" i="7"/>
  <c r="L35" i="7"/>
  <c r="K36" i="7"/>
  <c r="L36" i="7"/>
  <c r="K37" i="7"/>
  <c r="L37" i="7"/>
  <c r="K38" i="7"/>
  <c r="L38" i="7"/>
  <c r="K39" i="7"/>
  <c r="L39" i="7"/>
  <c r="K40" i="7"/>
  <c r="L40" i="7"/>
  <c r="K41" i="7"/>
  <c r="L41" i="7"/>
  <c r="K42" i="7"/>
  <c r="L42" i="7"/>
  <c r="K43" i="7"/>
  <c r="L43" i="7"/>
  <c r="K44" i="7"/>
  <c r="L44" i="7"/>
  <c r="K45" i="7"/>
  <c r="L45" i="7"/>
  <c r="K46" i="7"/>
  <c r="L46" i="7"/>
  <c r="K47" i="7"/>
  <c r="L47" i="7"/>
  <c r="K48" i="7"/>
  <c r="L48" i="7"/>
  <c r="K49" i="7"/>
  <c r="L49" i="7"/>
  <c r="K50" i="7"/>
  <c r="L50" i="7"/>
  <c r="K51" i="7"/>
  <c r="L51" i="7"/>
  <c r="K52" i="7"/>
  <c r="L52" i="7"/>
  <c r="K53" i="7"/>
  <c r="L53" i="7"/>
  <c r="K54" i="7"/>
  <c r="L54" i="7"/>
  <c r="K55" i="7"/>
  <c r="L55" i="7"/>
  <c r="K56" i="7"/>
  <c r="L56" i="7"/>
  <c r="K57" i="7"/>
  <c r="L57" i="7"/>
  <c r="K58" i="7"/>
  <c r="L58" i="7"/>
  <c r="K59" i="7"/>
  <c r="L59" i="7"/>
  <c r="K60" i="7"/>
  <c r="L60" i="7"/>
  <c r="K61" i="7"/>
  <c r="L61" i="7"/>
  <c r="K62" i="7"/>
  <c r="L62" i="7"/>
  <c r="K63" i="7"/>
  <c r="L63" i="7"/>
  <c r="K64" i="7"/>
  <c r="L64" i="7"/>
  <c r="K65" i="7"/>
  <c r="L65" i="7"/>
  <c r="K66" i="7"/>
  <c r="L66" i="7"/>
  <c r="K67" i="7"/>
  <c r="L67" i="7"/>
  <c r="K68" i="7"/>
  <c r="L68" i="7"/>
  <c r="K69" i="7"/>
  <c r="L69" i="7"/>
  <c r="K70" i="7"/>
  <c r="L70" i="7"/>
  <c r="K71" i="7"/>
  <c r="L71" i="7"/>
  <c r="K72" i="7"/>
  <c r="L72" i="7"/>
  <c r="K73" i="7"/>
  <c r="L73" i="7"/>
  <c r="K74" i="7"/>
  <c r="L74" i="7"/>
  <c r="K75" i="7"/>
  <c r="L75" i="7"/>
  <c r="K76" i="7"/>
  <c r="L76" i="7"/>
  <c r="K77" i="7"/>
  <c r="L77" i="7"/>
  <c r="K78" i="7"/>
  <c r="L78" i="7"/>
  <c r="K79" i="7"/>
  <c r="L79" i="7"/>
  <c r="K80" i="7"/>
  <c r="L80" i="7"/>
  <c r="K81" i="7"/>
  <c r="L81" i="7"/>
  <c r="K82" i="7"/>
  <c r="L82" i="7"/>
  <c r="K83" i="7"/>
  <c r="L83" i="7"/>
  <c r="K84" i="7"/>
  <c r="L84" i="7"/>
  <c r="K85" i="7"/>
  <c r="L85" i="7"/>
  <c r="K86" i="7"/>
  <c r="L86" i="7"/>
  <c r="K87" i="7"/>
  <c r="L87" i="7"/>
  <c r="K88" i="7"/>
  <c r="L88" i="7"/>
  <c r="K89" i="7"/>
  <c r="L89" i="7"/>
  <c r="K90" i="7"/>
  <c r="L90" i="7"/>
  <c r="K91" i="7"/>
  <c r="L91" i="7"/>
  <c r="K92" i="7"/>
  <c r="L92" i="7"/>
  <c r="K93" i="7"/>
  <c r="L93" i="7"/>
  <c r="K94" i="7"/>
  <c r="L94" i="7"/>
  <c r="K95" i="7"/>
  <c r="L95" i="7"/>
  <c r="K96" i="7"/>
  <c r="L96" i="7"/>
  <c r="K97" i="7"/>
  <c r="L97" i="7"/>
  <c r="K98" i="7"/>
  <c r="L98" i="7"/>
  <c r="K99" i="7"/>
  <c r="L99" i="7"/>
  <c r="K100" i="7"/>
  <c r="L100" i="7"/>
  <c r="K101" i="7"/>
  <c r="L101" i="7"/>
  <c r="K102" i="7"/>
  <c r="L102" i="7"/>
  <c r="K103" i="7"/>
  <c r="L103" i="7"/>
  <c r="K104" i="7"/>
  <c r="L104" i="7"/>
  <c r="K105" i="7"/>
  <c r="L105" i="7"/>
  <c r="K106" i="7"/>
  <c r="L106" i="7"/>
  <c r="K107" i="7"/>
  <c r="L107" i="7"/>
  <c r="K108" i="7"/>
  <c r="L108" i="7"/>
  <c r="K109" i="7"/>
  <c r="L109" i="7"/>
  <c r="K110" i="7"/>
  <c r="L110" i="7"/>
  <c r="K111" i="7"/>
  <c r="L111" i="7"/>
  <c r="K112" i="7"/>
  <c r="L112" i="7"/>
  <c r="K113" i="7"/>
  <c r="L113" i="7"/>
  <c r="K114" i="7"/>
  <c r="L114" i="7"/>
  <c r="K115" i="7"/>
  <c r="L115" i="7"/>
  <c r="K116" i="7"/>
  <c r="L116" i="7"/>
  <c r="K117" i="7"/>
  <c r="L117" i="7"/>
  <c r="K118" i="7"/>
  <c r="L118" i="7"/>
  <c r="K119" i="7"/>
  <c r="L119" i="7"/>
  <c r="K120" i="7"/>
  <c r="L120" i="7"/>
  <c r="K121" i="7"/>
  <c r="L121" i="7"/>
  <c r="K122" i="7"/>
  <c r="L122" i="7"/>
  <c r="K123" i="7"/>
  <c r="L123" i="7"/>
  <c r="K124" i="7"/>
  <c r="L124" i="7"/>
  <c r="K125" i="7"/>
  <c r="L125" i="7"/>
  <c r="K126" i="7"/>
  <c r="L126" i="7"/>
  <c r="K127" i="7"/>
  <c r="L127" i="7"/>
  <c r="K128" i="7"/>
  <c r="L128" i="7"/>
  <c r="K129" i="7"/>
  <c r="L129" i="7"/>
  <c r="K130" i="7"/>
  <c r="L130" i="7"/>
  <c r="K131" i="7"/>
  <c r="L131" i="7"/>
  <c r="K132" i="7"/>
  <c r="L132" i="7"/>
  <c r="K133" i="7"/>
  <c r="L133" i="7"/>
  <c r="K134" i="7"/>
  <c r="L134" i="7"/>
  <c r="K135" i="7"/>
  <c r="L135" i="7"/>
  <c r="K136" i="7"/>
  <c r="L136" i="7"/>
  <c r="K137" i="7"/>
  <c r="L137" i="7"/>
  <c r="K138" i="7"/>
  <c r="L138" i="7"/>
  <c r="K139" i="7"/>
  <c r="L139" i="7"/>
  <c r="K140" i="7"/>
  <c r="L140" i="7"/>
  <c r="K141" i="7"/>
  <c r="L141" i="7"/>
  <c r="K142" i="7"/>
  <c r="L142" i="7"/>
  <c r="K143" i="7"/>
  <c r="L143" i="7"/>
  <c r="K144" i="7"/>
  <c r="L144" i="7"/>
  <c r="K145" i="7"/>
  <c r="L145" i="7"/>
  <c r="K146" i="7"/>
  <c r="L146" i="7"/>
  <c r="K147" i="7"/>
  <c r="L147" i="7"/>
  <c r="K148" i="7"/>
  <c r="L148" i="7"/>
  <c r="K149" i="7"/>
  <c r="L149" i="7"/>
  <c r="K150" i="7"/>
  <c r="L150" i="7"/>
  <c r="K151" i="7"/>
  <c r="L151" i="7"/>
  <c r="K152" i="7"/>
  <c r="L152" i="7"/>
  <c r="K153" i="7"/>
  <c r="L153" i="7"/>
  <c r="K154" i="7"/>
  <c r="L154" i="7"/>
  <c r="K155" i="7"/>
  <c r="L155" i="7"/>
  <c r="K156" i="7"/>
  <c r="L156" i="7"/>
  <c r="K157" i="7"/>
  <c r="L157" i="7"/>
  <c r="K158" i="7"/>
  <c r="L158" i="7"/>
  <c r="K159" i="7"/>
  <c r="L159" i="7"/>
  <c r="K160" i="7"/>
  <c r="L160" i="7"/>
  <c r="K161" i="7"/>
  <c r="L161" i="7"/>
  <c r="K162" i="7"/>
  <c r="L162" i="7"/>
  <c r="K163" i="7"/>
  <c r="L163" i="7"/>
  <c r="K164" i="7"/>
  <c r="L164" i="7"/>
  <c r="K165" i="7"/>
  <c r="L165" i="7"/>
  <c r="K166" i="7"/>
  <c r="L166" i="7"/>
  <c r="K167" i="7"/>
  <c r="L167" i="7"/>
  <c r="K168" i="7"/>
  <c r="L168" i="7"/>
  <c r="K169" i="7"/>
  <c r="L169" i="7"/>
  <c r="K170" i="7"/>
  <c r="L170" i="7"/>
  <c r="K171" i="7"/>
  <c r="L171" i="7"/>
  <c r="K172" i="7"/>
  <c r="L172" i="7"/>
  <c r="K173" i="7"/>
  <c r="L173" i="7"/>
  <c r="K174" i="7"/>
  <c r="L174" i="7"/>
  <c r="K175" i="7"/>
  <c r="L175" i="7"/>
  <c r="K176" i="7"/>
  <c r="L176" i="7"/>
  <c r="K177" i="7"/>
  <c r="L177" i="7"/>
  <c r="K178" i="7"/>
  <c r="L178" i="7"/>
  <c r="K179" i="7"/>
  <c r="L179" i="7"/>
  <c r="K180" i="7"/>
  <c r="L180" i="7"/>
  <c r="K181" i="7"/>
  <c r="L181" i="7"/>
  <c r="K182" i="7"/>
  <c r="L182" i="7"/>
  <c r="K183" i="7"/>
  <c r="L183" i="7"/>
  <c r="K184" i="7"/>
  <c r="L184" i="7"/>
  <c r="K185" i="7"/>
  <c r="L185" i="7"/>
  <c r="K186" i="7"/>
  <c r="L186" i="7"/>
  <c r="K187" i="7"/>
  <c r="L187" i="7"/>
  <c r="K188" i="7"/>
  <c r="L188" i="7"/>
  <c r="K189" i="7"/>
  <c r="L189" i="7"/>
  <c r="K190" i="7"/>
  <c r="L190" i="7"/>
  <c r="K191" i="7"/>
  <c r="L191" i="7"/>
  <c r="K192" i="7"/>
  <c r="L192" i="7"/>
  <c r="K193" i="7"/>
  <c r="L193" i="7"/>
  <c r="K194" i="7"/>
  <c r="L194" i="7"/>
  <c r="K195" i="7"/>
  <c r="L195" i="7"/>
  <c r="K196" i="7"/>
  <c r="L196" i="7"/>
  <c r="K197" i="7"/>
  <c r="L197" i="7"/>
  <c r="K198" i="7"/>
  <c r="L198" i="7"/>
  <c r="K199" i="7"/>
  <c r="L199" i="7"/>
  <c r="K200" i="7"/>
  <c r="L200" i="7"/>
  <c r="K201" i="7"/>
  <c r="L201" i="7"/>
  <c r="K202" i="7"/>
  <c r="L202" i="7"/>
  <c r="K203" i="7"/>
  <c r="L203" i="7"/>
  <c r="K204" i="7"/>
  <c r="L204" i="7"/>
  <c r="K205" i="7"/>
  <c r="L205" i="7"/>
  <c r="K206" i="7"/>
  <c r="L206" i="7"/>
  <c r="K207" i="7"/>
  <c r="L207" i="7"/>
  <c r="K208" i="7"/>
  <c r="L208" i="7"/>
  <c r="K209" i="7"/>
  <c r="L209" i="7"/>
  <c r="K210" i="7"/>
  <c r="L210" i="7"/>
  <c r="K211" i="7"/>
  <c r="L211" i="7"/>
  <c r="K212" i="7"/>
  <c r="L212" i="7"/>
  <c r="K213" i="7"/>
  <c r="L213" i="7"/>
  <c r="K214" i="7"/>
  <c r="L214" i="7"/>
  <c r="K215" i="7"/>
  <c r="L215" i="7"/>
  <c r="K216" i="7"/>
  <c r="L216" i="7"/>
  <c r="K217" i="7"/>
  <c r="L217" i="7"/>
  <c r="K218" i="7"/>
  <c r="L218" i="7"/>
  <c r="K219" i="7"/>
  <c r="L219" i="7"/>
  <c r="K220" i="7"/>
  <c r="L220" i="7"/>
  <c r="K221" i="7"/>
  <c r="L221" i="7"/>
  <c r="K222" i="7"/>
  <c r="L222" i="7"/>
  <c r="K223" i="7"/>
  <c r="L223" i="7"/>
  <c r="K224" i="7"/>
  <c r="L224" i="7"/>
  <c r="K225" i="7"/>
  <c r="L225" i="7"/>
  <c r="K226" i="7"/>
  <c r="L226" i="7"/>
  <c r="K227" i="7"/>
  <c r="L227" i="7"/>
  <c r="K228" i="7"/>
  <c r="L228" i="7"/>
  <c r="K229" i="7"/>
  <c r="L229" i="7"/>
  <c r="K230" i="7"/>
  <c r="L230" i="7"/>
  <c r="K231" i="7"/>
  <c r="L231" i="7"/>
  <c r="K232" i="7"/>
  <c r="L232" i="7"/>
  <c r="K233" i="7"/>
  <c r="L233" i="7"/>
  <c r="K234" i="7"/>
  <c r="L234" i="7"/>
  <c r="K235" i="7"/>
  <c r="L235" i="7"/>
  <c r="K236" i="7"/>
  <c r="L236" i="7"/>
  <c r="K237" i="7"/>
  <c r="L237" i="7"/>
  <c r="K238" i="7"/>
  <c r="L238" i="7"/>
  <c r="K239" i="7"/>
  <c r="L239" i="7"/>
  <c r="K240" i="7"/>
  <c r="L240" i="7"/>
  <c r="K241" i="7"/>
  <c r="L241" i="7"/>
  <c r="K242" i="7"/>
  <c r="L242" i="7"/>
  <c r="K243" i="7"/>
  <c r="L243" i="7"/>
  <c r="K244" i="7"/>
  <c r="L244" i="7"/>
  <c r="K245" i="7"/>
  <c r="L245" i="7"/>
  <c r="K246" i="7"/>
  <c r="L246" i="7"/>
  <c r="K247" i="7"/>
  <c r="L247" i="7"/>
  <c r="K248" i="7"/>
  <c r="L248" i="7"/>
  <c r="K249" i="7"/>
  <c r="L249" i="7"/>
  <c r="K250" i="7"/>
  <c r="L250" i="7"/>
  <c r="K251" i="7"/>
  <c r="L251" i="7"/>
  <c r="K252" i="7"/>
  <c r="L252" i="7"/>
  <c r="K253" i="7"/>
  <c r="L253" i="7"/>
  <c r="K254" i="7"/>
  <c r="L254" i="7"/>
  <c r="K255" i="7"/>
  <c r="L255" i="7"/>
  <c r="K256" i="7"/>
  <c r="L256" i="7"/>
  <c r="K257" i="7"/>
  <c r="L257" i="7"/>
  <c r="K258" i="7"/>
  <c r="L258" i="7"/>
  <c r="K259" i="7"/>
  <c r="L259" i="7"/>
  <c r="K260" i="7"/>
  <c r="L260" i="7"/>
  <c r="K261" i="7"/>
  <c r="L261" i="7"/>
  <c r="K262" i="7"/>
  <c r="L262" i="7"/>
  <c r="K263" i="7"/>
  <c r="L263" i="7"/>
  <c r="K264" i="7"/>
  <c r="L264" i="7"/>
  <c r="K265" i="7"/>
  <c r="L265" i="7"/>
  <c r="K266" i="7"/>
  <c r="L266" i="7"/>
  <c r="K267" i="7"/>
  <c r="L267" i="7"/>
  <c r="K268" i="7"/>
  <c r="L268" i="7"/>
  <c r="K269" i="7"/>
  <c r="L269" i="7"/>
  <c r="K270" i="7"/>
  <c r="L270" i="7"/>
  <c r="K271" i="7"/>
  <c r="L271" i="7"/>
  <c r="K272" i="7"/>
  <c r="L272" i="7"/>
  <c r="K273" i="7"/>
  <c r="L273" i="7"/>
  <c r="K274" i="7"/>
  <c r="L274" i="7"/>
  <c r="K275" i="7"/>
  <c r="L275" i="7"/>
  <c r="K276" i="7"/>
  <c r="L276" i="7"/>
  <c r="K277" i="7"/>
  <c r="L277" i="7"/>
  <c r="K278" i="7"/>
  <c r="L278" i="7"/>
  <c r="K279" i="7"/>
  <c r="L279" i="7"/>
  <c r="K280" i="7"/>
  <c r="L280" i="7"/>
  <c r="K281" i="7"/>
  <c r="L281" i="7"/>
  <c r="K282" i="7"/>
  <c r="L282" i="7"/>
  <c r="K283" i="7"/>
  <c r="L283" i="7"/>
  <c r="K284" i="7"/>
  <c r="L284" i="7"/>
  <c r="K285" i="7"/>
  <c r="L285" i="7"/>
  <c r="K286" i="7"/>
  <c r="L286" i="7"/>
  <c r="K287" i="7"/>
  <c r="L287" i="7"/>
  <c r="K288" i="7"/>
  <c r="L288" i="7"/>
  <c r="K289" i="7"/>
  <c r="L289" i="7"/>
  <c r="K290" i="7"/>
  <c r="L290" i="7"/>
  <c r="K291" i="7"/>
  <c r="L291" i="7"/>
  <c r="K292" i="7"/>
  <c r="L292" i="7"/>
  <c r="K293" i="7"/>
  <c r="L293" i="7"/>
  <c r="K294" i="7"/>
  <c r="L294" i="7"/>
  <c r="K295" i="7"/>
  <c r="L295" i="7"/>
  <c r="K296" i="7"/>
  <c r="L296" i="7"/>
  <c r="K297" i="7"/>
  <c r="L297" i="7"/>
  <c r="K298" i="7"/>
  <c r="L298" i="7"/>
  <c r="K299" i="7"/>
  <c r="L299" i="7"/>
  <c r="K300" i="7"/>
  <c r="L300" i="7"/>
  <c r="K301" i="7"/>
  <c r="L301" i="7"/>
  <c r="K302" i="7"/>
  <c r="L302" i="7"/>
  <c r="K303" i="7"/>
  <c r="L303" i="7"/>
  <c r="K304" i="7"/>
  <c r="L304" i="7"/>
  <c r="K305" i="7"/>
  <c r="L305" i="7"/>
  <c r="K306" i="7"/>
  <c r="L306" i="7"/>
  <c r="K307" i="7"/>
  <c r="L307" i="7"/>
  <c r="K308" i="7"/>
  <c r="L308" i="7"/>
  <c r="K309" i="7"/>
  <c r="L309" i="7"/>
  <c r="K310" i="7"/>
  <c r="L310" i="7"/>
  <c r="K311" i="7"/>
  <c r="L311" i="7"/>
  <c r="K312" i="7"/>
  <c r="L312" i="7"/>
  <c r="K313" i="7"/>
  <c r="L313" i="7"/>
  <c r="K314" i="7"/>
  <c r="L314" i="7"/>
  <c r="K315" i="7"/>
  <c r="L315" i="7"/>
  <c r="K316" i="7"/>
  <c r="L316" i="7"/>
  <c r="K317" i="7"/>
  <c r="L317" i="7"/>
  <c r="K318" i="7"/>
  <c r="L318" i="7"/>
  <c r="K319" i="7"/>
  <c r="L319" i="7"/>
  <c r="K320" i="7"/>
  <c r="L320" i="7"/>
  <c r="K321" i="7"/>
  <c r="L321" i="7"/>
  <c r="K322" i="7"/>
  <c r="L322" i="7"/>
  <c r="K323" i="7"/>
  <c r="L323" i="7"/>
  <c r="K324" i="7"/>
  <c r="L324" i="7"/>
  <c r="K325" i="7"/>
  <c r="L325" i="7"/>
  <c r="K326" i="7"/>
  <c r="L326" i="7"/>
  <c r="K327" i="7"/>
  <c r="L327" i="7"/>
  <c r="K328" i="7"/>
  <c r="L328" i="7"/>
  <c r="K329" i="7"/>
  <c r="L329" i="7"/>
  <c r="K330" i="7"/>
  <c r="L330" i="7"/>
  <c r="K331" i="7"/>
  <c r="L331" i="7"/>
  <c r="K332" i="7"/>
  <c r="L332" i="7"/>
  <c r="K333" i="7"/>
  <c r="L333" i="7"/>
  <c r="K334" i="7"/>
  <c r="L334" i="7"/>
  <c r="K335" i="7"/>
  <c r="L335" i="7"/>
  <c r="K336" i="7"/>
  <c r="L336" i="7"/>
  <c r="K337" i="7"/>
  <c r="L337" i="7"/>
  <c r="K338" i="7"/>
  <c r="L338" i="7"/>
  <c r="K339" i="7"/>
  <c r="L339" i="7"/>
  <c r="K340" i="7"/>
  <c r="L340" i="7"/>
  <c r="K341" i="7"/>
  <c r="L341" i="7"/>
  <c r="K342" i="7"/>
  <c r="L342" i="7"/>
  <c r="K343" i="7"/>
  <c r="L343" i="7"/>
  <c r="K344" i="7"/>
  <c r="L344" i="7"/>
  <c r="K345" i="7"/>
  <c r="L345" i="7"/>
  <c r="K346" i="7"/>
  <c r="L346" i="7"/>
  <c r="K347" i="7"/>
  <c r="L347" i="7"/>
  <c r="K348" i="7"/>
  <c r="L348" i="7"/>
  <c r="K349" i="7"/>
  <c r="L349" i="7"/>
  <c r="K350" i="7"/>
  <c r="L350" i="7"/>
  <c r="K351" i="7"/>
  <c r="L351" i="7"/>
  <c r="K352" i="7"/>
  <c r="L352" i="7"/>
  <c r="K353" i="7"/>
  <c r="L353" i="7"/>
  <c r="K354" i="7"/>
  <c r="L354" i="7"/>
  <c r="K355" i="7"/>
  <c r="L355" i="7"/>
  <c r="K356" i="7"/>
  <c r="L356" i="7"/>
  <c r="K357" i="7"/>
  <c r="L357" i="7"/>
  <c r="K358" i="7"/>
  <c r="L358" i="7"/>
  <c r="K359" i="7"/>
  <c r="L359" i="7"/>
  <c r="K360" i="7"/>
  <c r="L360" i="7"/>
  <c r="K361" i="7"/>
  <c r="L361" i="7"/>
  <c r="K362" i="7"/>
  <c r="L362" i="7"/>
  <c r="K363" i="7"/>
  <c r="L363" i="7"/>
  <c r="K364" i="7"/>
  <c r="L364" i="7"/>
  <c r="K365" i="7"/>
  <c r="L365" i="7"/>
  <c r="K366" i="7"/>
  <c r="L366" i="7"/>
  <c r="K367" i="7"/>
  <c r="L367" i="7"/>
  <c r="K368" i="7"/>
  <c r="L368" i="7"/>
  <c r="K369" i="7"/>
  <c r="L369" i="7"/>
  <c r="K370" i="7"/>
  <c r="L370" i="7"/>
  <c r="K371" i="7"/>
  <c r="L371" i="7"/>
  <c r="K372" i="7"/>
  <c r="L372" i="7"/>
  <c r="K373" i="7"/>
  <c r="L373" i="7"/>
  <c r="K374" i="7"/>
  <c r="L374" i="7"/>
  <c r="K375" i="7"/>
  <c r="L375" i="7"/>
  <c r="K376" i="7"/>
  <c r="L376" i="7"/>
  <c r="K377" i="7"/>
  <c r="L377" i="7"/>
  <c r="K378" i="7"/>
  <c r="L378" i="7"/>
  <c r="K379" i="7"/>
  <c r="L379" i="7"/>
  <c r="K380" i="7"/>
  <c r="L380" i="7"/>
  <c r="K381" i="7"/>
  <c r="L381" i="7"/>
  <c r="K382" i="7"/>
  <c r="L382" i="7"/>
  <c r="K383" i="7"/>
  <c r="L383" i="7"/>
  <c r="K384" i="7"/>
  <c r="L384" i="7"/>
  <c r="K385" i="7"/>
  <c r="L385" i="7"/>
  <c r="K386" i="7"/>
  <c r="L386" i="7"/>
  <c r="K387" i="7"/>
  <c r="L387" i="7"/>
  <c r="K388" i="7"/>
  <c r="L388" i="7"/>
  <c r="K389" i="7"/>
  <c r="L389" i="7"/>
  <c r="K390" i="7"/>
  <c r="L390" i="7"/>
  <c r="K391" i="7"/>
  <c r="L391" i="7"/>
  <c r="K392" i="7"/>
  <c r="L392" i="7"/>
  <c r="K393" i="7"/>
  <c r="L393" i="7"/>
  <c r="K394" i="7"/>
  <c r="L394" i="7"/>
  <c r="K395" i="7"/>
  <c r="L395" i="7"/>
  <c r="K396" i="7"/>
  <c r="L396" i="7"/>
  <c r="K397" i="7"/>
  <c r="L397" i="7"/>
  <c r="K398" i="7"/>
  <c r="L398" i="7"/>
  <c r="K399" i="7"/>
  <c r="L399" i="7"/>
  <c r="K400" i="7"/>
  <c r="L400" i="7"/>
  <c r="K401" i="7"/>
  <c r="L401" i="7"/>
  <c r="K402" i="7"/>
  <c r="L402" i="7"/>
  <c r="K403" i="7"/>
  <c r="L403" i="7"/>
  <c r="K404" i="7"/>
  <c r="L404" i="7"/>
  <c r="K405" i="7"/>
  <c r="L405" i="7"/>
  <c r="K406" i="7"/>
  <c r="L406" i="7"/>
  <c r="K407" i="7"/>
  <c r="L407" i="7"/>
  <c r="K408" i="7"/>
  <c r="L408" i="7"/>
  <c r="K409" i="7"/>
  <c r="L409" i="7"/>
  <c r="K410" i="7"/>
  <c r="L410" i="7"/>
  <c r="K411" i="7"/>
  <c r="L411" i="7"/>
  <c r="K412" i="7"/>
  <c r="L412" i="7"/>
  <c r="K413" i="7"/>
  <c r="L413" i="7"/>
  <c r="K414" i="7"/>
  <c r="L414" i="7"/>
  <c r="K415" i="7"/>
  <c r="L415" i="7"/>
  <c r="K416" i="7"/>
  <c r="L416" i="7"/>
  <c r="K417" i="7"/>
  <c r="L417" i="7"/>
  <c r="K418" i="7"/>
  <c r="L418" i="7"/>
  <c r="K419" i="7"/>
  <c r="L419" i="7"/>
  <c r="K420" i="7"/>
  <c r="L420" i="7"/>
  <c r="K421" i="7"/>
  <c r="L421" i="7"/>
  <c r="K422" i="7"/>
  <c r="L422" i="7"/>
  <c r="K423" i="7"/>
  <c r="L423" i="7"/>
  <c r="K424" i="7"/>
  <c r="L424" i="7"/>
  <c r="K425" i="7"/>
  <c r="L425" i="7"/>
  <c r="K426" i="7"/>
  <c r="L426" i="7"/>
  <c r="K427" i="7"/>
  <c r="L427" i="7"/>
  <c r="K428" i="7"/>
  <c r="L428" i="7"/>
  <c r="K429" i="7"/>
  <c r="L429" i="7"/>
  <c r="K430" i="7"/>
  <c r="L430" i="7"/>
  <c r="K431" i="7"/>
  <c r="L431" i="7"/>
  <c r="K432" i="7"/>
  <c r="L432" i="7"/>
  <c r="K433" i="7"/>
  <c r="L433" i="7"/>
  <c r="K434" i="7"/>
  <c r="L434" i="7"/>
  <c r="K435" i="7"/>
  <c r="L435" i="7"/>
  <c r="K436" i="7"/>
  <c r="L436" i="7"/>
  <c r="K437" i="7"/>
  <c r="L437" i="7"/>
  <c r="K438" i="7"/>
  <c r="L438" i="7"/>
  <c r="K439" i="7"/>
  <c r="L439" i="7"/>
  <c r="K440" i="7"/>
  <c r="L440" i="7"/>
  <c r="K441" i="7"/>
  <c r="L441" i="7"/>
  <c r="K442" i="7"/>
  <c r="L442" i="7"/>
  <c r="K443" i="7"/>
  <c r="L443" i="7"/>
  <c r="K444" i="7"/>
  <c r="L444" i="7"/>
  <c r="K445" i="7"/>
  <c r="L445" i="7"/>
  <c r="K446" i="7"/>
  <c r="L446" i="7"/>
  <c r="K447" i="7"/>
  <c r="L447" i="7"/>
  <c r="K448" i="7"/>
  <c r="L448" i="7"/>
  <c r="K449" i="7"/>
  <c r="L449" i="7"/>
  <c r="K450" i="7"/>
  <c r="L450" i="7"/>
  <c r="K451" i="7"/>
  <c r="L451" i="7"/>
  <c r="K452" i="7"/>
  <c r="L452" i="7"/>
  <c r="K453" i="7"/>
  <c r="L453" i="7"/>
  <c r="K454" i="7"/>
  <c r="L454" i="7"/>
  <c r="K455" i="7"/>
  <c r="L455" i="7"/>
  <c r="K456" i="7"/>
  <c r="L456" i="7"/>
  <c r="K457" i="7"/>
  <c r="L457" i="7"/>
  <c r="K458" i="7"/>
  <c r="L458" i="7"/>
  <c r="K459" i="7"/>
  <c r="L459" i="7"/>
  <c r="K460" i="7"/>
  <c r="L460" i="7"/>
  <c r="K461" i="7"/>
  <c r="L461" i="7"/>
  <c r="K462" i="7"/>
  <c r="L462" i="7"/>
  <c r="K463" i="7"/>
  <c r="L463" i="7"/>
  <c r="K464" i="7"/>
  <c r="L464" i="7"/>
  <c r="K465" i="7"/>
  <c r="L465" i="7"/>
  <c r="K466" i="7"/>
  <c r="L466" i="7"/>
  <c r="K467" i="7"/>
  <c r="L467" i="7"/>
  <c r="K468" i="7"/>
  <c r="L468" i="7"/>
  <c r="K469" i="7"/>
  <c r="L469" i="7"/>
  <c r="K470" i="7"/>
  <c r="L470" i="7"/>
  <c r="K471" i="7"/>
  <c r="L471" i="7"/>
  <c r="K472" i="7"/>
  <c r="L472" i="7"/>
  <c r="K473" i="7"/>
  <c r="L473" i="7"/>
  <c r="K474" i="7"/>
  <c r="L474" i="7"/>
  <c r="K475" i="7"/>
  <c r="L475" i="7"/>
  <c r="K476" i="7"/>
  <c r="L476" i="7"/>
  <c r="K477" i="7"/>
  <c r="L477" i="7"/>
  <c r="K478" i="7"/>
  <c r="L478" i="7"/>
  <c r="K479" i="7"/>
  <c r="L479" i="7"/>
  <c r="K480" i="7"/>
  <c r="L480" i="7"/>
  <c r="K481" i="7"/>
  <c r="L481" i="7"/>
  <c r="K482" i="7"/>
  <c r="L482" i="7"/>
  <c r="K483" i="7"/>
  <c r="L483" i="7"/>
  <c r="K484" i="7"/>
  <c r="L484" i="7"/>
  <c r="K485" i="7"/>
  <c r="L485" i="7"/>
  <c r="K486" i="7"/>
  <c r="L486" i="7"/>
  <c r="K487" i="7"/>
  <c r="L487" i="7"/>
  <c r="K488" i="7"/>
  <c r="L488" i="7"/>
  <c r="K489" i="7"/>
  <c r="L489" i="7"/>
  <c r="K490" i="7"/>
  <c r="L490" i="7"/>
  <c r="K491" i="7"/>
  <c r="L491" i="7"/>
  <c r="K492" i="7"/>
  <c r="L492" i="7"/>
  <c r="K493" i="7"/>
  <c r="L493" i="7"/>
  <c r="K494" i="7"/>
  <c r="L494" i="7"/>
  <c r="K495" i="7"/>
  <c r="L495" i="7"/>
  <c r="K496" i="7"/>
  <c r="L496" i="7"/>
  <c r="K497" i="7"/>
  <c r="L497" i="7"/>
  <c r="K498" i="7"/>
  <c r="L498" i="7"/>
  <c r="K499" i="7"/>
  <c r="L499" i="7"/>
  <c r="K500" i="7"/>
  <c r="L500" i="7"/>
  <c r="K501" i="7"/>
  <c r="L501" i="7"/>
  <c r="L2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2" i="7"/>
  <c r="D501" i="7"/>
  <c r="B501" i="7"/>
  <c r="D500" i="7"/>
  <c r="B500" i="7"/>
  <c r="D499" i="7"/>
  <c r="B499" i="7"/>
  <c r="D498" i="7"/>
  <c r="B498" i="7"/>
  <c r="D497" i="7"/>
  <c r="B497" i="7"/>
  <c r="D496" i="7"/>
  <c r="B496" i="7"/>
  <c r="D495" i="7"/>
  <c r="B495" i="7"/>
  <c r="D494" i="7"/>
  <c r="B494" i="7"/>
  <c r="D493" i="7"/>
  <c r="B493" i="7"/>
  <c r="D492" i="7"/>
  <c r="B492" i="7"/>
  <c r="D491" i="7"/>
  <c r="B491" i="7"/>
  <c r="D490" i="7"/>
  <c r="B490" i="7"/>
  <c r="D489" i="7"/>
  <c r="B489" i="7"/>
  <c r="D488" i="7"/>
  <c r="B488" i="7"/>
  <c r="D487" i="7"/>
  <c r="B487" i="7"/>
  <c r="D486" i="7"/>
  <c r="B486" i="7"/>
  <c r="D485" i="7"/>
  <c r="B485" i="7"/>
  <c r="D484" i="7"/>
  <c r="B484" i="7"/>
  <c r="D483" i="7"/>
  <c r="B483" i="7"/>
  <c r="D482" i="7"/>
  <c r="B482" i="7"/>
  <c r="D481" i="7"/>
  <c r="B481" i="7"/>
  <c r="D480" i="7"/>
  <c r="B480" i="7"/>
  <c r="D479" i="7"/>
  <c r="B479" i="7"/>
  <c r="D478" i="7"/>
  <c r="B478" i="7"/>
  <c r="D477" i="7"/>
  <c r="B477" i="7"/>
  <c r="D476" i="7"/>
  <c r="B476" i="7"/>
  <c r="D475" i="7"/>
  <c r="B475" i="7"/>
  <c r="D474" i="7"/>
  <c r="B474" i="7"/>
  <c r="D473" i="7"/>
  <c r="B473" i="7"/>
  <c r="D472" i="7"/>
  <c r="B472" i="7"/>
  <c r="D471" i="7"/>
  <c r="B471" i="7"/>
  <c r="D470" i="7"/>
  <c r="B470" i="7"/>
  <c r="D469" i="7"/>
  <c r="B469" i="7"/>
  <c r="D468" i="7"/>
  <c r="B468" i="7"/>
  <c r="D467" i="7"/>
  <c r="B467" i="7"/>
  <c r="D466" i="7"/>
  <c r="B466" i="7"/>
  <c r="D465" i="7"/>
  <c r="B465" i="7"/>
  <c r="D464" i="7"/>
  <c r="B464" i="7"/>
  <c r="D463" i="7"/>
  <c r="B463" i="7"/>
  <c r="D462" i="7"/>
  <c r="B462" i="7"/>
  <c r="D461" i="7"/>
  <c r="B461" i="7"/>
  <c r="D460" i="7"/>
  <c r="B460" i="7"/>
  <c r="D459" i="7"/>
  <c r="B459" i="7"/>
  <c r="D458" i="7"/>
  <c r="B458" i="7"/>
  <c r="D457" i="7"/>
  <c r="B457" i="7"/>
  <c r="D456" i="7"/>
  <c r="B456" i="7"/>
  <c r="D455" i="7"/>
  <c r="B455" i="7"/>
  <c r="D454" i="7"/>
  <c r="B454" i="7"/>
  <c r="D453" i="7"/>
  <c r="B453" i="7"/>
  <c r="D452" i="7"/>
  <c r="B452" i="7"/>
  <c r="D451" i="7"/>
  <c r="B451" i="7"/>
  <c r="D450" i="7"/>
  <c r="B450" i="7"/>
  <c r="D449" i="7"/>
  <c r="B449" i="7"/>
  <c r="D448" i="7"/>
  <c r="B448" i="7"/>
  <c r="D447" i="7"/>
  <c r="B447" i="7"/>
  <c r="D446" i="7"/>
  <c r="B446" i="7"/>
  <c r="D445" i="7"/>
  <c r="B445" i="7"/>
  <c r="D444" i="7"/>
  <c r="B444" i="7"/>
  <c r="D443" i="7"/>
  <c r="B443" i="7"/>
  <c r="D442" i="7"/>
  <c r="B442" i="7"/>
  <c r="D441" i="7"/>
  <c r="B441" i="7"/>
  <c r="D440" i="7"/>
  <c r="B440" i="7"/>
  <c r="D439" i="7"/>
  <c r="B439" i="7"/>
  <c r="D438" i="7"/>
  <c r="B438" i="7"/>
  <c r="D437" i="7"/>
  <c r="B437" i="7"/>
  <c r="D436" i="7"/>
  <c r="B436" i="7"/>
  <c r="D435" i="7"/>
  <c r="B435" i="7"/>
  <c r="D434" i="7"/>
  <c r="B434" i="7"/>
  <c r="D433" i="7"/>
  <c r="B433" i="7"/>
  <c r="D432" i="7"/>
  <c r="B432" i="7"/>
  <c r="D431" i="7"/>
  <c r="B431" i="7"/>
  <c r="D430" i="7"/>
  <c r="B430" i="7"/>
  <c r="D429" i="7"/>
  <c r="B429" i="7"/>
  <c r="D428" i="7"/>
  <c r="B428" i="7"/>
  <c r="D427" i="7"/>
  <c r="B427" i="7"/>
  <c r="D426" i="7"/>
  <c r="B426" i="7"/>
  <c r="D425" i="7"/>
  <c r="B425" i="7"/>
  <c r="D424" i="7"/>
  <c r="B424" i="7"/>
  <c r="D423" i="7"/>
  <c r="B423" i="7"/>
  <c r="D422" i="7"/>
  <c r="B422" i="7"/>
  <c r="D421" i="7"/>
  <c r="B421" i="7"/>
  <c r="D420" i="7"/>
  <c r="B420" i="7"/>
  <c r="D419" i="7"/>
  <c r="B419" i="7"/>
  <c r="D418" i="7"/>
  <c r="B418" i="7"/>
  <c r="D417" i="7"/>
  <c r="B417" i="7"/>
  <c r="D416" i="7"/>
  <c r="B416" i="7"/>
  <c r="D415" i="7"/>
  <c r="B415" i="7"/>
  <c r="D414" i="7"/>
  <c r="B414" i="7"/>
  <c r="D413" i="7"/>
  <c r="B413" i="7"/>
  <c r="D412" i="7"/>
  <c r="B412" i="7"/>
  <c r="D411" i="7"/>
  <c r="B411" i="7"/>
  <c r="D410" i="7"/>
  <c r="B410" i="7"/>
  <c r="D409" i="7"/>
  <c r="B409" i="7"/>
  <c r="D408" i="7"/>
  <c r="B408" i="7"/>
  <c r="D407" i="7"/>
  <c r="B407" i="7"/>
  <c r="D406" i="7"/>
  <c r="B406" i="7"/>
  <c r="D405" i="7"/>
  <c r="B405" i="7"/>
  <c r="D404" i="7"/>
  <c r="B404" i="7"/>
  <c r="D403" i="7"/>
  <c r="B403" i="7"/>
  <c r="D402" i="7"/>
  <c r="B402" i="7"/>
  <c r="D401" i="7"/>
  <c r="B401" i="7"/>
  <c r="D400" i="7"/>
  <c r="B400" i="7"/>
  <c r="D399" i="7"/>
  <c r="B399" i="7"/>
  <c r="D398" i="7"/>
  <c r="B398" i="7"/>
  <c r="D397" i="7"/>
  <c r="B397" i="7"/>
  <c r="D396" i="7"/>
  <c r="B396" i="7"/>
  <c r="D395" i="7"/>
  <c r="B395" i="7"/>
  <c r="D394" i="7"/>
  <c r="B394" i="7"/>
  <c r="D393" i="7"/>
  <c r="B393" i="7"/>
  <c r="D392" i="7"/>
  <c r="B392" i="7"/>
  <c r="D391" i="7"/>
  <c r="B391" i="7"/>
  <c r="D390" i="7"/>
  <c r="B390" i="7"/>
  <c r="D389" i="7"/>
  <c r="B389" i="7"/>
  <c r="D388" i="7"/>
  <c r="B388" i="7"/>
  <c r="D387" i="7"/>
  <c r="B387" i="7"/>
  <c r="D386" i="7"/>
  <c r="B386" i="7"/>
  <c r="D385" i="7"/>
  <c r="B385" i="7"/>
  <c r="D384" i="7"/>
  <c r="B384" i="7"/>
  <c r="D383" i="7"/>
  <c r="B383" i="7"/>
  <c r="D382" i="7"/>
  <c r="B382" i="7"/>
  <c r="D381" i="7"/>
  <c r="B381" i="7"/>
  <c r="D380" i="7"/>
  <c r="B380" i="7"/>
  <c r="D379" i="7"/>
  <c r="B379" i="7"/>
  <c r="D378" i="7"/>
  <c r="B378" i="7"/>
  <c r="D377" i="7"/>
  <c r="B377" i="7"/>
  <c r="D376" i="7"/>
  <c r="B376" i="7"/>
  <c r="D375" i="7"/>
  <c r="B375" i="7"/>
  <c r="D374" i="7"/>
  <c r="B374" i="7"/>
  <c r="D373" i="7"/>
  <c r="B373" i="7"/>
  <c r="D372" i="7"/>
  <c r="B372" i="7"/>
  <c r="D371" i="7"/>
  <c r="B371" i="7"/>
  <c r="D370" i="7"/>
  <c r="B370" i="7"/>
  <c r="D369" i="7"/>
  <c r="B369" i="7"/>
  <c r="D368" i="7"/>
  <c r="B368" i="7"/>
  <c r="D367" i="7"/>
  <c r="B367" i="7"/>
  <c r="D366" i="7"/>
  <c r="B366" i="7"/>
  <c r="D365" i="7"/>
  <c r="B365" i="7"/>
  <c r="D364" i="7"/>
  <c r="B364" i="7"/>
  <c r="D363" i="7"/>
  <c r="B363" i="7"/>
  <c r="D362" i="7"/>
  <c r="B362" i="7"/>
  <c r="D361" i="7"/>
  <c r="B361" i="7"/>
  <c r="D360" i="7"/>
  <c r="B360" i="7"/>
  <c r="D359" i="7"/>
  <c r="B359" i="7"/>
  <c r="D358" i="7"/>
  <c r="B358" i="7"/>
  <c r="D357" i="7"/>
  <c r="B357" i="7"/>
  <c r="D356" i="7"/>
  <c r="B356" i="7"/>
  <c r="D355" i="7"/>
  <c r="B355" i="7"/>
  <c r="D354" i="7"/>
  <c r="B354" i="7"/>
  <c r="D353" i="7"/>
  <c r="B353" i="7"/>
  <c r="D352" i="7"/>
  <c r="B352" i="7"/>
  <c r="D351" i="7"/>
  <c r="B351" i="7"/>
  <c r="D350" i="7"/>
  <c r="B350" i="7"/>
  <c r="D349" i="7"/>
  <c r="B349" i="7"/>
  <c r="D348" i="7"/>
  <c r="B348" i="7"/>
  <c r="D347" i="7"/>
  <c r="B347" i="7"/>
  <c r="D346" i="7"/>
  <c r="B346" i="7"/>
  <c r="D345" i="7"/>
  <c r="B345" i="7"/>
  <c r="D344" i="7"/>
  <c r="B344" i="7"/>
  <c r="D343" i="7"/>
  <c r="B343" i="7"/>
  <c r="D342" i="7"/>
  <c r="B342" i="7"/>
  <c r="D341" i="7"/>
  <c r="B341" i="7"/>
  <c r="D340" i="7"/>
  <c r="B340" i="7"/>
  <c r="D339" i="7"/>
  <c r="B339" i="7"/>
  <c r="D338" i="7"/>
  <c r="B338" i="7"/>
  <c r="D337" i="7"/>
  <c r="B337" i="7"/>
  <c r="D336" i="7"/>
  <c r="B336" i="7"/>
  <c r="D335" i="7"/>
  <c r="B335" i="7"/>
  <c r="D334" i="7"/>
  <c r="B334" i="7"/>
  <c r="D333" i="7"/>
  <c r="B333" i="7"/>
  <c r="D332" i="7"/>
  <c r="B332" i="7"/>
  <c r="D331" i="7"/>
  <c r="B331" i="7"/>
  <c r="D330" i="7"/>
  <c r="B330" i="7"/>
  <c r="D329" i="7"/>
  <c r="B329" i="7"/>
  <c r="D328" i="7"/>
  <c r="B328" i="7"/>
  <c r="D327" i="7"/>
  <c r="B327" i="7"/>
  <c r="D326" i="7"/>
  <c r="B326" i="7"/>
  <c r="D325" i="7"/>
  <c r="B325" i="7"/>
  <c r="D324" i="7"/>
  <c r="B324" i="7"/>
  <c r="D323" i="7"/>
  <c r="B323" i="7"/>
  <c r="D322" i="7"/>
  <c r="B322" i="7"/>
  <c r="D321" i="7"/>
  <c r="B321" i="7"/>
  <c r="D320" i="7"/>
  <c r="B320" i="7"/>
  <c r="D319" i="7"/>
  <c r="B319" i="7"/>
  <c r="D318" i="7"/>
  <c r="B318" i="7"/>
  <c r="D317" i="7"/>
  <c r="B317" i="7"/>
  <c r="D316" i="7"/>
  <c r="B316" i="7"/>
  <c r="D315" i="7"/>
  <c r="B315" i="7"/>
  <c r="D314" i="7"/>
  <c r="B314" i="7"/>
  <c r="D313" i="7"/>
  <c r="B313" i="7"/>
  <c r="D312" i="7"/>
  <c r="B312" i="7"/>
  <c r="D311" i="7"/>
  <c r="B311" i="7"/>
  <c r="D310" i="7"/>
  <c r="B310" i="7"/>
  <c r="D309" i="7"/>
  <c r="B309" i="7"/>
  <c r="D308" i="7"/>
  <c r="B308" i="7"/>
  <c r="D307" i="7"/>
  <c r="B307" i="7"/>
  <c r="D306" i="7"/>
  <c r="B306" i="7"/>
  <c r="D305" i="7"/>
  <c r="B305" i="7"/>
  <c r="D304" i="7"/>
  <c r="B304" i="7"/>
  <c r="D303" i="7"/>
  <c r="B303" i="7"/>
  <c r="D302" i="7"/>
  <c r="B302" i="7"/>
  <c r="D301" i="7"/>
  <c r="B301" i="7"/>
  <c r="D300" i="7"/>
  <c r="B300" i="7"/>
  <c r="D299" i="7"/>
  <c r="B299" i="7"/>
  <c r="D298" i="7"/>
  <c r="B298" i="7"/>
  <c r="D297" i="7"/>
  <c r="B297" i="7"/>
  <c r="D296" i="7"/>
  <c r="B296" i="7"/>
  <c r="D295" i="7"/>
  <c r="B295" i="7"/>
  <c r="D294" i="7"/>
  <c r="B294" i="7"/>
  <c r="D293" i="7"/>
  <c r="B293" i="7"/>
  <c r="D292" i="7"/>
  <c r="B292" i="7"/>
  <c r="D291" i="7"/>
  <c r="B291" i="7"/>
  <c r="D290" i="7"/>
  <c r="B290" i="7"/>
  <c r="D289" i="7"/>
  <c r="B289" i="7"/>
  <c r="D288" i="7"/>
  <c r="B288" i="7"/>
  <c r="D287" i="7"/>
  <c r="B287" i="7"/>
  <c r="D286" i="7"/>
  <c r="B286" i="7"/>
  <c r="D285" i="7"/>
  <c r="B285" i="7"/>
  <c r="D284" i="7"/>
  <c r="B284" i="7"/>
  <c r="D283" i="7"/>
  <c r="B283" i="7"/>
  <c r="D282" i="7"/>
  <c r="B282" i="7"/>
  <c r="D281" i="7"/>
  <c r="B281" i="7"/>
  <c r="D280" i="7"/>
  <c r="B280" i="7"/>
  <c r="D279" i="7"/>
  <c r="B279" i="7"/>
  <c r="D278" i="7"/>
  <c r="B278" i="7"/>
  <c r="D277" i="7"/>
  <c r="B277" i="7"/>
  <c r="D276" i="7"/>
  <c r="B276" i="7"/>
  <c r="D275" i="7"/>
  <c r="B275" i="7"/>
  <c r="D274" i="7"/>
  <c r="B274" i="7"/>
  <c r="D273" i="7"/>
  <c r="B273" i="7"/>
  <c r="D272" i="7"/>
  <c r="B272" i="7"/>
  <c r="D271" i="7"/>
  <c r="B271" i="7"/>
  <c r="D270" i="7"/>
  <c r="B270" i="7"/>
  <c r="D269" i="7"/>
  <c r="B269" i="7"/>
  <c r="D268" i="7"/>
  <c r="B268" i="7"/>
  <c r="D267" i="7"/>
  <c r="B267" i="7"/>
  <c r="D266" i="7"/>
  <c r="B266" i="7"/>
  <c r="D265" i="7"/>
  <c r="B265" i="7"/>
  <c r="D264" i="7"/>
  <c r="B264" i="7"/>
  <c r="D263" i="7"/>
  <c r="B263" i="7"/>
  <c r="D262" i="7"/>
  <c r="B262" i="7"/>
  <c r="D261" i="7"/>
  <c r="B261" i="7"/>
  <c r="D260" i="7"/>
  <c r="B260" i="7"/>
  <c r="D259" i="7"/>
  <c r="B259" i="7"/>
  <c r="D258" i="7"/>
  <c r="B258" i="7"/>
  <c r="D257" i="7"/>
  <c r="B257" i="7"/>
  <c r="D256" i="7"/>
  <c r="B256" i="7"/>
  <c r="D255" i="7"/>
  <c r="B255" i="7"/>
  <c r="D254" i="7"/>
  <c r="B254" i="7"/>
  <c r="D253" i="7"/>
  <c r="B253" i="7"/>
  <c r="D252" i="7"/>
  <c r="B252" i="7"/>
  <c r="D251" i="7"/>
  <c r="B251" i="7"/>
  <c r="D250" i="7"/>
  <c r="B250" i="7"/>
  <c r="D249" i="7"/>
  <c r="B249" i="7"/>
  <c r="D248" i="7"/>
  <c r="B248" i="7"/>
  <c r="D247" i="7"/>
  <c r="B247" i="7"/>
  <c r="D246" i="7"/>
  <c r="B246" i="7"/>
  <c r="D245" i="7"/>
  <c r="B245" i="7"/>
  <c r="D244" i="7"/>
  <c r="B244" i="7"/>
  <c r="D243" i="7"/>
  <c r="B243" i="7"/>
  <c r="D242" i="7"/>
  <c r="B242" i="7"/>
  <c r="D241" i="7"/>
  <c r="B241" i="7"/>
  <c r="D240" i="7"/>
  <c r="B240" i="7"/>
  <c r="D239" i="7"/>
  <c r="B239" i="7"/>
  <c r="D238" i="7"/>
  <c r="B238" i="7"/>
  <c r="D237" i="7"/>
  <c r="B237" i="7"/>
  <c r="D236" i="7"/>
  <c r="B236" i="7"/>
  <c r="D235" i="7"/>
  <c r="B235" i="7"/>
  <c r="D234" i="7"/>
  <c r="B234" i="7"/>
  <c r="D233" i="7"/>
  <c r="B233" i="7"/>
  <c r="D232" i="7"/>
  <c r="B232" i="7"/>
  <c r="D231" i="7"/>
  <c r="B231" i="7"/>
  <c r="D230" i="7"/>
  <c r="B230" i="7"/>
  <c r="D229" i="7"/>
  <c r="B229" i="7"/>
  <c r="D228" i="7"/>
  <c r="B228" i="7"/>
  <c r="D227" i="7"/>
  <c r="B227" i="7"/>
  <c r="D226" i="7"/>
  <c r="B226" i="7"/>
  <c r="D225" i="7"/>
  <c r="B225" i="7"/>
  <c r="D224" i="7"/>
  <c r="B224" i="7"/>
  <c r="D223" i="7"/>
  <c r="B223" i="7"/>
  <c r="D222" i="7"/>
  <c r="B222" i="7"/>
  <c r="D221" i="7"/>
  <c r="B221" i="7"/>
  <c r="D220" i="7"/>
  <c r="B220" i="7"/>
  <c r="D219" i="7"/>
  <c r="B219" i="7"/>
  <c r="D218" i="7"/>
  <c r="B218" i="7"/>
  <c r="D217" i="7"/>
  <c r="B217" i="7"/>
  <c r="D216" i="7"/>
  <c r="B216" i="7"/>
  <c r="D215" i="7"/>
  <c r="B215" i="7"/>
  <c r="D214" i="7"/>
  <c r="B214" i="7"/>
  <c r="D213" i="7"/>
  <c r="B213" i="7"/>
  <c r="D212" i="7"/>
  <c r="B212" i="7"/>
  <c r="D211" i="7"/>
  <c r="B211" i="7"/>
  <c r="D210" i="7"/>
  <c r="B210" i="7"/>
  <c r="D209" i="7"/>
  <c r="B209" i="7"/>
  <c r="D208" i="7"/>
  <c r="B208" i="7"/>
  <c r="D207" i="7"/>
  <c r="B207" i="7"/>
  <c r="D206" i="7"/>
  <c r="B206" i="7"/>
  <c r="D205" i="7"/>
  <c r="B205" i="7"/>
  <c r="D204" i="7"/>
  <c r="B204" i="7"/>
  <c r="D203" i="7"/>
  <c r="B203" i="7"/>
  <c r="D202" i="7"/>
  <c r="B202" i="7"/>
  <c r="D201" i="7"/>
  <c r="B201" i="7"/>
  <c r="D200" i="7"/>
  <c r="B200" i="7"/>
  <c r="D199" i="7"/>
  <c r="B199" i="7"/>
  <c r="D198" i="7"/>
  <c r="B198" i="7"/>
  <c r="D197" i="7"/>
  <c r="B197" i="7"/>
  <c r="D196" i="7"/>
  <c r="B196" i="7"/>
  <c r="D195" i="7"/>
  <c r="B195" i="7"/>
  <c r="D194" i="7"/>
  <c r="B194" i="7"/>
  <c r="D193" i="7"/>
  <c r="B193" i="7"/>
  <c r="D192" i="7"/>
  <c r="B192" i="7"/>
  <c r="D191" i="7"/>
  <c r="B191" i="7"/>
  <c r="D190" i="7"/>
  <c r="B190" i="7"/>
  <c r="D189" i="7"/>
  <c r="B189" i="7"/>
  <c r="D188" i="7"/>
  <c r="B188" i="7"/>
  <c r="D187" i="7"/>
  <c r="B187" i="7"/>
  <c r="D186" i="7"/>
  <c r="B186" i="7"/>
  <c r="D185" i="7"/>
  <c r="B185" i="7"/>
  <c r="D184" i="7"/>
  <c r="B184" i="7"/>
  <c r="D183" i="7"/>
  <c r="B183" i="7"/>
  <c r="D182" i="7"/>
  <c r="B182" i="7"/>
  <c r="D181" i="7"/>
  <c r="B181" i="7"/>
  <c r="D180" i="7"/>
  <c r="B180" i="7"/>
  <c r="D179" i="7"/>
  <c r="B179" i="7"/>
  <c r="D178" i="7"/>
  <c r="B178" i="7"/>
  <c r="D177" i="7"/>
  <c r="B177" i="7"/>
  <c r="D176" i="7"/>
  <c r="B176" i="7"/>
  <c r="D175" i="7"/>
  <c r="B175" i="7"/>
  <c r="D174" i="7"/>
  <c r="B174" i="7"/>
  <c r="D173" i="7"/>
  <c r="B173" i="7"/>
  <c r="D172" i="7"/>
  <c r="B172" i="7"/>
  <c r="D171" i="7"/>
  <c r="B171" i="7"/>
  <c r="D170" i="7"/>
  <c r="B170" i="7"/>
  <c r="D169" i="7"/>
  <c r="B169" i="7"/>
  <c r="D168" i="7"/>
  <c r="B168" i="7"/>
  <c r="D167" i="7"/>
  <c r="B167" i="7"/>
  <c r="D166" i="7"/>
  <c r="B166" i="7"/>
  <c r="D165" i="7"/>
  <c r="B165" i="7"/>
  <c r="D164" i="7"/>
  <c r="B164" i="7"/>
  <c r="D163" i="7"/>
  <c r="B163" i="7"/>
  <c r="D162" i="7"/>
  <c r="B162" i="7"/>
  <c r="D161" i="7"/>
  <c r="B161" i="7"/>
  <c r="D160" i="7"/>
  <c r="B160" i="7"/>
  <c r="D159" i="7"/>
  <c r="B159" i="7"/>
  <c r="D158" i="7"/>
  <c r="B158" i="7"/>
  <c r="D157" i="7"/>
  <c r="B157" i="7"/>
  <c r="D156" i="7"/>
  <c r="B156" i="7"/>
  <c r="D155" i="7"/>
  <c r="B155" i="7"/>
  <c r="D154" i="7"/>
  <c r="B154" i="7"/>
  <c r="D153" i="7"/>
  <c r="B153" i="7"/>
  <c r="D152" i="7"/>
  <c r="B152" i="7"/>
  <c r="D151" i="7"/>
  <c r="B151" i="7"/>
  <c r="D150" i="7"/>
  <c r="B150" i="7"/>
  <c r="D149" i="7"/>
  <c r="B149" i="7"/>
  <c r="D148" i="7"/>
  <c r="B148" i="7"/>
  <c r="D147" i="7"/>
  <c r="B147" i="7"/>
  <c r="D146" i="7"/>
  <c r="B146" i="7"/>
  <c r="D145" i="7"/>
  <c r="B145" i="7"/>
  <c r="D144" i="7"/>
  <c r="B144" i="7"/>
  <c r="D143" i="7"/>
  <c r="B143" i="7"/>
  <c r="D142" i="7"/>
  <c r="B142" i="7"/>
  <c r="D141" i="7"/>
  <c r="B141" i="7"/>
  <c r="D140" i="7"/>
  <c r="B140" i="7"/>
  <c r="D139" i="7"/>
  <c r="B139" i="7"/>
  <c r="D138" i="7"/>
  <c r="B138" i="7"/>
  <c r="D137" i="7"/>
  <c r="B137" i="7"/>
  <c r="D136" i="7"/>
  <c r="B136" i="7"/>
  <c r="D135" i="7"/>
  <c r="B135" i="7"/>
  <c r="D134" i="7"/>
  <c r="B134" i="7"/>
  <c r="D133" i="7"/>
  <c r="B133" i="7"/>
  <c r="D132" i="7"/>
  <c r="B132" i="7"/>
  <c r="D131" i="7"/>
  <c r="B131" i="7"/>
  <c r="D130" i="7"/>
  <c r="B130" i="7"/>
  <c r="D129" i="7"/>
  <c r="B129" i="7"/>
  <c r="D128" i="7"/>
  <c r="B128" i="7"/>
  <c r="D127" i="7"/>
  <c r="B127" i="7"/>
  <c r="D126" i="7"/>
  <c r="B126" i="7"/>
  <c r="D125" i="7"/>
  <c r="B125" i="7"/>
  <c r="D124" i="7"/>
  <c r="B124" i="7"/>
  <c r="D123" i="7"/>
  <c r="B123" i="7"/>
  <c r="D122" i="7"/>
  <c r="B122" i="7"/>
  <c r="D121" i="7"/>
  <c r="B121" i="7"/>
  <c r="D120" i="7"/>
  <c r="B120" i="7"/>
  <c r="D119" i="7"/>
  <c r="B119" i="7"/>
  <c r="D118" i="7"/>
  <c r="B118" i="7"/>
  <c r="D117" i="7"/>
  <c r="B117" i="7"/>
  <c r="D116" i="7"/>
  <c r="B116" i="7"/>
  <c r="D115" i="7"/>
  <c r="B115" i="7"/>
  <c r="D114" i="7"/>
  <c r="B114" i="7"/>
  <c r="D113" i="7"/>
  <c r="B113" i="7"/>
  <c r="D112" i="7"/>
  <c r="B112" i="7"/>
  <c r="D111" i="7"/>
  <c r="B111" i="7"/>
  <c r="D110" i="7"/>
  <c r="B110" i="7"/>
  <c r="D109" i="7"/>
  <c r="B109" i="7"/>
  <c r="D108" i="7"/>
  <c r="B108" i="7"/>
  <c r="D107" i="7"/>
  <c r="B107" i="7"/>
  <c r="D106" i="7"/>
  <c r="B106" i="7"/>
  <c r="D105" i="7"/>
  <c r="B105" i="7"/>
  <c r="D104" i="7"/>
  <c r="B104" i="7"/>
  <c r="D103" i="7"/>
  <c r="B103" i="7"/>
  <c r="D102" i="7"/>
  <c r="B102" i="7"/>
  <c r="D101" i="7"/>
  <c r="B101" i="7"/>
  <c r="D100" i="7"/>
  <c r="B100" i="7"/>
  <c r="D99" i="7"/>
  <c r="B99" i="7"/>
  <c r="D98" i="7"/>
  <c r="B98" i="7"/>
  <c r="D97" i="7"/>
  <c r="B97" i="7"/>
  <c r="D96" i="7"/>
  <c r="B96" i="7"/>
  <c r="D95" i="7"/>
  <c r="B95" i="7"/>
  <c r="D94" i="7"/>
  <c r="B94" i="7"/>
  <c r="D93" i="7"/>
  <c r="B93" i="7"/>
  <c r="D92" i="7"/>
  <c r="B92" i="7"/>
  <c r="D91" i="7"/>
  <c r="B91" i="7"/>
  <c r="D90" i="7"/>
  <c r="B90" i="7"/>
  <c r="D89" i="7"/>
  <c r="B89" i="7"/>
  <c r="D88" i="7"/>
  <c r="B88" i="7"/>
  <c r="D87" i="7"/>
  <c r="B87" i="7"/>
  <c r="D86" i="7"/>
  <c r="B86" i="7"/>
  <c r="D85" i="7"/>
  <c r="B85" i="7"/>
  <c r="D84" i="7"/>
  <c r="B84" i="7"/>
  <c r="D83" i="7"/>
  <c r="B83" i="7"/>
  <c r="D82" i="7"/>
  <c r="B82" i="7"/>
  <c r="D81" i="7"/>
  <c r="B81" i="7"/>
  <c r="D80" i="7"/>
  <c r="B80" i="7"/>
  <c r="D79" i="7"/>
  <c r="B79" i="7"/>
  <c r="D78" i="7"/>
  <c r="B78" i="7"/>
  <c r="D77" i="7"/>
  <c r="B77" i="7"/>
  <c r="D76" i="7"/>
  <c r="B76" i="7"/>
  <c r="D75" i="7"/>
  <c r="B75" i="7"/>
  <c r="D74" i="7"/>
  <c r="B74" i="7"/>
  <c r="D73" i="7"/>
  <c r="B73" i="7"/>
  <c r="D72" i="7"/>
  <c r="B72" i="7"/>
  <c r="D71" i="7"/>
  <c r="B71" i="7"/>
  <c r="D70" i="7"/>
  <c r="B70" i="7"/>
  <c r="D69" i="7"/>
  <c r="B69" i="7"/>
  <c r="D68" i="7"/>
  <c r="B68" i="7"/>
  <c r="D67" i="7"/>
  <c r="B67" i="7"/>
  <c r="D66" i="7"/>
  <c r="B66" i="7"/>
  <c r="D65" i="7"/>
  <c r="B65" i="7"/>
  <c r="D64" i="7"/>
  <c r="B64" i="7"/>
  <c r="D63" i="7"/>
  <c r="B63" i="7"/>
  <c r="D62" i="7"/>
  <c r="B62" i="7"/>
  <c r="D61" i="7"/>
  <c r="B61" i="7"/>
  <c r="D60" i="7"/>
  <c r="B60" i="7"/>
  <c r="D59" i="7"/>
  <c r="B59" i="7"/>
  <c r="D58" i="7"/>
  <c r="B58" i="7"/>
  <c r="D57" i="7"/>
  <c r="B57" i="7"/>
  <c r="D56" i="7"/>
  <c r="B56" i="7"/>
  <c r="D55" i="7"/>
  <c r="B55" i="7"/>
  <c r="D54" i="7"/>
  <c r="B54" i="7"/>
  <c r="D53" i="7"/>
  <c r="B53" i="7"/>
  <c r="D52" i="7"/>
  <c r="B52" i="7"/>
  <c r="D51" i="7"/>
  <c r="B51" i="7"/>
  <c r="D50" i="7"/>
  <c r="B50" i="7"/>
  <c r="D49" i="7"/>
  <c r="B49" i="7"/>
  <c r="D48" i="7"/>
  <c r="B48" i="7"/>
  <c r="D47" i="7"/>
  <c r="B47" i="7"/>
  <c r="D46" i="7"/>
  <c r="B46" i="7"/>
  <c r="D45" i="7"/>
  <c r="B45" i="7"/>
  <c r="D44" i="7"/>
  <c r="B44" i="7"/>
  <c r="D43" i="7"/>
  <c r="B43" i="7"/>
  <c r="D42" i="7"/>
  <c r="B42" i="7"/>
  <c r="D41" i="7"/>
  <c r="B41" i="7"/>
  <c r="D40" i="7"/>
  <c r="B40" i="7"/>
  <c r="D39" i="7"/>
  <c r="B39" i="7"/>
  <c r="D38" i="7"/>
  <c r="B38" i="7"/>
  <c r="D37" i="7"/>
  <c r="B37" i="7"/>
  <c r="D36" i="7"/>
  <c r="B36" i="7"/>
  <c r="D35" i="7"/>
  <c r="B35" i="7"/>
  <c r="D34" i="7"/>
  <c r="B34" i="7"/>
  <c r="D33" i="7"/>
  <c r="B33" i="7"/>
  <c r="D32" i="7"/>
  <c r="B32" i="7"/>
  <c r="D31" i="7"/>
  <c r="B31" i="7"/>
  <c r="D30" i="7"/>
  <c r="B30" i="7"/>
  <c r="D29" i="7"/>
  <c r="B29" i="7"/>
  <c r="D28" i="7"/>
  <c r="B28" i="7"/>
  <c r="D27" i="7"/>
  <c r="B27" i="7"/>
  <c r="D26" i="7"/>
  <c r="B26" i="7"/>
  <c r="D25" i="7"/>
  <c r="B25" i="7"/>
  <c r="D24" i="7"/>
  <c r="B24" i="7"/>
  <c r="D23" i="7"/>
  <c r="B23" i="7"/>
  <c r="D22" i="7"/>
  <c r="B22" i="7"/>
  <c r="D21" i="7"/>
  <c r="B21" i="7"/>
  <c r="D20" i="7"/>
  <c r="B20" i="7"/>
  <c r="D19" i="7"/>
  <c r="B19" i="7"/>
  <c r="D18" i="7"/>
  <c r="B18" i="7"/>
  <c r="D17" i="7"/>
  <c r="B17" i="7"/>
  <c r="D16" i="7"/>
  <c r="B16" i="7"/>
  <c r="D15" i="7"/>
  <c r="B15" i="7"/>
  <c r="D14" i="7"/>
  <c r="B14" i="7"/>
  <c r="D13" i="7"/>
  <c r="B13" i="7"/>
  <c r="D12" i="7"/>
  <c r="B12" i="7"/>
  <c r="D11" i="7"/>
  <c r="B11" i="7"/>
  <c r="D10" i="7"/>
  <c r="B10" i="7"/>
  <c r="D9" i="7"/>
  <c r="B9" i="7"/>
  <c r="D8" i="7"/>
  <c r="B8" i="7"/>
  <c r="D7" i="7"/>
  <c r="B7" i="7"/>
  <c r="D6" i="7"/>
  <c r="B6" i="7"/>
  <c r="D5" i="7"/>
  <c r="B5" i="7"/>
  <c r="D4" i="7"/>
  <c r="B4" i="7"/>
  <c r="D3" i="7"/>
  <c r="B3" i="7"/>
  <c r="D2" i="7"/>
  <c r="B2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2" i="6"/>
  <c r="D501" i="6"/>
  <c r="B501" i="6"/>
  <c r="D500" i="6"/>
  <c r="B500" i="6"/>
  <c r="D499" i="6"/>
  <c r="B499" i="6"/>
  <c r="D498" i="6"/>
  <c r="B498" i="6"/>
  <c r="D497" i="6"/>
  <c r="B497" i="6"/>
  <c r="D496" i="6"/>
  <c r="B496" i="6"/>
  <c r="D495" i="6"/>
  <c r="B495" i="6"/>
  <c r="D494" i="6"/>
  <c r="B494" i="6"/>
  <c r="D493" i="6"/>
  <c r="B493" i="6"/>
  <c r="D492" i="6"/>
  <c r="B492" i="6"/>
  <c r="D491" i="6"/>
  <c r="B491" i="6"/>
  <c r="D490" i="6"/>
  <c r="B490" i="6"/>
  <c r="D489" i="6"/>
  <c r="B489" i="6"/>
  <c r="D488" i="6"/>
  <c r="B488" i="6"/>
  <c r="D487" i="6"/>
  <c r="B487" i="6"/>
  <c r="D486" i="6"/>
  <c r="B486" i="6"/>
  <c r="D485" i="6"/>
  <c r="B485" i="6"/>
  <c r="D484" i="6"/>
  <c r="B484" i="6"/>
  <c r="D483" i="6"/>
  <c r="B483" i="6"/>
  <c r="D482" i="6"/>
  <c r="B482" i="6"/>
  <c r="D481" i="6"/>
  <c r="B481" i="6"/>
  <c r="D480" i="6"/>
  <c r="B480" i="6"/>
  <c r="D479" i="6"/>
  <c r="B479" i="6"/>
  <c r="D478" i="6"/>
  <c r="B478" i="6"/>
  <c r="D477" i="6"/>
  <c r="B477" i="6"/>
  <c r="D476" i="6"/>
  <c r="B476" i="6"/>
  <c r="D475" i="6"/>
  <c r="B475" i="6"/>
  <c r="D474" i="6"/>
  <c r="B474" i="6"/>
  <c r="D473" i="6"/>
  <c r="B473" i="6"/>
  <c r="D472" i="6"/>
  <c r="B472" i="6"/>
  <c r="D471" i="6"/>
  <c r="B471" i="6"/>
  <c r="D470" i="6"/>
  <c r="B470" i="6"/>
  <c r="D469" i="6"/>
  <c r="B469" i="6"/>
  <c r="D468" i="6"/>
  <c r="B468" i="6"/>
  <c r="D467" i="6"/>
  <c r="B467" i="6"/>
  <c r="D466" i="6"/>
  <c r="B466" i="6"/>
  <c r="D465" i="6"/>
  <c r="B465" i="6"/>
  <c r="D464" i="6"/>
  <c r="B464" i="6"/>
  <c r="D463" i="6"/>
  <c r="B463" i="6"/>
  <c r="D462" i="6"/>
  <c r="B462" i="6"/>
  <c r="D461" i="6"/>
  <c r="B461" i="6"/>
  <c r="D460" i="6"/>
  <c r="B460" i="6"/>
  <c r="D459" i="6"/>
  <c r="B459" i="6"/>
  <c r="D458" i="6"/>
  <c r="B458" i="6"/>
  <c r="D457" i="6"/>
  <c r="B457" i="6"/>
  <c r="D456" i="6"/>
  <c r="B456" i="6"/>
  <c r="D455" i="6"/>
  <c r="B455" i="6"/>
  <c r="D454" i="6"/>
  <c r="B454" i="6"/>
  <c r="D453" i="6"/>
  <c r="B453" i="6"/>
  <c r="D452" i="6"/>
  <c r="B452" i="6"/>
  <c r="D451" i="6"/>
  <c r="B451" i="6"/>
  <c r="D450" i="6"/>
  <c r="B450" i="6"/>
  <c r="D449" i="6"/>
  <c r="B449" i="6"/>
  <c r="D448" i="6"/>
  <c r="B448" i="6"/>
  <c r="D447" i="6"/>
  <c r="B447" i="6"/>
  <c r="D446" i="6"/>
  <c r="B446" i="6"/>
  <c r="D445" i="6"/>
  <c r="B445" i="6"/>
  <c r="D444" i="6"/>
  <c r="B444" i="6"/>
  <c r="D443" i="6"/>
  <c r="B443" i="6"/>
  <c r="D442" i="6"/>
  <c r="B442" i="6"/>
  <c r="D441" i="6"/>
  <c r="B441" i="6"/>
  <c r="D440" i="6"/>
  <c r="B440" i="6"/>
  <c r="D439" i="6"/>
  <c r="B439" i="6"/>
  <c r="D438" i="6"/>
  <c r="B438" i="6"/>
  <c r="D437" i="6"/>
  <c r="B437" i="6"/>
  <c r="D436" i="6"/>
  <c r="B436" i="6"/>
  <c r="D435" i="6"/>
  <c r="B435" i="6"/>
  <c r="D434" i="6"/>
  <c r="B434" i="6"/>
  <c r="D433" i="6"/>
  <c r="B433" i="6"/>
  <c r="D432" i="6"/>
  <c r="B432" i="6"/>
  <c r="D431" i="6"/>
  <c r="B431" i="6"/>
  <c r="D430" i="6"/>
  <c r="B430" i="6"/>
  <c r="D429" i="6"/>
  <c r="B429" i="6"/>
  <c r="D428" i="6"/>
  <c r="B428" i="6"/>
  <c r="D427" i="6"/>
  <c r="B427" i="6"/>
  <c r="D426" i="6"/>
  <c r="B426" i="6"/>
  <c r="D425" i="6"/>
  <c r="B425" i="6"/>
  <c r="D424" i="6"/>
  <c r="B424" i="6"/>
  <c r="D423" i="6"/>
  <c r="B423" i="6"/>
  <c r="D422" i="6"/>
  <c r="B422" i="6"/>
  <c r="D421" i="6"/>
  <c r="B421" i="6"/>
  <c r="D420" i="6"/>
  <c r="B420" i="6"/>
  <c r="D419" i="6"/>
  <c r="B419" i="6"/>
  <c r="D418" i="6"/>
  <c r="B418" i="6"/>
  <c r="D417" i="6"/>
  <c r="B417" i="6"/>
  <c r="D416" i="6"/>
  <c r="B416" i="6"/>
  <c r="D415" i="6"/>
  <c r="B415" i="6"/>
  <c r="D414" i="6"/>
  <c r="B414" i="6"/>
  <c r="D413" i="6"/>
  <c r="B413" i="6"/>
  <c r="D412" i="6"/>
  <c r="B412" i="6"/>
  <c r="D411" i="6"/>
  <c r="B411" i="6"/>
  <c r="D410" i="6"/>
  <c r="B410" i="6"/>
  <c r="D409" i="6"/>
  <c r="B409" i="6"/>
  <c r="D408" i="6"/>
  <c r="B408" i="6"/>
  <c r="D407" i="6"/>
  <c r="B407" i="6"/>
  <c r="D406" i="6"/>
  <c r="B406" i="6"/>
  <c r="D405" i="6"/>
  <c r="B405" i="6"/>
  <c r="D404" i="6"/>
  <c r="B404" i="6"/>
  <c r="D403" i="6"/>
  <c r="B403" i="6"/>
  <c r="D402" i="6"/>
  <c r="B402" i="6"/>
  <c r="D401" i="6"/>
  <c r="B401" i="6"/>
  <c r="D400" i="6"/>
  <c r="B400" i="6"/>
  <c r="D399" i="6"/>
  <c r="B399" i="6"/>
  <c r="D398" i="6"/>
  <c r="B398" i="6"/>
  <c r="D397" i="6"/>
  <c r="B397" i="6"/>
  <c r="D396" i="6"/>
  <c r="B396" i="6"/>
  <c r="D395" i="6"/>
  <c r="B395" i="6"/>
  <c r="D394" i="6"/>
  <c r="B394" i="6"/>
  <c r="D393" i="6"/>
  <c r="B393" i="6"/>
  <c r="D392" i="6"/>
  <c r="B392" i="6"/>
  <c r="D391" i="6"/>
  <c r="B391" i="6"/>
  <c r="D390" i="6"/>
  <c r="B390" i="6"/>
  <c r="D389" i="6"/>
  <c r="B389" i="6"/>
  <c r="D388" i="6"/>
  <c r="B388" i="6"/>
  <c r="D387" i="6"/>
  <c r="B387" i="6"/>
  <c r="D386" i="6"/>
  <c r="B386" i="6"/>
  <c r="D385" i="6"/>
  <c r="B385" i="6"/>
  <c r="D384" i="6"/>
  <c r="B384" i="6"/>
  <c r="D383" i="6"/>
  <c r="B383" i="6"/>
  <c r="D382" i="6"/>
  <c r="B382" i="6"/>
  <c r="D381" i="6"/>
  <c r="B381" i="6"/>
  <c r="D380" i="6"/>
  <c r="B380" i="6"/>
  <c r="D379" i="6"/>
  <c r="B379" i="6"/>
  <c r="D378" i="6"/>
  <c r="B378" i="6"/>
  <c r="D377" i="6"/>
  <c r="B377" i="6"/>
  <c r="D376" i="6"/>
  <c r="B376" i="6"/>
  <c r="D375" i="6"/>
  <c r="B375" i="6"/>
  <c r="D374" i="6"/>
  <c r="B374" i="6"/>
  <c r="D373" i="6"/>
  <c r="B373" i="6"/>
  <c r="D372" i="6"/>
  <c r="B372" i="6"/>
  <c r="D371" i="6"/>
  <c r="B371" i="6"/>
  <c r="D370" i="6"/>
  <c r="B370" i="6"/>
  <c r="D369" i="6"/>
  <c r="B369" i="6"/>
  <c r="D368" i="6"/>
  <c r="B368" i="6"/>
  <c r="D367" i="6"/>
  <c r="B367" i="6"/>
  <c r="D366" i="6"/>
  <c r="B366" i="6"/>
  <c r="D365" i="6"/>
  <c r="B365" i="6"/>
  <c r="D364" i="6"/>
  <c r="B364" i="6"/>
  <c r="D363" i="6"/>
  <c r="B363" i="6"/>
  <c r="D362" i="6"/>
  <c r="B362" i="6"/>
  <c r="D361" i="6"/>
  <c r="B361" i="6"/>
  <c r="D360" i="6"/>
  <c r="B360" i="6"/>
  <c r="D359" i="6"/>
  <c r="B359" i="6"/>
  <c r="D358" i="6"/>
  <c r="B358" i="6"/>
  <c r="D357" i="6"/>
  <c r="B357" i="6"/>
  <c r="D356" i="6"/>
  <c r="B356" i="6"/>
  <c r="D355" i="6"/>
  <c r="B355" i="6"/>
  <c r="D354" i="6"/>
  <c r="B354" i="6"/>
  <c r="D353" i="6"/>
  <c r="B353" i="6"/>
  <c r="D352" i="6"/>
  <c r="B352" i="6"/>
  <c r="D351" i="6"/>
  <c r="B351" i="6"/>
  <c r="D350" i="6"/>
  <c r="B350" i="6"/>
  <c r="D349" i="6"/>
  <c r="B349" i="6"/>
  <c r="D348" i="6"/>
  <c r="B348" i="6"/>
  <c r="D347" i="6"/>
  <c r="B347" i="6"/>
  <c r="D346" i="6"/>
  <c r="B346" i="6"/>
  <c r="D345" i="6"/>
  <c r="B345" i="6"/>
  <c r="D344" i="6"/>
  <c r="B344" i="6"/>
  <c r="D343" i="6"/>
  <c r="B343" i="6"/>
  <c r="D342" i="6"/>
  <c r="B342" i="6"/>
  <c r="D341" i="6"/>
  <c r="B341" i="6"/>
  <c r="D340" i="6"/>
  <c r="B340" i="6"/>
  <c r="D339" i="6"/>
  <c r="B339" i="6"/>
  <c r="D338" i="6"/>
  <c r="B338" i="6"/>
  <c r="D337" i="6"/>
  <c r="B337" i="6"/>
  <c r="D336" i="6"/>
  <c r="B336" i="6"/>
  <c r="D335" i="6"/>
  <c r="B335" i="6"/>
  <c r="D334" i="6"/>
  <c r="B334" i="6"/>
  <c r="D333" i="6"/>
  <c r="B333" i="6"/>
  <c r="D332" i="6"/>
  <c r="B332" i="6"/>
  <c r="D331" i="6"/>
  <c r="B331" i="6"/>
  <c r="D330" i="6"/>
  <c r="B330" i="6"/>
  <c r="D329" i="6"/>
  <c r="B329" i="6"/>
  <c r="D328" i="6"/>
  <c r="B328" i="6"/>
  <c r="D327" i="6"/>
  <c r="B327" i="6"/>
  <c r="D326" i="6"/>
  <c r="B326" i="6"/>
  <c r="D325" i="6"/>
  <c r="B325" i="6"/>
  <c r="D324" i="6"/>
  <c r="B324" i="6"/>
  <c r="D323" i="6"/>
  <c r="B323" i="6"/>
  <c r="D322" i="6"/>
  <c r="B322" i="6"/>
  <c r="D321" i="6"/>
  <c r="B321" i="6"/>
  <c r="D320" i="6"/>
  <c r="B320" i="6"/>
  <c r="D319" i="6"/>
  <c r="B319" i="6"/>
  <c r="D318" i="6"/>
  <c r="B318" i="6"/>
  <c r="D317" i="6"/>
  <c r="B317" i="6"/>
  <c r="D316" i="6"/>
  <c r="B316" i="6"/>
  <c r="D315" i="6"/>
  <c r="B315" i="6"/>
  <c r="D314" i="6"/>
  <c r="B314" i="6"/>
  <c r="D313" i="6"/>
  <c r="B313" i="6"/>
  <c r="D312" i="6"/>
  <c r="B312" i="6"/>
  <c r="D311" i="6"/>
  <c r="B311" i="6"/>
  <c r="D310" i="6"/>
  <c r="B310" i="6"/>
  <c r="D309" i="6"/>
  <c r="B309" i="6"/>
  <c r="D308" i="6"/>
  <c r="B308" i="6"/>
  <c r="D307" i="6"/>
  <c r="B307" i="6"/>
  <c r="D306" i="6"/>
  <c r="B306" i="6"/>
  <c r="D305" i="6"/>
  <c r="B305" i="6"/>
  <c r="D304" i="6"/>
  <c r="B304" i="6"/>
  <c r="D303" i="6"/>
  <c r="B303" i="6"/>
  <c r="D302" i="6"/>
  <c r="B302" i="6"/>
  <c r="D301" i="6"/>
  <c r="B301" i="6"/>
  <c r="D300" i="6"/>
  <c r="B300" i="6"/>
  <c r="D299" i="6"/>
  <c r="B299" i="6"/>
  <c r="D298" i="6"/>
  <c r="B298" i="6"/>
  <c r="D297" i="6"/>
  <c r="B297" i="6"/>
  <c r="D296" i="6"/>
  <c r="B296" i="6"/>
  <c r="D295" i="6"/>
  <c r="B295" i="6"/>
  <c r="D294" i="6"/>
  <c r="B294" i="6"/>
  <c r="D293" i="6"/>
  <c r="B293" i="6"/>
  <c r="D292" i="6"/>
  <c r="B292" i="6"/>
  <c r="D291" i="6"/>
  <c r="B291" i="6"/>
  <c r="D290" i="6"/>
  <c r="B290" i="6"/>
  <c r="D289" i="6"/>
  <c r="B289" i="6"/>
  <c r="D288" i="6"/>
  <c r="B288" i="6"/>
  <c r="D287" i="6"/>
  <c r="B287" i="6"/>
  <c r="D286" i="6"/>
  <c r="B286" i="6"/>
  <c r="D285" i="6"/>
  <c r="B285" i="6"/>
  <c r="D284" i="6"/>
  <c r="B284" i="6"/>
  <c r="D283" i="6"/>
  <c r="B283" i="6"/>
  <c r="D282" i="6"/>
  <c r="B282" i="6"/>
  <c r="D281" i="6"/>
  <c r="B281" i="6"/>
  <c r="D280" i="6"/>
  <c r="B280" i="6"/>
  <c r="D279" i="6"/>
  <c r="B279" i="6"/>
  <c r="D278" i="6"/>
  <c r="B278" i="6"/>
  <c r="D277" i="6"/>
  <c r="B277" i="6"/>
  <c r="D276" i="6"/>
  <c r="B276" i="6"/>
  <c r="D275" i="6"/>
  <c r="B275" i="6"/>
  <c r="D274" i="6"/>
  <c r="B274" i="6"/>
  <c r="D273" i="6"/>
  <c r="B273" i="6"/>
  <c r="D272" i="6"/>
  <c r="B272" i="6"/>
  <c r="D271" i="6"/>
  <c r="B271" i="6"/>
  <c r="D270" i="6"/>
  <c r="B270" i="6"/>
  <c r="D269" i="6"/>
  <c r="B269" i="6"/>
  <c r="D268" i="6"/>
  <c r="B268" i="6"/>
  <c r="D267" i="6"/>
  <c r="B267" i="6"/>
  <c r="D266" i="6"/>
  <c r="B266" i="6"/>
  <c r="D265" i="6"/>
  <c r="B265" i="6"/>
  <c r="D264" i="6"/>
  <c r="B264" i="6"/>
  <c r="D263" i="6"/>
  <c r="B263" i="6"/>
  <c r="D262" i="6"/>
  <c r="B262" i="6"/>
  <c r="D261" i="6"/>
  <c r="B261" i="6"/>
  <c r="D260" i="6"/>
  <c r="B260" i="6"/>
  <c r="D259" i="6"/>
  <c r="B259" i="6"/>
  <c r="D258" i="6"/>
  <c r="B258" i="6"/>
  <c r="D257" i="6"/>
  <c r="B257" i="6"/>
  <c r="D256" i="6"/>
  <c r="B256" i="6"/>
  <c r="D255" i="6"/>
  <c r="B255" i="6"/>
  <c r="D254" i="6"/>
  <c r="B254" i="6"/>
  <c r="D253" i="6"/>
  <c r="B253" i="6"/>
  <c r="D252" i="6"/>
  <c r="B252" i="6"/>
  <c r="D251" i="6"/>
  <c r="B251" i="6"/>
  <c r="D250" i="6"/>
  <c r="B250" i="6"/>
  <c r="D249" i="6"/>
  <c r="B249" i="6"/>
  <c r="D248" i="6"/>
  <c r="B248" i="6"/>
  <c r="D247" i="6"/>
  <c r="B247" i="6"/>
  <c r="D246" i="6"/>
  <c r="B246" i="6"/>
  <c r="D245" i="6"/>
  <c r="B245" i="6"/>
  <c r="D244" i="6"/>
  <c r="B244" i="6"/>
  <c r="D243" i="6"/>
  <c r="B243" i="6"/>
  <c r="D242" i="6"/>
  <c r="B242" i="6"/>
  <c r="D241" i="6"/>
  <c r="B241" i="6"/>
  <c r="D240" i="6"/>
  <c r="B240" i="6"/>
  <c r="D239" i="6"/>
  <c r="B239" i="6"/>
  <c r="D238" i="6"/>
  <c r="B238" i="6"/>
  <c r="D237" i="6"/>
  <c r="B237" i="6"/>
  <c r="D236" i="6"/>
  <c r="B236" i="6"/>
  <c r="D235" i="6"/>
  <c r="B235" i="6"/>
  <c r="D234" i="6"/>
  <c r="B234" i="6"/>
  <c r="D233" i="6"/>
  <c r="B233" i="6"/>
  <c r="D232" i="6"/>
  <c r="B232" i="6"/>
  <c r="D231" i="6"/>
  <c r="B231" i="6"/>
  <c r="D230" i="6"/>
  <c r="B230" i="6"/>
  <c r="D229" i="6"/>
  <c r="B229" i="6"/>
  <c r="D228" i="6"/>
  <c r="B228" i="6"/>
  <c r="D227" i="6"/>
  <c r="B227" i="6"/>
  <c r="D226" i="6"/>
  <c r="B226" i="6"/>
  <c r="D225" i="6"/>
  <c r="B225" i="6"/>
  <c r="D224" i="6"/>
  <c r="B224" i="6"/>
  <c r="D223" i="6"/>
  <c r="B223" i="6"/>
  <c r="D222" i="6"/>
  <c r="B222" i="6"/>
  <c r="D221" i="6"/>
  <c r="B221" i="6"/>
  <c r="D220" i="6"/>
  <c r="B220" i="6"/>
  <c r="D219" i="6"/>
  <c r="B219" i="6"/>
  <c r="D218" i="6"/>
  <c r="B218" i="6"/>
  <c r="D217" i="6"/>
  <c r="B217" i="6"/>
  <c r="D216" i="6"/>
  <c r="B216" i="6"/>
  <c r="D215" i="6"/>
  <c r="B215" i="6"/>
  <c r="D214" i="6"/>
  <c r="B214" i="6"/>
  <c r="D213" i="6"/>
  <c r="B213" i="6"/>
  <c r="D212" i="6"/>
  <c r="B212" i="6"/>
  <c r="D211" i="6"/>
  <c r="B211" i="6"/>
  <c r="D210" i="6"/>
  <c r="B210" i="6"/>
  <c r="D209" i="6"/>
  <c r="B209" i="6"/>
  <c r="D208" i="6"/>
  <c r="B208" i="6"/>
  <c r="D207" i="6"/>
  <c r="B207" i="6"/>
  <c r="D206" i="6"/>
  <c r="B206" i="6"/>
  <c r="D205" i="6"/>
  <c r="B205" i="6"/>
  <c r="D204" i="6"/>
  <c r="B204" i="6"/>
  <c r="D203" i="6"/>
  <c r="B203" i="6"/>
  <c r="D202" i="6"/>
  <c r="B202" i="6"/>
  <c r="D201" i="6"/>
  <c r="B201" i="6"/>
  <c r="D200" i="6"/>
  <c r="B200" i="6"/>
  <c r="D199" i="6"/>
  <c r="B199" i="6"/>
  <c r="D198" i="6"/>
  <c r="B198" i="6"/>
  <c r="D197" i="6"/>
  <c r="B197" i="6"/>
  <c r="D196" i="6"/>
  <c r="B196" i="6"/>
  <c r="D195" i="6"/>
  <c r="B195" i="6"/>
  <c r="D194" i="6"/>
  <c r="B194" i="6"/>
  <c r="D193" i="6"/>
  <c r="B193" i="6"/>
  <c r="D192" i="6"/>
  <c r="B192" i="6"/>
  <c r="D191" i="6"/>
  <c r="B191" i="6"/>
  <c r="D190" i="6"/>
  <c r="B190" i="6"/>
  <c r="D189" i="6"/>
  <c r="B189" i="6"/>
  <c r="D188" i="6"/>
  <c r="B188" i="6"/>
  <c r="D187" i="6"/>
  <c r="B187" i="6"/>
  <c r="D186" i="6"/>
  <c r="B186" i="6"/>
  <c r="D185" i="6"/>
  <c r="B185" i="6"/>
  <c r="D184" i="6"/>
  <c r="B184" i="6"/>
  <c r="D183" i="6"/>
  <c r="B183" i="6"/>
  <c r="D182" i="6"/>
  <c r="B182" i="6"/>
  <c r="D181" i="6"/>
  <c r="B181" i="6"/>
  <c r="D180" i="6"/>
  <c r="B180" i="6"/>
  <c r="D179" i="6"/>
  <c r="B179" i="6"/>
  <c r="D178" i="6"/>
  <c r="B178" i="6"/>
  <c r="D177" i="6"/>
  <c r="B177" i="6"/>
  <c r="D176" i="6"/>
  <c r="B176" i="6"/>
  <c r="D175" i="6"/>
  <c r="B175" i="6"/>
  <c r="D174" i="6"/>
  <c r="B174" i="6"/>
  <c r="D173" i="6"/>
  <c r="B173" i="6"/>
  <c r="D172" i="6"/>
  <c r="B172" i="6"/>
  <c r="D171" i="6"/>
  <c r="B171" i="6"/>
  <c r="D170" i="6"/>
  <c r="B170" i="6"/>
  <c r="D169" i="6"/>
  <c r="B169" i="6"/>
  <c r="D168" i="6"/>
  <c r="B168" i="6"/>
  <c r="D167" i="6"/>
  <c r="B167" i="6"/>
  <c r="D166" i="6"/>
  <c r="B166" i="6"/>
  <c r="D165" i="6"/>
  <c r="B165" i="6"/>
  <c r="D164" i="6"/>
  <c r="B164" i="6"/>
  <c r="D163" i="6"/>
  <c r="B163" i="6"/>
  <c r="D162" i="6"/>
  <c r="B162" i="6"/>
  <c r="D161" i="6"/>
  <c r="B161" i="6"/>
  <c r="D160" i="6"/>
  <c r="B160" i="6"/>
  <c r="D159" i="6"/>
  <c r="B159" i="6"/>
  <c r="D158" i="6"/>
  <c r="B158" i="6"/>
  <c r="D157" i="6"/>
  <c r="B157" i="6"/>
  <c r="D156" i="6"/>
  <c r="B156" i="6"/>
  <c r="D155" i="6"/>
  <c r="B155" i="6"/>
  <c r="D154" i="6"/>
  <c r="B154" i="6"/>
  <c r="D153" i="6"/>
  <c r="B153" i="6"/>
  <c r="D152" i="6"/>
  <c r="B152" i="6"/>
  <c r="D151" i="6"/>
  <c r="B151" i="6"/>
  <c r="D150" i="6"/>
  <c r="B150" i="6"/>
  <c r="D149" i="6"/>
  <c r="B149" i="6"/>
  <c r="D148" i="6"/>
  <c r="B148" i="6"/>
  <c r="D147" i="6"/>
  <c r="B147" i="6"/>
  <c r="D146" i="6"/>
  <c r="B146" i="6"/>
  <c r="D145" i="6"/>
  <c r="B145" i="6"/>
  <c r="D144" i="6"/>
  <c r="B144" i="6"/>
  <c r="D143" i="6"/>
  <c r="B143" i="6"/>
  <c r="D142" i="6"/>
  <c r="B142" i="6"/>
  <c r="D141" i="6"/>
  <c r="B141" i="6"/>
  <c r="D140" i="6"/>
  <c r="B140" i="6"/>
  <c r="D139" i="6"/>
  <c r="B139" i="6"/>
  <c r="D138" i="6"/>
  <c r="B138" i="6"/>
  <c r="D137" i="6"/>
  <c r="B137" i="6"/>
  <c r="D136" i="6"/>
  <c r="B136" i="6"/>
  <c r="D135" i="6"/>
  <c r="B135" i="6"/>
  <c r="D134" i="6"/>
  <c r="B134" i="6"/>
  <c r="D133" i="6"/>
  <c r="B133" i="6"/>
  <c r="D132" i="6"/>
  <c r="B132" i="6"/>
  <c r="D131" i="6"/>
  <c r="B131" i="6"/>
  <c r="D130" i="6"/>
  <c r="B130" i="6"/>
  <c r="D129" i="6"/>
  <c r="B129" i="6"/>
  <c r="D128" i="6"/>
  <c r="B128" i="6"/>
  <c r="D127" i="6"/>
  <c r="B127" i="6"/>
  <c r="D126" i="6"/>
  <c r="B126" i="6"/>
  <c r="D125" i="6"/>
  <c r="B125" i="6"/>
  <c r="D124" i="6"/>
  <c r="B124" i="6"/>
  <c r="D123" i="6"/>
  <c r="B123" i="6"/>
  <c r="D122" i="6"/>
  <c r="B122" i="6"/>
  <c r="D121" i="6"/>
  <c r="B121" i="6"/>
  <c r="D120" i="6"/>
  <c r="B120" i="6"/>
  <c r="D119" i="6"/>
  <c r="B119" i="6"/>
  <c r="D118" i="6"/>
  <c r="B118" i="6"/>
  <c r="D117" i="6"/>
  <c r="B117" i="6"/>
  <c r="D116" i="6"/>
  <c r="B116" i="6"/>
  <c r="D115" i="6"/>
  <c r="B115" i="6"/>
  <c r="D114" i="6"/>
  <c r="B114" i="6"/>
  <c r="D113" i="6"/>
  <c r="B113" i="6"/>
  <c r="D112" i="6"/>
  <c r="B112" i="6"/>
  <c r="D111" i="6"/>
  <c r="B111" i="6"/>
  <c r="D110" i="6"/>
  <c r="B110" i="6"/>
  <c r="D109" i="6"/>
  <c r="B109" i="6"/>
  <c r="D108" i="6"/>
  <c r="B108" i="6"/>
  <c r="D107" i="6"/>
  <c r="B107" i="6"/>
  <c r="D106" i="6"/>
  <c r="B106" i="6"/>
  <c r="D105" i="6"/>
  <c r="B105" i="6"/>
  <c r="D104" i="6"/>
  <c r="B104" i="6"/>
  <c r="D103" i="6"/>
  <c r="B103" i="6"/>
  <c r="D102" i="6"/>
  <c r="B102" i="6"/>
  <c r="D101" i="6"/>
  <c r="B101" i="6"/>
  <c r="D100" i="6"/>
  <c r="B100" i="6"/>
  <c r="D99" i="6"/>
  <c r="B99" i="6"/>
  <c r="D98" i="6"/>
  <c r="B98" i="6"/>
  <c r="D97" i="6"/>
  <c r="B97" i="6"/>
  <c r="D96" i="6"/>
  <c r="B96" i="6"/>
  <c r="D95" i="6"/>
  <c r="B95" i="6"/>
  <c r="D94" i="6"/>
  <c r="B94" i="6"/>
  <c r="D93" i="6"/>
  <c r="B93" i="6"/>
  <c r="D92" i="6"/>
  <c r="B92" i="6"/>
  <c r="D91" i="6"/>
  <c r="B91" i="6"/>
  <c r="D90" i="6"/>
  <c r="B90" i="6"/>
  <c r="D89" i="6"/>
  <c r="B89" i="6"/>
  <c r="D88" i="6"/>
  <c r="B88" i="6"/>
  <c r="D87" i="6"/>
  <c r="B87" i="6"/>
  <c r="D86" i="6"/>
  <c r="B86" i="6"/>
  <c r="D85" i="6"/>
  <c r="B85" i="6"/>
  <c r="D84" i="6"/>
  <c r="B84" i="6"/>
  <c r="D83" i="6"/>
  <c r="B83" i="6"/>
  <c r="D82" i="6"/>
  <c r="B82" i="6"/>
  <c r="D81" i="6"/>
  <c r="B81" i="6"/>
  <c r="D80" i="6"/>
  <c r="B80" i="6"/>
  <c r="D79" i="6"/>
  <c r="B79" i="6"/>
  <c r="D78" i="6"/>
  <c r="B78" i="6"/>
  <c r="D77" i="6"/>
  <c r="B77" i="6"/>
  <c r="D76" i="6"/>
  <c r="B76" i="6"/>
  <c r="D75" i="6"/>
  <c r="B75" i="6"/>
  <c r="D74" i="6"/>
  <c r="B74" i="6"/>
  <c r="D73" i="6"/>
  <c r="B73" i="6"/>
  <c r="D72" i="6"/>
  <c r="B72" i="6"/>
  <c r="D71" i="6"/>
  <c r="B71" i="6"/>
  <c r="D70" i="6"/>
  <c r="B70" i="6"/>
  <c r="D69" i="6"/>
  <c r="B69" i="6"/>
  <c r="D68" i="6"/>
  <c r="B68" i="6"/>
  <c r="D67" i="6"/>
  <c r="B67" i="6"/>
  <c r="D66" i="6"/>
  <c r="B66" i="6"/>
  <c r="D65" i="6"/>
  <c r="B65" i="6"/>
  <c r="D64" i="6"/>
  <c r="B64" i="6"/>
  <c r="D63" i="6"/>
  <c r="B63" i="6"/>
  <c r="D62" i="6"/>
  <c r="B62" i="6"/>
  <c r="D61" i="6"/>
  <c r="B61" i="6"/>
  <c r="D60" i="6"/>
  <c r="B60" i="6"/>
  <c r="D59" i="6"/>
  <c r="B59" i="6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50" i="6"/>
  <c r="B50" i="6"/>
  <c r="D49" i="6"/>
  <c r="B49" i="6"/>
  <c r="D48" i="6"/>
  <c r="B48" i="6"/>
  <c r="D47" i="6"/>
  <c r="B47" i="6"/>
  <c r="D46" i="6"/>
  <c r="B46" i="6"/>
  <c r="D45" i="6"/>
  <c r="B45" i="6"/>
  <c r="D44" i="6"/>
  <c r="B44" i="6"/>
  <c r="D43" i="6"/>
  <c r="B43" i="6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2" i="6"/>
  <c r="B2" i="6"/>
  <c r="L2" i="5"/>
  <c r="L3" i="5" s="1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299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0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L368" i="5" s="1"/>
  <c r="L369" i="5" s="1"/>
  <c r="L370" i="5" s="1"/>
  <c r="L371" i="5" s="1"/>
  <c r="L372" i="5" s="1"/>
  <c r="L373" i="5" s="1"/>
  <c r="L374" i="5" s="1"/>
  <c r="L375" i="5" s="1"/>
  <c r="L376" i="5" s="1"/>
  <c r="L377" i="5" s="1"/>
  <c r="L378" i="5" s="1"/>
  <c r="L379" i="5" s="1"/>
  <c r="L380" i="5" s="1"/>
  <c r="L381" i="5" s="1"/>
  <c r="L382" i="5" s="1"/>
  <c r="L383" i="5" s="1"/>
  <c r="L384" i="5" s="1"/>
  <c r="L385" i="5" s="1"/>
  <c r="L386" i="5" s="1"/>
  <c r="L387" i="5" s="1"/>
  <c r="L388" i="5" s="1"/>
  <c r="L389" i="5" s="1"/>
  <c r="L390" i="5" s="1"/>
  <c r="L391" i="5" s="1"/>
  <c r="L392" i="5" s="1"/>
  <c r="L393" i="5" s="1"/>
  <c r="L394" i="5" s="1"/>
  <c r="L395" i="5" s="1"/>
  <c r="L396" i="5" s="1"/>
  <c r="L397" i="5" s="1"/>
  <c r="L398" i="5" s="1"/>
  <c r="L399" i="5" s="1"/>
  <c r="L400" i="5" s="1"/>
  <c r="L401" i="5" s="1"/>
  <c r="L402" i="5" s="1"/>
  <c r="L403" i="5" s="1"/>
  <c r="L404" i="5" s="1"/>
  <c r="L405" i="5" s="1"/>
  <c r="L406" i="5" s="1"/>
  <c r="L407" i="5" s="1"/>
  <c r="L408" i="5" s="1"/>
  <c r="L409" i="5" s="1"/>
  <c r="L410" i="5" s="1"/>
  <c r="L411" i="5" s="1"/>
  <c r="L412" i="5" s="1"/>
  <c r="L413" i="5" s="1"/>
  <c r="L414" i="5" s="1"/>
  <c r="L415" i="5" s="1"/>
  <c r="L416" i="5" s="1"/>
  <c r="L417" i="5" s="1"/>
  <c r="L418" i="5" s="1"/>
  <c r="L419" i="5" s="1"/>
  <c r="L420" i="5" s="1"/>
  <c r="L421" i="5" s="1"/>
  <c r="L422" i="5" s="1"/>
  <c r="L423" i="5" s="1"/>
  <c r="L424" i="5" s="1"/>
  <c r="L425" i="5" s="1"/>
  <c r="L426" i="5" s="1"/>
  <c r="L427" i="5" s="1"/>
  <c r="L428" i="5" s="1"/>
  <c r="L429" i="5" s="1"/>
  <c r="L430" i="5" s="1"/>
  <c r="L431" i="5" s="1"/>
  <c r="L432" i="5" s="1"/>
  <c r="L433" i="5" s="1"/>
  <c r="L434" i="5" s="1"/>
  <c r="L435" i="5" s="1"/>
  <c r="L436" i="5" s="1"/>
  <c r="L437" i="5" s="1"/>
  <c r="L438" i="5" s="1"/>
  <c r="L439" i="5" s="1"/>
  <c r="L440" i="5" s="1"/>
  <c r="L441" i="5" s="1"/>
  <c r="L442" i="5" s="1"/>
  <c r="L443" i="5" s="1"/>
  <c r="L444" i="5" s="1"/>
  <c r="L445" i="5" s="1"/>
  <c r="L446" i="5" s="1"/>
  <c r="L447" i="5" s="1"/>
  <c r="L448" i="5" s="1"/>
  <c r="L449" i="5" s="1"/>
  <c r="L450" i="5" s="1"/>
  <c r="L451" i="5" s="1"/>
  <c r="L452" i="5" s="1"/>
  <c r="L453" i="5" s="1"/>
  <c r="L454" i="5" s="1"/>
  <c r="L455" i="5" s="1"/>
  <c r="L456" i="5" s="1"/>
  <c r="L457" i="5" s="1"/>
  <c r="L458" i="5" s="1"/>
  <c r="L459" i="5" s="1"/>
  <c r="L460" i="5" s="1"/>
  <c r="L461" i="5" s="1"/>
  <c r="L462" i="5" s="1"/>
  <c r="L463" i="5" s="1"/>
  <c r="L464" i="5" s="1"/>
  <c r="L465" i="5" s="1"/>
  <c r="L466" i="5" s="1"/>
  <c r="L467" i="5" s="1"/>
  <c r="L468" i="5" s="1"/>
  <c r="L469" i="5" s="1"/>
  <c r="L470" i="5" s="1"/>
  <c r="L471" i="5" s="1"/>
  <c r="L472" i="5" s="1"/>
  <c r="L473" i="5" s="1"/>
  <c r="L474" i="5" s="1"/>
  <c r="L475" i="5" s="1"/>
  <c r="L476" i="5" s="1"/>
  <c r="L477" i="5" s="1"/>
  <c r="L478" i="5" s="1"/>
  <c r="L479" i="5" s="1"/>
  <c r="L480" i="5" s="1"/>
  <c r="L481" i="5" s="1"/>
  <c r="L482" i="5" s="1"/>
  <c r="L483" i="5" s="1"/>
  <c r="L484" i="5" s="1"/>
  <c r="L485" i="5" s="1"/>
  <c r="L486" i="5" s="1"/>
  <c r="L487" i="5" s="1"/>
  <c r="L488" i="5" s="1"/>
  <c r="L489" i="5" s="1"/>
  <c r="L490" i="5" s="1"/>
  <c r="L491" i="5" s="1"/>
  <c r="L492" i="5" s="1"/>
  <c r="L493" i="5" s="1"/>
  <c r="L494" i="5" s="1"/>
  <c r="L495" i="5" s="1"/>
  <c r="L496" i="5" s="1"/>
  <c r="L497" i="5" s="1"/>
  <c r="L498" i="5" s="1"/>
  <c r="L499" i="5" s="1"/>
  <c r="L500" i="5" s="1"/>
  <c r="L501" i="5" s="1"/>
  <c r="B2" i="5"/>
  <c r="D2" i="5"/>
  <c r="B3" i="5"/>
  <c r="D3" i="5"/>
  <c r="B4" i="5"/>
  <c r="D4" i="5"/>
  <c r="B5" i="5"/>
  <c r="D5" i="5"/>
  <c r="B6" i="5"/>
  <c r="D6" i="5"/>
  <c r="B7" i="5"/>
  <c r="D7" i="5"/>
  <c r="B8" i="5"/>
  <c r="D8" i="5"/>
  <c r="B9" i="5"/>
  <c r="D9" i="5"/>
  <c r="B10" i="5"/>
  <c r="D10" i="5"/>
  <c r="B11" i="5"/>
  <c r="D11" i="5"/>
  <c r="B12" i="5"/>
  <c r="D12" i="5"/>
  <c r="B13" i="5"/>
  <c r="D13" i="5"/>
  <c r="B14" i="5"/>
  <c r="D14" i="5"/>
  <c r="B15" i="5"/>
  <c r="D15" i="5"/>
  <c r="B16" i="5"/>
  <c r="D16" i="5"/>
  <c r="B17" i="5"/>
  <c r="D17" i="5"/>
  <c r="B18" i="5"/>
  <c r="D18" i="5"/>
  <c r="B19" i="5"/>
  <c r="D19" i="5"/>
  <c r="B21" i="5"/>
  <c r="D21" i="5"/>
  <c r="B20" i="5"/>
  <c r="D20" i="5"/>
  <c r="B22" i="5"/>
  <c r="D22" i="5"/>
  <c r="B23" i="5"/>
  <c r="D23" i="5"/>
  <c r="B24" i="5"/>
  <c r="D24" i="5"/>
  <c r="B25" i="5"/>
  <c r="D25" i="5"/>
  <c r="B26" i="5"/>
  <c r="D26" i="5"/>
  <c r="B27" i="5"/>
  <c r="D27" i="5"/>
  <c r="B28" i="5"/>
  <c r="D28" i="5"/>
  <c r="B29" i="5"/>
  <c r="D29" i="5"/>
  <c r="B30" i="5"/>
  <c r="D30" i="5"/>
  <c r="B31" i="5"/>
  <c r="D31" i="5"/>
  <c r="B32" i="5"/>
  <c r="D32" i="5"/>
  <c r="B33" i="5"/>
  <c r="D33" i="5"/>
  <c r="B34" i="5"/>
  <c r="D34" i="5"/>
  <c r="B35" i="5"/>
  <c r="D35" i="5"/>
  <c r="B37" i="5"/>
  <c r="D37" i="5"/>
  <c r="B36" i="5"/>
  <c r="D36" i="5"/>
  <c r="B38" i="5"/>
  <c r="D38" i="5"/>
  <c r="B39" i="5"/>
  <c r="D39" i="5"/>
  <c r="B40" i="5"/>
  <c r="D40" i="5"/>
  <c r="B42" i="5"/>
  <c r="D42" i="5"/>
  <c r="B41" i="5"/>
  <c r="D41" i="5"/>
  <c r="B43" i="5"/>
  <c r="D43" i="5"/>
  <c r="B44" i="5"/>
  <c r="D44" i="5"/>
  <c r="B45" i="5"/>
  <c r="D45" i="5"/>
  <c r="B46" i="5"/>
  <c r="D46" i="5"/>
  <c r="B47" i="5"/>
  <c r="D47" i="5"/>
  <c r="B48" i="5"/>
  <c r="D48" i="5"/>
  <c r="B49" i="5"/>
  <c r="D49" i="5"/>
  <c r="B50" i="5"/>
  <c r="D50" i="5"/>
  <c r="B51" i="5"/>
  <c r="D51" i="5"/>
  <c r="B52" i="5"/>
  <c r="D52" i="5"/>
  <c r="B53" i="5"/>
  <c r="D53" i="5"/>
  <c r="B54" i="5"/>
  <c r="D54" i="5"/>
  <c r="B55" i="5"/>
  <c r="D55" i="5"/>
  <c r="B56" i="5"/>
  <c r="D56" i="5"/>
  <c r="B57" i="5"/>
  <c r="D57" i="5"/>
  <c r="B58" i="5"/>
  <c r="D58" i="5"/>
  <c r="B59" i="5"/>
  <c r="D59" i="5"/>
  <c r="B60" i="5"/>
  <c r="D60" i="5"/>
  <c r="B61" i="5"/>
  <c r="D61" i="5"/>
  <c r="B62" i="5"/>
  <c r="D62" i="5"/>
  <c r="B63" i="5"/>
  <c r="D63" i="5"/>
  <c r="B64" i="5"/>
  <c r="D64" i="5"/>
  <c r="B65" i="5"/>
  <c r="D65" i="5"/>
  <c r="B66" i="5"/>
  <c r="D66" i="5"/>
  <c r="B67" i="5"/>
  <c r="D67" i="5"/>
  <c r="B68" i="5"/>
  <c r="D68" i="5"/>
  <c r="B69" i="5"/>
  <c r="D69" i="5"/>
  <c r="B70" i="5"/>
  <c r="D70" i="5"/>
  <c r="B71" i="5"/>
  <c r="D71" i="5"/>
  <c r="B72" i="5"/>
  <c r="D72" i="5"/>
  <c r="B73" i="5"/>
  <c r="D73" i="5"/>
  <c r="B74" i="5"/>
  <c r="D74" i="5"/>
  <c r="B75" i="5"/>
  <c r="D75" i="5"/>
  <c r="B76" i="5"/>
  <c r="D76" i="5"/>
  <c r="B77" i="5"/>
  <c r="D77" i="5"/>
  <c r="B78" i="5"/>
  <c r="D78" i="5"/>
  <c r="B80" i="5"/>
  <c r="D80" i="5"/>
  <c r="B79" i="5"/>
  <c r="D79" i="5"/>
  <c r="B81" i="5"/>
  <c r="D81" i="5"/>
  <c r="B82" i="5"/>
  <c r="D82" i="5"/>
  <c r="B84" i="5"/>
  <c r="D84" i="5"/>
  <c r="B83" i="5"/>
  <c r="D83" i="5"/>
  <c r="B86" i="5"/>
  <c r="D86" i="5"/>
  <c r="B85" i="5"/>
  <c r="D85" i="5"/>
  <c r="B87" i="5"/>
  <c r="D87" i="5"/>
  <c r="B88" i="5"/>
  <c r="D88" i="5"/>
  <c r="B89" i="5"/>
  <c r="D89" i="5"/>
  <c r="B90" i="5"/>
  <c r="D90" i="5"/>
  <c r="B91" i="5"/>
  <c r="D91" i="5"/>
  <c r="B92" i="5"/>
  <c r="D92" i="5"/>
  <c r="B93" i="5"/>
  <c r="D93" i="5"/>
  <c r="B94" i="5"/>
  <c r="D94" i="5"/>
  <c r="B95" i="5"/>
  <c r="D95" i="5"/>
  <c r="B96" i="5"/>
  <c r="D96" i="5"/>
  <c r="B97" i="5"/>
  <c r="D97" i="5"/>
  <c r="B98" i="5"/>
  <c r="D98" i="5"/>
  <c r="B99" i="5"/>
  <c r="D99" i="5"/>
  <c r="B100" i="5"/>
  <c r="D100" i="5"/>
  <c r="B102" i="5"/>
  <c r="D102" i="5"/>
  <c r="B101" i="5"/>
  <c r="D101" i="5"/>
  <c r="B103" i="5"/>
  <c r="D103" i="5"/>
  <c r="B104" i="5"/>
  <c r="D104" i="5"/>
  <c r="B105" i="5"/>
  <c r="D105" i="5"/>
  <c r="B106" i="5"/>
  <c r="D106" i="5"/>
  <c r="B107" i="5"/>
  <c r="D107" i="5"/>
  <c r="B108" i="5"/>
  <c r="D108" i="5"/>
  <c r="B109" i="5"/>
  <c r="D109" i="5"/>
  <c r="B110" i="5"/>
  <c r="D110" i="5"/>
  <c r="B111" i="5"/>
  <c r="D111" i="5"/>
  <c r="B112" i="5"/>
  <c r="D112" i="5"/>
  <c r="B113" i="5"/>
  <c r="D113" i="5"/>
  <c r="B114" i="5"/>
  <c r="D114" i="5"/>
  <c r="B116" i="5"/>
  <c r="D116" i="5"/>
  <c r="B115" i="5"/>
  <c r="D115" i="5"/>
  <c r="B117" i="5"/>
  <c r="D117" i="5"/>
  <c r="B118" i="5"/>
  <c r="D118" i="5"/>
  <c r="B119" i="5"/>
  <c r="D119" i="5"/>
  <c r="B120" i="5"/>
  <c r="D120" i="5"/>
  <c r="B121" i="5"/>
  <c r="D121" i="5"/>
  <c r="B122" i="5"/>
  <c r="D122" i="5"/>
  <c r="B123" i="5"/>
  <c r="D123" i="5"/>
  <c r="B124" i="5"/>
  <c r="D124" i="5"/>
  <c r="B125" i="5"/>
  <c r="D125" i="5"/>
  <c r="B126" i="5"/>
  <c r="D126" i="5"/>
  <c r="B127" i="5"/>
  <c r="D127" i="5"/>
  <c r="B128" i="5"/>
  <c r="D128" i="5"/>
  <c r="B129" i="5"/>
  <c r="D129" i="5"/>
  <c r="B130" i="5"/>
  <c r="D130" i="5"/>
  <c r="B131" i="5"/>
  <c r="D131" i="5"/>
  <c r="B132" i="5"/>
  <c r="D132" i="5"/>
  <c r="B133" i="5"/>
  <c r="D133" i="5"/>
  <c r="B134" i="5"/>
  <c r="D134" i="5"/>
  <c r="B135" i="5"/>
  <c r="D135" i="5"/>
  <c r="B136" i="5"/>
  <c r="D136" i="5"/>
  <c r="B137" i="5"/>
  <c r="D137" i="5"/>
  <c r="B138" i="5"/>
  <c r="D138" i="5"/>
  <c r="B139" i="5"/>
  <c r="D139" i="5"/>
  <c r="B140" i="5"/>
  <c r="D140" i="5"/>
  <c r="B141" i="5"/>
  <c r="D141" i="5"/>
  <c r="B142" i="5"/>
  <c r="D142" i="5"/>
  <c r="B143" i="5"/>
  <c r="D143" i="5"/>
  <c r="B144" i="5"/>
  <c r="D144" i="5"/>
  <c r="B145" i="5"/>
  <c r="D145" i="5"/>
  <c r="B146" i="5"/>
  <c r="D146" i="5"/>
  <c r="B147" i="5"/>
  <c r="D147" i="5"/>
  <c r="B149" i="5"/>
  <c r="D149" i="5"/>
  <c r="B148" i="5"/>
  <c r="D148" i="5"/>
  <c r="B150" i="5"/>
  <c r="D150" i="5"/>
  <c r="B151" i="5"/>
  <c r="D151" i="5"/>
  <c r="B152" i="5"/>
  <c r="D152" i="5"/>
  <c r="B153" i="5"/>
  <c r="D153" i="5"/>
  <c r="B154" i="5"/>
  <c r="D154" i="5"/>
  <c r="B155" i="5"/>
  <c r="D155" i="5"/>
  <c r="B156" i="5"/>
  <c r="D156" i="5"/>
  <c r="B157" i="5"/>
  <c r="D157" i="5"/>
  <c r="B158" i="5"/>
  <c r="D158" i="5"/>
  <c r="B159" i="5"/>
  <c r="D159" i="5"/>
  <c r="B160" i="5"/>
  <c r="D160" i="5"/>
  <c r="B161" i="5"/>
  <c r="D161" i="5"/>
  <c r="B162" i="5"/>
  <c r="D162" i="5"/>
  <c r="B163" i="5"/>
  <c r="D163" i="5"/>
  <c r="B164" i="5"/>
  <c r="D164" i="5"/>
  <c r="B165" i="5"/>
  <c r="D165" i="5"/>
  <c r="B166" i="5"/>
  <c r="D166" i="5"/>
  <c r="B167" i="5"/>
  <c r="D167" i="5"/>
  <c r="B168" i="5"/>
  <c r="D168" i="5"/>
  <c r="B169" i="5"/>
  <c r="D169" i="5"/>
  <c r="B170" i="5"/>
  <c r="D170" i="5"/>
  <c r="B171" i="5"/>
  <c r="D171" i="5"/>
  <c r="B172" i="5"/>
  <c r="D172" i="5"/>
  <c r="B173" i="5"/>
  <c r="D173" i="5"/>
  <c r="B174" i="5"/>
  <c r="D174" i="5"/>
  <c r="B175" i="5"/>
  <c r="D175" i="5"/>
  <c r="B176" i="5"/>
  <c r="D176" i="5"/>
  <c r="B177" i="5"/>
  <c r="D177" i="5"/>
  <c r="B178" i="5"/>
  <c r="D178" i="5"/>
  <c r="B179" i="5"/>
  <c r="D179" i="5"/>
  <c r="B180" i="5"/>
  <c r="D180" i="5"/>
  <c r="B181" i="5"/>
  <c r="D181" i="5"/>
  <c r="B182" i="5"/>
  <c r="D182" i="5"/>
  <c r="B183" i="5"/>
  <c r="D183" i="5"/>
  <c r="B184" i="5"/>
  <c r="D184" i="5"/>
  <c r="B185" i="5"/>
  <c r="D185" i="5"/>
  <c r="B186" i="5"/>
  <c r="D186" i="5"/>
  <c r="B187" i="5"/>
  <c r="D187" i="5"/>
  <c r="B188" i="5"/>
  <c r="D188" i="5"/>
  <c r="B189" i="5"/>
  <c r="D189" i="5"/>
  <c r="B190" i="5"/>
  <c r="D190" i="5"/>
  <c r="B191" i="5"/>
  <c r="D191" i="5"/>
  <c r="B192" i="5"/>
  <c r="D192" i="5"/>
  <c r="B193" i="5"/>
  <c r="D193" i="5"/>
  <c r="B194" i="5"/>
  <c r="D194" i="5"/>
  <c r="B195" i="5"/>
  <c r="D195" i="5"/>
  <c r="B196" i="5"/>
  <c r="D196" i="5"/>
  <c r="B197" i="5"/>
  <c r="D197" i="5"/>
  <c r="B199" i="5"/>
  <c r="D199" i="5"/>
  <c r="B198" i="5"/>
  <c r="D198" i="5"/>
  <c r="B200" i="5"/>
  <c r="D200" i="5"/>
  <c r="B201" i="5"/>
  <c r="D201" i="5"/>
  <c r="B202" i="5"/>
  <c r="D202" i="5"/>
  <c r="B203" i="5"/>
  <c r="D203" i="5"/>
  <c r="B204" i="5"/>
  <c r="D204" i="5"/>
  <c r="B206" i="5"/>
  <c r="D206" i="5"/>
  <c r="B205" i="5"/>
  <c r="D205" i="5"/>
  <c r="B207" i="5"/>
  <c r="D207" i="5"/>
  <c r="B208" i="5"/>
  <c r="D208" i="5"/>
  <c r="B209" i="5"/>
  <c r="D209" i="5"/>
  <c r="B210" i="5"/>
  <c r="D210" i="5"/>
  <c r="B211" i="5"/>
  <c r="D211" i="5"/>
  <c r="B212" i="5"/>
  <c r="D212" i="5"/>
  <c r="B213" i="5"/>
  <c r="D213" i="5"/>
  <c r="B214" i="5"/>
  <c r="D214" i="5"/>
  <c r="B215" i="5"/>
  <c r="D215" i="5"/>
  <c r="B216" i="5"/>
  <c r="D216" i="5"/>
  <c r="B217" i="5"/>
  <c r="D217" i="5"/>
  <c r="B218" i="5"/>
  <c r="D218" i="5"/>
  <c r="B219" i="5"/>
  <c r="D219" i="5"/>
  <c r="B220" i="5"/>
  <c r="D220" i="5"/>
  <c r="B221" i="5"/>
  <c r="D221" i="5"/>
  <c r="B222" i="5"/>
  <c r="D222" i="5"/>
  <c r="B223" i="5"/>
  <c r="D223" i="5"/>
  <c r="B224" i="5"/>
  <c r="D224" i="5"/>
  <c r="B225" i="5"/>
  <c r="D225" i="5"/>
  <c r="B226" i="5"/>
  <c r="D226" i="5"/>
  <c r="B227" i="5"/>
  <c r="D227" i="5"/>
  <c r="B228" i="5"/>
  <c r="D228" i="5"/>
  <c r="B229" i="5"/>
  <c r="D229" i="5"/>
  <c r="B230" i="5"/>
  <c r="D230" i="5"/>
  <c r="B231" i="5"/>
  <c r="D231" i="5"/>
  <c r="B232" i="5"/>
  <c r="D232" i="5"/>
  <c r="B233" i="5"/>
  <c r="D233" i="5"/>
  <c r="B234" i="5"/>
  <c r="D234" i="5"/>
  <c r="B235" i="5"/>
  <c r="D235" i="5"/>
  <c r="B236" i="5"/>
  <c r="D236" i="5"/>
  <c r="B237" i="5"/>
  <c r="D237" i="5"/>
  <c r="B238" i="5"/>
  <c r="D238" i="5"/>
  <c r="B239" i="5"/>
  <c r="D239" i="5"/>
  <c r="B240" i="5"/>
  <c r="D240" i="5"/>
  <c r="B242" i="5"/>
  <c r="D242" i="5"/>
  <c r="B241" i="5"/>
  <c r="D241" i="5"/>
  <c r="B243" i="5"/>
  <c r="D243" i="5"/>
  <c r="B244" i="5"/>
  <c r="D244" i="5"/>
  <c r="B245" i="5"/>
  <c r="D245" i="5"/>
  <c r="B246" i="5"/>
  <c r="D246" i="5"/>
  <c r="B247" i="5"/>
  <c r="D247" i="5"/>
  <c r="B248" i="5"/>
  <c r="D248" i="5"/>
  <c r="B249" i="5"/>
  <c r="D249" i="5"/>
  <c r="B250" i="5"/>
  <c r="D250" i="5"/>
  <c r="B251" i="5"/>
  <c r="D251" i="5"/>
  <c r="B252" i="5"/>
  <c r="D252" i="5"/>
  <c r="B253" i="5"/>
  <c r="D253" i="5"/>
  <c r="B254" i="5"/>
  <c r="D254" i="5"/>
  <c r="B255" i="5"/>
  <c r="D255" i="5"/>
  <c r="B256" i="5"/>
  <c r="D256" i="5"/>
  <c r="B257" i="5"/>
  <c r="D257" i="5"/>
  <c r="B258" i="5"/>
  <c r="D258" i="5"/>
  <c r="B259" i="5"/>
  <c r="D259" i="5"/>
  <c r="B260" i="5"/>
  <c r="D260" i="5"/>
  <c r="B261" i="5"/>
  <c r="D261" i="5"/>
  <c r="B262" i="5"/>
  <c r="D262" i="5"/>
  <c r="B263" i="5"/>
  <c r="D263" i="5"/>
  <c r="B264" i="5"/>
  <c r="D264" i="5"/>
  <c r="B265" i="5"/>
  <c r="D265" i="5"/>
  <c r="B266" i="5"/>
  <c r="D266" i="5"/>
  <c r="B267" i="5"/>
  <c r="D267" i="5"/>
  <c r="B269" i="5"/>
  <c r="D269" i="5"/>
  <c r="B268" i="5"/>
  <c r="D268" i="5"/>
  <c r="B270" i="5"/>
  <c r="D270" i="5"/>
  <c r="B271" i="5"/>
  <c r="D271" i="5"/>
  <c r="B272" i="5"/>
  <c r="D272" i="5"/>
  <c r="B273" i="5"/>
  <c r="D273" i="5"/>
  <c r="B274" i="5"/>
  <c r="D274" i="5"/>
  <c r="B275" i="5"/>
  <c r="D275" i="5"/>
  <c r="B276" i="5"/>
  <c r="D276" i="5"/>
  <c r="B277" i="5"/>
  <c r="D277" i="5"/>
  <c r="B278" i="5"/>
  <c r="D278" i="5"/>
  <c r="B279" i="5"/>
  <c r="D279" i="5"/>
  <c r="B280" i="5"/>
  <c r="D280" i="5"/>
  <c r="B281" i="5"/>
  <c r="D281" i="5"/>
  <c r="B282" i="5"/>
  <c r="D282" i="5"/>
  <c r="B283" i="5"/>
  <c r="D283" i="5"/>
  <c r="B284" i="5"/>
  <c r="D284" i="5"/>
  <c r="B285" i="5"/>
  <c r="D285" i="5"/>
  <c r="B286" i="5"/>
  <c r="D286" i="5"/>
  <c r="B287" i="5"/>
  <c r="D287" i="5"/>
  <c r="B288" i="5"/>
  <c r="D288" i="5"/>
  <c r="B289" i="5"/>
  <c r="D289" i="5"/>
  <c r="B291" i="5"/>
  <c r="D291" i="5"/>
  <c r="B290" i="5"/>
  <c r="D290" i="5"/>
  <c r="B292" i="5"/>
  <c r="D292" i="5"/>
  <c r="B293" i="5"/>
  <c r="D293" i="5"/>
  <c r="B294" i="5"/>
  <c r="D294" i="5"/>
  <c r="B295" i="5"/>
  <c r="D295" i="5"/>
  <c r="B296" i="5"/>
  <c r="D296" i="5"/>
  <c r="B297" i="5"/>
  <c r="D297" i="5"/>
  <c r="B298" i="5"/>
  <c r="D298" i="5"/>
  <c r="B299" i="5"/>
  <c r="D299" i="5"/>
  <c r="B300" i="5"/>
  <c r="D300" i="5"/>
  <c r="B301" i="5"/>
  <c r="D301" i="5"/>
  <c r="B302" i="5"/>
  <c r="D302" i="5"/>
  <c r="B303" i="5"/>
  <c r="D303" i="5"/>
  <c r="B304" i="5"/>
  <c r="D304" i="5"/>
  <c r="B305" i="5"/>
  <c r="D305" i="5"/>
  <c r="B306" i="5"/>
  <c r="D306" i="5"/>
  <c r="B307" i="5"/>
  <c r="D307" i="5"/>
  <c r="B308" i="5"/>
  <c r="D308" i="5"/>
  <c r="B309" i="5"/>
  <c r="D309" i="5"/>
  <c r="B310" i="5"/>
  <c r="D310" i="5"/>
  <c r="B311" i="5"/>
  <c r="D311" i="5"/>
  <c r="B312" i="5"/>
  <c r="D312" i="5"/>
  <c r="B313" i="5"/>
  <c r="D313" i="5"/>
  <c r="B314" i="5"/>
  <c r="D314" i="5"/>
  <c r="B315" i="5"/>
  <c r="D315" i="5"/>
  <c r="B316" i="5"/>
  <c r="D316" i="5"/>
  <c r="B317" i="5"/>
  <c r="D317" i="5"/>
  <c r="B318" i="5"/>
  <c r="D318" i="5"/>
  <c r="B319" i="5"/>
  <c r="D319" i="5"/>
  <c r="B320" i="5"/>
  <c r="D320" i="5"/>
  <c r="B321" i="5"/>
  <c r="D321" i="5"/>
  <c r="B322" i="5"/>
  <c r="D322" i="5"/>
  <c r="B323" i="5"/>
  <c r="D323" i="5"/>
  <c r="B324" i="5"/>
  <c r="D324" i="5"/>
  <c r="B325" i="5"/>
  <c r="D325" i="5"/>
  <c r="B326" i="5"/>
  <c r="D326" i="5"/>
  <c r="B327" i="5"/>
  <c r="D327" i="5"/>
  <c r="B328" i="5"/>
  <c r="D328" i="5"/>
  <c r="B329" i="5"/>
  <c r="D329" i="5"/>
  <c r="B330" i="5"/>
  <c r="D330" i="5"/>
  <c r="B331" i="5"/>
  <c r="D331" i="5"/>
  <c r="B332" i="5"/>
  <c r="D332" i="5"/>
  <c r="B333" i="5"/>
  <c r="D333" i="5"/>
  <c r="B334" i="5"/>
  <c r="D334" i="5"/>
  <c r="B335" i="5"/>
  <c r="D335" i="5"/>
  <c r="B336" i="5"/>
  <c r="D336" i="5"/>
  <c r="B337" i="5"/>
  <c r="D337" i="5"/>
  <c r="B339" i="5"/>
  <c r="D339" i="5"/>
  <c r="B338" i="5"/>
  <c r="D338" i="5"/>
  <c r="B340" i="5"/>
  <c r="D340" i="5"/>
  <c r="B342" i="5"/>
  <c r="D342" i="5"/>
  <c r="B341" i="5"/>
  <c r="D341" i="5"/>
  <c r="B343" i="5"/>
  <c r="D343" i="5"/>
  <c r="B344" i="5"/>
  <c r="D344" i="5"/>
  <c r="B345" i="5"/>
  <c r="D345" i="5"/>
  <c r="B346" i="5"/>
  <c r="D346" i="5"/>
  <c r="B347" i="5"/>
  <c r="D347" i="5"/>
  <c r="B348" i="5"/>
  <c r="D348" i="5"/>
  <c r="B349" i="5"/>
  <c r="D349" i="5"/>
  <c r="B350" i="5"/>
  <c r="D350" i="5"/>
  <c r="B351" i="5"/>
  <c r="D351" i="5"/>
  <c r="B353" i="5"/>
  <c r="D353" i="5"/>
  <c r="B352" i="5"/>
  <c r="D352" i="5"/>
  <c r="B354" i="5"/>
  <c r="D354" i="5"/>
  <c r="B355" i="5"/>
  <c r="D355" i="5"/>
  <c r="B356" i="5"/>
  <c r="D356" i="5"/>
  <c r="B357" i="5"/>
  <c r="D357" i="5"/>
  <c r="B358" i="5"/>
  <c r="D358" i="5"/>
  <c r="B359" i="5"/>
  <c r="D359" i="5"/>
  <c r="B360" i="5"/>
  <c r="D360" i="5"/>
  <c r="B361" i="5"/>
  <c r="D361" i="5"/>
  <c r="B362" i="5"/>
  <c r="D362" i="5"/>
  <c r="B363" i="5"/>
  <c r="D363" i="5"/>
  <c r="B364" i="5"/>
  <c r="D364" i="5"/>
  <c r="B365" i="5"/>
  <c r="D365" i="5"/>
  <c r="B367" i="5"/>
  <c r="D367" i="5"/>
  <c r="B366" i="5"/>
  <c r="D366" i="5"/>
  <c r="B368" i="5"/>
  <c r="D368" i="5"/>
  <c r="B369" i="5"/>
  <c r="D369" i="5"/>
  <c r="B370" i="5"/>
  <c r="D370" i="5"/>
  <c r="B371" i="5"/>
  <c r="D371" i="5"/>
  <c r="B372" i="5"/>
  <c r="D372" i="5"/>
  <c r="B373" i="5"/>
  <c r="D373" i="5"/>
  <c r="B374" i="5"/>
  <c r="D374" i="5"/>
  <c r="B375" i="5"/>
  <c r="D375" i="5"/>
  <c r="B376" i="5"/>
  <c r="D376" i="5"/>
  <c r="B377" i="5"/>
  <c r="D377" i="5"/>
  <c r="B378" i="5"/>
  <c r="D378" i="5"/>
  <c r="B379" i="5"/>
  <c r="D379" i="5"/>
  <c r="B380" i="5"/>
  <c r="D380" i="5"/>
  <c r="B381" i="5"/>
  <c r="D381" i="5"/>
  <c r="B382" i="5"/>
  <c r="D382" i="5"/>
  <c r="B383" i="5"/>
  <c r="D383" i="5"/>
  <c r="B384" i="5"/>
  <c r="D384" i="5"/>
  <c r="B385" i="5"/>
  <c r="D385" i="5"/>
  <c r="B386" i="5"/>
  <c r="D386" i="5"/>
  <c r="B387" i="5"/>
  <c r="D387" i="5"/>
  <c r="B388" i="5"/>
  <c r="D388" i="5"/>
  <c r="B389" i="5"/>
  <c r="D389" i="5"/>
  <c r="B390" i="5"/>
  <c r="D390" i="5"/>
  <c r="B391" i="5"/>
  <c r="D391" i="5"/>
  <c r="B392" i="5"/>
  <c r="D392" i="5"/>
  <c r="B393" i="5"/>
  <c r="D393" i="5"/>
  <c r="B394" i="5"/>
  <c r="D394" i="5"/>
  <c r="B395" i="5"/>
  <c r="D395" i="5"/>
  <c r="B396" i="5"/>
  <c r="D396" i="5"/>
  <c r="B398" i="5"/>
  <c r="D398" i="5"/>
  <c r="B397" i="5"/>
  <c r="D397" i="5"/>
  <c r="B399" i="5"/>
  <c r="D399" i="5"/>
  <c r="B400" i="5"/>
  <c r="D400" i="5"/>
  <c r="B401" i="5"/>
  <c r="D401" i="5"/>
  <c r="B402" i="5"/>
  <c r="D402" i="5"/>
  <c r="B403" i="5"/>
  <c r="D403" i="5"/>
  <c r="B404" i="5"/>
  <c r="D404" i="5"/>
  <c r="B405" i="5"/>
  <c r="D405" i="5"/>
  <c r="B406" i="5"/>
  <c r="D406" i="5"/>
  <c r="B407" i="5"/>
  <c r="D407" i="5"/>
  <c r="B408" i="5"/>
  <c r="D408" i="5"/>
  <c r="B409" i="5"/>
  <c r="D409" i="5"/>
  <c r="B410" i="5"/>
  <c r="D410" i="5"/>
  <c r="B411" i="5"/>
  <c r="D411" i="5"/>
  <c r="B412" i="5"/>
  <c r="D412" i="5"/>
  <c r="B413" i="5"/>
  <c r="D413" i="5"/>
  <c r="B414" i="5"/>
  <c r="D414" i="5"/>
  <c r="B415" i="5"/>
  <c r="D415" i="5"/>
  <c r="B416" i="5"/>
  <c r="D416" i="5"/>
  <c r="B417" i="5"/>
  <c r="D417" i="5"/>
  <c r="B418" i="5"/>
  <c r="D418" i="5"/>
  <c r="B419" i="5"/>
  <c r="D419" i="5"/>
  <c r="B420" i="5"/>
  <c r="D420" i="5"/>
  <c r="B421" i="5"/>
  <c r="D421" i="5"/>
  <c r="B422" i="5"/>
  <c r="D422" i="5"/>
  <c r="B423" i="5"/>
  <c r="D423" i="5"/>
  <c r="B424" i="5"/>
  <c r="D424" i="5"/>
  <c r="B425" i="5"/>
  <c r="D425" i="5"/>
  <c r="B426" i="5"/>
  <c r="D426" i="5"/>
  <c r="B427" i="5"/>
  <c r="D427" i="5"/>
  <c r="B428" i="5"/>
  <c r="D428" i="5"/>
  <c r="B429" i="5"/>
  <c r="D429" i="5"/>
  <c r="B430" i="5"/>
  <c r="D430" i="5"/>
  <c r="B431" i="5"/>
  <c r="D431" i="5"/>
  <c r="B433" i="5"/>
  <c r="D433" i="5"/>
  <c r="B432" i="5"/>
  <c r="D432" i="5"/>
  <c r="B434" i="5"/>
  <c r="D434" i="5"/>
  <c r="B435" i="5"/>
  <c r="D435" i="5"/>
  <c r="B436" i="5"/>
  <c r="D436" i="5"/>
  <c r="B437" i="5"/>
  <c r="D437" i="5"/>
  <c r="B438" i="5"/>
  <c r="D438" i="5"/>
  <c r="B439" i="5"/>
  <c r="D439" i="5"/>
  <c r="B441" i="5"/>
  <c r="D441" i="5"/>
  <c r="B440" i="5"/>
  <c r="D440" i="5"/>
  <c r="B442" i="5"/>
  <c r="D442" i="5"/>
  <c r="B443" i="5"/>
  <c r="D443" i="5"/>
  <c r="B444" i="5"/>
  <c r="D444" i="5"/>
  <c r="B445" i="5"/>
  <c r="D445" i="5"/>
  <c r="B446" i="5"/>
  <c r="D446" i="5"/>
  <c r="B447" i="5"/>
  <c r="D447" i="5"/>
  <c r="B448" i="5"/>
  <c r="D448" i="5"/>
  <c r="B449" i="5"/>
  <c r="D449" i="5"/>
  <c r="B450" i="5"/>
  <c r="D450" i="5"/>
  <c r="B451" i="5"/>
  <c r="D451" i="5"/>
  <c r="B452" i="5"/>
  <c r="D452" i="5"/>
  <c r="B453" i="5"/>
  <c r="D453" i="5"/>
  <c r="B455" i="5"/>
  <c r="D455" i="5"/>
  <c r="B454" i="5"/>
  <c r="D454" i="5"/>
  <c r="B456" i="5"/>
  <c r="D456" i="5"/>
  <c r="B458" i="5"/>
  <c r="D458" i="5"/>
  <c r="B457" i="5"/>
  <c r="D457" i="5"/>
  <c r="B459" i="5"/>
  <c r="D459" i="5"/>
  <c r="B460" i="5"/>
  <c r="D460" i="5"/>
  <c r="B461" i="5"/>
  <c r="D461" i="5"/>
  <c r="B462" i="5"/>
  <c r="D462" i="5"/>
  <c r="B463" i="5"/>
  <c r="D463" i="5"/>
  <c r="B464" i="5"/>
  <c r="D464" i="5"/>
  <c r="B465" i="5"/>
  <c r="D465" i="5"/>
  <c r="B466" i="5"/>
  <c r="D466" i="5"/>
  <c r="B467" i="5"/>
  <c r="D467" i="5"/>
  <c r="B468" i="5"/>
  <c r="D468" i="5"/>
  <c r="B469" i="5"/>
  <c r="D469" i="5"/>
  <c r="B470" i="5"/>
  <c r="D470" i="5"/>
  <c r="B471" i="5"/>
  <c r="D471" i="5"/>
  <c r="B472" i="5"/>
  <c r="D472" i="5"/>
  <c r="B474" i="5"/>
  <c r="D474" i="5"/>
  <c r="B473" i="5"/>
  <c r="D473" i="5"/>
  <c r="B476" i="5"/>
  <c r="D476" i="5"/>
  <c r="B475" i="5"/>
  <c r="D475" i="5"/>
  <c r="B477" i="5"/>
  <c r="D477" i="5"/>
  <c r="B478" i="5"/>
  <c r="D478" i="5"/>
  <c r="B479" i="5"/>
  <c r="D479" i="5"/>
  <c r="B480" i="5"/>
  <c r="D480" i="5"/>
  <c r="B481" i="5"/>
  <c r="D481" i="5"/>
  <c r="B482" i="5"/>
  <c r="D482" i="5"/>
  <c r="B483" i="5"/>
  <c r="D483" i="5"/>
  <c r="B484" i="5"/>
  <c r="D484" i="5"/>
  <c r="B485" i="5"/>
  <c r="D485" i="5"/>
  <c r="B486" i="5"/>
  <c r="D486" i="5"/>
  <c r="B487" i="5"/>
  <c r="D487" i="5"/>
  <c r="B488" i="5"/>
  <c r="D488" i="5"/>
  <c r="B490" i="5"/>
  <c r="D490" i="5"/>
  <c r="B489" i="5"/>
  <c r="D489" i="5"/>
  <c r="B491" i="5"/>
  <c r="D491" i="5"/>
  <c r="B493" i="5"/>
  <c r="D493" i="5"/>
  <c r="B492" i="5"/>
  <c r="D492" i="5"/>
  <c r="B494" i="5"/>
  <c r="D494" i="5"/>
  <c r="B495" i="5"/>
  <c r="D495" i="5"/>
  <c r="B496" i="5"/>
  <c r="D496" i="5"/>
  <c r="B497" i="5"/>
  <c r="D497" i="5"/>
  <c r="B498" i="5"/>
  <c r="D498" i="5"/>
  <c r="B499" i="5"/>
  <c r="D499" i="5"/>
  <c r="B500" i="5"/>
  <c r="D500" i="5"/>
  <c r="J2" i="5"/>
  <c r="J3" i="5" s="1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 s="1"/>
  <c r="J322" i="5" s="1"/>
  <c r="J323" i="5" s="1"/>
  <c r="J324" i="5" s="1"/>
  <c r="J325" i="5" s="1"/>
  <c r="J326" i="5" s="1"/>
  <c r="J327" i="5" s="1"/>
  <c r="J328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4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89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19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3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3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1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B501" i="5"/>
  <c r="I2" i="5" s="1"/>
  <c r="I3" i="5" s="1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D501" i="5"/>
  <c r="K2" i="5" s="1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K404" i="5" s="1"/>
  <c r="K405" i="5" s="1"/>
  <c r="K406" i="5" s="1"/>
  <c r="K407" i="5" s="1"/>
  <c r="K408" i="5" s="1"/>
  <c r="K409" i="5" s="1"/>
  <c r="K410" i="5" s="1"/>
  <c r="K411" i="5" s="1"/>
  <c r="K412" i="5" s="1"/>
  <c r="K413" i="5" s="1"/>
  <c r="K414" i="5" s="1"/>
  <c r="K415" i="5" s="1"/>
  <c r="K416" i="5" s="1"/>
  <c r="K417" i="5" s="1"/>
  <c r="K418" i="5" s="1"/>
  <c r="K419" i="5" s="1"/>
  <c r="K420" i="5" s="1"/>
  <c r="K421" i="5" s="1"/>
  <c r="K422" i="5" s="1"/>
  <c r="K423" i="5" s="1"/>
  <c r="K424" i="5" s="1"/>
  <c r="K425" i="5" s="1"/>
  <c r="K426" i="5" s="1"/>
  <c r="K427" i="5" s="1"/>
  <c r="K428" i="5" s="1"/>
  <c r="K429" i="5" s="1"/>
  <c r="K430" i="5" s="1"/>
  <c r="K431" i="5" s="1"/>
  <c r="K432" i="5" s="1"/>
  <c r="K433" i="5" s="1"/>
  <c r="K434" i="5" s="1"/>
  <c r="K435" i="5" s="1"/>
  <c r="K436" i="5" s="1"/>
  <c r="K437" i="5" s="1"/>
  <c r="K438" i="5" s="1"/>
  <c r="K439" i="5" s="1"/>
  <c r="K440" i="5" s="1"/>
  <c r="K441" i="5" s="1"/>
  <c r="K442" i="5" s="1"/>
  <c r="K443" i="5" s="1"/>
  <c r="K444" i="5" s="1"/>
  <c r="K445" i="5" s="1"/>
  <c r="K446" i="5" s="1"/>
  <c r="K447" i="5" s="1"/>
  <c r="K448" i="5" s="1"/>
  <c r="K449" i="5" s="1"/>
  <c r="K450" i="5" s="1"/>
  <c r="K451" i="5" s="1"/>
  <c r="K452" i="5" s="1"/>
  <c r="K453" i="5" s="1"/>
  <c r="K454" i="5" s="1"/>
  <c r="K455" i="5" s="1"/>
  <c r="K456" i="5" s="1"/>
  <c r="K457" i="5" s="1"/>
  <c r="K458" i="5" s="1"/>
  <c r="K459" i="5" s="1"/>
  <c r="K460" i="5" s="1"/>
  <c r="K461" i="5" s="1"/>
  <c r="K462" i="5" s="1"/>
  <c r="K463" i="5" s="1"/>
  <c r="K464" i="5" s="1"/>
  <c r="K465" i="5" s="1"/>
  <c r="K466" i="5" s="1"/>
  <c r="K467" i="5" s="1"/>
  <c r="K468" i="5" s="1"/>
  <c r="K469" i="5" s="1"/>
  <c r="K470" i="5" s="1"/>
  <c r="K471" i="5" s="1"/>
  <c r="K472" i="5" s="1"/>
  <c r="K473" i="5" s="1"/>
  <c r="K474" i="5" s="1"/>
  <c r="K475" i="5" s="1"/>
  <c r="K476" i="5" s="1"/>
  <c r="K477" i="5" s="1"/>
  <c r="K478" i="5" s="1"/>
  <c r="K479" i="5" s="1"/>
  <c r="K480" i="5" s="1"/>
  <c r="K481" i="5" s="1"/>
  <c r="K482" i="5" s="1"/>
  <c r="K483" i="5" s="1"/>
  <c r="K484" i="5" s="1"/>
  <c r="K485" i="5" s="1"/>
  <c r="K486" i="5" s="1"/>
  <c r="K487" i="5" s="1"/>
  <c r="K488" i="5" s="1"/>
  <c r="K489" i="5" s="1"/>
  <c r="K490" i="5" s="1"/>
  <c r="K491" i="5" s="1"/>
  <c r="K492" i="5" s="1"/>
  <c r="K493" i="5" s="1"/>
  <c r="K494" i="5" s="1"/>
  <c r="K495" i="5" s="1"/>
  <c r="K496" i="5" s="1"/>
  <c r="K497" i="5" s="1"/>
  <c r="K498" i="5" s="1"/>
  <c r="K499" i="5" s="1"/>
  <c r="K500" i="5" s="1"/>
  <c r="K501" i="5" s="1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3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F3" i="2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B453" i="1"/>
  <c r="F453" i="1"/>
  <c r="G453" i="1" s="1"/>
  <c r="B275" i="1"/>
  <c r="F275" i="1"/>
  <c r="G275" i="1" s="1"/>
  <c r="B502" i="1"/>
  <c r="F502" i="1"/>
  <c r="G502" i="1" s="1"/>
  <c r="B159" i="1"/>
  <c r="F159" i="1"/>
  <c r="G159" i="1" s="1"/>
  <c r="B348" i="1"/>
  <c r="F348" i="1"/>
  <c r="G348" i="1" s="1"/>
  <c r="B340" i="1"/>
  <c r="F340" i="1"/>
  <c r="G340" i="1" s="1"/>
  <c r="B390" i="1"/>
  <c r="F390" i="1"/>
  <c r="G390" i="1" s="1"/>
  <c r="B342" i="1"/>
  <c r="F342" i="1"/>
  <c r="G342" i="1" s="1"/>
  <c r="B334" i="1"/>
  <c r="F334" i="1"/>
  <c r="G334" i="1" s="1"/>
  <c r="B83" i="1"/>
  <c r="F83" i="1"/>
  <c r="G83" i="1" s="1"/>
  <c r="B419" i="1"/>
  <c r="F419" i="1"/>
  <c r="G419" i="1" s="1"/>
  <c r="B464" i="1"/>
  <c r="F464" i="1"/>
  <c r="G464" i="1" s="1"/>
  <c r="B447" i="1"/>
  <c r="F447" i="1"/>
  <c r="G447" i="1" s="1"/>
  <c r="B113" i="1"/>
  <c r="F113" i="1"/>
  <c r="G113" i="1" s="1"/>
  <c r="B277" i="1"/>
  <c r="F277" i="1"/>
  <c r="G277" i="1" s="1"/>
  <c r="B177" i="1"/>
  <c r="F177" i="1"/>
  <c r="G177" i="1" s="1"/>
  <c r="B56" i="1"/>
  <c r="F56" i="1"/>
  <c r="G56" i="1" s="1"/>
  <c r="B20" i="1"/>
  <c r="F20" i="1"/>
  <c r="G20" i="1" s="1"/>
  <c r="B191" i="1"/>
  <c r="F191" i="1"/>
  <c r="G191" i="1" s="1"/>
  <c r="B295" i="1"/>
  <c r="F295" i="1"/>
  <c r="G295" i="1" s="1"/>
  <c r="B110" i="1"/>
  <c r="F110" i="1"/>
  <c r="G110" i="1" s="1"/>
  <c r="B434" i="1"/>
  <c r="F434" i="1"/>
  <c r="G434" i="1" s="1"/>
  <c r="B58" i="1"/>
  <c r="F58" i="1"/>
  <c r="G58" i="1" s="1"/>
  <c r="B29" i="1"/>
  <c r="F29" i="1"/>
  <c r="G29" i="1" s="1"/>
  <c r="B356" i="1"/>
  <c r="F356" i="1"/>
  <c r="G356" i="1" s="1"/>
  <c r="B267" i="1"/>
  <c r="F267" i="1"/>
  <c r="G267" i="1" s="1"/>
  <c r="B182" i="1"/>
  <c r="F182" i="1"/>
  <c r="G182" i="1" s="1"/>
  <c r="B179" i="1"/>
  <c r="F179" i="1"/>
  <c r="G179" i="1" s="1"/>
  <c r="B299" i="1"/>
  <c r="F299" i="1"/>
  <c r="G299" i="1" s="1"/>
  <c r="B442" i="1"/>
  <c r="F442" i="1"/>
  <c r="G442" i="1" s="1"/>
  <c r="B290" i="1"/>
  <c r="F290" i="1"/>
  <c r="G290" i="1" s="1"/>
  <c r="B354" i="1"/>
  <c r="F354" i="1"/>
  <c r="G354" i="1" s="1"/>
  <c r="B346" i="1"/>
  <c r="F346" i="1"/>
  <c r="G346" i="1" s="1"/>
  <c r="B386" i="1"/>
  <c r="F386" i="1"/>
  <c r="G386" i="1" s="1"/>
  <c r="B252" i="1"/>
  <c r="F252" i="1"/>
  <c r="G252" i="1" s="1"/>
  <c r="B139" i="1"/>
  <c r="F139" i="1"/>
  <c r="G139" i="1" s="1"/>
  <c r="B227" i="1"/>
  <c r="F227" i="1"/>
  <c r="G227" i="1" s="1"/>
  <c r="B150" i="1"/>
  <c r="F150" i="1"/>
  <c r="G150" i="1" s="1"/>
  <c r="B76" i="1"/>
  <c r="F76" i="1"/>
  <c r="G76" i="1" s="1"/>
  <c r="B101" i="1"/>
  <c r="F101" i="1"/>
  <c r="G101" i="1" s="1"/>
  <c r="B261" i="1"/>
  <c r="F261" i="1"/>
  <c r="G261" i="1" s="1"/>
  <c r="B12" i="1"/>
  <c r="F12" i="1"/>
  <c r="G12" i="1" s="1"/>
  <c r="B483" i="1"/>
  <c r="F483" i="1"/>
  <c r="G483" i="1" s="1"/>
  <c r="B286" i="1"/>
  <c r="F286" i="1"/>
  <c r="G286" i="1" s="1"/>
  <c r="B126" i="1"/>
  <c r="F126" i="1"/>
  <c r="G126" i="1" s="1"/>
  <c r="B62" i="1"/>
  <c r="F62" i="1"/>
  <c r="G62" i="1" s="1"/>
  <c r="B233" i="1"/>
  <c r="F233" i="1"/>
  <c r="G233" i="1" s="1"/>
  <c r="B199" i="1"/>
  <c r="F199" i="1"/>
  <c r="G199" i="1" s="1"/>
  <c r="B211" i="1"/>
  <c r="F211" i="1"/>
  <c r="G211" i="1" s="1"/>
  <c r="B111" i="1"/>
  <c r="F111" i="1"/>
  <c r="G111" i="1" s="1"/>
  <c r="B36" i="1"/>
  <c r="F36" i="1"/>
  <c r="G36" i="1" s="1"/>
  <c r="B496" i="1"/>
  <c r="F496" i="1"/>
  <c r="G496" i="1" s="1"/>
  <c r="B234" i="1"/>
  <c r="F234" i="1"/>
  <c r="G234" i="1" s="1"/>
  <c r="B121" i="1"/>
  <c r="F121" i="1"/>
  <c r="G121" i="1" s="1"/>
  <c r="B74" i="1"/>
  <c r="F74" i="1"/>
  <c r="G74" i="1" s="1"/>
  <c r="B52" i="1"/>
  <c r="F52" i="1"/>
  <c r="G52" i="1" s="1"/>
  <c r="B335" i="1"/>
  <c r="F335" i="1"/>
  <c r="G335" i="1" s="1"/>
  <c r="B35" i="1"/>
  <c r="F35" i="1"/>
  <c r="G35" i="1" s="1"/>
  <c r="B403" i="1"/>
  <c r="F403" i="1"/>
  <c r="G403" i="1" s="1"/>
  <c r="B8" i="1"/>
  <c r="F8" i="1"/>
  <c r="G8" i="1" s="1"/>
  <c r="B360" i="1"/>
  <c r="F360" i="1"/>
  <c r="G360" i="1" s="1"/>
  <c r="B460" i="1"/>
  <c r="F460" i="1"/>
  <c r="G460" i="1" s="1"/>
  <c r="B402" i="1"/>
  <c r="F402" i="1"/>
  <c r="G402" i="1" s="1"/>
  <c r="B237" i="1"/>
  <c r="F237" i="1"/>
  <c r="G237" i="1" s="1"/>
  <c r="B106" i="1"/>
  <c r="F106" i="1"/>
  <c r="G106" i="1" s="1"/>
  <c r="B102" i="1"/>
  <c r="F102" i="1"/>
  <c r="G102" i="1" s="1"/>
  <c r="B406" i="1"/>
  <c r="F406" i="1"/>
  <c r="G406" i="1" s="1"/>
  <c r="B378" i="1"/>
  <c r="F378" i="1"/>
  <c r="G378" i="1" s="1"/>
  <c r="B226" i="1"/>
  <c r="F226" i="1"/>
  <c r="G226" i="1" s="1"/>
  <c r="B255" i="1"/>
  <c r="F255" i="1"/>
  <c r="G255" i="1" s="1"/>
  <c r="B446" i="1"/>
  <c r="F446" i="1"/>
  <c r="G446" i="1" s="1"/>
  <c r="B57" i="1"/>
  <c r="F57" i="1"/>
  <c r="G57" i="1" s="1"/>
  <c r="B128" i="1"/>
  <c r="F128" i="1"/>
  <c r="G128" i="1" s="1"/>
  <c r="B151" i="1"/>
  <c r="F151" i="1"/>
  <c r="G151" i="1" s="1"/>
  <c r="B33" i="1"/>
  <c r="F33" i="1"/>
  <c r="G33" i="1" s="1"/>
  <c r="B265" i="1"/>
  <c r="F265" i="1"/>
  <c r="G265" i="1" s="1"/>
  <c r="B415" i="1"/>
  <c r="F415" i="1"/>
  <c r="G415" i="1" s="1"/>
  <c r="B432" i="1"/>
  <c r="F432" i="1"/>
  <c r="G432" i="1" s="1"/>
  <c r="B438" i="1"/>
  <c r="F438" i="1"/>
  <c r="G438" i="1" s="1"/>
  <c r="B90" i="1"/>
  <c r="F90" i="1"/>
  <c r="G90" i="1" s="1"/>
  <c r="B379" i="1"/>
  <c r="F379" i="1"/>
  <c r="G379" i="1" s="1"/>
  <c r="B59" i="1"/>
  <c r="F59" i="1"/>
  <c r="G59" i="1" s="1"/>
  <c r="B186" i="1"/>
  <c r="F186" i="1"/>
  <c r="G186" i="1" s="1"/>
  <c r="B167" i="1"/>
  <c r="F167" i="1"/>
  <c r="G167" i="1" s="1"/>
  <c r="B26" i="1"/>
  <c r="F26" i="1"/>
  <c r="G26" i="1" s="1"/>
  <c r="B118" i="1"/>
  <c r="F118" i="1"/>
  <c r="G118" i="1" s="1"/>
  <c r="B196" i="1"/>
  <c r="F196" i="1"/>
  <c r="G196" i="1" s="1"/>
  <c r="B142" i="1"/>
  <c r="F142" i="1"/>
  <c r="G142" i="1" s="1"/>
  <c r="B238" i="1"/>
  <c r="F238" i="1"/>
  <c r="G238" i="1" s="1"/>
  <c r="B298" i="1"/>
  <c r="F298" i="1"/>
  <c r="G298" i="1" s="1"/>
  <c r="B309" i="1"/>
  <c r="F309" i="1"/>
  <c r="G309" i="1" s="1"/>
  <c r="B104" i="1"/>
  <c r="F104" i="1"/>
  <c r="G104" i="1" s="1"/>
  <c r="B314" i="1"/>
  <c r="F314" i="1"/>
  <c r="G314" i="1" s="1"/>
  <c r="B129" i="1"/>
  <c r="F129" i="1"/>
  <c r="G129" i="1" s="1"/>
  <c r="B260" i="1"/>
  <c r="F260" i="1"/>
  <c r="G260" i="1" s="1"/>
  <c r="B15" i="1"/>
  <c r="F15" i="1"/>
  <c r="G15" i="1" s="1"/>
  <c r="B440" i="1"/>
  <c r="F440" i="1"/>
  <c r="G440" i="1" s="1"/>
  <c r="B367" i="1"/>
  <c r="F367" i="1"/>
  <c r="G367" i="1" s="1"/>
  <c r="B307" i="1"/>
  <c r="F307" i="1"/>
  <c r="G307" i="1" s="1"/>
  <c r="B23" i="1"/>
  <c r="F23" i="1"/>
  <c r="G23" i="1" s="1"/>
  <c r="B34" i="1"/>
  <c r="F34" i="1"/>
  <c r="G34" i="1" s="1"/>
  <c r="B300" i="1"/>
  <c r="F300" i="1"/>
  <c r="G300" i="1" s="1"/>
  <c r="B454" i="1"/>
  <c r="F454" i="1"/>
  <c r="G454" i="1" s="1"/>
  <c r="B296" i="1"/>
  <c r="F296" i="1"/>
  <c r="G296" i="1" s="1"/>
  <c r="B274" i="1"/>
  <c r="F274" i="1"/>
  <c r="G274" i="1" s="1"/>
  <c r="B140" i="1"/>
  <c r="F140" i="1"/>
  <c r="G140" i="1" s="1"/>
  <c r="B476" i="1"/>
  <c r="F476" i="1"/>
  <c r="G476" i="1" s="1"/>
  <c r="B276" i="1"/>
  <c r="F276" i="1"/>
  <c r="G276" i="1" s="1"/>
  <c r="B437" i="1"/>
  <c r="F437" i="1"/>
  <c r="G437" i="1" s="1"/>
  <c r="B93" i="1"/>
  <c r="F93" i="1"/>
  <c r="G93" i="1" s="1"/>
  <c r="B224" i="1"/>
  <c r="F224" i="1"/>
  <c r="G224" i="1" s="1"/>
  <c r="B162" i="1"/>
  <c r="F162" i="1"/>
  <c r="G162" i="1" s="1"/>
  <c r="B350" i="1"/>
  <c r="F350" i="1"/>
  <c r="G350" i="1" s="1"/>
  <c r="B241" i="1"/>
  <c r="F241" i="1"/>
  <c r="G241" i="1" s="1"/>
  <c r="B112" i="1"/>
  <c r="F112" i="1"/>
  <c r="G112" i="1" s="1"/>
  <c r="B72" i="1"/>
  <c r="F72" i="1"/>
  <c r="G72" i="1" s="1"/>
  <c r="B288" i="1"/>
  <c r="F288" i="1"/>
  <c r="G288" i="1" s="1"/>
  <c r="B141" i="1"/>
  <c r="F141" i="1"/>
  <c r="G141" i="1" s="1"/>
  <c r="B97" i="1"/>
  <c r="F97" i="1"/>
  <c r="G97" i="1" s="1"/>
  <c r="B220" i="1"/>
  <c r="F220" i="1"/>
  <c r="G220" i="1" s="1"/>
  <c r="B221" i="1"/>
  <c r="F221" i="1"/>
  <c r="G221" i="1" s="1"/>
  <c r="B443" i="1"/>
  <c r="F443" i="1"/>
  <c r="G443" i="1" s="1"/>
  <c r="B333" i="1"/>
  <c r="F333" i="1"/>
  <c r="G333" i="1" s="1"/>
  <c r="B14" i="1"/>
  <c r="F14" i="1"/>
  <c r="G14" i="1" s="1"/>
  <c r="B94" i="1"/>
  <c r="F94" i="1"/>
  <c r="G94" i="1" s="1"/>
  <c r="B54" i="1"/>
  <c r="F54" i="1"/>
  <c r="G54" i="1" s="1"/>
  <c r="B441" i="1"/>
  <c r="F441" i="1"/>
  <c r="G441" i="1" s="1"/>
  <c r="B374" i="1"/>
  <c r="F374" i="1"/>
  <c r="G374" i="1" s="1"/>
  <c r="B69" i="1"/>
  <c r="F69" i="1"/>
  <c r="G69" i="1" s="1"/>
  <c r="B146" i="1"/>
  <c r="F146" i="1"/>
  <c r="G146" i="1" s="1"/>
  <c r="B376" i="1"/>
  <c r="F376" i="1"/>
  <c r="G376" i="1" s="1"/>
  <c r="B293" i="1"/>
  <c r="F293" i="1"/>
  <c r="G293" i="1" s="1"/>
  <c r="B152" i="1"/>
  <c r="F152" i="1"/>
  <c r="G152" i="1" s="1"/>
  <c r="B282" i="1"/>
  <c r="F282" i="1"/>
  <c r="G282" i="1" s="1"/>
  <c r="B215" i="1"/>
  <c r="F215" i="1"/>
  <c r="G215" i="1" s="1"/>
  <c r="B195" i="1"/>
  <c r="F195" i="1"/>
  <c r="G195" i="1" s="1"/>
  <c r="B457" i="1"/>
  <c r="F457" i="1"/>
  <c r="G457" i="1" s="1"/>
  <c r="B109" i="1"/>
  <c r="F109" i="1"/>
  <c r="G109" i="1" s="1"/>
  <c r="B456" i="1"/>
  <c r="F456" i="1"/>
  <c r="G456" i="1" s="1"/>
  <c r="B169" i="1"/>
  <c r="F169" i="1"/>
  <c r="G169" i="1" s="1"/>
  <c r="B485" i="1"/>
  <c r="F485" i="1"/>
  <c r="G485" i="1" s="1"/>
  <c r="B163" i="1"/>
  <c r="F163" i="1"/>
  <c r="G163" i="1" s="1"/>
  <c r="B359" i="1"/>
  <c r="F359" i="1"/>
  <c r="G359" i="1" s="1"/>
  <c r="B259" i="1"/>
  <c r="F259" i="1"/>
  <c r="G259" i="1" s="1"/>
  <c r="B161" i="1"/>
  <c r="F161" i="1"/>
  <c r="G161" i="1" s="1"/>
  <c r="B183" i="1"/>
  <c r="F183" i="1"/>
  <c r="G183" i="1" s="1"/>
  <c r="B125" i="1"/>
  <c r="F125" i="1"/>
  <c r="G125" i="1" s="1"/>
  <c r="B17" i="1"/>
  <c r="F17" i="1"/>
  <c r="G17" i="1" s="1"/>
  <c r="B168" i="1"/>
  <c r="F168" i="1"/>
  <c r="G168" i="1" s="1"/>
  <c r="B63" i="1"/>
  <c r="F63" i="1"/>
  <c r="G63" i="1" s="1"/>
  <c r="B73" i="1"/>
  <c r="F73" i="1"/>
  <c r="G73" i="1" s="1"/>
  <c r="B455" i="1"/>
  <c r="F455" i="1"/>
  <c r="G455" i="1" s="1"/>
  <c r="B449" i="1"/>
  <c r="F449" i="1"/>
  <c r="G449" i="1" s="1"/>
  <c r="B297" i="1"/>
  <c r="F297" i="1"/>
  <c r="G297" i="1" s="1"/>
  <c r="B247" i="1"/>
  <c r="F247" i="1"/>
  <c r="G247" i="1" s="1"/>
  <c r="B269" i="1"/>
  <c r="F269" i="1"/>
  <c r="G269" i="1" s="1"/>
  <c r="B395" i="1"/>
  <c r="F395" i="1"/>
  <c r="G395" i="1" s="1"/>
  <c r="B44" i="1"/>
  <c r="F44" i="1"/>
  <c r="G44" i="1" s="1"/>
  <c r="B240" i="1"/>
  <c r="F240" i="1"/>
  <c r="G240" i="1" s="1"/>
  <c r="B422" i="1"/>
  <c r="F422" i="1"/>
  <c r="G422" i="1" s="1"/>
  <c r="B181" i="1"/>
  <c r="F181" i="1"/>
  <c r="G181" i="1" s="1"/>
  <c r="B337" i="1"/>
  <c r="F337" i="1"/>
  <c r="G337" i="1" s="1"/>
  <c r="B7" i="1"/>
  <c r="F7" i="1"/>
  <c r="G7" i="1" s="1"/>
  <c r="B330" i="1"/>
  <c r="F330" i="1"/>
  <c r="G330" i="1" s="1"/>
  <c r="B107" i="1"/>
  <c r="F107" i="1"/>
  <c r="G107" i="1" s="1"/>
  <c r="B389" i="1"/>
  <c r="F389" i="1"/>
  <c r="G389" i="1" s="1"/>
  <c r="B38" i="1"/>
  <c r="F38" i="1"/>
  <c r="G38" i="1" s="1"/>
  <c r="B85" i="1"/>
  <c r="F85" i="1"/>
  <c r="G85" i="1" s="1"/>
  <c r="B280" i="1"/>
  <c r="F280" i="1"/>
  <c r="G280" i="1" s="1"/>
  <c r="B470" i="1"/>
  <c r="F470" i="1"/>
  <c r="G470" i="1" s="1"/>
  <c r="B339" i="1"/>
  <c r="F339" i="1"/>
  <c r="G339" i="1" s="1"/>
  <c r="B192" i="1"/>
  <c r="F192" i="1"/>
  <c r="G192" i="1" s="1"/>
  <c r="B84" i="1"/>
  <c r="F84" i="1"/>
  <c r="G84" i="1" s="1"/>
  <c r="B9" i="1"/>
  <c r="F9" i="1"/>
  <c r="G9" i="1" s="1"/>
  <c r="B371" i="1"/>
  <c r="F371" i="1"/>
  <c r="G371" i="1" s="1"/>
  <c r="B115" i="1"/>
  <c r="F115" i="1"/>
  <c r="G115" i="1" s="1"/>
  <c r="B357" i="1"/>
  <c r="F357" i="1"/>
  <c r="G357" i="1" s="1"/>
  <c r="B98" i="1"/>
  <c r="F98" i="1"/>
  <c r="G98" i="1" s="1"/>
  <c r="B279" i="1"/>
  <c r="F279" i="1"/>
  <c r="G279" i="1" s="1"/>
  <c r="B185" i="1"/>
  <c r="F185" i="1"/>
  <c r="G185" i="1" s="1"/>
  <c r="B474" i="1"/>
  <c r="F474" i="1"/>
  <c r="G474" i="1" s="1"/>
  <c r="B133" i="1"/>
  <c r="F133" i="1"/>
  <c r="G133" i="1" s="1"/>
  <c r="B384" i="1"/>
  <c r="F384" i="1"/>
  <c r="G384" i="1" s="1"/>
  <c r="B232" i="1"/>
  <c r="F232" i="1"/>
  <c r="G232" i="1" s="1"/>
  <c r="B19" i="1"/>
  <c r="F19" i="1"/>
  <c r="G19" i="1" s="1"/>
  <c r="B273" i="1"/>
  <c r="F273" i="1"/>
  <c r="G273" i="1" s="1"/>
  <c r="B366" i="1"/>
  <c r="F366" i="1"/>
  <c r="G366" i="1" s="1"/>
  <c r="B479" i="1"/>
  <c r="F479" i="1"/>
  <c r="G479" i="1" s="1"/>
  <c r="B272" i="1"/>
  <c r="F272" i="1"/>
  <c r="G272" i="1" s="1"/>
  <c r="B105" i="1"/>
  <c r="F105" i="1"/>
  <c r="G105" i="1" s="1"/>
  <c r="B137" i="1"/>
  <c r="F137" i="1"/>
  <c r="G137" i="1" s="1"/>
  <c r="B399" i="1"/>
  <c r="F399" i="1"/>
  <c r="G399" i="1" s="1"/>
  <c r="B6" i="1"/>
  <c r="F6" i="1"/>
  <c r="G6" i="1" s="1"/>
  <c r="B316" i="1"/>
  <c r="F316" i="1"/>
  <c r="G316" i="1" s="1"/>
  <c r="B243" i="1"/>
  <c r="F243" i="1"/>
  <c r="G243" i="1" s="1"/>
  <c r="B147" i="1"/>
  <c r="F147" i="1"/>
  <c r="G147" i="1" s="1"/>
  <c r="B120" i="1"/>
  <c r="F120" i="1"/>
  <c r="G120" i="1" s="1"/>
  <c r="B424" i="1"/>
  <c r="F424" i="1"/>
  <c r="G424" i="1" s="1"/>
  <c r="B184" i="1"/>
  <c r="F184" i="1"/>
  <c r="G184" i="1" s="1"/>
  <c r="B208" i="1"/>
  <c r="F208" i="1"/>
  <c r="G208" i="1" s="1"/>
  <c r="B219" i="1"/>
  <c r="F219" i="1"/>
  <c r="G219" i="1" s="1"/>
  <c r="B88" i="1"/>
  <c r="F88" i="1"/>
  <c r="G88" i="1" s="1"/>
  <c r="B46" i="1"/>
  <c r="F46" i="1"/>
  <c r="G46" i="1" s="1"/>
  <c r="B154" i="1"/>
  <c r="F154" i="1"/>
  <c r="G154" i="1" s="1"/>
  <c r="B24" i="1"/>
  <c r="F24" i="1"/>
  <c r="G24" i="1" s="1"/>
  <c r="B349" i="1"/>
  <c r="F349" i="1"/>
  <c r="G349" i="1" s="1"/>
  <c r="B305" i="1"/>
  <c r="F305" i="1"/>
  <c r="G305" i="1" s="1"/>
  <c r="B254" i="1"/>
  <c r="F254" i="1"/>
  <c r="G254" i="1" s="1"/>
  <c r="B327" i="1"/>
  <c r="F327" i="1"/>
  <c r="G327" i="1" s="1"/>
  <c r="B216" i="1"/>
  <c r="F216" i="1"/>
  <c r="G216" i="1" s="1"/>
  <c r="B320" i="1"/>
  <c r="F320" i="1"/>
  <c r="G320" i="1" s="1"/>
  <c r="B469" i="1"/>
  <c r="F469" i="1"/>
  <c r="G469" i="1" s="1"/>
  <c r="B475" i="1"/>
  <c r="F475" i="1"/>
  <c r="G475" i="1" s="1"/>
  <c r="B248" i="1"/>
  <c r="F248" i="1"/>
  <c r="G248" i="1" s="1"/>
  <c r="B361" i="1"/>
  <c r="F361" i="1"/>
  <c r="G361" i="1" s="1"/>
  <c r="B222" i="1"/>
  <c r="F222" i="1"/>
  <c r="G222" i="1" s="1"/>
  <c r="B458" i="1"/>
  <c r="F458" i="1"/>
  <c r="G458" i="1" s="1"/>
  <c r="B344" i="1"/>
  <c r="F344" i="1"/>
  <c r="G344" i="1" s="1"/>
  <c r="B228" i="1"/>
  <c r="F228" i="1"/>
  <c r="G228" i="1" s="1"/>
  <c r="B13" i="1"/>
  <c r="F13" i="1"/>
  <c r="G13" i="1" s="1"/>
  <c r="B68" i="1"/>
  <c r="F68" i="1"/>
  <c r="G68" i="1" s="1"/>
  <c r="B301" i="1"/>
  <c r="F301" i="1"/>
  <c r="G301" i="1" s="1"/>
  <c r="B283" i="1"/>
  <c r="F283" i="1"/>
  <c r="G283" i="1" s="1"/>
  <c r="B369" i="1"/>
  <c r="F369" i="1"/>
  <c r="G369" i="1" s="1"/>
  <c r="B43" i="1"/>
  <c r="F43" i="1"/>
  <c r="G43" i="1" s="1"/>
  <c r="B444" i="1"/>
  <c r="F444" i="1"/>
  <c r="G444" i="1" s="1"/>
  <c r="B421" i="1"/>
  <c r="F421" i="1"/>
  <c r="G421" i="1" s="1"/>
  <c r="B358" i="1"/>
  <c r="F358" i="1"/>
  <c r="G358" i="1" s="1"/>
  <c r="B86" i="1"/>
  <c r="F86" i="1"/>
  <c r="G86" i="1" s="1"/>
  <c r="B60" i="1"/>
  <c r="F60" i="1"/>
  <c r="G60" i="1" s="1"/>
  <c r="B264" i="1"/>
  <c r="F264" i="1"/>
  <c r="G264" i="1" s="1"/>
  <c r="B100" i="1"/>
  <c r="F100" i="1"/>
  <c r="G100" i="1" s="1"/>
  <c r="B488" i="1"/>
  <c r="F488" i="1"/>
  <c r="G488" i="1" s="1"/>
  <c r="B236" i="1"/>
  <c r="F236" i="1"/>
  <c r="G236" i="1" s="1"/>
  <c r="B302" i="1"/>
  <c r="F302" i="1"/>
  <c r="G302" i="1" s="1"/>
  <c r="B138" i="1"/>
  <c r="F138" i="1"/>
  <c r="G138" i="1" s="1"/>
  <c r="B411" i="1"/>
  <c r="F411" i="1"/>
  <c r="G411" i="1" s="1"/>
  <c r="B462" i="1"/>
  <c r="F462" i="1"/>
  <c r="G462" i="1" s="1"/>
  <c r="B143" i="1"/>
  <c r="F143" i="1"/>
  <c r="G143" i="1" s="1"/>
  <c r="B39" i="1"/>
  <c r="F39" i="1"/>
  <c r="G39" i="1" s="1"/>
  <c r="B31" i="1"/>
  <c r="F31" i="1"/>
  <c r="G31" i="1" s="1"/>
  <c r="B289" i="1"/>
  <c r="F289" i="1"/>
  <c r="G289" i="1" s="1"/>
  <c r="B450" i="1"/>
  <c r="F450" i="1"/>
  <c r="G450" i="1" s="1"/>
  <c r="B430" i="1"/>
  <c r="F430" i="1"/>
  <c r="G430" i="1" s="1"/>
  <c r="B250" i="1"/>
  <c r="F250" i="1"/>
  <c r="G250" i="1" s="1"/>
  <c r="B331" i="1"/>
  <c r="F331" i="1"/>
  <c r="G331" i="1" s="1"/>
  <c r="B200" i="1"/>
  <c r="F200" i="1"/>
  <c r="G200" i="1" s="1"/>
  <c r="B172" i="1"/>
  <c r="F172" i="1"/>
  <c r="G172" i="1" s="1"/>
  <c r="B194" i="1"/>
  <c r="F194" i="1"/>
  <c r="G194" i="1" s="1"/>
  <c r="B180" i="1"/>
  <c r="F180" i="1"/>
  <c r="G180" i="1" s="1"/>
  <c r="B498" i="1"/>
  <c r="F498" i="1"/>
  <c r="G498" i="1" s="1"/>
  <c r="B336" i="1"/>
  <c r="F336" i="1"/>
  <c r="G336" i="1" s="1"/>
  <c r="B501" i="1"/>
  <c r="F501" i="1"/>
  <c r="G501" i="1" s="1"/>
  <c r="B328" i="1"/>
  <c r="F328" i="1"/>
  <c r="G328" i="1" s="1"/>
  <c r="B404" i="1"/>
  <c r="F404" i="1"/>
  <c r="G404" i="1" s="1"/>
  <c r="B114" i="1"/>
  <c r="F114" i="1"/>
  <c r="G114" i="1" s="1"/>
  <c r="B214" i="1"/>
  <c r="F214" i="1"/>
  <c r="G214" i="1" s="1"/>
  <c r="B405" i="1"/>
  <c r="F405" i="1"/>
  <c r="G405" i="1" s="1"/>
  <c r="B209" i="1"/>
  <c r="F209" i="1"/>
  <c r="G209" i="1" s="1"/>
  <c r="B370" i="1"/>
  <c r="F370" i="1"/>
  <c r="G370" i="1" s="1"/>
  <c r="B132" i="1"/>
  <c r="F132" i="1"/>
  <c r="G132" i="1" s="1"/>
  <c r="B426" i="1"/>
  <c r="F426" i="1"/>
  <c r="G426" i="1" s="1"/>
  <c r="B466" i="1"/>
  <c r="F466" i="1"/>
  <c r="G466" i="1" s="1"/>
  <c r="B311" i="1"/>
  <c r="F311" i="1"/>
  <c r="G311" i="1" s="1"/>
  <c r="B318" i="1"/>
  <c r="F318" i="1"/>
  <c r="G318" i="1" s="1"/>
  <c r="B205" i="1"/>
  <c r="F205" i="1"/>
  <c r="G205" i="1" s="1"/>
  <c r="B478" i="1"/>
  <c r="F478" i="1"/>
  <c r="G478" i="1" s="1"/>
  <c r="B306" i="1"/>
  <c r="F306" i="1"/>
  <c r="G306" i="1" s="1"/>
  <c r="B321" i="1"/>
  <c r="F321" i="1"/>
  <c r="G321" i="1" s="1"/>
  <c r="B500" i="1"/>
  <c r="F500" i="1"/>
  <c r="G500" i="1" s="1"/>
  <c r="B481" i="1"/>
  <c r="F481" i="1"/>
  <c r="G481" i="1" s="1"/>
  <c r="B303" i="1"/>
  <c r="F303" i="1"/>
  <c r="G303" i="1" s="1"/>
  <c r="B230" i="1"/>
  <c r="F230" i="1"/>
  <c r="G230" i="1" s="1"/>
  <c r="B82" i="1"/>
  <c r="F82" i="1"/>
  <c r="G82" i="1" s="1"/>
  <c r="B409" i="1"/>
  <c r="F409" i="1"/>
  <c r="G409" i="1" s="1"/>
  <c r="B463" i="1"/>
  <c r="F463" i="1"/>
  <c r="G463" i="1" s="1"/>
  <c r="B400" i="1"/>
  <c r="F400" i="1"/>
  <c r="G400" i="1" s="1"/>
  <c r="B325" i="1"/>
  <c r="F325" i="1"/>
  <c r="G325" i="1" s="1"/>
  <c r="B490" i="1"/>
  <c r="F490" i="1"/>
  <c r="G490" i="1" s="1"/>
  <c r="B308" i="1"/>
  <c r="F308" i="1"/>
  <c r="G308" i="1" s="1"/>
  <c r="B78" i="1"/>
  <c r="F78" i="1"/>
  <c r="G78" i="1" s="1"/>
  <c r="B425" i="1"/>
  <c r="F425" i="1"/>
  <c r="G425" i="1" s="1"/>
  <c r="B373" i="1"/>
  <c r="F373" i="1"/>
  <c r="G373" i="1" s="1"/>
  <c r="B116" i="1"/>
  <c r="F116" i="1"/>
  <c r="G116" i="1" s="1"/>
  <c r="B212" i="1"/>
  <c r="F212" i="1"/>
  <c r="G212" i="1" s="1"/>
  <c r="B203" i="1"/>
  <c r="F203" i="1"/>
  <c r="G203" i="1" s="1"/>
  <c r="B87" i="1"/>
  <c r="F87" i="1"/>
  <c r="G87" i="1" s="1"/>
  <c r="B245" i="1"/>
  <c r="F245" i="1"/>
  <c r="G245" i="1" s="1"/>
  <c r="B487" i="1"/>
  <c r="F487" i="1"/>
  <c r="G487" i="1" s="1"/>
  <c r="B347" i="1"/>
  <c r="F347" i="1"/>
  <c r="G347" i="1" s="1"/>
  <c r="B231" i="1"/>
  <c r="F231" i="1"/>
  <c r="G231" i="1" s="1"/>
  <c r="B71" i="1"/>
  <c r="F71" i="1"/>
  <c r="G71" i="1" s="1"/>
  <c r="B313" i="1"/>
  <c r="F313" i="1"/>
  <c r="G313" i="1" s="1"/>
  <c r="B119" i="1"/>
  <c r="F119" i="1"/>
  <c r="G119" i="1" s="1"/>
  <c r="B262" i="1"/>
  <c r="F262" i="1"/>
  <c r="G262" i="1" s="1"/>
  <c r="B310" i="1"/>
  <c r="F310" i="1"/>
  <c r="G310" i="1" s="1"/>
  <c r="B253" i="1"/>
  <c r="F253" i="1"/>
  <c r="G253" i="1" s="1"/>
  <c r="B494" i="1"/>
  <c r="F494" i="1"/>
  <c r="G494" i="1" s="1"/>
  <c r="B157" i="1"/>
  <c r="F157" i="1"/>
  <c r="G157" i="1" s="1"/>
  <c r="B281" i="1"/>
  <c r="F281" i="1"/>
  <c r="G281" i="1" s="1"/>
  <c r="B206" i="1"/>
  <c r="F206" i="1"/>
  <c r="G206" i="1" s="1"/>
  <c r="B375" i="1"/>
  <c r="F375" i="1"/>
  <c r="G375" i="1" s="1"/>
  <c r="B484" i="1"/>
  <c r="F484" i="1"/>
  <c r="G484" i="1" s="1"/>
  <c r="B95" i="1"/>
  <c r="F95" i="1"/>
  <c r="G95" i="1" s="1"/>
  <c r="B363" i="1"/>
  <c r="F363" i="1"/>
  <c r="G363" i="1" s="1"/>
  <c r="B61" i="1"/>
  <c r="F61" i="1"/>
  <c r="G61" i="1" s="1"/>
  <c r="B391" i="1"/>
  <c r="F391" i="1"/>
  <c r="G391" i="1" s="1"/>
  <c r="B486" i="1"/>
  <c r="F486" i="1"/>
  <c r="G486" i="1" s="1"/>
  <c r="B49" i="1"/>
  <c r="F49" i="1"/>
  <c r="G49" i="1" s="1"/>
  <c r="B48" i="1"/>
  <c r="F48" i="1"/>
  <c r="G48" i="1" s="1"/>
  <c r="B198" i="1"/>
  <c r="F198" i="1"/>
  <c r="G198" i="1" s="1"/>
  <c r="B81" i="1"/>
  <c r="F81" i="1"/>
  <c r="G81" i="1" s="1"/>
  <c r="B144" i="1"/>
  <c r="F144" i="1"/>
  <c r="G144" i="1" s="1"/>
  <c r="B332" i="1"/>
  <c r="F332" i="1"/>
  <c r="G332" i="1" s="1"/>
  <c r="B284" i="1"/>
  <c r="F284" i="1"/>
  <c r="G284" i="1" s="1"/>
  <c r="B158" i="1"/>
  <c r="F158" i="1"/>
  <c r="G158" i="1" s="1"/>
  <c r="B398" i="1"/>
  <c r="F398" i="1"/>
  <c r="G398" i="1" s="1"/>
  <c r="B3" i="1"/>
  <c r="F3" i="1"/>
  <c r="G3" i="1" s="1"/>
  <c r="B41" i="1"/>
  <c r="F41" i="1"/>
  <c r="G41" i="1" s="1"/>
  <c r="B365" i="1"/>
  <c r="F365" i="1"/>
  <c r="G365" i="1" s="1"/>
  <c r="B472" i="1"/>
  <c r="F472" i="1"/>
  <c r="G472" i="1" s="1"/>
  <c r="B317" i="1"/>
  <c r="F317" i="1"/>
  <c r="G317" i="1" s="1"/>
  <c r="B239" i="1"/>
  <c r="F239" i="1"/>
  <c r="G239" i="1" s="1"/>
  <c r="B451" i="1"/>
  <c r="F451" i="1"/>
  <c r="G451" i="1" s="1"/>
  <c r="B351" i="1"/>
  <c r="F351" i="1"/>
  <c r="G351" i="1" s="1"/>
  <c r="B304" i="1"/>
  <c r="F304" i="1"/>
  <c r="G304" i="1" s="1"/>
  <c r="B11" i="1"/>
  <c r="F11" i="1"/>
  <c r="G11" i="1" s="1"/>
  <c r="B345" i="1"/>
  <c r="F345" i="1"/>
  <c r="G345" i="1" s="1"/>
  <c r="B223" i="1"/>
  <c r="F223" i="1"/>
  <c r="G223" i="1" s="1"/>
  <c r="B53" i="1"/>
  <c r="F53" i="1"/>
  <c r="G53" i="1" s="1"/>
  <c r="B408" i="1"/>
  <c r="F408" i="1"/>
  <c r="G408" i="1" s="1"/>
  <c r="B266" i="1"/>
  <c r="F266" i="1"/>
  <c r="G266" i="1" s="1"/>
  <c r="B187" i="1"/>
  <c r="F187" i="1"/>
  <c r="G187" i="1" s="1"/>
  <c r="B407" i="1"/>
  <c r="F407" i="1"/>
  <c r="G407" i="1" s="1"/>
  <c r="B117" i="1"/>
  <c r="F117" i="1"/>
  <c r="G117" i="1" s="1"/>
  <c r="B190" i="1"/>
  <c r="F190" i="1"/>
  <c r="G190" i="1" s="1"/>
  <c r="B201" i="1"/>
  <c r="F201" i="1"/>
  <c r="G201" i="1" s="1"/>
  <c r="B218" i="1"/>
  <c r="F218" i="1"/>
  <c r="G218" i="1" s="1"/>
  <c r="B127" i="1"/>
  <c r="F127" i="1"/>
  <c r="G127" i="1" s="1"/>
  <c r="B287" i="1"/>
  <c r="F287" i="1"/>
  <c r="G287" i="1" s="1"/>
  <c r="B25" i="1"/>
  <c r="F25" i="1"/>
  <c r="G25" i="1" s="1"/>
  <c r="B429" i="1"/>
  <c r="F429" i="1"/>
  <c r="G429" i="1" s="1"/>
  <c r="B394" i="1"/>
  <c r="F394" i="1"/>
  <c r="G394" i="1" s="1"/>
  <c r="B416" i="1"/>
  <c r="F416" i="1"/>
  <c r="G416" i="1" s="1"/>
  <c r="B364" i="1"/>
  <c r="F364" i="1"/>
  <c r="G364" i="1" s="1"/>
  <c r="B66" i="1"/>
  <c r="F66" i="1"/>
  <c r="G66" i="1" s="1"/>
  <c r="B420" i="1"/>
  <c r="F420" i="1"/>
  <c r="G420" i="1" s="1"/>
  <c r="B410" i="1"/>
  <c r="F410" i="1"/>
  <c r="G410" i="1" s="1"/>
  <c r="B436" i="1"/>
  <c r="F436" i="1"/>
  <c r="G436" i="1" s="1"/>
  <c r="B229" i="1"/>
  <c r="F229" i="1"/>
  <c r="G229" i="1" s="1"/>
  <c r="B324" i="1"/>
  <c r="F324" i="1"/>
  <c r="G324" i="1" s="1"/>
  <c r="B471" i="1"/>
  <c r="F471" i="1"/>
  <c r="G471" i="1" s="1"/>
  <c r="B467" i="1"/>
  <c r="F467" i="1"/>
  <c r="G467" i="1" s="1"/>
  <c r="B174" i="1"/>
  <c r="F174" i="1"/>
  <c r="G174" i="1" s="1"/>
  <c r="B246" i="1"/>
  <c r="F246" i="1"/>
  <c r="G246" i="1" s="1"/>
  <c r="B148" i="1"/>
  <c r="F148" i="1"/>
  <c r="G148" i="1" s="1"/>
  <c r="B294" i="1"/>
  <c r="F294" i="1"/>
  <c r="G294" i="1" s="1"/>
  <c r="B50" i="1"/>
  <c r="F50" i="1"/>
  <c r="G50" i="1" s="1"/>
  <c r="B124" i="1"/>
  <c r="F124" i="1"/>
  <c r="G124" i="1" s="1"/>
  <c r="B312" i="1"/>
  <c r="F312" i="1"/>
  <c r="G312" i="1" s="1"/>
  <c r="B122" i="1"/>
  <c r="F122" i="1"/>
  <c r="G122" i="1" s="1"/>
  <c r="B372" i="1"/>
  <c r="F372" i="1"/>
  <c r="G372" i="1" s="1"/>
  <c r="B401" i="1"/>
  <c r="F401" i="1"/>
  <c r="G401" i="1" s="1"/>
  <c r="B392" i="1"/>
  <c r="F392" i="1"/>
  <c r="G392" i="1" s="1"/>
  <c r="B149" i="1"/>
  <c r="F149" i="1"/>
  <c r="G149" i="1" s="1"/>
  <c r="B225" i="1"/>
  <c r="F225" i="1"/>
  <c r="G225" i="1" s="1"/>
  <c r="B170" i="1"/>
  <c r="F170" i="1"/>
  <c r="G170" i="1" s="1"/>
  <c r="B258" i="1"/>
  <c r="F258" i="1"/>
  <c r="G258" i="1" s="1"/>
  <c r="B477" i="1"/>
  <c r="F477" i="1"/>
  <c r="G477" i="1" s="1"/>
  <c r="B497" i="1"/>
  <c r="F497" i="1"/>
  <c r="G497" i="1" s="1"/>
  <c r="B452" i="1"/>
  <c r="F452" i="1"/>
  <c r="G452" i="1" s="1"/>
  <c r="B130" i="1"/>
  <c r="F130" i="1"/>
  <c r="G130" i="1" s="1"/>
  <c r="B368" i="1"/>
  <c r="F368" i="1"/>
  <c r="G368" i="1" s="1"/>
  <c r="B242" i="1"/>
  <c r="F242" i="1"/>
  <c r="G242" i="1" s="1"/>
  <c r="B499" i="1"/>
  <c r="F499" i="1"/>
  <c r="G499" i="1" s="1"/>
  <c r="B21" i="1"/>
  <c r="F21" i="1"/>
  <c r="G21" i="1" s="1"/>
  <c r="B134" i="1"/>
  <c r="F134" i="1"/>
  <c r="G134" i="1" s="1"/>
  <c r="B427" i="1"/>
  <c r="F427" i="1"/>
  <c r="G427" i="1" s="1"/>
  <c r="B80" i="1"/>
  <c r="F80" i="1"/>
  <c r="G80" i="1" s="1"/>
  <c r="B393" i="1"/>
  <c r="F393" i="1"/>
  <c r="G393" i="1" s="1"/>
  <c r="B18" i="1"/>
  <c r="F18" i="1"/>
  <c r="G18" i="1" s="1"/>
  <c r="B235" i="1"/>
  <c r="F235" i="1"/>
  <c r="G235" i="1" s="1"/>
  <c r="B492" i="1"/>
  <c r="F492" i="1"/>
  <c r="G492" i="1" s="1"/>
  <c r="B79" i="1"/>
  <c r="F79" i="1"/>
  <c r="G79" i="1" s="1"/>
  <c r="B439" i="1"/>
  <c r="F439" i="1"/>
  <c r="G439" i="1" s="1"/>
  <c r="B338" i="1"/>
  <c r="F338" i="1"/>
  <c r="G338" i="1" s="1"/>
  <c r="B414" i="1"/>
  <c r="F414" i="1"/>
  <c r="G414" i="1" s="1"/>
  <c r="B135" i="1"/>
  <c r="F135" i="1"/>
  <c r="G135" i="1" s="1"/>
  <c r="B40" i="1"/>
  <c r="F40" i="1"/>
  <c r="G40" i="1" s="1"/>
  <c r="B319" i="1"/>
  <c r="F319" i="1"/>
  <c r="G319" i="1" s="1"/>
  <c r="B64" i="1"/>
  <c r="F64" i="1"/>
  <c r="G64" i="1" s="1"/>
  <c r="B355" i="1"/>
  <c r="F355" i="1"/>
  <c r="G355" i="1" s="1"/>
  <c r="B352" i="1"/>
  <c r="F352" i="1"/>
  <c r="G352" i="1" s="1"/>
  <c r="B493" i="1"/>
  <c r="F493" i="1"/>
  <c r="G493" i="1" s="1"/>
  <c r="B217" i="1"/>
  <c r="F217" i="1"/>
  <c r="G217" i="1" s="1"/>
  <c r="B329" i="1"/>
  <c r="F329" i="1"/>
  <c r="G329" i="1" s="1"/>
  <c r="B323" i="1"/>
  <c r="F323" i="1"/>
  <c r="G323" i="1" s="1"/>
  <c r="B171" i="1"/>
  <c r="F171" i="1"/>
  <c r="G171" i="1" s="1"/>
  <c r="B480" i="1"/>
  <c r="F480" i="1"/>
  <c r="G480" i="1" s="1"/>
  <c r="B270" i="1"/>
  <c r="F270" i="1"/>
  <c r="G270" i="1" s="1"/>
  <c r="B156" i="1"/>
  <c r="F156" i="1"/>
  <c r="G156" i="1" s="1"/>
  <c r="B67" i="1"/>
  <c r="B482" i="1"/>
  <c r="B251" i="1"/>
  <c r="B382" i="1"/>
  <c r="B176" i="1"/>
  <c r="B55" i="1"/>
  <c r="B249" i="1"/>
  <c r="B175" i="1"/>
  <c r="B5" i="1"/>
  <c r="B92" i="1"/>
  <c r="B256" i="1"/>
  <c r="B160" i="1"/>
  <c r="B27" i="1"/>
  <c r="B326" i="1"/>
  <c r="B145" i="1"/>
  <c r="B213" i="1"/>
  <c r="B383" i="1"/>
  <c r="B433" i="1"/>
  <c r="B153" i="1"/>
  <c r="B123" i="1"/>
  <c r="B285" i="1"/>
  <c r="B155" i="1"/>
  <c r="B445" i="1"/>
  <c r="B387" i="1"/>
  <c r="B461" i="1"/>
  <c r="B428" i="1"/>
  <c r="B47" i="1"/>
  <c r="B377" i="1"/>
  <c r="B473" i="1"/>
  <c r="B99" i="1"/>
  <c r="B381" i="1"/>
  <c r="B418" i="1"/>
  <c r="B164" i="1"/>
  <c r="B448" i="1"/>
  <c r="B188" i="1"/>
  <c r="B412" i="1"/>
  <c r="B278" i="1"/>
  <c r="B173" i="1"/>
  <c r="B380" i="1"/>
  <c r="B45" i="1"/>
  <c r="B244" i="1"/>
  <c r="B28" i="1"/>
  <c r="B202" i="1"/>
  <c r="B136" i="1"/>
  <c r="B459" i="1"/>
  <c r="B96" i="1"/>
  <c r="B353" i="1"/>
  <c r="B30" i="1"/>
  <c r="B491" i="1"/>
  <c r="B193" i="1"/>
  <c r="B315" i="1"/>
  <c r="B271" i="1"/>
  <c r="B431" i="1"/>
  <c r="B51" i="1"/>
  <c r="B263" i="1"/>
  <c r="B489" i="1"/>
  <c r="B397" i="1"/>
  <c r="B32" i="1"/>
  <c r="B468" i="1"/>
  <c r="B4" i="1"/>
  <c r="B89" i="1"/>
  <c r="B423" i="1"/>
  <c r="B210" i="1"/>
  <c r="B108" i="1"/>
  <c r="B417" i="1"/>
  <c r="B396" i="1"/>
  <c r="B37" i="1"/>
  <c r="B75" i="1"/>
  <c r="B91" i="1"/>
  <c r="B362" i="1"/>
  <c r="B10" i="1"/>
  <c r="B42" i="1"/>
  <c r="B291" i="1"/>
  <c r="B197" i="1"/>
  <c r="B465" i="1"/>
  <c r="B189" i="1"/>
  <c r="B341" i="1"/>
  <c r="B495" i="1"/>
  <c r="B77" i="1"/>
  <c r="B178" i="1"/>
  <c r="B322" i="1"/>
  <c r="B165" i="1"/>
  <c r="B388" i="1"/>
  <c r="B207" i="1"/>
  <c r="B204" i="1"/>
  <c r="B268" i="1"/>
  <c r="B131" i="1"/>
  <c r="B65" i="1"/>
  <c r="B413" i="1"/>
  <c r="B16" i="1"/>
  <c r="B343" i="1"/>
  <c r="B166" i="1"/>
  <c r="B292" i="1"/>
  <c r="B103" i="1"/>
  <c r="B70" i="1"/>
  <c r="B435" i="1"/>
  <c r="B257" i="1"/>
  <c r="B22" i="1"/>
  <c r="B385" i="1"/>
  <c r="F67" i="1"/>
  <c r="F482" i="1"/>
  <c r="F251" i="1"/>
  <c r="F382" i="1"/>
  <c r="F176" i="1"/>
  <c r="F55" i="1"/>
  <c r="F249" i="1"/>
  <c r="F175" i="1"/>
  <c r="F5" i="1"/>
  <c r="F92" i="1"/>
  <c r="F256" i="1"/>
  <c r="F160" i="1"/>
  <c r="F27" i="1"/>
  <c r="F326" i="1"/>
  <c r="F145" i="1"/>
  <c r="F213" i="1"/>
  <c r="F383" i="1"/>
  <c r="F433" i="1"/>
  <c r="F153" i="1"/>
  <c r="F123" i="1"/>
  <c r="F285" i="1"/>
  <c r="F155" i="1"/>
  <c r="F445" i="1"/>
  <c r="F387" i="1"/>
  <c r="F461" i="1"/>
  <c r="F428" i="1"/>
  <c r="F47" i="1"/>
  <c r="F377" i="1"/>
  <c r="F473" i="1"/>
  <c r="F99" i="1"/>
  <c r="F381" i="1"/>
  <c r="F418" i="1"/>
  <c r="F164" i="1"/>
  <c r="F448" i="1"/>
  <c r="F188" i="1"/>
  <c r="F412" i="1"/>
  <c r="F278" i="1"/>
  <c r="F173" i="1"/>
  <c r="F380" i="1"/>
  <c r="F45" i="1"/>
  <c r="F244" i="1"/>
  <c r="F28" i="1"/>
  <c r="F202" i="1"/>
  <c r="F136" i="1"/>
  <c r="F459" i="1"/>
  <c r="F96" i="1"/>
  <c r="F353" i="1"/>
  <c r="F30" i="1"/>
  <c r="F491" i="1"/>
  <c r="F193" i="1"/>
  <c r="F315" i="1"/>
  <c r="F271" i="1"/>
  <c r="F431" i="1"/>
  <c r="F51" i="1"/>
  <c r="F263" i="1"/>
  <c r="F489" i="1"/>
  <c r="F397" i="1"/>
  <c r="F32" i="1"/>
  <c r="F468" i="1"/>
  <c r="F4" i="1"/>
  <c r="F89" i="1"/>
  <c r="F423" i="1"/>
  <c r="F210" i="1"/>
  <c r="F108" i="1"/>
  <c r="F417" i="1"/>
  <c r="F396" i="1"/>
  <c r="F37" i="1"/>
  <c r="F75" i="1"/>
  <c r="F91" i="1"/>
  <c r="F362" i="1"/>
  <c r="F10" i="1"/>
  <c r="F42" i="1"/>
  <c r="F291" i="1"/>
  <c r="F197" i="1"/>
  <c r="F465" i="1"/>
  <c r="F189" i="1"/>
  <c r="F341" i="1"/>
  <c r="F495" i="1"/>
  <c r="F77" i="1"/>
  <c r="F178" i="1"/>
  <c r="F322" i="1"/>
  <c r="F165" i="1"/>
  <c r="F388" i="1"/>
  <c r="F207" i="1"/>
  <c r="F204" i="1"/>
  <c r="F268" i="1"/>
  <c r="F131" i="1"/>
  <c r="F65" i="1"/>
  <c r="F413" i="1"/>
  <c r="F16" i="1"/>
  <c r="F343" i="1"/>
  <c r="F166" i="1"/>
  <c r="F292" i="1"/>
  <c r="F103" i="1"/>
  <c r="F70" i="1"/>
  <c r="F435" i="1"/>
  <c r="F257" i="1"/>
  <c r="F22" i="1"/>
  <c r="F385" i="1"/>
  <c r="D275" i="1" l="1"/>
  <c r="C275" i="1" s="1"/>
  <c r="D453" i="1"/>
  <c r="C453" i="1" s="1"/>
  <c r="D156" i="1"/>
  <c r="C156" i="1" s="1"/>
  <c r="D270" i="1"/>
  <c r="C270" i="1" s="1"/>
  <c r="D480" i="1"/>
  <c r="C480" i="1" s="1"/>
  <c r="D171" i="1"/>
  <c r="C171" i="1" s="1"/>
  <c r="D323" i="1"/>
  <c r="C323" i="1" s="1"/>
  <c r="D329" i="1"/>
  <c r="C329" i="1" s="1"/>
  <c r="D217" i="1"/>
  <c r="C217" i="1" s="1"/>
  <c r="D493" i="1"/>
  <c r="C493" i="1" s="1"/>
  <c r="D352" i="1"/>
  <c r="C352" i="1" s="1"/>
  <c r="D355" i="1"/>
  <c r="C355" i="1" s="1"/>
  <c r="D64" i="1"/>
  <c r="C64" i="1" s="1"/>
  <c r="D319" i="1"/>
  <c r="C319" i="1" s="1"/>
  <c r="D40" i="1"/>
  <c r="C40" i="1" s="1"/>
  <c r="D135" i="1"/>
  <c r="C135" i="1" s="1"/>
  <c r="D414" i="1"/>
  <c r="C414" i="1" s="1"/>
  <c r="D338" i="1"/>
  <c r="C338" i="1" s="1"/>
  <c r="D439" i="1"/>
  <c r="C439" i="1" s="1"/>
  <c r="D79" i="1"/>
  <c r="C79" i="1" s="1"/>
  <c r="D492" i="1"/>
  <c r="C492" i="1" s="1"/>
  <c r="D235" i="1"/>
  <c r="C235" i="1" s="1"/>
  <c r="D18" i="1"/>
  <c r="C18" i="1" s="1"/>
  <c r="D393" i="1"/>
  <c r="C393" i="1" s="1"/>
  <c r="D80" i="1"/>
  <c r="C80" i="1" s="1"/>
  <c r="D427" i="1"/>
  <c r="C427" i="1" s="1"/>
  <c r="D134" i="1"/>
  <c r="C134" i="1" s="1"/>
  <c r="D21" i="1"/>
  <c r="C21" i="1" s="1"/>
  <c r="D499" i="1"/>
  <c r="C499" i="1" s="1"/>
  <c r="D242" i="1"/>
  <c r="C242" i="1" s="1"/>
  <c r="D368" i="1"/>
  <c r="C368" i="1" s="1"/>
  <c r="D130" i="1"/>
  <c r="C130" i="1" s="1"/>
  <c r="D452" i="1"/>
  <c r="C452" i="1" s="1"/>
  <c r="D497" i="1"/>
  <c r="C497" i="1" s="1"/>
  <c r="D477" i="1"/>
  <c r="C477" i="1" s="1"/>
  <c r="D258" i="1"/>
  <c r="C258" i="1" s="1"/>
  <c r="D170" i="1"/>
  <c r="C170" i="1" s="1"/>
  <c r="D225" i="1"/>
  <c r="C225" i="1" s="1"/>
  <c r="D149" i="1"/>
  <c r="C149" i="1" s="1"/>
  <c r="D392" i="1"/>
  <c r="C392" i="1" s="1"/>
  <c r="D401" i="1"/>
  <c r="C401" i="1" s="1"/>
  <c r="D372" i="1"/>
  <c r="C372" i="1" s="1"/>
  <c r="D122" i="1"/>
  <c r="C122" i="1" s="1"/>
  <c r="D312" i="1"/>
  <c r="C312" i="1" s="1"/>
  <c r="D124" i="1"/>
  <c r="C124" i="1" s="1"/>
  <c r="D50" i="1"/>
  <c r="C50" i="1" s="1"/>
  <c r="D294" i="1"/>
  <c r="C294" i="1" s="1"/>
  <c r="D148" i="1"/>
  <c r="C148" i="1" s="1"/>
  <c r="D246" i="1"/>
  <c r="C246" i="1" s="1"/>
  <c r="D174" i="1"/>
  <c r="C174" i="1" s="1"/>
  <c r="D467" i="1"/>
  <c r="C467" i="1" s="1"/>
  <c r="D471" i="1"/>
  <c r="C471" i="1" s="1"/>
  <c r="D324" i="1"/>
  <c r="C324" i="1" s="1"/>
  <c r="D229" i="1"/>
  <c r="C229" i="1" s="1"/>
  <c r="D436" i="1"/>
  <c r="C436" i="1" s="1"/>
  <c r="D410" i="1"/>
  <c r="C410" i="1" s="1"/>
  <c r="D420" i="1"/>
  <c r="C420" i="1" s="1"/>
  <c r="D66" i="1"/>
  <c r="C66" i="1" s="1"/>
  <c r="D364" i="1"/>
  <c r="C364" i="1" s="1"/>
  <c r="D416" i="1"/>
  <c r="C416" i="1" s="1"/>
  <c r="D394" i="1"/>
  <c r="C394" i="1" s="1"/>
  <c r="D429" i="1"/>
  <c r="C429" i="1" s="1"/>
  <c r="D25" i="1"/>
  <c r="C25" i="1" s="1"/>
  <c r="D287" i="1"/>
  <c r="C287" i="1" s="1"/>
  <c r="D127" i="1"/>
  <c r="C127" i="1" s="1"/>
  <c r="D218" i="1"/>
  <c r="C218" i="1" s="1"/>
  <c r="D201" i="1"/>
  <c r="C201" i="1" s="1"/>
  <c r="D190" i="1"/>
  <c r="C190" i="1" s="1"/>
  <c r="D117" i="1"/>
  <c r="C117" i="1" s="1"/>
  <c r="D407" i="1"/>
  <c r="C407" i="1" s="1"/>
  <c r="D187" i="1"/>
  <c r="C187" i="1" s="1"/>
  <c r="D266" i="1"/>
  <c r="C266" i="1" s="1"/>
  <c r="D408" i="1"/>
  <c r="C408" i="1" s="1"/>
  <c r="D53" i="1"/>
  <c r="C53" i="1" s="1"/>
  <c r="D223" i="1"/>
  <c r="C223" i="1" s="1"/>
  <c r="D345" i="1"/>
  <c r="C345" i="1" s="1"/>
  <c r="D11" i="1"/>
  <c r="C11" i="1" s="1"/>
  <c r="D304" i="1"/>
  <c r="C304" i="1" s="1"/>
  <c r="D351" i="1"/>
  <c r="C351" i="1" s="1"/>
  <c r="D451" i="1"/>
  <c r="C451" i="1" s="1"/>
  <c r="D239" i="1"/>
  <c r="C239" i="1" s="1"/>
  <c r="D317" i="1"/>
  <c r="C317" i="1" s="1"/>
  <c r="D472" i="1"/>
  <c r="C472" i="1" s="1"/>
  <c r="D365" i="1"/>
  <c r="C365" i="1" s="1"/>
  <c r="D41" i="1"/>
  <c r="C41" i="1" s="1"/>
  <c r="D3" i="1"/>
  <c r="C3" i="1" s="1"/>
  <c r="D398" i="1"/>
  <c r="C398" i="1" s="1"/>
  <c r="D158" i="1"/>
  <c r="C158" i="1" s="1"/>
  <c r="D284" i="1"/>
  <c r="C284" i="1" s="1"/>
  <c r="D332" i="1"/>
  <c r="C332" i="1" s="1"/>
  <c r="D144" i="1"/>
  <c r="C144" i="1" s="1"/>
  <c r="D81" i="1"/>
  <c r="C81" i="1" s="1"/>
  <c r="D198" i="1"/>
  <c r="C198" i="1" s="1"/>
  <c r="D48" i="1"/>
  <c r="C48" i="1" s="1"/>
  <c r="D49" i="1"/>
  <c r="C49" i="1" s="1"/>
  <c r="D486" i="1"/>
  <c r="C486" i="1" s="1"/>
  <c r="D391" i="1"/>
  <c r="C391" i="1" s="1"/>
  <c r="D61" i="1"/>
  <c r="C61" i="1" s="1"/>
  <c r="D363" i="1"/>
  <c r="C363" i="1" s="1"/>
  <c r="D95" i="1"/>
  <c r="C95" i="1" s="1"/>
  <c r="D484" i="1"/>
  <c r="C484" i="1" s="1"/>
  <c r="D375" i="1"/>
  <c r="C375" i="1" s="1"/>
  <c r="D206" i="1"/>
  <c r="C206" i="1" s="1"/>
  <c r="D281" i="1"/>
  <c r="C281" i="1" s="1"/>
  <c r="D157" i="1"/>
  <c r="C157" i="1" s="1"/>
  <c r="D494" i="1"/>
  <c r="C494" i="1" s="1"/>
  <c r="D253" i="1"/>
  <c r="C253" i="1" s="1"/>
  <c r="D310" i="1"/>
  <c r="C310" i="1" s="1"/>
  <c r="D262" i="1"/>
  <c r="C262" i="1" s="1"/>
  <c r="D119" i="1"/>
  <c r="C119" i="1" s="1"/>
  <c r="D313" i="1"/>
  <c r="C313" i="1" s="1"/>
  <c r="D71" i="1"/>
  <c r="C71" i="1" s="1"/>
  <c r="D231" i="1"/>
  <c r="C231" i="1" s="1"/>
  <c r="D347" i="1"/>
  <c r="C347" i="1" s="1"/>
  <c r="D487" i="1"/>
  <c r="C487" i="1" s="1"/>
  <c r="D245" i="1"/>
  <c r="C245" i="1" s="1"/>
  <c r="D87" i="1"/>
  <c r="C87" i="1" s="1"/>
  <c r="D203" i="1"/>
  <c r="C203" i="1" s="1"/>
  <c r="D212" i="1"/>
  <c r="C212" i="1" s="1"/>
  <c r="D116" i="1"/>
  <c r="C116" i="1" s="1"/>
  <c r="D373" i="1"/>
  <c r="C373" i="1" s="1"/>
  <c r="D425" i="1"/>
  <c r="C425" i="1" s="1"/>
  <c r="D78" i="1"/>
  <c r="C78" i="1" s="1"/>
  <c r="D308" i="1"/>
  <c r="C308" i="1" s="1"/>
  <c r="D490" i="1"/>
  <c r="C490" i="1" s="1"/>
  <c r="D325" i="1"/>
  <c r="C325" i="1" s="1"/>
  <c r="D400" i="1"/>
  <c r="C400" i="1" s="1"/>
  <c r="D463" i="1"/>
  <c r="C463" i="1" s="1"/>
  <c r="D409" i="1"/>
  <c r="C409" i="1" s="1"/>
  <c r="D82" i="1"/>
  <c r="C82" i="1" s="1"/>
  <c r="D230" i="1"/>
  <c r="C230" i="1" s="1"/>
  <c r="D303" i="1"/>
  <c r="C303" i="1" s="1"/>
  <c r="D481" i="1"/>
  <c r="C481" i="1" s="1"/>
  <c r="D500" i="1"/>
  <c r="C500" i="1" s="1"/>
  <c r="D321" i="1"/>
  <c r="C321" i="1" s="1"/>
  <c r="D306" i="1"/>
  <c r="C306" i="1" s="1"/>
  <c r="D478" i="1"/>
  <c r="C478" i="1" s="1"/>
  <c r="D205" i="1"/>
  <c r="C205" i="1" s="1"/>
  <c r="D318" i="1"/>
  <c r="C318" i="1" s="1"/>
  <c r="D311" i="1"/>
  <c r="C311" i="1" s="1"/>
  <c r="D466" i="1"/>
  <c r="C466" i="1" s="1"/>
  <c r="D426" i="1"/>
  <c r="C426" i="1" s="1"/>
  <c r="D132" i="1"/>
  <c r="C132" i="1" s="1"/>
  <c r="D370" i="1"/>
  <c r="C370" i="1" s="1"/>
  <c r="D209" i="1"/>
  <c r="C209" i="1" s="1"/>
  <c r="D405" i="1"/>
  <c r="C405" i="1" s="1"/>
  <c r="D214" i="1"/>
  <c r="C214" i="1" s="1"/>
  <c r="D114" i="1"/>
  <c r="C114" i="1" s="1"/>
  <c r="D404" i="1"/>
  <c r="C404" i="1" s="1"/>
  <c r="D328" i="1"/>
  <c r="C328" i="1" s="1"/>
  <c r="D501" i="1"/>
  <c r="C501" i="1" s="1"/>
  <c r="D336" i="1"/>
  <c r="C336" i="1" s="1"/>
  <c r="D498" i="1"/>
  <c r="C498" i="1" s="1"/>
  <c r="D180" i="1"/>
  <c r="C180" i="1" s="1"/>
  <c r="D194" i="1"/>
  <c r="C194" i="1" s="1"/>
  <c r="D172" i="1"/>
  <c r="C172" i="1" s="1"/>
  <c r="D200" i="1"/>
  <c r="C200" i="1" s="1"/>
  <c r="D331" i="1"/>
  <c r="C331" i="1" s="1"/>
  <c r="D250" i="1"/>
  <c r="C250" i="1" s="1"/>
  <c r="D430" i="1"/>
  <c r="C430" i="1" s="1"/>
  <c r="D450" i="1"/>
  <c r="C450" i="1" s="1"/>
  <c r="D289" i="1"/>
  <c r="C289" i="1" s="1"/>
  <c r="D31" i="1"/>
  <c r="C31" i="1" s="1"/>
  <c r="D39" i="1"/>
  <c r="C39" i="1" s="1"/>
  <c r="D143" i="1"/>
  <c r="C143" i="1" s="1"/>
  <c r="D462" i="1"/>
  <c r="C462" i="1" s="1"/>
  <c r="D411" i="1"/>
  <c r="C411" i="1" s="1"/>
  <c r="D138" i="1"/>
  <c r="C138" i="1" s="1"/>
  <c r="D302" i="1"/>
  <c r="C302" i="1" s="1"/>
  <c r="D236" i="1"/>
  <c r="C236" i="1" s="1"/>
  <c r="D488" i="1"/>
  <c r="C488" i="1" s="1"/>
  <c r="D100" i="1"/>
  <c r="C100" i="1" s="1"/>
  <c r="D264" i="1"/>
  <c r="C264" i="1" s="1"/>
  <c r="D60" i="1"/>
  <c r="C60" i="1" s="1"/>
  <c r="D86" i="1"/>
  <c r="C86" i="1" s="1"/>
  <c r="D358" i="1"/>
  <c r="C358" i="1" s="1"/>
  <c r="D421" i="1"/>
  <c r="C421" i="1" s="1"/>
  <c r="D444" i="1"/>
  <c r="C444" i="1" s="1"/>
  <c r="D43" i="1"/>
  <c r="C43" i="1" s="1"/>
  <c r="D369" i="1"/>
  <c r="C369" i="1" s="1"/>
  <c r="D283" i="1"/>
  <c r="C283" i="1" s="1"/>
  <c r="D301" i="1"/>
  <c r="C301" i="1" s="1"/>
  <c r="D68" i="1"/>
  <c r="C68" i="1" s="1"/>
  <c r="D13" i="1"/>
  <c r="C13" i="1" s="1"/>
  <c r="D228" i="1"/>
  <c r="C228" i="1" s="1"/>
  <c r="D344" i="1"/>
  <c r="C344" i="1" s="1"/>
  <c r="D458" i="1"/>
  <c r="C458" i="1" s="1"/>
  <c r="D222" i="1"/>
  <c r="C222" i="1" s="1"/>
  <c r="D361" i="1"/>
  <c r="C361" i="1" s="1"/>
  <c r="D248" i="1"/>
  <c r="C248" i="1" s="1"/>
  <c r="D475" i="1"/>
  <c r="C475" i="1" s="1"/>
  <c r="D469" i="1"/>
  <c r="C469" i="1" s="1"/>
  <c r="D320" i="1"/>
  <c r="C320" i="1" s="1"/>
  <c r="D216" i="1"/>
  <c r="C216" i="1" s="1"/>
  <c r="D327" i="1"/>
  <c r="C327" i="1" s="1"/>
  <c r="D254" i="1"/>
  <c r="C254" i="1" s="1"/>
  <c r="D305" i="1"/>
  <c r="C305" i="1" s="1"/>
  <c r="D349" i="1"/>
  <c r="C349" i="1" s="1"/>
  <c r="D24" i="1"/>
  <c r="C24" i="1" s="1"/>
  <c r="D154" i="1"/>
  <c r="C154" i="1" s="1"/>
  <c r="D46" i="1"/>
  <c r="C46" i="1" s="1"/>
  <c r="D88" i="1"/>
  <c r="C88" i="1" s="1"/>
  <c r="D219" i="1"/>
  <c r="C219" i="1" s="1"/>
  <c r="D208" i="1"/>
  <c r="C208" i="1" s="1"/>
  <c r="D184" i="1"/>
  <c r="C184" i="1" s="1"/>
  <c r="D424" i="1"/>
  <c r="C424" i="1" s="1"/>
  <c r="D120" i="1"/>
  <c r="C120" i="1" s="1"/>
  <c r="D147" i="1"/>
  <c r="C147" i="1" s="1"/>
  <c r="D243" i="1"/>
  <c r="C243" i="1" s="1"/>
  <c r="D316" i="1"/>
  <c r="C316" i="1" s="1"/>
  <c r="D6" i="1"/>
  <c r="C6" i="1" s="1"/>
  <c r="D399" i="1"/>
  <c r="C399" i="1" s="1"/>
  <c r="D137" i="1"/>
  <c r="C137" i="1" s="1"/>
  <c r="D105" i="1"/>
  <c r="C105" i="1" s="1"/>
  <c r="D272" i="1"/>
  <c r="C272" i="1" s="1"/>
  <c r="D479" i="1"/>
  <c r="C479" i="1" s="1"/>
  <c r="D366" i="1"/>
  <c r="C366" i="1" s="1"/>
  <c r="D273" i="1"/>
  <c r="C273" i="1" s="1"/>
  <c r="D19" i="1"/>
  <c r="C19" i="1" s="1"/>
  <c r="D232" i="1"/>
  <c r="C232" i="1" s="1"/>
  <c r="D384" i="1"/>
  <c r="C384" i="1" s="1"/>
  <c r="D133" i="1"/>
  <c r="C133" i="1" s="1"/>
  <c r="D474" i="1"/>
  <c r="C474" i="1" s="1"/>
  <c r="D185" i="1"/>
  <c r="C185" i="1" s="1"/>
  <c r="D279" i="1"/>
  <c r="C279" i="1" s="1"/>
  <c r="D98" i="1"/>
  <c r="C98" i="1" s="1"/>
  <c r="D357" i="1"/>
  <c r="C357" i="1" s="1"/>
  <c r="D115" i="1"/>
  <c r="C115" i="1" s="1"/>
  <c r="D371" i="1"/>
  <c r="C371" i="1" s="1"/>
  <c r="D9" i="1"/>
  <c r="C9" i="1" s="1"/>
  <c r="D84" i="1"/>
  <c r="C84" i="1" s="1"/>
  <c r="D192" i="1"/>
  <c r="C192" i="1" s="1"/>
  <c r="D339" i="1"/>
  <c r="C339" i="1" s="1"/>
  <c r="D470" i="1"/>
  <c r="C470" i="1" s="1"/>
  <c r="D280" i="1"/>
  <c r="C280" i="1" s="1"/>
  <c r="D85" i="1"/>
  <c r="C85" i="1" s="1"/>
  <c r="D38" i="1"/>
  <c r="C38" i="1" s="1"/>
  <c r="D389" i="1"/>
  <c r="C389" i="1" s="1"/>
  <c r="D107" i="1"/>
  <c r="C107" i="1" s="1"/>
  <c r="D330" i="1"/>
  <c r="C330" i="1" s="1"/>
  <c r="D7" i="1"/>
  <c r="C7" i="1" s="1"/>
  <c r="D337" i="1"/>
  <c r="C337" i="1" s="1"/>
  <c r="D181" i="1"/>
  <c r="C181" i="1" s="1"/>
  <c r="D422" i="1"/>
  <c r="C422" i="1" s="1"/>
  <c r="D240" i="1"/>
  <c r="C240" i="1" s="1"/>
  <c r="D44" i="1"/>
  <c r="C44" i="1" s="1"/>
  <c r="D395" i="1"/>
  <c r="C395" i="1" s="1"/>
  <c r="D269" i="1"/>
  <c r="C269" i="1" s="1"/>
  <c r="D247" i="1"/>
  <c r="C247" i="1" s="1"/>
  <c r="D297" i="1"/>
  <c r="C297" i="1" s="1"/>
  <c r="D449" i="1"/>
  <c r="C449" i="1" s="1"/>
  <c r="D455" i="1"/>
  <c r="C455" i="1" s="1"/>
  <c r="D73" i="1"/>
  <c r="C73" i="1" s="1"/>
  <c r="D63" i="1"/>
  <c r="C63" i="1" s="1"/>
  <c r="D168" i="1"/>
  <c r="C168" i="1" s="1"/>
  <c r="D17" i="1"/>
  <c r="C17" i="1" s="1"/>
  <c r="D125" i="1"/>
  <c r="C125" i="1" s="1"/>
  <c r="D183" i="1"/>
  <c r="C183" i="1" s="1"/>
  <c r="D161" i="1"/>
  <c r="C161" i="1" s="1"/>
  <c r="D259" i="1"/>
  <c r="C259" i="1" s="1"/>
  <c r="D359" i="1"/>
  <c r="C359" i="1" s="1"/>
  <c r="D163" i="1"/>
  <c r="C163" i="1" s="1"/>
  <c r="D485" i="1"/>
  <c r="C485" i="1" s="1"/>
  <c r="D169" i="1"/>
  <c r="C169" i="1" s="1"/>
  <c r="D456" i="1"/>
  <c r="C456" i="1" s="1"/>
  <c r="D109" i="1"/>
  <c r="C109" i="1" s="1"/>
  <c r="D457" i="1"/>
  <c r="C457" i="1" s="1"/>
  <c r="D195" i="1"/>
  <c r="C195" i="1" s="1"/>
  <c r="D215" i="1"/>
  <c r="C215" i="1" s="1"/>
  <c r="D282" i="1"/>
  <c r="C282" i="1" s="1"/>
  <c r="D152" i="1"/>
  <c r="C152" i="1" s="1"/>
  <c r="D293" i="1"/>
  <c r="C293" i="1" s="1"/>
  <c r="D376" i="1"/>
  <c r="C376" i="1" s="1"/>
  <c r="D146" i="1"/>
  <c r="C146" i="1" s="1"/>
  <c r="D69" i="1"/>
  <c r="C69" i="1" s="1"/>
  <c r="D374" i="1"/>
  <c r="C374" i="1" s="1"/>
  <c r="D441" i="1"/>
  <c r="C441" i="1" s="1"/>
  <c r="D54" i="1"/>
  <c r="C54" i="1" s="1"/>
  <c r="D94" i="1"/>
  <c r="C94" i="1" s="1"/>
  <c r="D14" i="1"/>
  <c r="C14" i="1" s="1"/>
  <c r="D333" i="1"/>
  <c r="C333" i="1" s="1"/>
  <c r="D443" i="1"/>
  <c r="C443" i="1" s="1"/>
  <c r="D221" i="1"/>
  <c r="C221" i="1" s="1"/>
  <c r="D220" i="1"/>
  <c r="C220" i="1" s="1"/>
  <c r="D97" i="1"/>
  <c r="C97" i="1" s="1"/>
  <c r="D141" i="1"/>
  <c r="C141" i="1" s="1"/>
  <c r="D288" i="1"/>
  <c r="C288" i="1" s="1"/>
  <c r="D72" i="1"/>
  <c r="C72" i="1" s="1"/>
  <c r="D112" i="1"/>
  <c r="C112" i="1" s="1"/>
  <c r="D241" i="1"/>
  <c r="C241" i="1" s="1"/>
  <c r="D350" i="1"/>
  <c r="C350" i="1" s="1"/>
  <c r="D162" i="1"/>
  <c r="C162" i="1" s="1"/>
  <c r="D224" i="1"/>
  <c r="C224" i="1" s="1"/>
  <c r="D93" i="1"/>
  <c r="C93" i="1" s="1"/>
  <c r="D437" i="1"/>
  <c r="C437" i="1" s="1"/>
  <c r="D276" i="1"/>
  <c r="C276" i="1" s="1"/>
  <c r="D476" i="1"/>
  <c r="C476" i="1" s="1"/>
  <c r="D140" i="1"/>
  <c r="C140" i="1" s="1"/>
  <c r="D274" i="1"/>
  <c r="C274" i="1" s="1"/>
  <c r="D296" i="1"/>
  <c r="C296" i="1" s="1"/>
  <c r="D454" i="1"/>
  <c r="C454" i="1" s="1"/>
  <c r="D300" i="1"/>
  <c r="C300" i="1" s="1"/>
  <c r="D34" i="1"/>
  <c r="C34" i="1" s="1"/>
  <c r="D23" i="1"/>
  <c r="C23" i="1" s="1"/>
  <c r="D307" i="1"/>
  <c r="C307" i="1" s="1"/>
  <c r="D367" i="1"/>
  <c r="C367" i="1" s="1"/>
  <c r="D440" i="1"/>
  <c r="C440" i="1" s="1"/>
  <c r="D15" i="1"/>
  <c r="C15" i="1" s="1"/>
  <c r="D260" i="1"/>
  <c r="C260" i="1" s="1"/>
  <c r="D129" i="1"/>
  <c r="C129" i="1" s="1"/>
  <c r="D314" i="1"/>
  <c r="C314" i="1" s="1"/>
  <c r="D104" i="1"/>
  <c r="C104" i="1" s="1"/>
  <c r="D309" i="1"/>
  <c r="C309" i="1" s="1"/>
  <c r="D298" i="1"/>
  <c r="C298" i="1" s="1"/>
  <c r="D238" i="1"/>
  <c r="C238" i="1" s="1"/>
  <c r="D142" i="1"/>
  <c r="C142" i="1" s="1"/>
  <c r="D196" i="1"/>
  <c r="C196" i="1" s="1"/>
  <c r="D118" i="1"/>
  <c r="C118" i="1" s="1"/>
  <c r="D26" i="1"/>
  <c r="C26" i="1" s="1"/>
  <c r="D167" i="1"/>
  <c r="C167" i="1" s="1"/>
  <c r="D186" i="1"/>
  <c r="C186" i="1" s="1"/>
  <c r="D59" i="1"/>
  <c r="C59" i="1" s="1"/>
  <c r="D379" i="1"/>
  <c r="C379" i="1" s="1"/>
  <c r="D90" i="1"/>
  <c r="C90" i="1" s="1"/>
  <c r="D438" i="1"/>
  <c r="C438" i="1" s="1"/>
  <c r="D432" i="1"/>
  <c r="C432" i="1" s="1"/>
  <c r="D415" i="1"/>
  <c r="C415" i="1" s="1"/>
  <c r="D265" i="1"/>
  <c r="C265" i="1" s="1"/>
  <c r="D33" i="1"/>
  <c r="C33" i="1" s="1"/>
  <c r="D151" i="1"/>
  <c r="C151" i="1" s="1"/>
  <c r="D128" i="1"/>
  <c r="C128" i="1" s="1"/>
  <c r="D57" i="1"/>
  <c r="C57" i="1" s="1"/>
  <c r="D446" i="1"/>
  <c r="C446" i="1" s="1"/>
  <c r="D255" i="1"/>
  <c r="C255" i="1" s="1"/>
  <c r="D226" i="1"/>
  <c r="C226" i="1" s="1"/>
  <c r="D378" i="1"/>
  <c r="C378" i="1" s="1"/>
  <c r="D406" i="1"/>
  <c r="C406" i="1" s="1"/>
  <c r="D102" i="1"/>
  <c r="C102" i="1" s="1"/>
  <c r="D106" i="1"/>
  <c r="C106" i="1" s="1"/>
  <c r="D237" i="1"/>
  <c r="C237" i="1" s="1"/>
  <c r="D402" i="1"/>
  <c r="C402" i="1" s="1"/>
  <c r="D460" i="1"/>
  <c r="C460" i="1" s="1"/>
  <c r="D360" i="1"/>
  <c r="C360" i="1" s="1"/>
  <c r="D8" i="1"/>
  <c r="C8" i="1" s="1"/>
  <c r="D403" i="1"/>
  <c r="C403" i="1" s="1"/>
  <c r="D35" i="1"/>
  <c r="C35" i="1" s="1"/>
  <c r="D335" i="1"/>
  <c r="C335" i="1" s="1"/>
  <c r="D52" i="1"/>
  <c r="C52" i="1" s="1"/>
  <c r="D74" i="1"/>
  <c r="C74" i="1" s="1"/>
  <c r="D121" i="1"/>
  <c r="C121" i="1" s="1"/>
  <c r="D234" i="1"/>
  <c r="C234" i="1" s="1"/>
  <c r="D496" i="1"/>
  <c r="C496" i="1" s="1"/>
  <c r="D36" i="1"/>
  <c r="C36" i="1" s="1"/>
  <c r="D111" i="1"/>
  <c r="C111" i="1" s="1"/>
  <c r="D211" i="1"/>
  <c r="C211" i="1" s="1"/>
  <c r="D199" i="1"/>
  <c r="C199" i="1" s="1"/>
  <c r="D233" i="1"/>
  <c r="C233" i="1" s="1"/>
  <c r="D62" i="1"/>
  <c r="C62" i="1" s="1"/>
  <c r="D126" i="1"/>
  <c r="C126" i="1" s="1"/>
  <c r="D286" i="1"/>
  <c r="C286" i="1" s="1"/>
  <c r="D483" i="1"/>
  <c r="C483" i="1" s="1"/>
  <c r="D12" i="1"/>
  <c r="C12" i="1" s="1"/>
  <c r="D261" i="1"/>
  <c r="C261" i="1" s="1"/>
  <c r="D101" i="1"/>
  <c r="C101" i="1" s="1"/>
  <c r="D76" i="1"/>
  <c r="C76" i="1" s="1"/>
  <c r="D150" i="1"/>
  <c r="C150" i="1" s="1"/>
  <c r="D227" i="1"/>
  <c r="C227" i="1" s="1"/>
  <c r="D139" i="1"/>
  <c r="C139" i="1" s="1"/>
  <c r="D252" i="1"/>
  <c r="C252" i="1" s="1"/>
  <c r="D386" i="1"/>
  <c r="C386" i="1" s="1"/>
  <c r="D346" i="1"/>
  <c r="C346" i="1" s="1"/>
  <c r="D354" i="1"/>
  <c r="C354" i="1" s="1"/>
  <c r="D290" i="1"/>
  <c r="C290" i="1" s="1"/>
  <c r="D442" i="1"/>
  <c r="C442" i="1" s="1"/>
  <c r="D299" i="1"/>
  <c r="C299" i="1" s="1"/>
  <c r="D179" i="1"/>
  <c r="C179" i="1" s="1"/>
  <c r="D182" i="1"/>
  <c r="C182" i="1" s="1"/>
  <c r="D267" i="1"/>
  <c r="C267" i="1" s="1"/>
  <c r="D356" i="1"/>
  <c r="C356" i="1" s="1"/>
  <c r="D29" i="1"/>
  <c r="C29" i="1" s="1"/>
  <c r="D58" i="1"/>
  <c r="C58" i="1" s="1"/>
  <c r="D434" i="1"/>
  <c r="C434" i="1" s="1"/>
  <c r="D110" i="1"/>
  <c r="C110" i="1" s="1"/>
  <c r="D295" i="1"/>
  <c r="C295" i="1" s="1"/>
  <c r="D191" i="1"/>
  <c r="C191" i="1" s="1"/>
  <c r="D20" i="1"/>
  <c r="C20" i="1" s="1"/>
  <c r="D56" i="1"/>
  <c r="C56" i="1" s="1"/>
  <c r="D177" i="1"/>
  <c r="C177" i="1" s="1"/>
  <c r="D277" i="1"/>
  <c r="C277" i="1" s="1"/>
  <c r="D113" i="1"/>
  <c r="C113" i="1" s="1"/>
  <c r="D447" i="1"/>
  <c r="C447" i="1" s="1"/>
  <c r="D464" i="1"/>
  <c r="C464" i="1" s="1"/>
  <c r="D419" i="1"/>
  <c r="C419" i="1" s="1"/>
  <c r="D83" i="1"/>
  <c r="C83" i="1" s="1"/>
  <c r="D334" i="1"/>
  <c r="C334" i="1" s="1"/>
  <c r="D342" i="1"/>
  <c r="C342" i="1" s="1"/>
  <c r="D390" i="1"/>
  <c r="C390" i="1" s="1"/>
  <c r="D340" i="1"/>
  <c r="C340" i="1" s="1"/>
  <c r="D348" i="1"/>
  <c r="C348" i="1" s="1"/>
  <c r="D159" i="1"/>
  <c r="C159" i="1" s="1"/>
  <c r="D502" i="1"/>
  <c r="C502" i="1" s="1"/>
  <c r="G22" i="1"/>
  <c r="D22" i="1" s="1"/>
  <c r="C22" i="1" s="1"/>
  <c r="G257" i="1"/>
  <c r="D257" i="1" s="1"/>
  <c r="C257" i="1" s="1"/>
  <c r="G435" i="1"/>
  <c r="D435" i="1" s="1"/>
  <c r="C435" i="1" s="1"/>
  <c r="G70" i="1"/>
  <c r="D70" i="1" s="1"/>
  <c r="C70" i="1" s="1"/>
  <c r="G103" i="1"/>
  <c r="D103" i="1" s="1"/>
  <c r="C103" i="1" s="1"/>
  <c r="G292" i="1"/>
  <c r="D292" i="1" s="1"/>
  <c r="C292" i="1" s="1"/>
  <c r="G166" i="1"/>
  <c r="D166" i="1" s="1"/>
  <c r="C166" i="1" s="1"/>
  <c r="G343" i="1"/>
  <c r="D343" i="1" s="1"/>
  <c r="C343" i="1" s="1"/>
  <c r="G16" i="1"/>
  <c r="D16" i="1" s="1"/>
  <c r="C16" i="1" s="1"/>
  <c r="G413" i="1"/>
  <c r="D413" i="1" s="1"/>
  <c r="C413" i="1" s="1"/>
  <c r="G65" i="1"/>
  <c r="D65" i="1" s="1"/>
  <c r="C65" i="1" s="1"/>
  <c r="G131" i="1"/>
  <c r="D131" i="1" s="1"/>
  <c r="C131" i="1" s="1"/>
  <c r="G268" i="1"/>
  <c r="D268" i="1" s="1"/>
  <c r="C268" i="1" s="1"/>
  <c r="G204" i="1"/>
  <c r="D204" i="1" s="1"/>
  <c r="C204" i="1" s="1"/>
  <c r="G207" i="1"/>
  <c r="D207" i="1" s="1"/>
  <c r="C207" i="1" s="1"/>
  <c r="G388" i="1"/>
  <c r="D388" i="1" s="1"/>
  <c r="C388" i="1" s="1"/>
  <c r="G165" i="1"/>
  <c r="D165" i="1" s="1"/>
  <c r="C165" i="1" s="1"/>
  <c r="G322" i="1"/>
  <c r="D322" i="1" s="1"/>
  <c r="C322" i="1" s="1"/>
  <c r="G178" i="1"/>
  <c r="D178" i="1" s="1"/>
  <c r="C178" i="1" s="1"/>
  <c r="G77" i="1"/>
  <c r="D77" i="1" s="1"/>
  <c r="C77" i="1" s="1"/>
  <c r="G495" i="1"/>
  <c r="D495" i="1" s="1"/>
  <c r="C495" i="1" s="1"/>
  <c r="G341" i="1"/>
  <c r="D341" i="1" s="1"/>
  <c r="C341" i="1" s="1"/>
  <c r="G189" i="1"/>
  <c r="D189" i="1" s="1"/>
  <c r="C189" i="1" s="1"/>
  <c r="G465" i="1"/>
  <c r="D465" i="1" s="1"/>
  <c r="C465" i="1" s="1"/>
  <c r="G197" i="1"/>
  <c r="D197" i="1" s="1"/>
  <c r="C197" i="1" s="1"/>
  <c r="G291" i="1"/>
  <c r="D291" i="1" s="1"/>
  <c r="C291" i="1" s="1"/>
  <c r="G42" i="1"/>
  <c r="D42" i="1" s="1"/>
  <c r="C42" i="1" s="1"/>
  <c r="G10" i="1"/>
  <c r="D10" i="1" s="1"/>
  <c r="C10" i="1" s="1"/>
  <c r="G362" i="1"/>
  <c r="D362" i="1" s="1"/>
  <c r="C362" i="1" s="1"/>
  <c r="G91" i="1"/>
  <c r="D91" i="1" s="1"/>
  <c r="C91" i="1" s="1"/>
  <c r="G75" i="1"/>
  <c r="D75" i="1" s="1"/>
  <c r="C75" i="1" s="1"/>
  <c r="G37" i="1"/>
  <c r="D37" i="1" s="1"/>
  <c r="C37" i="1" s="1"/>
  <c r="G396" i="1"/>
  <c r="D396" i="1" s="1"/>
  <c r="C396" i="1" s="1"/>
  <c r="G417" i="1"/>
  <c r="D417" i="1" s="1"/>
  <c r="C417" i="1" s="1"/>
  <c r="G108" i="1"/>
  <c r="D108" i="1" s="1"/>
  <c r="C108" i="1" s="1"/>
  <c r="G210" i="1"/>
  <c r="D210" i="1" s="1"/>
  <c r="C210" i="1" s="1"/>
  <c r="G423" i="1"/>
  <c r="D423" i="1" s="1"/>
  <c r="C423" i="1" s="1"/>
  <c r="G89" i="1"/>
  <c r="D89" i="1" s="1"/>
  <c r="C89" i="1" s="1"/>
  <c r="G4" i="1"/>
  <c r="D4" i="1" s="1"/>
  <c r="C4" i="1" s="1"/>
  <c r="G468" i="1"/>
  <c r="D468" i="1" s="1"/>
  <c r="C468" i="1" s="1"/>
  <c r="G32" i="1"/>
  <c r="D32" i="1" s="1"/>
  <c r="C32" i="1" s="1"/>
  <c r="G397" i="1"/>
  <c r="D397" i="1" s="1"/>
  <c r="C397" i="1" s="1"/>
  <c r="G489" i="1"/>
  <c r="D489" i="1" s="1"/>
  <c r="C489" i="1" s="1"/>
  <c r="G263" i="1"/>
  <c r="D263" i="1" s="1"/>
  <c r="C263" i="1" s="1"/>
  <c r="G51" i="1"/>
  <c r="D51" i="1" s="1"/>
  <c r="C51" i="1" s="1"/>
  <c r="G431" i="1"/>
  <c r="D431" i="1" s="1"/>
  <c r="C431" i="1" s="1"/>
  <c r="G271" i="1"/>
  <c r="D271" i="1" s="1"/>
  <c r="C271" i="1" s="1"/>
  <c r="G315" i="1"/>
  <c r="D315" i="1" s="1"/>
  <c r="C315" i="1" s="1"/>
  <c r="G193" i="1"/>
  <c r="D193" i="1" s="1"/>
  <c r="C193" i="1" s="1"/>
  <c r="G491" i="1"/>
  <c r="D491" i="1" s="1"/>
  <c r="C491" i="1" s="1"/>
  <c r="G30" i="1"/>
  <c r="D30" i="1" s="1"/>
  <c r="C30" i="1" s="1"/>
  <c r="G353" i="1"/>
  <c r="D353" i="1" s="1"/>
  <c r="C353" i="1" s="1"/>
  <c r="G96" i="1"/>
  <c r="D96" i="1" s="1"/>
  <c r="C96" i="1" s="1"/>
  <c r="G459" i="1"/>
  <c r="D459" i="1" s="1"/>
  <c r="C459" i="1" s="1"/>
  <c r="G136" i="1"/>
  <c r="D136" i="1" s="1"/>
  <c r="C136" i="1" s="1"/>
  <c r="G202" i="1"/>
  <c r="D202" i="1" s="1"/>
  <c r="C202" i="1" s="1"/>
  <c r="G28" i="1"/>
  <c r="D28" i="1" s="1"/>
  <c r="C28" i="1" s="1"/>
  <c r="G244" i="1"/>
  <c r="D244" i="1" s="1"/>
  <c r="C244" i="1" s="1"/>
  <c r="G45" i="1"/>
  <c r="D45" i="1" s="1"/>
  <c r="C45" i="1" s="1"/>
  <c r="G380" i="1"/>
  <c r="D380" i="1" s="1"/>
  <c r="C380" i="1" s="1"/>
  <c r="G173" i="1"/>
  <c r="D173" i="1" s="1"/>
  <c r="C173" i="1" s="1"/>
  <c r="G278" i="1"/>
  <c r="D278" i="1" s="1"/>
  <c r="C278" i="1" s="1"/>
  <c r="G412" i="1"/>
  <c r="D412" i="1" s="1"/>
  <c r="C412" i="1" s="1"/>
  <c r="G188" i="1"/>
  <c r="D188" i="1" s="1"/>
  <c r="C188" i="1" s="1"/>
  <c r="G448" i="1"/>
  <c r="D448" i="1" s="1"/>
  <c r="C448" i="1" s="1"/>
  <c r="G164" i="1"/>
  <c r="D164" i="1" s="1"/>
  <c r="C164" i="1" s="1"/>
  <c r="G418" i="1"/>
  <c r="D418" i="1" s="1"/>
  <c r="C418" i="1" s="1"/>
  <c r="G381" i="1"/>
  <c r="D381" i="1" s="1"/>
  <c r="C381" i="1" s="1"/>
  <c r="G99" i="1"/>
  <c r="D99" i="1" s="1"/>
  <c r="C99" i="1" s="1"/>
  <c r="G473" i="1"/>
  <c r="D473" i="1" s="1"/>
  <c r="C473" i="1" s="1"/>
  <c r="G377" i="1"/>
  <c r="D377" i="1" s="1"/>
  <c r="C377" i="1" s="1"/>
  <c r="G47" i="1"/>
  <c r="D47" i="1" s="1"/>
  <c r="C47" i="1" s="1"/>
  <c r="G428" i="1"/>
  <c r="D428" i="1" s="1"/>
  <c r="C428" i="1" s="1"/>
  <c r="G461" i="1"/>
  <c r="D461" i="1" s="1"/>
  <c r="C461" i="1" s="1"/>
  <c r="G387" i="1"/>
  <c r="D387" i="1" s="1"/>
  <c r="C387" i="1" s="1"/>
  <c r="G445" i="1"/>
  <c r="D445" i="1" s="1"/>
  <c r="C445" i="1" s="1"/>
  <c r="G155" i="1"/>
  <c r="D155" i="1" s="1"/>
  <c r="C155" i="1" s="1"/>
  <c r="G285" i="1"/>
  <c r="D285" i="1" s="1"/>
  <c r="C285" i="1" s="1"/>
  <c r="G123" i="1"/>
  <c r="D123" i="1" s="1"/>
  <c r="C123" i="1" s="1"/>
  <c r="G153" i="1"/>
  <c r="D153" i="1" s="1"/>
  <c r="C153" i="1" s="1"/>
  <c r="G433" i="1"/>
  <c r="D433" i="1" s="1"/>
  <c r="C433" i="1" s="1"/>
  <c r="G383" i="1"/>
  <c r="D383" i="1" s="1"/>
  <c r="C383" i="1" s="1"/>
  <c r="G213" i="1"/>
  <c r="D213" i="1" s="1"/>
  <c r="C213" i="1" s="1"/>
  <c r="G145" i="1"/>
  <c r="D145" i="1" s="1"/>
  <c r="C145" i="1" s="1"/>
  <c r="G326" i="1"/>
  <c r="D326" i="1" s="1"/>
  <c r="C326" i="1" s="1"/>
  <c r="G27" i="1"/>
  <c r="D27" i="1" s="1"/>
  <c r="C27" i="1" s="1"/>
  <c r="G160" i="1"/>
  <c r="D160" i="1" s="1"/>
  <c r="C160" i="1" s="1"/>
  <c r="G256" i="1"/>
  <c r="D256" i="1" s="1"/>
  <c r="C256" i="1" s="1"/>
  <c r="G92" i="1"/>
  <c r="D92" i="1" s="1"/>
  <c r="C92" i="1" s="1"/>
  <c r="G5" i="1"/>
  <c r="D5" i="1" s="1"/>
  <c r="C5" i="1" s="1"/>
  <c r="G175" i="1"/>
  <c r="D175" i="1" s="1"/>
  <c r="C175" i="1" s="1"/>
  <c r="G249" i="1"/>
  <c r="D249" i="1" s="1"/>
  <c r="C249" i="1" s="1"/>
  <c r="G55" i="1"/>
  <c r="D55" i="1" s="1"/>
  <c r="C55" i="1" s="1"/>
  <c r="G176" i="1"/>
  <c r="D176" i="1" s="1"/>
  <c r="C176" i="1" s="1"/>
  <c r="G382" i="1"/>
  <c r="D382" i="1" s="1"/>
  <c r="C382" i="1" s="1"/>
  <c r="G251" i="1"/>
  <c r="D251" i="1" s="1"/>
  <c r="C251" i="1" s="1"/>
  <c r="G482" i="1"/>
  <c r="D482" i="1" s="1"/>
  <c r="C482" i="1" s="1"/>
  <c r="G67" i="1"/>
  <c r="D67" i="1" s="1"/>
  <c r="C67" i="1" s="1"/>
  <c r="G385" i="1"/>
  <c r="D385" i="1" s="1"/>
  <c r="C385" i="1" s="1"/>
  <c r="X2" i="10"/>
  <c r="X3" i="10"/>
  <c r="Y2" i="10"/>
  <c r="Y3" i="10"/>
  <c r="Z2" i="10"/>
  <c r="Z3" i="10"/>
  <c r="AA2" i="10"/>
  <c r="AA3" i="10"/>
  <c r="AB2" i="10"/>
  <c r="AB3" i="10"/>
  <c r="AC2" i="10"/>
  <c r="AC3" i="10"/>
  <c r="AD2" i="10"/>
  <c r="AD3" i="10"/>
  <c r="AE2" i="10"/>
  <c r="AE3" i="10"/>
  <c r="AF2" i="10"/>
  <c r="AF3" i="10"/>
  <c r="AG2" i="10"/>
  <c r="AG3" i="10"/>
  <c r="AH2" i="10"/>
  <c r="AH3" i="10"/>
  <c r="AI2" i="10"/>
  <c r="AI3" i="10"/>
  <c r="AJ2" i="10"/>
  <c r="AJ3" i="10"/>
  <c r="AK2" i="10"/>
  <c r="AK3" i="10"/>
  <c r="AL2" i="10"/>
  <c r="AL3" i="10"/>
  <c r="AM2" i="10"/>
  <c r="AM3" i="10"/>
  <c r="AN2" i="10"/>
  <c r="AN3" i="10"/>
  <c r="AO2" i="10"/>
  <c r="AO3" i="10"/>
  <c r="AP2" i="10"/>
  <c r="AP3" i="10"/>
  <c r="AQ2" i="10"/>
  <c r="AQ3" i="10"/>
  <c r="AR2" i="10"/>
  <c r="AR3" i="10"/>
  <c r="AS2" i="10"/>
  <c r="AS3" i="10"/>
  <c r="AT2" i="10"/>
  <c r="AT3" i="10"/>
  <c r="AU2" i="10"/>
  <c r="AU3" i="10"/>
  <c r="AV2" i="10"/>
  <c r="AV3" i="10"/>
  <c r="AW2" i="10"/>
  <c r="AW3" i="10"/>
  <c r="AX2" i="10"/>
  <c r="AX3" i="10"/>
  <c r="AY2" i="10"/>
  <c r="AY3" i="10"/>
  <c r="AZ2" i="10"/>
  <c r="AZ3" i="10"/>
  <c r="P2" i="10"/>
  <c r="P3" i="10"/>
  <c r="Q2" i="10"/>
  <c r="Q3" i="10"/>
  <c r="R2" i="10"/>
  <c r="R3" i="10"/>
  <c r="S2" i="10"/>
  <c r="S3" i="10"/>
  <c r="T2" i="10"/>
  <c r="T3" i="10"/>
  <c r="U2" i="10"/>
  <c r="U3" i="10"/>
  <c r="V2" i="10"/>
  <c r="V3" i="10"/>
  <c r="W2" i="10"/>
  <c r="W3" i="10"/>
  <c r="O2" i="10"/>
  <c r="O3" i="10"/>
  <c r="N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tc={B71F1416-424F-4EE8-95F3-3475C6209332}</author>
  </authors>
  <commentList>
    <comment ref="I2" authorId="0" shapeId="0" xr:uid="{B71F1416-424F-4EE8-95F3-3475C62093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carries central tendency</t>
      </text>
    </comment>
  </commentList>
</comments>
</file>

<file path=xl/sharedStrings.xml><?xml version="1.0" encoding="utf-8"?>
<sst xmlns="http://schemas.openxmlformats.org/spreadsheetml/2006/main" count="1712" uniqueCount="72">
  <si>
    <t>LogNorm</t>
  </si>
  <si>
    <t>Gamma</t>
  </si>
  <si>
    <t>Randbetween</t>
  </si>
  <si>
    <t>Customer</t>
  </si>
  <si>
    <t>Invoice Date</t>
  </si>
  <si>
    <t>Sales</t>
  </si>
  <si>
    <t>Price</t>
  </si>
  <si>
    <t>Quantity</t>
  </si>
  <si>
    <t>Unit Cost</t>
  </si>
  <si>
    <t>Unit Profit</t>
  </si>
  <si>
    <t>Accumulated Sales</t>
  </si>
  <si>
    <t>TrendBlend</t>
  </si>
  <si>
    <t>Nexify</t>
  </si>
  <si>
    <t>InnoAid</t>
  </si>
  <si>
    <t>ConsultPeak</t>
  </si>
  <si>
    <t>Quorify</t>
  </si>
  <si>
    <t>DataPulse</t>
  </si>
  <si>
    <t>Inceptiq</t>
  </si>
  <si>
    <t>AdvisaLyn</t>
  </si>
  <si>
    <t>VisioMorph</t>
  </si>
  <si>
    <t>Zephyrly</t>
  </si>
  <si>
    <t>Metrify</t>
  </si>
  <si>
    <t>Trend Matrix</t>
  </si>
  <si>
    <t>Circuii</t>
  </si>
  <si>
    <t>InnovativeIQ</t>
  </si>
  <si>
    <t>Insightify</t>
  </si>
  <si>
    <t>StrategiTech</t>
  </si>
  <si>
    <t>Analytix Ridge</t>
  </si>
  <si>
    <t>VisioVise</t>
  </si>
  <si>
    <t>Mind Spark</t>
  </si>
  <si>
    <t>Data Peak</t>
  </si>
  <si>
    <t>Intelli Scope</t>
  </si>
  <si>
    <t>MindScape</t>
  </si>
  <si>
    <t>AnalyzePro</t>
  </si>
  <si>
    <t>Insight Forge</t>
  </si>
  <si>
    <t>Folvio</t>
  </si>
  <si>
    <t>Logic Pulse</t>
  </si>
  <si>
    <t>Mystiqo</t>
  </si>
  <si>
    <t>Bridgix</t>
  </si>
  <si>
    <t>Knowalytics</t>
  </si>
  <si>
    <t>Digi Vantage</t>
  </si>
  <si>
    <t>Statistro</t>
  </si>
  <si>
    <t>Strategy Beacon</t>
  </si>
  <si>
    <t>Info Nexus</t>
  </si>
  <si>
    <t>Zenith</t>
  </si>
  <si>
    <t>Strivet</t>
  </si>
  <si>
    <t>Monetiq</t>
  </si>
  <si>
    <t>TechVise</t>
  </si>
  <si>
    <t>Analytica</t>
  </si>
  <si>
    <t>DataWise</t>
  </si>
  <si>
    <t>Cost</t>
  </si>
  <si>
    <t>Profit</t>
  </si>
  <si>
    <t>Accumulated Costs</t>
  </si>
  <si>
    <t>Unit Price</t>
  </si>
  <si>
    <t>Accumulated Profit</t>
  </si>
  <si>
    <t>Accumulated Quantities</t>
  </si>
  <si>
    <t>Base - Minimum Profit</t>
  </si>
  <si>
    <t>Unit Cost - Mean Standardization</t>
  </si>
  <si>
    <t>Unit Cost - Median Standardization</t>
  </si>
  <si>
    <t>Unit Price - Mean Standardization</t>
  </si>
  <si>
    <t>Unit Price - Median Standardization</t>
  </si>
  <si>
    <t>Transposed List of Unique Customer Names</t>
  </si>
  <si>
    <t>Total sales</t>
  </si>
  <si>
    <t>Average Sales</t>
  </si>
  <si>
    <t>Invoices</t>
  </si>
  <si>
    <t>LN Transform - Profit</t>
  </si>
  <si>
    <t>LN Transform - Unit Profit</t>
  </si>
  <si>
    <t>Unit Profit - Retransormed using exp()</t>
  </si>
  <si>
    <t>Unit Profit  - Retransormed using exp()</t>
  </si>
  <si>
    <t>Ln(quantity)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</si>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</sst>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0.00000"/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Sheet1!$B$3:$B$101</c:f>
              <c:numCache>
                <c:formatCode>m/d/yyyy</c:formatCode>
                <c:ptCount val="99"/>
                <c:pt idx="0">
                  <c:v>44051</c:v>
                </c:pt>
                <c:pt idx="1">
                  <c:v>41330</c:v>
                </c:pt>
                <c:pt idx="2">
                  <c:v>44093</c:v>
                </c:pt>
                <c:pt idx="3">
                  <c:v>41136</c:v>
                </c:pt>
                <c:pt idx="4">
                  <c:v>40288</c:v>
                </c:pt>
                <c:pt idx="5">
                  <c:v>41873</c:v>
                </c:pt>
                <c:pt idx="6">
                  <c:v>43873</c:v>
                </c:pt>
                <c:pt idx="7">
                  <c:v>40858</c:v>
                </c:pt>
                <c:pt idx="8">
                  <c:v>43480</c:v>
                </c:pt>
                <c:pt idx="9">
                  <c:v>43071</c:v>
                </c:pt>
                <c:pt idx="10">
                  <c:v>42994</c:v>
                </c:pt>
                <c:pt idx="11">
                  <c:v>42613</c:v>
                </c:pt>
                <c:pt idx="12">
                  <c:v>42049</c:v>
                </c:pt>
                <c:pt idx="13">
                  <c:v>43860</c:v>
                </c:pt>
                <c:pt idx="14">
                  <c:v>42928</c:v>
                </c:pt>
                <c:pt idx="15">
                  <c:v>44124</c:v>
                </c:pt>
                <c:pt idx="16">
                  <c:v>41334</c:v>
                </c:pt>
                <c:pt idx="17">
                  <c:v>41238</c:v>
                </c:pt>
                <c:pt idx="18">
                  <c:v>42192</c:v>
                </c:pt>
                <c:pt idx="19">
                  <c:v>43699</c:v>
                </c:pt>
                <c:pt idx="20">
                  <c:v>41823</c:v>
                </c:pt>
                <c:pt idx="21">
                  <c:v>41512</c:v>
                </c:pt>
                <c:pt idx="22">
                  <c:v>42868</c:v>
                </c:pt>
                <c:pt idx="23">
                  <c:v>41340</c:v>
                </c:pt>
                <c:pt idx="24">
                  <c:v>43562</c:v>
                </c:pt>
                <c:pt idx="25">
                  <c:v>41466</c:v>
                </c:pt>
                <c:pt idx="26">
                  <c:v>44059</c:v>
                </c:pt>
                <c:pt idx="27">
                  <c:v>42380</c:v>
                </c:pt>
                <c:pt idx="28">
                  <c:v>43091</c:v>
                </c:pt>
                <c:pt idx="29">
                  <c:v>42238</c:v>
                </c:pt>
                <c:pt idx="30">
                  <c:v>40232</c:v>
                </c:pt>
                <c:pt idx="31">
                  <c:v>43962</c:v>
                </c:pt>
                <c:pt idx="32">
                  <c:v>42262</c:v>
                </c:pt>
                <c:pt idx="33">
                  <c:v>43870</c:v>
                </c:pt>
                <c:pt idx="34">
                  <c:v>40882</c:v>
                </c:pt>
                <c:pt idx="35">
                  <c:v>43963</c:v>
                </c:pt>
                <c:pt idx="36">
                  <c:v>42807</c:v>
                </c:pt>
                <c:pt idx="37">
                  <c:v>42873</c:v>
                </c:pt>
                <c:pt idx="38">
                  <c:v>40518</c:v>
                </c:pt>
                <c:pt idx="39">
                  <c:v>40926</c:v>
                </c:pt>
                <c:pt idx="40">
                  <c:v>41731</c:v>
                </c:pt>
                <c:pt idx="41">
                  <c:v>42986</c:v>
                </c:pt>
                <c:pt idx="42">
                  <c:v>40938</c:v>
                </c:pt>
                <c:pt idx="43">
                  <c:v>41896</c:v>
                </c:pt>
                <c:pt idx="44">
                  <c:v>43766</c:v>
                </c:pt>
                <c:pt idx="45">
                  <c:v>40558</c:v>
                </c:pt>
                <c:pt idx="46">
                  <c:v>43075</c:v>
                </c:pt>
                <c:pt idx="47">
                  <c:v>40703</c:v>
                </c:pt>
                <c:pt idx="48">
                  <c:v>41144</c:v>
                </c:pt>
                <c:pt idx="49">
                  <c:v>42049</c:v>
                </c:pt>
                <c:pt idx="50">
                  <c:v>41524</c:v>
                </c:pt>
                <c:pt idx="51">
                  <c:v>43854</c:v>
                </c:pt>
                <c:pt idx="52">
                  <c:v>43819</c:v>
                </c:pt>
                <c:pt idx="53">
                  <c:v>40828</c:v>
                </c:pt>
                <c:pt idx="54">
                  <c:v>40761</c:v>
                </c:pt>
                <c:pt idx="55">
                  <c:v>40595</c:v>
                </c:pt>
                <c:pt idx="56">
                  <c:v>43522</c:v>
                </c:pt>
                <c:pt idx="57">
                  <c:v>43321</c:v>
                </c:pt>
                <c:pt idx="58">
                  <c:v>41629</c:v>
                </c:pt>
                <c:pt idx="59">
                  <c:v>40200</c:v>
                </c:pt>
                <c:pt idx="60">
                  <c:v>40446</c:v>
                </c:pt>
                <c:pt idx="61">
                  <c:v>40571</c:v>
                </c:pt>
                <c:pt idx="62">
                  <c:v>40846</c:v>
                </c:pt>
                <c:pt idx="63">
                  <c:v>40394</c:v>
                </c:pt>
                <c:pt idx="64">
                  <c:v>43421</c:v>
                </c:pt>
                <c:pt idx="65">
                  <c:v>41115</c:v>
                </c:pt>
                <c:pt idx="66">
                  <c:v>43286</c:v>
                </c:pt>
                <c:pt idx="67">
                  <c:v>41279</c:v>
                </c:pt>
                <c:pt idx="68">
                  <c:v>43800</c:v>
                </c:pt>
                <c:pt idx="69">
                  <c:v>40686</c:v>
                </c:pt>
                <c:pt idx="70">
                  <c:v>43364</c:v>
                </c:pt>
                <c:pt idx="71">
                  <c:v>43353</c:v>
                </c:pt>
                <c:pt idx="72">
                  <c:v>43624</c:v>
                </c:pt>
                <c:pt idx="73">
                  <c:v>41799</c:v>
                </c:pt>
                <c:pt idx="74">
                  <c:v>42072</c:v>
                </c:pt>
                <c:pt idx="75">
                  <c:v>44049</c:v>
                </c:pt>
                <c:pt idx="76">
                  <c:v>41741</c:v>
                </c:pt>
                <c:pt idx="77">
                  <c:v>40560</c:v>
                </c:pt>
                <c:pt idx="78">
                  <c:v>42701</c:v>
                </c:pt>
                <c:pt idx="79">
                  <c:v>41872</c:v>
                </c:pt>
                <c:pt idx="80">
                  <c:v>41236</c:v>
                </c:pt>
                <c:pt idx="81">
                  <c:v>44001</c:v>
                </c:pt>
                <c:pt idx="82">
                  <c:v>42031</c:v>
                </c:pt>
                <c:pt idx="83">
                  <c:v>42685</c:v>
                </c:pt>
                <c:pt idx="84">
                  <c:v>43895</c:v>
                </c:pt>
                <c:pt idx="85">
                  <c:v>43395</c:v>
                </c:pt>
                <c:pt idx="86">
                  <c:v>41122</c:v>
                </c:pt>
                <c:pt idx="87">
                  <c:v>42750</c:v>
                </c:pt>
                <c:pt idx="88">
                  <c:v>42512</c:v>
                </c:pt>
                <c:pt idx="89">
                  <c:v>42793</c:v>
                </c:pt>
                <c:pt idx="90">
                  <c:v>40426</c:v>
                </c:pt>
                <c:pt idx="91">
                  <c:v>43699</c:v>
                </c:pt>
                <c:pt idx="92">
                  <c:v>43902</c:v>
                </c:pt>
                <c:pt idx="93">
                  <c:v>41856</c:v>
                </c:pt>
                <c:pt idx="94">
                  <c:v>43391</c:v>
                </c:pt>
                <c:pt idx="95">
                  <c:v>40948</c:v>
                </c:pt>
                <c:pt idx="96">
                  <c:v>43526</c:v>
                </c:pt>
                <c:pt idx="97">
                  <c:v>40736</c:v>
                </c:pt>
                <c:pt idx="98">
                  <c:v>41091</c:v>
                </c:pt>
              </c:numCache>
            </c:numRef>
          </c:cat>
          <c:val>
            <c:numRef>
              <c:f>Sheet1!$C$3:$C$101</c:f>
              <c:numCache>
                <c:formatCode>0.00</c:formatCode>
                <c:ptCount val="99"/>
                <c:pt idx="0">
                  <c:v>8158.5901955511399</c:v>
                </c:pt>
                <c:pt idx="1">
                  <c:v>0</c:v>
                </c:pt>
                <c:pt idx="2">
                  <c:v>735.46845527989603</c:v>
                </c:pt>
                <c:pt idx="3">
                  <c:v>4568.9388005151304</c:v>
                </c:pt>
                <c:pt idx="4">
                  <c:v>9858.5898971945808</c:v>
                </c:pt>
                <c:pt idx="5">
                  <c:v>855.5099720439265</c:v>
                </c:pt>
                <c:pt idx="6">
                  <c:v>6479.289830380083</c:v>
                </c:pt>
                <c:pt idx="7">
                  <c:v>1287.5695730055561</c:v>
                </c:pt>
                <c:pt idx="8">
                  <c:v>296.73388961474268</c:v>
                </c:pt>
                <c:pt idx="9">
                  <c:v>546.71990511127524</c:v>
                </c:pt>
                <c:pt idx="10">
                  <c:v>655.68398761076719</c:v>
                </c:pt>
                <c:pt idx="11">
                  <c:v>6261.9049515541737</c:v>
                </c:pt>
                <c:pt idx="12">
                  <c:v>4207.8667072347489</c:v>
                </c:pt>
                <c:pt idx="13">
                  <c:v>3209.2836179186256</c:v>
                </c:pt>
                <c:pt idx="14">
                  <c:v>1408.4475108009922</c:v>
                </c:pt>
                <c:pt idx="15">
                  <c:v>1549.1300791877243</c:v>
                </c:pt>
                <c:pt idx="16">
                  <c:v>10079.738373747936</c:v>
                </c:pt>
                <c:pt idx="17">
                  <c:v>1157.2183809479563</c:v>
                </c:pt>
                <c:pt idx="18">
                  <c:v>4893.4317383883999</c:v>
                </c:pt>
                <c:pt idx="19">
                  <c:v>984.33564749417656</c:v>
                </c:pt>
                <c:pt idx="20">
                  <c:v>589.25653349125889</c:v>
                </c:pt>
                <c:pt idx="21">
                  <c:v>3599.2807272741111</c:v>
                </c:pt>
                <c:pt idx="22">
                  <c:v>2747.3649381209298</c:v>
                </c:pt>
                <c:pt idx="23">
                  <c:v>16535.650696537446</c:v>
                </c:pt>
                <c:pt idx="24">
                  <c:v>6545.8064985081537</c:v>
                </c:pt>
                <c:pt idx="25">
                  <c:v>3060.4715897877086</c:v>
                </c:pt>
                <c:pt idx="26">
                  <c:v>2107.7690391452638</c:v>
                </c:pt>
                <c:pt idx="27">
                  <c:v>9305.2434119446643</c:v>
                </c:pt>
                <c:pt idx="28">
                  <c:v>4727.1514098350044</c:v>
                </c:pt>
                <c:pt idx="29">
                  <c:v>4546.7838986085471</c:v>
                </c:pt>
                <c:pt idx="30">
                  <c:v>2344.6894319149883</c:v>
                </c:pt>
                <c:pt idx="31">
                  <c:v>2338.3834487827544</c:v>
                </c:pt>
                <c:pt idx="32">
                  <c:v>164.26768216179471</c:v>
                </c:pt>
                <c:pt idx="33">
                  <c:v>4972.3132562788896</c:v>
                </c:pt>
                <c:pt idx="34">
                  <c:v>13008.453612177282</c:v>
                </c:pt>
                <c:pt idx="35">
                  <c:v>884.69671838533407</c:v>
                </c:pt>
                <c:pt idx="36">
                  <c:v>2060.7571640456899</c:v>
                </c:pt>
                <c:pt idx="37">
                  <c:v>1927.6831851376153</c:v>
                </c:pt>
                <c:pt idx="38">
                  <c:v>1479.0115030537547</c:v>
                </c:pt>
                <c:pt idx="39">
                  <c:v>1882.2941496949836</c:v>
                </c:pt>
                <c:pt idx="40">
                  <c:v>7077.3726686375921</c:v>
                </c:pt>
                <c:pt idx="41">
                  <c:v>1813.6795539771438</c:v>
                </c:pt>
                <c:pt idx="42">
                  <c:v>1049.7772500884269</c:v>
                </c:pt>
                <c:pt idx="43">
                  <c:v>1019.8370454544386</c:v>
                </c:pt>
                <c:pt idx="44">
                  <c:v>1765.8891087234297</c:v>
                </c:pt>
                <c:pt idx="45">
                  <c:v>182.60685541628354</c:v>
                </c:pt>
                <c:pt idx="46">
                  <c:v>4629.3256850417174</c:v>
                </c:pt>
                <c:pt idx="47">
                  <c:v>13364.286090841952</c:v>
                </c:pt>
                <c:pt idx="48">
                  <c:v>1562.6254330328834</c:v>
                </c:pt>
                <c:pt idx="49">
                  <c:v>14294.959513035616</c:v>
                </c:pt>
                <c:pt idx="50">
                  <c:v>2268.5855061543812</c:v>
                </c:pt>
                <c:pt idx="51">
                  <c:v>1323.4324643258558</c:v>
                </c:pt>
                <c:pt idx="52">
                  <c:v>3235.5586416004694</c:v>
                </c:pt>
                <c:pt idx="53">
                  <c:v>4344.0047380805599</c:v>
                </c:pt>
                <c:pt idx="54">
                  <c:v>2512.1677092688728</c:v>
                </c:pt>
                <c:pt idx="55">
                  <c:v>573.20984815269935</c:v>
                </c:pt>
                <c:pt idx="56">
                  <c:v>2708.0775542659717</c:v>
                </c:pt>
                <c:pt idx="57">
                  <c:v>1608.4405584356455</c:v>
                </c:pt>
                <c:pt idx="58">
                  <c:v>4779.9397382374536</c:v>
                </c:pt>
                <c:pt idx="59">
                  <c:v>884.2811195582334</c:v>
                </c:pt>
                <c:pt idx="60">
                  <c:v>1091.3390535148772</c:v>
                </c:pt>
                <c:pt idx="61">
                  <c:v>147.12003518425837</c:v>
                </c:pt>
                <c:pt idx="62">
                  <c:v>2620.2425737685553</c:v>
                </c:pt>
                <c:pt idx="63">
                  <c:v>724.01809221273038</c:v>
                </c:pt>
                <c:pt idx="64">
                  <c:v>3683.4513685308912</c:v>
                </c:pt>
                <c:pt idx="65">
                  <c:v>321.99500457586771</c:v>
                </c:pt>
                <c:pt idx="66">
                  <c:v>1126.9901272609534</c:v>
                </c:pt>
                <c:pt idx="67">
                  <c:v>843.19600217854986</c:v>
                </c:pt>
                <c:pt idx="68">
                  <c:v>3400.798726187159</c:v>
                </c:pt>
                <c:pt idx="69">
                  <c:v>2053.942853606909</c:v>
                </c:pt>
                <c:pt idx="70">
                  <c:v>254.65978171934319</c:v>
                </c:pt>
                <c:pt idx="71">
                  <c:v>7289.5876814846251</c:v>
                </c:pt>
                <c:pt idx="72">
                  <c:v>1556.8247563759069</c:v>
                </c:pt>
                <c:pt idx="73">
                  <c:v>4665.1842358918157</c:v>
                </c:pt>
                <c:pt idx="74">
                  <c:v>19984.444318095673</c:v>
                </c:pt>
                <c:pt idx="75">
                  <c:v>989.07723546084344</c:v>
                </c:pt>
                <c:pt idx="76">
                  <c:v>10763.284099496328</c:v>
                </c:pt>
                <c:pt idx="77">
                  <c:v>2019.755869181346</c:v>
                </c:pt>
                <c:pt idx="78">
                  <c:v>2885.7607419123419</c:v>
                </c:pt>
                <c:pt idx="79">
                  <c:v>420.49186573735886</c:v>
                </c:pt>
                <c:pt idx="80">
                  <c:v>3757.9866567353392</c:v>
                </c:pt>
                <c:pt idx="81">
                  <c:v>7227.0629651706195</c:v>
                </c:pt>
                <c:pt idx="82">
                  <c:v>482.84719325209835</c:v>
                </c:pt>
                <c:pt idx="83">
                  <c:v>2160.171089364811</c:v>
                </c:pt>
                <c:pt idx="84">
                  <c:v>1115.4177108749234</c:v>
                </c:pt>
                <c:pt idx="85">
                  <c:v>4510.900358103866</c:v>
                </c:pt>
                <c:pt idx="86">
                  <c:v>1861.4233947362563</c:v>
                </c:pt>
                <c:pt idx="87">
                  <c:v>1795.8089501178681</c:v>
                </c:pt>
                <c:pt idx="88">
                  <c:v>552.70575295893457</c:v>
                </c:pt>
                <c:pt idx="89">
                  <c:v>5325.7627814639181</c:v>
                </c:pt>
                <c:pt idx="90">
                  <c:v>3343.8750133715312</c:v>
                </c:pt>
                <c:pt idx="91">
                  <c:v>851.79568745067286</c:v>
                </c:pt>
                <c:pt idx="92">
                  <c:v>1062.631858453497</c:v>
                </c:pt>
                <c:pt idx="93">
                  <c:v>8870.2761440219001</c:v>
                </c:pt>
                <c:pt idx="94">
                  <c:v>1533.5223496237561</c:v>
                </c:pt>
                <c:pt idx="95">
                  <c:v>4549.2635473087639</c:v>
                </c:pt>
                <c:pt idx="96">
                  <c:v>3637.5559700714266</c:v>
                </c:pt>
                <c:pt idx="97">
                  <c:v>1511.5858070805</c:v>
                </c:pt>
                <c:pt idx="98">
                  <c:v>309.22729171302069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B-43A1-8D9F-AC7224DE6AB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Sheet1!$B$3:$B$101</c:f>
              <c:numCache>
                <c:formatCode>m/d/yyyy</c:formatCode>
                <c:ptCount val="99"/>
                <c:pt idx="0">
                  <c:v>44051</c:v>
                </c:pt>
                <c:pt idx="1">
                  <c:v>41330</c:v>
                </c:pt>
                <c:pt idx="2">
                  <c:v>44093</c:v>
                </c:pt>
                <c:pt idx="3">
                  <c:v>41136</c:v>
                </c:pt>
                <c:pt idx="4">
                  <c:v>40288</c:v>
                </c:pt>
                <c:pt idx="5">
                  <c:v>41873</c:v>
                </c:pt>
                <c:pt idx="6">
                  <c:v>43873</c:v>
                </c:pt>
                <c:pt idx="7">
                  <c:v>40858</c:v>
                </c:pt>
                <c:pt idx="8">
                  <c:v>43480</c:v>
                </c:pt>
                <c:pt idx="9">
                  <c:v>43071</c:v>
                </c:pt>
                <c:pt idx="10">
                  <c:v>42994</c:v>
                </c:pt>
                <c:pt idx="11">
                  <c:v>42613</c:v>
                </c:pt>
                <c:pt idx="12">
                  <c:v>42049</c:v>
                </c:pt>
                <c:pt idx="13">
                  <c:v>43860</c:v>
                </c:pt>
                <c:pt idx="14">
                  <c:v>42928</c:v>
                </c:pt>
                <c:pt idx="15">
                  <c:v>44124</c:v>
                </c:pt>
                <c:pt idx="16">
                  <c:v>41334</c:v>
                </c:pt>
                <c:pt idx="17">
                  <c:v>41238</c:v>
                </c:pt>
                <c:pt idx="18">
                  <c:v>42192</c:v>
                </c:pt>
                <c:pt idx="19">
                  <c:v>43699</c:v>
                </c:pt>
                <c:pt idx="20">
                  <c:v>41823</c:v>
                </c:pt>
                <c:pt idx="21">
                  <c:v>41512</c:v>
                </c:pt>
                <c:pt idx="22">
                  <c:v>42868</c:v>
                </c:pt>
                <c:pt idx="23">
                  <c:v>41340</c:v>
                </c:pt>
                <c:pt idx="24">
                  <c:v>43562</c:v>
                </c:pt>
                <c:pt idx="25">
                  <c:v>41466</c:v>
                </c:pt>
                <c:pt idx="26">
                  <c:v>44059</c:v>
                </c:pt>
                <c:pt idx="27">
                  <c:v>42380</c:v>
                </c:pt>
                <c:pt idx="28">
                  <c:v>43091</c:v>
                </c:pt>
                <c:pt idx="29">
                  <c:v>42238</c:v>
                </c:pt>
                <c:pt idx="30">
                  <c:v>40232</c:v>
                </c:pt>
                <c:pt idx="31">
                  <c:v>43962</c:v>
                </c:pt>
                <c:pt idx="32">
                  <c:v>42262</c:v>
                </c:pt>
                <c:pt idx="33">
                  <c:v>43870</c:v>
                </c:pt>
                <c:pt idx="34">
                  <c:v>40882</c:v>
                </c:pt>
                <c:pt idx="35">
                  <c:v>43963</c:v>
                </c:pt>
                <c:pt idx="36">
                  <c:v>42807</c:v>
                </c:pt>
                <c:pt idx="37">
                  <c:v>42873</c:v>
                </c:pt>
                <c:pt idx="38">
                  <c:v>40518</c:v>
                </c:pt>
                <c:pt idx="39">
                  <c:v>40926</c:v>
                </c:pt>
                <c:pt idx="40">
                  <c:v>41731</c:v>
                </c:pt>
                <c:pt idx="41">
                  <c:v>42986</c:v>
                </c:pt>
                <c:pt idx="42">
                  <c:v>40938</c:v>
                </c:pt>
                <c:pt idx="43">
                  <c:v>41896</c:v>
                </c:pt>
                <c:pt idx="44">
                  <c:v>43766</c:v>
                </c:pt>
                <c:pt idx="45">
                  <c:v>40558</c:v>
                </c:pt>
                <c:pt idx="46">
                  <c:v>43075</c:v>
                </c:pt>
                <c:pt idx="47">
                  <c:v>40703</c:v>
                </c:pt>
                <c:pt idx="48">
                  <c:v>41144</c:v>
                </c:pt>
                <c:pt idx="49">
                  <c:v>42049</c:v>
                </c:pt>
                <c:pt idx="50">
                  <c:v>41524</c:v>
                </c:pt>
                <c:pt idx="51">
                  <c:v>43854</c:v>
                </c:pt>
                <c:pt idx="52">
                  <c:v>43819</c:v>
                </c:pt>
                <c:pt idx="53">
                  <c:v>40828</c:v>
                </c:pt>
                <c:pt idx="54">
                  <c:v>40761</c:v>
                </c:pt>
                <c:pt idx="55">
                  <c:v>40595</c:v>
                </c:pt>
                <c:pt idx="56">
                  <c:v>43522</c:v>
                </c:pt>
                <c:pt idx="57">
                  <c:v>43321</c:v>
                </c:pt>
                <c:pt idx="58">
                  <c:v>41629</c:v>
                </c:pt>
                <c:pt idx="59">
                  <c:v>40200</c:v>
                </c:pt>
                <c:pt idx="60">
                  <c:v>40446</c:v>
                </c:pt>
                <c:pt idx="61">
                  <c:v>40571</c:v>
                </c:pt>
                <c:pt idx="62">
                  <c:v>40846</c:v>
                </c:pt>
                <c:pt idx="63">
                  <c:v>40394</c:v>
                </c:pt>
                <c:pt idx="64">
                  <c:v>43421</c:v>
                </c:pt>
                <c:pt idx="65">
                  <c:v>41115</c:v>
                </c:pt>
                <c:pt idx="66">
                  <c:v>43286</c:v>
                </c:pt>
                <c:pt idx="67">
                  <c:v>41279</c:v>
                </c:pt>
                <c:pt idx="68">
                  <c:v>43800</c:v>
                </c:pt>
                <c:pt idx="69">
                  <c:v>40686</c:v>
                </c:pt>
                <c:pt idx="70">
                  <c:v>43364</c:v>
                </c:pt>
                <c:pt idx="71">
                  <c:v>43353</c:v>
                </c:pt>
                <c:pt idx="72">
                  <c:v>43624</c:v>
                </c:pt>
                <c:pt idx="73">
                  <c:v>41799</c:v>
                </c:pt>
                <c:pt idx="74">
                  <c:v>42072</c:v>
                </c:pt>
                <c:pt idx="75">
                  <c:v>44049</c:v>
                </c:pt>
                <c:pt idx="76">
                  <c:v>41741</c:v>
                </c:pt>
                <c:pt idx="77">
                  <c:v>40560</c:v>
                </c:pt>
                <c:pt idx="78">
                  <c:v>42701</c:v>
                </c:pt>
                <c:pt idx="79">
                  <c:v>41872</c:v>
                </c:pt>
                <c:pt idx="80">
                  <c:v>41236</c:v>
                </c:pt>
                <c:pt idx="81">
                  <c:v>44001</c:v>
                </c:pt>
                <c:pt idx="82">
                  <c:v>42031</c:v>
                </c:pt>
                <c:pt idx="83">
                  <c:v>42685</c:v>
                </c:pt>
                <c:pt idx="84">
                  <c:v>43895</c:v>
                </c:pt>
                <c:pt idx="85">
                  <c:v>43395</c:v>
                </c:pt>
                <c:pt idx="86">
                  <c:v>41122</c:v>
                </c:pt>
                <c:pt idx="87">
                  <c:v>42750</c:v>
                </c:pt>
                <c:pt idx="88">
                  <c:v>42512</c:v>
                </c:pt>
                <c:pt idx="89">
                  <c:v>42793</c:v>
                </c:pt>
                <c:pt idx="90">
                  <c:v>40426</c:v>
                </c:pt>
                <c:pt idx="91">
                  <c:v>43699</c:v>
                </c:pt>
                <c:pt idx="92">
                  <c:v>43902</c:v>
                </c:pt>
                <c:pt idx="93">
                  <c:v>41856</c:v>
                </c:pt>
                <c:pt idx="94">
                  <c:v>43391</c:v>
                </c:pt>
                <c:pt idx="95">
                  <c:v>40948</c:v>
                </c:pt>
                <c:pt idx="96">
                  <c:v>43526</c:v>
                </c:pt>
                <c:pt idx="97">
                  <c:v>40736</c:v>
                </c:pt>
                <c:pt idx="98">
                  <c:v>41091</c:v>
                </c:pt>
              </c:numCache>
            </c:numRef>
          </c:cat>
          <c:val>
            <c:numRef>
              <c:f>Sheet1!$H$3:$H$502</c:f>
              <c:numCache>
                <c:formatCode>0.00</c:formatCode>
                <c:ptCount val="5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C-41CD-8F7A-06640D07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953543"/>
        <c:axId val="805956103"/>
      </c:lineChart>
      <c:dateAx>
        <c:axId val="8059535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56103"/>
        <c:crosses val="autoZero"/>
        <c:auto val="1"/>
        <c:lblOffset val="100"/>
        <c:baseTimeUnit val="months"/>
        <c:minorUnit val="1"/>
        <c:minorTimeUnit val="months"/>
      </c:dateAx>
      <c:valAx>
        <c:axId val="805956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5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Unit Cost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Sheet1!$E$3:$E$101</c:f>
              <c:numCache>
                <c:formatCode>0</c:formatCode>
                <c:ptCount val="99"/>
                <c:pt idx="0">
                  <c:v>68</c:v>
                </c:pt>
                <c:pt idx="1">
                  <c:v>0</c:v>
                </c:pt>
                <c:pt idx="2">
                  <c:v>5</c:v>
                </c:pt>
                <c:pt idx="3">
                  <c:v>25</c:v>
                </c:pt>
                <c:pt idx="4">
                  <c:v>145</c:v>
                </c:pt>
                <c:pt idx="5">
                  <c:v>12</c:v>
                </c:pt>
                <c:pt idx="6">
                  <c:v>31</c:v>
                </c:pt>
                <c:pt idx="7">
                  <c:v>17</c:v>
                </c:pt>
                <c:pt idx="8">
                  <c:v>8</c:v>
                </c:pt>
                <c:pt idx="9">
                  <c:v>17</c:v>
                </c:pt>
                <c:pt idx="10">
                  <c:v>7</c:v>
                </c:pt>
                <c:pt idx="11">
                  <c:v>74</c:v>
                </c:pt>
                <c:pt idx="12">
                  <c:v>23</c:v>
                </c:pt>
                <c:pt idx="13">
                  <c:v>35</c:v>
                </c:pt>
                <c:pt idx="14">
                  <c:v>16</c:v>
                </c:pt>
                <c:pt idx="15">
                  <c:v>13</c:v>
                </c:pt>
                <c:pt idx="16">
                  <c:v>117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7</c:v>
                </c:pt>
                <c:pt idx="21">
                  <c:v>22</c:v>
                </c:pt>
                <c:pt idx="22">
                  <c:v>40</c:v>
                </c:pt>
                <c:pt idx="23">
                  <c:v>96</c:v>
                </c:pt>
                <c:pt idx="24">
                  <c:v>51</c:v>
                </c:pt>
                <c:pt idx="25">
                  <c:v>20</c:v>
                </c:pt>
                <c:pt idx="26">
                  <c:v>14</c:v>
                </c:pt>
                <c:pt idx="27">
                  <c:v>35</c:v>
                </c:pt>
                <c:pt idx="28">
                  <c:v>20</c:v>
                </c:pt>
                <c:pt idx="29">
                  <c:v>51</c:v>
                </c:pt>
                <c:pt idx="30">
                  <c:v>51</c:v>
                </c:pt>
                <c:pt idx="31">
                  <c:v>20</c:v>
                </c:pt>
                <c:pt idx="32">
                  <c:v>2</c:v>
                </c:pt>
                <c:pt idx="33">
                  <c:v>41</c:v>
                </c:pt>
                <c:pt idx="34">
                  <c:v>74</c:v>
                </c:pt>
                <c:pt idx="35">
                  <c:v>13</c:v>
                </c:pt>
                <c:pt idx="36">
                  <c:v>12</c:v>
                </c:pt>
                <c:pt idx="37">
                  <c:v>32</c:v>
                </c:pt>
                <c:pt idx="38">
                  <c:v>10</c:v>
                </c:pt>
                <c:pt idx="39">
                  <c:v>13</c:v>
                </c:pt>
                <c:pt idx="40">
                  <c:v>70</c:v>
                </c:pt>
                <c:pt idx="41">
                  <c:v>24</c:v>
                </c:pt>
                <c:pt idx="42">
                  <c:v>11</c:v>
                </c:pt>
                <c:pt idx="43">
                  <c:v>11</c:v>
                </c:pt>
                <c:pt idx="44">
                  <c:v>18</c:v>
                </c:pt>
                <c:pt idx="45">
                  <c:v>1</c:v>
                </c:pt>
                <c:pt idx="46">
                  <c:v>46</c:v>
                </c:pt>
                <c:pt idx="47">
                  <c:v>121</c:v>
                </c:pt>
                <c:pt idx="48">
                  <c:v>16</c:v>
                </c:pt>
                <c:pt idx="49">
                  <c:v>67</c:v>
                </c:pt>
                <c:pt idx="50">
                  <c:v>10</c:v>
                </c:pt>
                <c:pt idx="51">
                  <c:v>17</c:v>
                </c:pt>
                <c:pt idx="52">
                  <c:v>41</c:v>
                </c:pt>
                <c:pt idx="53">
                  <c:v>19</c:v>
                </c:pt>
                <c:pt idx="54">
                  <c:v>30</c:v>
                </c:pt>
                <c:pt idx="55">
                  <c:v>6</c:v>
                </c:pt>
                <c:pt idx="56">
                  <c:v>18</c:v>
                </c:pt>
                <c:pt idx="57">
                  <c:v>15</c:v>
                </c:pt>
                <c:pt idx="58">
                  <c:v>26</c:v>
                </c:pt>
                <c:pt idx="59">
                  <c:v>15</c:v>
                </c:pt>
                <c:pt idx="60">
                  <c:v>12</c:v>
                </c:pt>
                <c:pt idx="61">
                  <c:v>2</c:v>
                </c:pt>
                <c:pt idx="62">
                  <c:v>27</c:v>
                </c:pt>
                <c:pt idx="63">
                  <c:v>11</c:v>
                </c:pt>
                <c:pt idx="64">
                  <c:v>39</c:v>
                </c:pt>
                <c:pt idx="65">
                  <c:v>4</c:v>
                </c:pt>
                <c:pt idx="66">
                  <c:v>15</c:v>
                </c:pt>
                <c:pt idx="67">
                  <c:v>17</c:v>
                </c:pt>
                <c:pt idx="68">
                  <c:v>21</c:v>
                </c:pt>
                <c:pt idx="69">
                  <c:v>12</c:v>
                </c:pt>
                <c:pt idx="70">
                  <c:v>3</c:v>
                </c:pt>
                <c:pt idx="71">
                  <c:v>34</c:v>
                </c:pt>
                <c:pt idx="72">
                  <c:v>21</c:v>
                </c:pt>
                <c:pt idx="73">
                  <c:v>41</c:v>
                </c:pt>
                <c:pt idx="74">
                  <c:v>115</c:v>
                </c:pt>
                <c:pt idx="75">
                  <c:v>32</c:v>
                </c:pt>
                <c:pt idx="76">
                  <c:v>54</c:v>
                </c:pt>
                <c:pt idx="77">
                  <c:v>14</c:v>
                </c:pt>
                <c:pt idx="78">
                  <c:v>23</c:v>
                </c:pt>
                <c:pt idx="79">
                  <c:v>7</c:v>
                </c:pt>
                <c:pt idx="80">
                  <c:v>30</c:v>
                </c:pt>
                <c:pt idx="81">
                  <c:v>66</c:v>
                </c:pt>
                <c:pt idx="82">
                  <c:v>4</c:v>
                </c:pt>
                <c:pt idx="83">
                  <c:v>18</c:v>
                </c:pt>
                <c:pt idx="84">
                  <c:v>12</c:v>
                </c:pt>
                <c:pt idx="85">
                  <c:v>25</c:v>
                </c:pt>
                <c:pt idx="86">
                  <c:v>8</c:v>
                </c:pt>
                <c:pt idx="87">
                  <c:v>26</c:v>
                </c:pt>
                <c:pt idx="88">
                  <c:v>7</c:v>
                </c:pt>
                <c:pt idx="89">
                  <c:v>27</c:v>
                </c:pt>
                <c:pt idx="90">
                  <c:v>25</c:v>
                </c:pt>
                <c:pt idx="91">
                  <c:v>9</c:v>
                </c:pt>
                <c:pt idx="92">
                  <c:v>11</c:v>
                </c:pt>
                <c:pt idx="93">
                  <c:v>63</c:v>
                </c:pt>
                <c:pt idx="94">
                  <c:v>6</c:v>
                </c:pt>
                <c:pt idx="95">
                  <c:v>28</c:v>
                </c:pt>
                <c:pt idx="96">
                  <c:v>22</c:v>
                </c:pt>
                <c:pt idx="97">
                  <c:v>13</c:v>
                </c:pt>
                <c:pt idx="98">
                  <c:v>4</c:v>
                </c:pt>
              </c:numCache>
            </c:numRef>
          </c:xVal>
          <c:yVal>
            <c:numRef>
              <c:f>Sheet1!$F$3:$F$101</c:f>
              <c:numCache>
                <c:formatCode>0.00</c:formatCode>
                <c:ptCount val="99"/>
                <c:pt idx="0">
                  <c:v>67.979267581634417</c:v>
                </c:pt>
                <c:pt idx="1">
                  <c:v>87.910675517622636</c:v>
                </c:pt>
                <c:pt idx="2">
                  <c:v>67.093691055979207</c:v>
                </c:pt>
                <c:pt idx="3">
                  <c:v>92.757552020605218</c:v>
                </c:pt>
                <c:pt idx="4">
                  <c:v>36.990275153066079</c:v>
                </c:pt>
                <c:pt idx="5">
                  <c:v>47.292497670327208</c:v>
                </c:pt>
                <c:pt idx="6">
                  <c:v>102.00934936709943</c:v>
                </c:pt>
                <c:pt idx="7">
                  <c:v>42.739386647385651</c:v>
                </c:pt>
                <c:pt idx="8">
                  <c:v>18.091736201842831</c:v>
                </c:pt>
                <c:pt idx="9">
                  <c:v>21.159994418310301</c:v>
                </c:pt>
                <c:pt idx="10">
                  <c:v>53.669141087252449</c:v>
                </c:pt>
                <c:pt idx="11">
                  <c:v>35.620337183164516</c:v>
                </c:pt>
                <c:pt idx="12">
                  <c:v>85.950726401510821</c:v>
                </c:pt>
                <c:pt idx="13">
                  <c:v>58.693817654817884</c:v>
                </c:pt>
                <c:pt idx="14">
                  <c:v>41.027969425062011</c:v>
                </c:pt>
                <c:pt idx="15">
                  <c:v>49.163852245209561</c:v>
                </c:pt>
                <c:pt idx="16">
                  <c:v>37.151610032033645</c:v>
                </c:pt>
                <c:pt idx="17">
                  <c:v>72.57982010532848</c:v>
                </c:pt>
                <c:pt idx="18">
                  <c:v>122.75790166906089</c:v>
                </c:pt>
                <c:pt idx="19">
                  <c:v>28.685313749676475</c:v>
                </c:pt>
                <c:pt idx="20">
                  <c:v>38.17950478446555</c:v>
                </c:pt>
                <c:pt idx="21">
                  <c:v>89.603669421550507</c:v>
                </c:pt>
                <c:pt idx="22">
                  <c:v>31.684123453023243</c:v>
                </c:pt>
                <c:pt idx="23">
                  <c:v>69.246361422265082</c:v>
                </c:pt>
                <c:pt idx="24">
                  <c:v>52.349147029571647</c:v>
                </c:pt>
                <c:pt idx="25">
                  <c:v>62.023579489385426</c:v>
                </c:pt>
                <c:pt idx="26">
                  <c:v>84.554931367518833</c:v>
                </c:pt>
                <c:pt idx="27">
                  <c:v>108.86409748413327</c:v>
                </c:pt>
                <c:pt idx="28">
                  <c:v>100.35757049175021</c:v>
                </c:pt>
                <c:pt idx="29">
                  <c:v>36.152625462912695</c:v>
                </c:pt>
                <c:pt idx="30">
                  <c:v>25.974302586568403</c:v>
                </c:pt>
                <c:pt idx="31">
                  <c:v>63.919172439137732</c:v>
                </c:pt>
                <c:pt idx="32">
                  <c:v>35.133841080897355</c:v>
                </c:pt>
                <c:pt idx="33">
                  <c:v>49.275933079972916</c:v>
                </c:pt>
                <c:pt idx="34">
                  <c:v>82.789913678071372</c:v>
                </c:pt>
                <c:pt idx="35">
                  <c:v>35.053593721948772</c:v>
                </c:pt>
                <c:pt idx="36">
                  <c:v>88.729763670474128</c:v>
                </c:pt>
                <c:pt idx="37">
                  <c:v>38.240099535550478</c:v>
                </c:pt>
                <c:pt idx="38">
                  <c:v>72.901150305375467</c:v>
                </c:pt>
                <c:pt idx="39">
                  <c:v>70.791857668844912</c:v>
                </c:pt>
                <c:pt idx="40">
                  <c:v>50.105323837679897</c:v>
                </c:pt>
                <c:pt idx="41">
                  <c:v>35.569981415714324</c:v>
                </c:pt>
                <c:pt idx="42">
                  <c:v>44.434295462584267</c:v>
                </c:pt>
                <c:pt idx="43">
                  <c:v>44.712458677676246</c:v>
                </c:pt>
                <c:pt idx="44">
                  <c:v>43.104950484634983</c:v>
                </c:pt>
                <c:pt idx="45">
                  <c:v>78.606855416283537</c:v>
                </c:pt>
                <c:pt idx="46">
                  <c:v>66.637514892211243</c:v>
                </c:pt>
                <c:pt idx="47">
                  <c:v>64.448645378859098</c:v>
                </c:pt>
                <c:pt idx="48">
                  <c:v>58.664089564555212</c:v>
                </c:pt>
                <c:pt idx="49">
                  <c:v>108.35760467217338</c:v>
                </c:pt>
                <c:pt idx="50">
                  <c:v>102.85855061543809</c:v>
                </c:pt>
                <c:pt idx="51">
                  <c:v>46.848968489756217</c:v>
                </c:pt>
                <c:pt idx="52">
                  <c:v>33.916064429279743</c:v>
                </c:pt>
                <c:pt idx="53">
                  <c:v>92.631828320029456</c:v>
                </c:pt>
                <c:pt idx="54">
                  <c:v>51.738923642295759</c:v>
                </c:pt>
                <c:pt idx="55">
                  <c:v>42.534974692116549</c:v>
                </c:pt>
                <c:pt idx="56">
                  <c:v>87.448753014776202</c:v>
                </c:pt>
                <c:pt idx="57">
                  <c:v>52.22937056237636</c:v>
                </c:pt>
                <c:pt idx="58">
                  <c:v>87.843836086055916</c:v>
                </c:pt>
                <c:pt idx="59">
                  <c:v>24.95207463721556</c:v>
                </c:pt>
                <c:pt idx="60">
                  <c:v>48.944921126239763</c:v>
                </c:pt>
                <c:pt idx="61">
                  <c:v>35.560017592129178</c:v>
                </c:pt>
                <c:pt idx="62">
                  <c:v>47.04602125068724</c:v>
                </c:pt>
                <c:pt idx="63">
                  <c:v>32.819826564793672</c:v>
                </c:pt>
                <c:pt idx="64">
                  <c:v>40.447470987971577</c:v>
                </c:pt>
                <c:pt idx="65">
                  <c:v>40.498751143966928</c:v>
                </c:pt>
                <c:pt idx="66">
                  <c:v>31.132675150730229</c:v>
                </c:pt>
                <c:pt idx="67">
                  <c:v>32.599764834032342</c:v>
                </c:pt>
                <c:pt idx="68">
                  <c:v>101.94279648510279</c:v>
                </c:pt>
                <c:pt idx="69">
                  <c:v>92.161904467242408</c:v>
                </c:pt>
                <c:pt idx="70">
                  <c:v>54.886593906447736</c:v>
                </c:pt>
                <c:pt idx="71">
                  <c:v>98.399637690724262</c:v>
                </c:pt>
                <c:pt idx="72">
                  <c:v>46.134512208376513</c:v>
                </c:pt>
                <c:pt idx="73">
                  <c:v>60.784981363215024</c:v>
                </c:pt>
                <c:pt idx="74">
                  <c:v>99.777776679092796</c:v>
                </c:pt>
                <c:pt idx="75">
                  <c:v>15.908663608151356</c:v>
                </c:pt>
                <c:pt idx="76">
                  <c:v>96.320075916598682</c:v>
                </c:pt>
                <c:pt idx="77">
                  <c:v>62.268276370096146</c:v>
                </c:pt>
                <c:pt idx="78">
                  <c:v>60.467858344014857</c:v>
                </c:pt>
                <c:pt idx="79">
                  <c:v>28.070266533908413</c:v>
                </c:pt>
                <c:pt idx="80">
                  <c:v>53.266221891177977</c:v>
                </c:pt>
                <c:pt idx="81">
                  <c:v>57.500954017736653</c:v>
                </c:pt>
                <c:pt idx="82">
                  <c:v>50.71179831302458</c:v>
                </c:pt>
                <c:pt idx="83">
                  <c:v>48.009504964711724</c:v>
                </c:pt>
                <c:pt idx="84">
                  <c:v>61.951475906243623</c:v>
                </c:pt>
                <c:pt idx="85">
                  <c:v>73.436014324154669</c:v>
                </c:pt>
                <c:pt idx="86">
                  <c:v>106.67792434203204</c:v>
                </c:pt>
                <c:pt idx="87">
                  <c:v>44.069575004533391</c:v>
                </c:pt>
                <c:pt idx="88">
                  <c:v>49.957964708419226</c:v>
                </c:pt>
                <c:pt idx="89">
                  <c:v>96.250473387552518</c:v>
                </c:pt>
                <c:pt idx="90">
                  <c:v>53.755000534861232</c:v>
                </c:pt>
                <c:pt idx="91">
                  <c:v>61.643965272296988</c:v>
                </c:pt>
                <c:pt idx="92">
                  <c:v>45.602896223045185</c:v>
                </c:pt>
                <c:pt idx="93">
                  <c:v>78.798034032093639</c:v>
                </c:pt>
                <c:pt idx="94">
                  <c:v>102.58705827062603</c:v>
                </c:pt>
                <c:pt idx="95">
                  <c:v>67.473698118170134</c:v>
                </c:pt>
                <c:pt idx="96">
                  <c:v>78.343453185064845</c:v>
                </c:pt>
                <c:pt idx="97">
                  <c:v>56.275831313884609</c:v>
                </c:pt>
                <c:pt idx="98">
                  <c:v>50.306822928255173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640-4CF3-A743-1B4B7A7D6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79047"/>
        <c:axId val="465881095"/>
      </c:scatterChart>
      <c:valAx>
        <c:axId val="465879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81095"/>
        <c:crosses val="autoZero"/>
        <c:crossBetween val="midCat"/>
      </c:valAx>
      <c:valAx>
        <c:axId val="465881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79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'Invoice Data'!$C$1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'Invoice Data'!$B$2:$B$502</c:f>
              <c:strCache>
                <c:ptCount val="501"/>
                <c:pt idx="0">
                  <c:v>Invoice Date</c:v>
                </c:pt>
                <c:pt idx="1">
                  <c:v>12/31/2020</c:v>
                </c:pt>
                <c:pt idx="2">
                  <c:v>12/25/2020</c:v>
                </c:pt>
                <c:pt idx="3">
                  <c:v>12/16/2020</c:v>
                </c:pt>
                <c:pt idx="4">
                  <c:v>11/28/2020</c:v>
                </c:pt>
                <c:pt idx="5">
                  <c:v>11/25/2020</c:v>
                </c:pt>
                <c:pt idx="6">
                  <c:v>11/24/2020</c:v>
                </c:pt>
                <c:pt idx="7">
                  <c:v>11/17/2020</c:v>
                </c:pt>
                <c:pt idx="8">
                  <c:v>11/9/2020</c:v>
                </c:pt>
                <c:pt idx="9">
                  <c:v>11/4/2020</c:v>
                </c:pt>
                <c:pt idx="10">
                  <c:v>11/4/2020</c:v>
                </c:pt>
                <c:pt idx="11">
                  <c:v>10/26/2020</c:v>
                </c:pt>
                <c:pt idx="12">
                  <c:v>10/22/2020</c:v>
                </c:pt>
                <c:pt idx="13">
                  <c:v>10/22/2020</c:v>
                </c:pt>
                <c:pt idx="14">
                  <c:v>10/21/2020</c:v>
                </c:pt>
                <c:pt idx="15">
                  <c:v>10/10/2020</c:v>
                </c:pt>
                <c:pt idx="16">
                  <c:v>10/6/2020</c:v>
                </c:pt>
                <c:pt idx="17">
                  <c:v>10/3/2020</c:v>
                </c:pt>
                <c:pt idx="18">
                  <c:v>9/24/2020</c:v>
                </c:pt>
                <c:pt idx="19">
                  <c:v>9/23/2020</c:v>
                </c:pt>
                <c:pt idx="20">
                  <c:v>9/18/2020</c:v>
                </c:pt>
                <c:pt idx="21">
                  <c:v>9/1/2020</c:v>
                </c:pt>
                <c:pt idx="22">
                  <c:v>8/30/2020</c:v>
                </c:pt>
                <c:pt idx="23">
                  <c:v>8/20/2020</c:v>
                </c:pt>
                <c:pt idx="24">
                  <c:v>8/14/2020</c:v>
                </c:pt>
                <c:pt idx="25">
                  <c:v>8/10/2020</c:v>
                </c:pt>
                <c:pt idx="26">
                  <c:v>8/4/2020</c:v>
                </c:pt>
                <c:pt idx="27">
                  <c:v>8/4/2020</c:v>
                </c:pt>
                <c:pt idx="28">
                  <c:v>7/28/2020</c:v>
                </c:pt>
                <c:pt idx="29">
                  <c:v>7/28/2020</c:v>
                </c:pt>
                <c:pt idx="30">
                  <c:v>7/20/2020</c:v>
                </c:pt>
                <c:pt idx="31">
                  <c:v>7/15/2020</c:v>
                </c:pt>
                <c:pt idx="32">
                  <c:v>7/7/2020</c:v>
                </c:pt>
                <c:pt idx="33">
                  <c:v>7/6/2020</c:v>
                </c:pt>
                <c:pt idx="34">
                  <c:v>7/2/2020</c:v>
                </c:pt>
                <c:pt idx="35">
                  <c:v>6/28/2020</c:v>
                </c:pt>
                <c:pt idx="36">
                  <c:v>6/16/2020</c:v>
                </c:pt>
                <c:pt idx="37">
                  <c:v>6/1/2020</c:v>
                </c:pt>
                <c:pt idx="38">
                  <c:v>5/27/2020</c:v>
                </c:pt>
                <c:pt idx="39">
                  <c:v>5/26/2020</c:v>
                </c:pt>
                <c:pt idx="40">
                  <c:v>5/8/2020</c:v>
                </c:pt>
                <c:pt idx="41">
                  <c:v>5/7/2020</c:v>
                </c:pt>
                <c:pt idx="42">
                  <c:v>5/6/2020</c:v>
                </c:pt>
                <c:pt idx="43">
                  <c:v>5/1/2020</c:v>
                </c:pt>
                <c:pt idx="44">
                  <c:v>4/30/2020</c:v>
                </c:pt>
                <c:pt idx="45">
                  <c:v>4/30/2020</c:v>
                </c:pt>
                <c:pt idx="46">
                  <c:v>4/8/2020</c:v>
                </c:pt>
                <c:pt idx="47">
                  <c:v>3/31/2020</c:v>
                </c:pt>
                <c:pt idx="48">
                  <c:v>3/31/2020</c:v>
                </c:pt>
                <c:pt idx="49">
                  <c:v>3/24/2020</c:v>
                </c:pt>
                <c:pt idx="50">
                  <c:v>3/21/2020</c:v>
                </c:pt>
                <c:pt idx="51">
                  <c:v>3/12/2020</c:v>
                </c:pt>
                <c:pt idx="52">
                  <c:v>3/5/2020</c:v>
                </c:pt>
                <c:pt idx="53">
                  <c:v>3/3/2020</c:v>
                </c:pt>
                <c:pt idx="54">
                  <c:v>3/2/2020</c:v>
                </c:pt>
                <c:pt idx="55">
                  <c:v>2/24/2020</c:v>
                </c:pt>
                <c:pt idx="56">
                  <c:v>2/16/2020</c:v>
                </c:pt>
                <c:pt idx="57">
                  <c:v>2/13/2020</c:v>
                </c:pt>
                <c:pt idx="58">
                  <c:v>2/7/2020</c:v>
                </c:pt>
                <c:pt idx="59">
                  <c:v>2/6/2020</c:v>
                </c:pt>
                <c:pt idx="60">
                  <c:v>2/4/2020</c:v>
                </c:pt>
                <c:pt idx="61">
                  <c:v>1/29/2020</c:v>
                </c:pt>
                <c:pt idx="62">
                  <c:v>1/29/2020</c:v>
                </c:pt>
                <c:pt idx="63">
                  <c:v>1/19/2020</c:v>
                </c:pt>
                <c:pt idx="64">
                  <c:v>1/15/2020</c:v>
                </c:pt>
                <c:pt idx="65">
                  <c:v>1/10/2020</c:v>
                </c:pt>
                <c:pt idx="66">
                  <c:v>1/9/2020</c:v>
                </c:pt>
                <c:pt idx="67">
                  <c:v>1/5/2020</c:v>
                </c:pt>
                <c:pt idx="68">
                  <c:v>12/31/2019</c:v>
                </c:pt>
                <c:pt idx="69">
                  <c:v>12/10/2019</c:v>
                </c:pt>
                <c:pt idx="70">
                  <c:v>12/10/2019</c:v>
                </c:pt>
                <c:pt idx="71">
                  <c:v>12/6/2019</c:v>
                </c:pt>
                <c:pt idx="72">
                  <c:v>12/1/2019</c:v>
                </c:pt>
                <c:pt idx="73">
                  <c:v>11/26/2019</c:v>
                </c:pt>
                <c:pt idx="74">
                  <c:v>11/9/2019</c:v>
                </c:pt>
                <c:pt idx="75">
                  <c:v>11/3/2019</c:v>
                </c:pt>
                <c:pt idx="76">
                  <c:v>10/31/2019</c:v>
                </c:pt>
                <c:pt idx="77">
                  <c:v>10/29/2019</c:v>
                </c:pt>
                <c:pt idx="78">
                  <c:v>10/16/2019</c:v>
                </c:pt>
                <c:pt idx="79">
                  <c:v>10/7/2019</c:v>
                </c:pt>
                <c:pt idx="80">
                  <c:v>10/1/2019</c:v>
                </c:pt>
                <c:pt idx="81">
                  <c:v>9/27/2019</c:v>
                </c:pt>
                <c:pt idx="82">
                  <c:v>9/26/2019</c:v>
                </c:pt>
                <c:pt idx="83">
                  <c:v>9/23/2019</c:v>
                </c:pt>
                <c:pt idx="84">
                  <c:v>9/22/2019</c:v>
                </c:pt>
                <c:pt idx="85">
                  <c:v>9/9/2019</c:v>
                </c:pt>
                <c:pt idx="86">
                  <c:v>9/6/2019</c:v>
                </c:pt>
                <c:pt idx="87">
                  <c:v>9/4/2019</c:v>
                </c:pt>
                <c:pt idx="88">
                  <c:v>8/1/2019</c:v>
                </c:pt>
                <c:pt idx="89">
                  <c:v>7/16/2019</c:v>
                </c:pt>
                <c:pt idx="90">
                  <c:v>7/9/2019</c:v>
                </c:pt>
                <c:pt idx="91">
                  <c:v>7/7/2019</c:v>
                </c:pt>
                <c:pt idx="92">
                  <c:v>7/4/2019</c:v>
                </c:pt>
                <c:pt idx="93">
                  <c:v>6/13/2019</c:v>
                </c:pt>
                <c:pt idx="94">
                  <c:v>6/4/2019</c:v>
                </c:pt>
                <c:pt idx="95">
                  <c:v>5/31/2019</c:v>
                </c:pt>
                <c:pt idx="96">
                  <c:v>5/24/2019</c:v>
                </c:pt>
                <c:pt idx="97">
                  <c:v>5/23/2019</c:v>
                </c:pt>
                <c:pt idx="98">
                  <c:v>5/7/2019</c:v>
                </c:pt>
                <c:pt idx="99">
                  <c:v>5/1/2019</c:v>
                </c:pt>
                <c:pt idx="100">
                  <c:v>4/25/2019</c:v>
                </c:pt>
                <c:pt idx="101">
                  <c:v>4/21/2019</c:v>
                </c:pt>
                <c:pt idx="102">
                  <c:v>4/20/2019</c:v>
                </c:pt>
                <c:pt idx="103">
                  <c:v>4/6/2019</c:v>
                </c:pt>
                <c:pt idx="104">
                  <c:v>3/14/2019</c:v>
                </c:pt>
                <c:pt idx="105">
                  <c:v>3/14/2019</c:v>
                </c:pt>
                <c:pt idx="106">
                  <c:v>3/13/2019</c:v>
                </c:pt>
                <c:pt idx="107">
                  <c:v>3/9/2019</c:v>
                </c:pt>
                <c:pt idx="108">
                  <c:v>3/8/2019</c:v>
                </c:pt>
                <c:pt idx="109">
                  <c:v>3/2/2019</c:v>
                </c:pt>
                <c:pt idx="110">
                  <c:v>3/1/2019</c:v>
                </c:pt>
                <c:pt idx="111">
                  <c:v>2/21/2019</c:v>
                </c:pt>
                <c:pt idx="112">
                  <c:v>2/5/2019</c:v>
                </c:pt>
                <c:pt idx="113">
                  <c:v>2/3/2019</c:v>
                </c:pt>
                <c:pt idx="114">
                  <c:v>2/2/2019</c:v>
                </c:pt>
                <c:pt idx="115">
                  <c:v>1/1/2019</c:v>
                </c:pt>
                <c:pt idx="116">
                  <c:v>12/29/2018</c:v>
                </c:pt>
                <c:pt idx="117">
                  <c:v>11/30/2018</c:v>
                </c:pt>
                <c:pt idx="118">
                  <c:v>11/18/2018</c:v>
                </c:pt>
                <c:pt idx="119">
                  <c:v>11/16/2018</c:v>
                </c:pt>
                <c:pt idx="120">
                  <c:v>11/15/2018</c:v>
                </c:pt>
                <c:pt idx="121">
                  <c:v>11/13/2018</c:v>
                </c:pt>
                <c:pt idx="122">
                  <c:v>10/15/2018</c:v>
                </c:pt>
                <c:pt idx="123">
                  <c:v>10/9/2018</c:v>
                </c:pt>
                <c:pt idx="124">
                  <c:v>10/6/2018</c:v>
                </c:pt>
                <c:pt idx="125">
                  <c:v>9/26/2018</c:v>
                </c:pt>
                <c:pt idx="126">
                  <c:v>8/3/2018</c:v>
                </c:pt>
                <c:pt idx="127">
                  <c:v>7/28/2018</c:v>
                </c:pt>
                <c:pt idx="128">
                  <c:v>7/27/2018</c:v>
                </c:pt>
                <c:pt idx="129">
                  <c:v>7/21/2018</c:v>
                </c:pt>
                <c:pt idx="130">
                  <c:v>7/16/2018</c:v>
                </c:pt>
                <c:pt idx="131">
                  <c:v>6/30/2018</c:v>
                </c:pt>
                <c:pt idx="132">
                  <c:v>6/28/2018</c:v>
                </c:pt>
                <c:pt idx="133">
                  <c:v>6/11/2018</c:v>
                </c:pt>
                <c:pt idx="134">
                  <c:v>6/1/2018</c:v>
                </c:pt>
                <c:pt idx="135">
                  <c:v>5/13/2018</c:v>
                </c:pt>
                <c:pt idx="136">
                  <c:v>5/13/2018</c:v>
                </c:pt>
                <c:pt idx="137">
                  <c:v>4/30/2018</c:v>
                </c:pt>
                <c:pt idx="138">
                  <c:v>4/29/2018</c:v>
                </c:pt>
                <c:pt idx="139">
                  <c:v>4/18/2018</c:v>
                </c:pt>
                <c:pt idx="140">
                  <c:v>4/15/2018</c:v>
                </c:pt>
                <c:pt idx="141">
                  <c:v>3/26/2018</c:v>
                </c:pt>
                <c:pt idx="142">
                  <c:v>3/18/2018</c:v>
                </c:pt>
                <c:pt idx="143">
                  <c:v>3/15/2018</c:v>
                </c:pt>
                <c:pt idx="144">
                  <c:v>3/7/2018</c:v>
                </c:pt>
                <c:pt idx="145">
                  <c:v>3/2/2018</c:v>
                </c:pt>
                <c:pt idx="146">
                  <c:v>3/1/2018</c:v>
                </c:pt>
                <c:pt idx="147">
                  <c:v>2/27/2018</c:v>
                </c:pt>
                <c:pt idx="148">
                  <c:v>2/16/2018</c:v>
                </c:pt>
                <c:pt idx="149">
                  <c:v>1/30/2018</c:v>
                </c:pt>
                <c:pt idx="150">
                  <c:v>1/30/2018</c:v>
                </c:pt>
                <c:pt idx="151">
                  <c:v>1/29/2018</c:v>
                </c:pt>
                <c:pt idx="152">
                  <c:v>1/20/2018</c:v>
                </c:pt>
                <c:pt idx="153">
                  <c:v>1/13/2018</c:v>
                </c:pt>
                <c:pt idx="154">
                  <c:v>1/5/2018</c:v>
                </c:pt>
                <c:pt idx="155">
                  <c:v>1/1/2018</c:v>
                </c:pt>
                <c:pt idx="156">
                  <c:v>12/23/2017</c:v>
                </c:pt>
                <c:pt idx="157">
                  <c:v>12/1/2017</c:v>
                </c:pt>
                <c:pt idx="158">
                  <c:v>11/29/2017</c:v>
                </c:pt>
                <c:pt idx="159">
                  <c:v>11/26/2017</c:v>
                </c:pt>
                <c:pt idx="160">
                  <c:v>11/2/2017</c:v>
                </c:pt>
                <c:pt idx="161">
                  <c:v>11/2/2017</c:v>
                </c:pt>
                <c:pt idx="162">
                  <c:v>10/18/2017</c:v>
                </c:pt>
                <c:pt idx="163">
                  <c:v>10/12/2017</c:v>
                </c:pt>
                <c:pt idx="164">
                  <c:v>10/12/2017</c:v>
                </c:pt>
                <c:pt idx="165">
                  <c:v>10/4/2017</c:v>
                </c:pt>
                <c:pt idx="166">
                  <c:v>9/30/2017</c:v>
                </c:pt>
                <c:pt idx="167">
                  <c:v>9/13/2017</c:v>
                </c:pt>
                <c:pt idx="168">
                  <c:v>9/10/2017</c:v>
                </c:pt>
                <c:pt idx="169">
                  <c:v>9/6/2017</c:v>
                </c:pt>
                <c:pt idx="170">
                  <c:v>8/30/2017</c:v>
                </c:pt>
                <c:pt idx="171">
                  <c:v>8/14/2017</c:v>
                </c:pt>
                <c:pt idx="172">
                  <c:v>8/4/2017</c:v>
                </c:pt>
                <c:pt idx="173">
                  <c:v>8/2/2017</c:v>
                </c:pt>
                <c:pt idx="174">
                  <c:v>7/21/2017</c:v>
                </c:pt>
                <c:pt idx="175">
                  <c:v>7/3/2017</c:v>
                </c:pt>
                <c:pt idx="176">
                  <c:v>7/2/2017</c:v>
                </c:pt>
                <c:pt idx="177">
                  <c:v>6/27/2017</c:v>
                </c:pt>
                <c:pt idx="178">
                  <c:v>6/26/2017</c:v>
                </c:pt>
                <c:pt idx="179">
                  <c:v>6/6/2017</c:v>
                </c:pt>
                <c:pt idx="180">
                  <c:v>6/2/2017</c:v>
                </c:pt>
                <c:pt idx="181">
                  <c:v>6/1/2017</c:v>
                </c:pt>
                <c:pt idx="182">
                  <c:v>5/19/2017</c:v>
                </c:pt>
                <c:pt idx="183">
                  <c:v>5/14/2017</c:v>
                </c:pt>
                <c:pt idx="184">
                  <c:v>5/11/2017</c:v>
                </c:pt>
                <c:pt idx="185">
                  <c:v>5/1/2017</c:v>
                </c:pt>
                <c:pt idx="186">
                  <c:v>4/12/2017</c:v>
                </c:pt>
                <c:pt idx="187">
                  <c:v>3/28/2017</c:v>
                </c:pt>
                <c:pt idx="188">
                  <c:v>3/25/2017</c:v>
                </c:pt>
                <c:pt idx="189">
                  <c:v>3/19/2017</c:v>
                </c:pt>
                <c:pt idx="190">
                  <c:v>3/5/2017</c:v>
                </c:pt>
                <c:pt idx="191">
                  <c:v>3/3/2017</c:v>
                </c:pt>
                <c:pt idx="192">
                  <c:v>3/2/2017</c:v>
                </c:pt>
                <c:pt idx="193">
                  <c:v>2/26/2017</c:v>
                </c:pt>
                <c:pt idx="194">
                  <c:v>2/21/2017</c:v>
                </c:pt>
                <c:pt idx="195">
                  <c:v>1/24/2017</c:v>
                </c:pt>
                <c:pt idx="196">
                  <c:v>1/21/2017</c:v>
                </c:pt>
                <c:pt idx="197">
                  <c:v>1/4/2017</c:v>
                </c:pt>
                <c:pt idx="198">
                  <c:v>12/26/2016</c:v>
                </c:pt>
                <c:pt idx="199">
                  <c:v>12/23/2016</c:v>
                </c:pt>
                <c:pt idx="200">
                  <c:v>12/22/2016</c:v>
                </c:pt>
                <c:pt idx="201">
                  <c:v>12/7/2016</c:v>
                </c:pt>
                <c:pt idx="202">
                  <c:v>11/11/2016</c:v>
                </c:pt>
                <c:pt idx="203">
                  <c:v>10/29/2016</c:v>
                </c:pt>
                <c:pt idx="204">
                  <c:v>10/10/2016</c:v>
                </c:pt>
                <c:pt idx="205">
                  <c:v>10/7/2016</c:v>
                </c:pt>
                <c:pt idx="206">
                  <c:v>10/3/2016</c:v>
                </c:pt>
                <c:pt idx="207">
                  <c:v>9/25/2016</c:v>
                </c:pt>
                <c:pt idx="208">
                  <c:v>9/16/2016</c:v>
                </c:pt>
                <c:pt idx="209">
                  <c:v>9/15/2016</c:v>
                </c:pt>
                <c:pt idx="210">
                  <c:v>9/11/2016</c:v>
                </c:pt>
                <c:pt idx="211">
                  <c:v>9/5/2016</c:v>
                </c:pt>
                <c:pt idx="212">
                  <c:v>9/5/2016</c:v>
                </c:pt>
                <c:pt idx="213">
                  <c:v>8/26/2016</c:v>
                </c:pt>
                <c:pt idx="214">
                  <c:v>8/5/2016</c:v>
                </c:pt>
                <c:pt idx="215">
                  <c:v>7/17/2016</c:v>
                </c:pt>
                <c:pt idx="216">
                  <c:v>6/25/2016</c:v>
                </c:pt>
                <c:pt idx="217">
                  <c:v>6/20/2016</c:v>
                </c:pt>
                <c:pt idx="218">
                  <c:v>6/12/2016</c:v>
                </c:pt>
                <c:pt idx="219">
                  <c:v>6/3/2016</c:v>
                </c:pt>
                <c:pt idx="220">
                  <c:v>5/14/2016</c:v>
                </c:pt>
                <c:pt idx="221">
                  <c:v>5/5/2016</c:v>
                </c:pt>
                <c:pt idx="222">
                  <c:v>4/30/2016</c:v>
                </c:pt>
                <c:pt idx="223">
                  <c:v>4/25/2016</c:v>
                </c:pt>
                <c:pt idx="224">
                  <c:v>4/15/2016</c:v>
                </c:pt>
                <c:pt idx="225">
                  <c:v>4/10/2016</c:v>
                </c:pt>
                <c:pt idx="226">
                  <c:v>4/8/2016</c:v>
                </c:pt>
                <c:pt idx="227">
                  <c:v>3/27/2016</c:v>
                </c:pt>
                <c:pt idx="228">
                  <c:v>3/23/2016</c:v>
                </c:pt>
                <c:pt idx="229">
                  <c:v>3/19/2016</c:v>
                </c:pt>
                <c:pt idx="230">
                  <c:v>3/4/2016</c:v>
                </c:pt>
                <c:pt idx="231">
                  <c:v>3/1/2016</c:v>
                </c:pt>
                <c:pt idx="232">
                  <c:v>2/28/2016</c:v>
                </c:pt>
                <c:pt idx="233">
                  <c:v>1/20/2016</c:v>
                </c:pt>
                <c:pt idx="234">
                  <c:v>1/20/2016</c:v>
                </c:pt>
                <c:pt idx="235">
                  <c:v>1/19/2016</c:v>
                </c:pt>
                <c:pt idx="236">
                  <c:v>12/30/2015</c:v>
                </c:pt>
                <c:pt idx="237">
                  <c:v>12/26/2015</c:v>
                </c:pt>
                <c:pt idx="238">
                  <c:v>12/25/2015</c:v>
                </c:pt>
                <c:pt idx="239">
                  <c:v>12/22/2015</c:v>
                </c:pt>
                <c:pt idx="240">
                  <c:v>12/19/2015</c:v>
                </c:pt>
                <c:pt idx="241">
                  <c:v>11/22/2015</c:v>
                </c:pt>
                <c:pt idx="242">
                  <c:v>11/15/2015</c:v>
                </c:pt>
                <c:pt idx="243">
                  <c:v>11/4/2015</c:v>
                </c:pt>
                <c:pt idx="244">
                  <c:v>10/31/2015</c:v>
                </c:pt>
                <c:pt idx="245">
                  <c:v>10/28/2015</c:v>
                </c:pt>
                <c:pt idx="246">
                  <c:v>10/18/2015</c:v>
                </c:pt>
                <c:pt idx="247">
                  <c:v>9/27/2015</c:v>
                </c:pt>
                <c:pt idx="248">
                  <c:v>9/24/2015</c:v>
                </c:pt>
                <c:pt idx="249">
                  <c:v>9/22/2015</c:v>
                </c:pt>
                <c:pt idx="250">
                  <c:v>9/21/2015</c:v>
                </c:pt>
                <c:pt idx="251">
                  <c:v>9/9/2015</c:v>
                </c:pt>
                <c:pt idx="252">
                  <c:v>8/30/2015</c:v>
                </c:pt>
                <c:pt idx="253">
                  <c:v>8/22/2015</c:v>
                </c:pt>
                <c:pt idx="254">
                  <c:v>8/16/2015</c:v>
                </c:pt>
                <c:pt idx="255">
                  <c:v>8/2/2015</c:v>
                </c:pt>
                <c:pt idx="256">
                  <c:v>7/31/2015</c:v>
                </c:pt>
                <c:pt idx="257">
                  <c:v>7/29/2015</c:v>
                </c:pt>
                <c:pt idx="258">
                  <c:v>7/25/2015</c:v>
                </c:pt>
                <c:pt idx="259">
                  <c:v>7/20/2015</c:v>
                </c:pt>
                <c:pt idx="260">
                  <c:v>7/10/2015</c:v>
                </c:pt>
                <c:pt idx="261">
                  <c:v>7/10/2015</c:v>
                </c:pt>
                <c:pt idx="262">
                  <c:v>6/29/2015</c:v>
                </c:pt>
                <c:pt idx="263">
                  <c:v>6/22/2015</c:v>
                </c:pt>
                <c:pt idx="264">
                  <c:v>6/16/2015</c:v>
                </c:pt>
                <c:pt idx="265">
                  <c:v>5/26/2015</c:v>
                </c:pt>
                <c:pt idx="266">
                  <c:v>5/17/2015</c:v>
                </c:pt>
                <c:pt idx="267">
                  <c:v>5/2/2015</c:v>
                </c:pt>
                <c:pt idx="268">
                  <c:v>4/19/2015</c:v>
                </c:pt>
                <c:pt idx="269">
                  <c:v>4/4/2015</c:v>
                </c:pt>
                <c:pt idx="270">
                  <c:v>3/7/2015</c:v>
                </c:pt>
                <c:pt idx="271">
                  <c:v>2/25/2015</c:v>
                </c:pt>
                <c:pt idx="272">
                  <c:v>2/14/2015</c:v>
                </c:pt>
                <c:pt idx="273">
                  <c:v>2/13/2015</c:v>
                </c:pt>
                <c:pt idx="274">
                  <c:v>2/9/2015</c:v>
                </c:pt>
                <c:pt idx="275">
                  <c:v>2/3/2015</c:v>
                </c:pt>
                <c:pt idx="276">
                  <c:v>1/21/2015</c:v>
                </c:pt>
                <c:pt idx="277">
                  <c:v>1/3/2015</c:v>
                </c:pt>
                <c:pt idx="278">
                  <c:v>12/28/2014</c:v>
                </c:pt>
                <c:pt idx="279">
                  <c:v>12/23/2014</c:v>
                </c:pt>
                <c:pt idx="280">
                  <c:v>12/2/2014</c:v>
                </c:pt>
                <c:pt idx="281">
                  <c:v>11/8/2014</c:v>
                </c:pt>
                <c:pt idx="282">
                  <c:v>10/21/2014</c:v>
                </c:pt>
                <c:pt idx="283">
                  <c:v>10/4/2014</c:v>
                </c:pt>
                <c:pt idx="284">
                  <c:v>9/10/2014</c:v>
                </c:pt>
                <c:pt idx="285">
                  <c:v>8/21/2014</c:v>
                </c:pt>
                <c:pt idx="286">
                  <c:v>7/28/2014</c:v>
                </c:pt>
                <c:pt idx="287">
                  <c:v>7/23/2014</c:v>
                </c:pt>
                <c:pt idx="288">
                  <c:v>7/22/2014</c:v>
                </c:pt>
                <c:pt idx="289">
                  <c:v>7/14/2014</c:v>
                </c:pt>
                <c:pt idx="290">
                  <c:v>7/13/2014</c:v>
                </c:pt>
                <c:pt idx="291">
                  <c:v>6/29/2014</c:v>
                </c:pt>
                <c:pt idx="292">
                  <c:v>6/19/2014</c:v>
                </c:pt>
                <c:pt idx="293">
                  <c:v>5/28/2014</c:v>
                </c:pt>
                <c:pt idx="294">
                  <c:v>5/6/2014</c:v>
                </c:pt>
                <c:pt idx="295">
                  <c:v>5/2/2014</c:v>
                </c:pt>
                <c:pt idx="296">
                  <c:v>4/26/2014</c:v>
                </c:pt>
                <c:pt idx="297">
                  <c:v>4/26/2014</c:v>
                </c:pt>
                <c:pt idx="298">
                  <c:v>4/22/2014</c:v>
                </c:pt>
                <c:pt idx="299">
                  <c:v>4/17/2014</c:v>
                </c:pt>
                <c:pt idx="300">
                  <c:v>4/14/2014</c:v>
                </c:pt>
                <c:pt idx="301">
                  <c:v>3/26/2014</c:v>
                </c:pt>
                <c:pt idx="302">
                  <c:v>3/19/2014</c:v>
                </c:pt>
                <c:pt idx="303">
                  <c:v>3/13/2014</c:v>
                </c:pt>
                <c:pt idx="304">
                  <c:v>3/13/2014</c:v>
                </c:pt>
                <c:pt idx="305">
                  <c:v>2/27/2014</c:v>
                </c:pt>
                <c:pt idx="306">
                  <c:v>2/25/2014</c:v>
                </c:pt>
                <c:pt idx="307">
                  <c:v>2/22/2014</c:v>
                </c:pt>
                <c:pt idx="308">
                  <c:v>2/18/2014</c:v>
                </c:pt>
                <c:pt idx="309">
                  <c:v>2/10/2014</c:v>
                </c:pt>
                <c:pt idx="310">
                  <c:v>2/9/2014</c:v>
                </c:pt>
                <c:pt idx="311">
                  <c:v>1/26/2014</c:v>
                </c:pt>
                <c:pt idx="312">
                  <c:v>1/17/2014</c:v>
                </c:pt>
                <c:pt idx="313">
                  <c:v>1/12/2014</c:v>
                </c:pt>
                <c:pt idx="314">
                  <c:v>12/25/2013</c:v>
                </c:pt>
                <c:pt idx="315">
                  <c:v>12/15/2013</c:v>
                </c:pt>
                <c:pt idx="316">
                  <c:v>12/10/2013</c:v>
                </c:pt>
                <c:pt idx="317">
                  <c:v>12/1/2013</c:v>
                </c:pt>
                <c:pt idx="318">
                  <c:v>11/11/2013</c:v>
                </c:pt>
                <c:pt idx="319">
                  <c:v>11/9/2013</c:v>
                </c:pt>
                <c:pt idx="320">
                  <c:v>11/5/2013</c:v>
                </c:pt>
                <c:pt idx="321">
                  <c:v>11/2/2013</c:v>
                </c:pt>
                <c:pt idx="322">
                  <c:v>10/27/2013</c:v>
                </c:pt>
                <c:pt idx="323">
                  <c:v>10/17/2013</c:v>
                </c:pt>
                <c:pt idx="324">
                  <c:v>10/16/2013</c:v>
                </c:pt>
                <c:pt idx="325">
                  <c:v>10/9/2013</c:v>
                </c:pt>
                <c:pt idx="326">
                  <c:v>10/5/2013</c:v>
                </c:pt>
                <c:pt idx="327">
                  <c:v>10/1/2013</c:v>
                </c:pt>
                <c:pt idx="328">
                  <c:v>9/22/2013</c:v>
                </c:pt>
                <c:pt idx="329">
                  <c:v>9/18/2013</c:v>
                </c:pt>
                <c:pt idx="330">
                  <c:v>8/13/2013</c:v>
                </c:pt>
                <c:pt idx="331">
                  <c:v>8/3/2013</c:v>
                </c:pt>
                <c:pt idx="332">
                  <c:v>7/30/2013</c:v>
                </c:pt>
                <c:pt idx="333">
                  <c:v>7/17/2013</c:v>
                </c:pt>
                <c:pt idx="334">
                  <c:v>6/26/2013</c:v>
                </c:pt>
                <c:pt idx="335">
                  <c:v>6/24/2013</c:v>
                </c:pt>
                <c:pt idx="336">
                  <c:v>6/23/2013</c:v>
                </c:pt>
                <c:pt idx="337">
                  <c:v>6/13/2013</c:v>
                </c:pt>
                <c:pt idx="338">
                  <c:v>6/11/2013</c:v>
                </c:pt>
                <c:pt idx="339">
                  <c:v>6/7/2013</c:v>
                </c:pt>
                <c:pt idx="340">
                  <c:v>5/21/2013</c:v>
                </c:pt>
                <c:pt idx="341">
                  <c:v>5/12/2013</c:v>
                </c:pt>
                <c:pt idx="342">
                  <c:v>5/8/2013</c:v>
                </c:pt>
                <c:pt idx="343">
                  <c:v>5/3/2013</c:v>
                </c:pt>
                <c:pt idx="344">
                  <c:v>4/27/2013</c:v>
                </c:pt>
                <c:pt idx="345">
                  <c:v>4/20/2013</c:v>
                </c:pt>
                <c:pt idx="346">
                  <c:v>4/4/2013</c:v>
                </c:pt>
                <c:pt idx="347">
                  <c:v>4/3/2013</c:v>
                </c:pt>
                <c:pt idx="348">
                  <c:v>4/1/2013</c:v>
                </c:pt>
                <c:pt idx="349">
                  <c:v>3/31/2013</c:v>
                </c:pt>
                <c:pt idx="350">
                  <c:v>3/13/2013</c:v>
                </c:pt>
                <c:pt idx="351">
                  <c:v>2/15/2013</c:v>
                </c:pt>
                <c:pt idx="352">
                  <c:v>2/13/2013</c:v>
                </c:pt>
                <c:pt idx="353">
                  <c:v>1/31/2013</c:v>
                </c:pt>
                <c:pt idx="354">
                  <c:v>1/31/2013</c:v>
                </c:pt>
                <c:pt idx="355">
                  <c:v>1/8/2013</c:v>
                </c:pt>
                <c:pt idx="356">
                  <c:v>12/2/2012</c:v>
                </c:pt>
                <c:pt idx="357">
                  <c:v>11/29/2012</c:v>
                </c:pt>
                <c:pt idx="358">
                  <c:v>11/16/2012</c:v>
                </c:pt>
                <c:pt idx="359">
                  <c:v>11/15/2012</c:v>
                </c:pt>
                <c:pt idx="360">
                  <c:v>11/13/2012</c:v>
                </c:pt>
                <c:pt idx="361">
                  <c:v>11/7/2012</c:v>
                </c:pt>
                <c:pt idx="362">
                  <c:v>11/4/2012</c:v>
                </c:pt>
                <c:pt idx="363">
                  <c:v>11/2/2012</c:v>
                </c:pt>
                <c:pt idx="364">
                  <c:v>10/27/2012</c:v>
                </c:pt>
                <c:pt idx="365">
                  <c:v>10/8/2012</c:v>
                </c:pt>
                <c:pt idx="366">
                  <c:v>10/1/2012</c:v>
                </c:pt>
                <c:pt idx="367">
                  <c:v>9/24/2012</c:v>
                </c:pt>
                <c:pt idx="368">
                  <c:v>9/19/2012</c:v>
                </c:pt>
                <c:pt idx="369">
                  <c:v>9/7/2012</c:v>
                </c:pt>
                <c:pt idx="370">
                  <c:v>8/31/2012</c:v>
                </c:pt>
                <c:pt idx="371">
                  <c:v>8/27/2012</c:v>
                </c:pt>
                <c:pt idx="372">
                  <c:v>8/26/2012</c:v>
                </c:pt>
                <c:pt idx="373">
                  <c:v>8/19/2012</c:v>
                </c:pt>
                <c:pt idx="374">
                  <c:v>8/17/2012</c:v>
                </c:pt>
                <c:pt idx="375">
                  <c:v>8/10/2012</c:v>
                </c:pt>
                <c:pt idx="376">
                  <c:v>7/31/2012</c:v>
                </c:pt>
                <c:pt idx="377">
                  <c:v>7/25/2012</c:v>
                </c:pt>
                <c:pt idx="378">
                  <c:v>7/23/2012</c:v>
                </c:pt>
                <c:pt idx="379">
                  <c:v>7/21/2012</c:v>
                </c:pt>
                <c:pt idx="380">
                  <c:v>7/17/2012</c:v>
                </c:pt>
                <c:pt idx="381">
                  <c:v>7/14/2012</c:v>
                </c:pt>
                <c:pt idx="382">
                  <c:v>7/7/2012</c:v>
                </c:pt>
                <c:pt idx="383">
                  <c:v>7/5/2012</c:v>
                </c:pt>
                <c:pt idx="384">
                  <c:v>7/1/2012</c:v>
                </c:pt>
                <c:pt idx="385">
                  <c:v>6/27/2012</c:v>
                </c:pt>
                <c:pt idx="386">
                  <c:v>6/20/2012</c:v>
                </c:pt>
                <c:pt idx="387">
                  <c:v>6/20/2012</c:v>
                </c:pt>
                <c:pt idx="388">
                  <c:v>6/19/2012</c:v>
                </c:pt>
                <c:pt idx="389">
                  <c:v>6/15/2012</c:v>
                </c:pt>
                <c:pt idx="390">
                  <c:v>6/13/2012</c:v>
                </c:pt>
                <c:pt idx="391">
                  <c:v>6/11/2012</c:v>
                </c:pt>
                <c:pt idx="392">
                  <c:v>6/4/2012</c:v>
                </c:pt>
                <c:pt idx="393">
                  <c:v>5/22/2012</c:v>
                </c:pt>
                <c:pt idx="394">
                  <c:v>5/21/2012</c:v>
                </c:pt>
                <c:pt idx="395">
                  <c:v>5/11/2012</c:v>
                </c:pt>
                <c:pt idx="396">
                  <c:v>5/10/2012</c:v>
                </c:pt>
                <c:pt idx="397">
                  <c:v>5/8/2012</c:v>
                </c:pt>
                <c:pt idx="398">
                  <c:v>4/25/2012</c:v>
                </c:pt>
                <c:pt idx="399">
                  <c:v>4/8/2012</c:v>
                </c:pt>
                <c:pt idx="400">
                  <c:v>3/28/2012</c:v>
                </c:pt>
                <c:pt idx="401">
                  <c:v>3/28/2012</c:v>
                </c:pt>
                <c:pt idx="402">
                  <c:v>3/21/2012</c:v>
                </c:pt>
                <c:pt idx="403">
                  <c:v>3/20/2012</c:v>
                </c:pt>
                <c:pt idx="404">
                  <c:v>3/18/2012</c:v>
                </c:pt>
                <c:pt idx="405">
                  <c:v>3/16/2012</c:v>
                </c:pt>
                <c:pt idx="406">
                  <c:v>3/14/2012</c:v>
                </c:pt>
                <c:pt idx="407">
                  <c:v>3/13/2012</c:v>
                </c:pt>
                <c:pt idx="408">
                  <c:v>3/11/2012</c:v>
                </c:pt>
                <c:pt idx="409">
                  <c:v>3/8/2012</c:v>
                </c:pt>
                <c:pt idx="410">
                  <c:v>2/29/2012</c:v>
                </c:pt>
                <c:pt idx="411">
                  <c:v>2/23/2012</c:v>
                </c:pt>
                <c:pt idx="412">
                  <c:v>2/19/2012</c:v>
                </c:pt>
                <c:pt idx="413">
                  <c:v>1/16/2012</c:v>
                </c:pt>
                <c:pt idx="414">
                  <c:v>1/5/2012</c:v>
                </c:pt>
                <c:pt idx="415">
                  <c:v>12/27/2011</c:v>
                </c:pt>
                <c:pt idx="416">
                  <c:v>12/26/2011</c:v>
                </c:pt>
                <c:pt idx="417">
                  <c:v>12/26/2011</c:v>
                </c:pt>
                <c:pt idx="418">
                  <c:v>12/21/2011</c:v>
                </c:pt>
                <c:pt idx="419">
                  <c:v>12/21/2011</c:v>
                </c:pt>
                <c:pt idx="420">
                  <c:v>12/15/2011</c:v>
                </c:pt>
                <c:pt idx="421">
                  <c:v>11/10/2011</c:v>
                </c:pt>
                <c:pt idx="422">
                  <c:v>10/22/2011</c:v>
                </c:pt>
                <c:pt idx="423">
                  <c:v>10/22/2011</c:v>
                </c:pt>
                <c:pt idx="424">
                  <c:v>10/6/2011</c:v>
                </c:pt>
                <c:pt idx="425">
                  <c:v>10/1/2011</c:v>
                </c:pt>
                <c:pt idx="426">
                  <c:v>9/6/2011</c:v>
                </c:pt>
                <c:pt idx="427">
                  <c:v>8/28/2011</c:v>
                </c:pt>
                <c:pt idx="428">
                  <c:v>8/22/2011</c:v>
                </c:pt>
                <c:pt idx="429">
                  <c:v>7/25/2011</c:v>
                </c:pt>
                <c:pt idx="430">
                  <c:v>7/16/2011</c:v>
                </c:pt>
                <c:pt idx="431">
                  <c:v>7/9/2011</c:v>
                </c:pt>
                <c:pt idx="432">
                  <c:v>6/26/2011</c:v>
                </c:pt>
                <c:pt idx="433">
                  <c:v>6/8/2011</c:v>
                </c:pt>
                <c:pt idx="434">
                  <c:v>5/26/2011</c:v>
                </c:pt>
                <c:pt idx="435">
                  <c:v>5/10/2011</c:v>
                </c:pt>
                <c:pt idx="436">
                  <c:v>5/1/2011</c:v>
                </c:pt>
                <c:pt idx="437">
                  <c:v>4/30/2011</c:v>
                </c:pt>
                <c:pt idx="438">
                  <c:v>4/26/2011</c:v>
                </c:pt>
                <c:pt idx="439">
                  <c:v>4/24/2011</c:v>
                </c:pt>
                <c:pt idx="440">
                  <c:v>4/22/2011</c:v>
                </c:pt>
                <c:pt idx="441">
                  <c:v>4/9/2011</c:v>
                </c:pt>
                <c:pt idx="442">
                  <c:v>4/3/2011</c:v>
                </c:pt>
                <c:pt idx="443">
                  <c:v>3/20/2011</c:v>
                </c:pt>
                <c:pt idx="444">
                  <c:v>2/20/2011</c:v>
                </c:pt>
                <c:pt idx="445">
                  <c:v>2/9/2011</c:v>
                </c:pt>
                <c:pt idx="446">
                  <c:v>1/27/2011</c:v>
                </c:pt>
                <c:pt idx="447">
                  <c:v>1/12/2011</c:v>
                </c:pt>
                <c:pt idx="448">
                  <c:v>1/4/2011</c:v>
                </c:pt>
                <c:pt idx="449">
                  <c:v>1/3/2011</c:v>
                </c:pt>
                <c:pt idx="450">
                  <c:v>12/12/2010</c:v>
                </c:pt>
                <c:pt idx="451">
                  <c:v>12/11/2010</c:v>
                </c:pt>
                <c:pt idx="452">
                  <c:v>11/29/2010</c:v>
                </c:pt>
                <c:pt idx="453">
                  <c:v>11/26/2010</c:v>
                </c:pt>
                <c:pt idx="454">
                  <c:v>11/1/2010</c:v>
                </c:pt>
                <c:pt idx="455">
                  <c:v>10/14/2010</c:v>
                </c:pt>
                <c:pt idx="456">
                  <c:v>10/7/2010</c:v>
                </c:pt>
                <c:pt idx="457">
                  <c:v>10/4/2010</c:v>
                </c:pt>
                <c:pt idx="458">
                  <c:v>9/26/2010</c:v>
                </c:pt>
                <c:pt idx="459">
                  <c:v>9/25/2010</c:v>
                </c:pt>
                <c:pt idx="460">
                  <c:v>9/23/2010</c:v>
                </c:pt>
                <c:pt idx="461">
                  <c:v>9/23/2010</c:v>
                </c:pt>
                <c:pt idx="462">
                  <c:v>9/20/2010</c:v>
                </c:pt>
                <c:pt idx="463">
                  <c:v>9/18/2010</c:v>
                </c:pt>
                <c:pt idx="464">
                  <c:v>9/10/2010</c:v>
                </c:pt>
                <c:pt idx="465">
                  <c:v>9/2/2010</c:v>
                </c:pt>
                <c:pt idx="466">
                  <c:v>9/2/2010</c:v>
                </c:pt>
                <c:pt idx="467">
                  <c:v>8/30/2010</c:v>
                </c:pt>
                <c:pt idx="468">
                  <c:v>8/25/2010</c:v>
                </c:pt>
                <c:pt idx="469">
                  <c:v>8/18/2010</c:v>
                </c:pt>
                <c:pt idx="470">
                  <c:v>8/17/2010</c:v>
                </c:pt>
                <c:pt idx="471">
                  <c:v>8/10/2010</c:v>
                </c:pt>
                <c:pt idx="472">
                  <c:v>8/7/2010</c:v>
                </c:pt>
                <c:pt idx="473">
                  <c:v>7/31/2010</c:v>
                </c:pt>
                <c:pt idx="474">
                  <c:v>7/16/2010</c:v>
                </c:pt>
                <c:pt idx="475">
                  <c:v>7/13/2010</c:v>
                </c:pt>
                <c:pt idx="476">
                  <c:v>7/4/2010</c:v>
                </c:pt>
                <c:pt idx="477">
                  <c:v>6/30/2010</c:v>
                </c:pt>
                <c:pt idx="478">
                  <c:v>6/27/2010</c:v>
                </c:pt>
                <c:pt idx="479">
                  <c:v>6/25/2010</c:v>
                </c:pt>
                <c:pt idx="480">
                  <c:v>6/22/2010</c:v>
                </c:pt>
                <c:pt idx="481">
                  <c:v>6/18/2010</c:v>
                </c:pt>
                <c:pt idx="482">
                  <c:v>6/18/2010</c:v>
                </c:pt>
                <c:pt idx="483">
                  <c:v>6/10/2010</c:v>
                </c:pt>
                <c:pt idx="484">
                  <c:v>6/9/2010</c:v>
                </c:pt>
                <c:pt idx="485">
                  <c:v>6/6/2010</c:v>
                </c:pt>
                <c:pt idx="486">
                  <c:v>6/5/2010</c:v>
                </c:pt>
                <c:pt idx="487">
                  <c:v>5/28/2010</c:v>
                </c:pt>
                <c:pt idx="488">
                  <c:v>5/18/2010</c:v>
                </c:pt>
                <c:pt idx="489">
                  <c:v>5/13/2010</c:v>
                </c:pt>
                <c:pt idx="490">
                  <c:v>4/27/2010</c:v>
                </c:pt>
                <c:pt idx="491">
                  <c:v>3/20/2010</c:v>
                </c:pt>
                <c:pt idx="492">
                  <c:v>3/12/2010</c:v>
                </c:pt>
                <c:pt idx="493">
                  <c:v>2/19/2010</c:v>
                </c:pt>
                <c:pt idx="494">
                  <c:v>2/16/2010</c:v>
                </c:pt>
                <c:pt idx="495">
                  <c:v>2/12/2010</c:v>
                </c:pt>
                <c:pt idx="496">
                  <c:v>2/7/2010</c:v>
                </c:pt>
                <c:pt idx="497">
                  <c:v>1/26/2010</c:v>
                </c:pt>
                <c:pt idx="498">
                  <c:v>1/19/2010</c:v>
                </c:pt>
                <c:pt idx="499">
                  <c:v>1/10/2010</c:v>
                </c:pt>
                <c:pt idx="500">
                  <c:v>1/8/2010</c:v>
                </c:pt>
              </c:strCache>
            </c:strRef>
          </c:cat>
          <c:val>
            <c:numRef>
              <c:f>'Invoice Data'!$C$2:$C$502</c:f>
              <c:numCache>
                <c:formatCode>0.00</c:formatCode>
                <c:ptCount val="501"/>
                <c:pt idx="0" formatCode="General">
                  <c:v>0</c:v>
                </c:pt>
                <c:pt idx="1">
                  <c:v>1564.407037995232</c:v>
                </c:pt>
                <c:pt idx="2">
                  <c:v>10830.484273708065</c:v>
                </c:pt>
                <c:pt idx="3">
                  <c:v>2313.6293014759617</c:v>
                </c:pt>
                <c:pt idx="4">
                  <c:v>1881.9656178577998</c:v>
                </c:pt>
                <c:pt idx="5">
                  <c:v>1572.4451189061003</c:v>
                </c:pt>
                <c:pt idx="6">
                  <c:v>5581.0923255227844</c:v>
                </c:pt>
                <c:pt idx="7">
                  <c:v>1554.6592951170171</c:v>
                </c:pt>
                <c:pt idx="8">
                  <c:v>2018.6707854889869</c:v>
                </c:pt>
                <c:pt idx="9">
                  <c:v>2652.9646937188641</c:v>
                </c:pt>
                <c:pt idx="10">
                  <c:v>245.94220497104135</c:v>
                </c:pt>
                <c:pt idx="11">
                  <c:v>650.94089966994284</c:v>
                </c:pt>
                <c:pt idx="12">
                  <c:v>1302.9937884562232</c:v>
                </c:pt>
                <c:pt idx="13">
                  <c:v>6935.9695605930874</c:v>
                </c:pt>
                <c:pt idx="14">
                  <c:v>1476.2507396312167</c:v>
                </c:pt>
                <c:pt idx="15">
                  <c:v>2455.6378398413908</c:v>
                </c:pt>
                <c:pt idx="16">
                  <c:v>711.39008698257203</c:v>
                </c:pt>
                <c:pt idx="17">
                  <c:v>3489.7514686045552</c:v>
                </c:pt>
                <c:pt idx="18">
                  <c:v>1154.9985014446413</c:v>
                </c:pt>
                <c:pt idx="19">
                  <c:v>2906.9300956130601</c:v>
                </c:pt>
                <c:pt idx="20">
                  <c:v>544.20837094262833</c:v>
                </c:pt>
                <c:pt idx="21">
                  <c:v>3951.0826788260824</c:v>
                </c:pt>
                <c:pt idx="22">
                  <c:v>310.91565049488042</c:v>
                </c:pt>
                <c:pt idx="23">
                  <c:v>1445.2493671282691</c:v>
                </c:pt>
                <c:pt idx="24">
                  <c:v>1244.599770314348</c:v>
                </c:pt>
                <c:pt idx="25">
                  <c:v>2588.6296693978238</c:v>
                </c:pt>
                <c:pt idx="26">
                  <c:v>1199.5466961887139</c:v>
                </c:pt>
                <c:pt idx="27">
                  <c:v>1913.0348643206573</c:v>
                </c:pt>
                <c:pt idx="28">
                  <c:v>2653.9361438102806</c:v>
                </c:pt>
                <c:pt idx="29">
                  <c:v>17660.714657337128</c:v>
                </c:pt>
                <c:pt idx="30">
                  <c:v>8013.1626361673489</c:v>
                </c:pt>
                <c:pt idx="31">
                  <c:v>3341.5941748718797</c:v>
                </c:pt>
                <c:pt idx="32">
                  <c:v>3886.4900564452028</c:v>
                </c:pt>
                <c:pt idx="33">
                  <c:v>640.82245502530009</c:v>
                </c:pt>
                <c:pt idx="34">
                  <c:v>67.276980287112735</c:v>
                </c:pt>
                <c:pt idx="35">
                  <c:v>1425.817332512536</c:v>
                </c:pt>
                <c:pt idx="36">
                  <c:v>1115.9977374340422</c:v>
                </c:pt>
                <c:pt idx="37">
                  <c:v>1281.8884245408519</c:v>
                </c:pt>
                <c:pt idx="38">
                  <c:v>2729.8777102530426</c:v>
                </c:pt>
                <c:pt idx="39">
                  <c:v>14368.867018885629</c:v>
                </c:pt>
                <c:pt idx="40">
                  <c:v>2049.7136956396153</c:v>
                </c:pt>
                <c:pt idx="41">
                  <c:v>12091.262715702564</c:v>
                </c:pt>
                <c:pt idx="42">
                  <c:v>3705.2320970096976</c:v>
                </c:pt>
                <c:pt idx="43">
                  <c:v>3477.6965034467839</c:v>
                </c:pt>
                <c:pt idx="44">
                  <c:v>3783.5765732582181</c:v>
                </c:pt>
                <c:pt idx="45">
                  <c:v>12544.533461631529</c:v>
                </c:pt>
                <c:pt idx="46">
                  <c:v>3965.8397738484996</c:v>
                </c:pt>
                <c:pt idx="47">
                  <c:v>2556.1909525132673</c:v>
                </c:pt>
                <c:pt idx="48">
                  <c:v>7698.319721367141</c:v>
                </c:pt>
                <c:pt idx="49">
                  <c:v>5038.0325671094843</c:v>
                </c:pt>
                <c:pt idx="50">
                  <c:v>148.42228232490095</c:v>
                </c:pt>
                <c:pt idx="51">
                  <c:v>409.31037777159486</c:v>
                </c:pt>
                <c:pt idx="52">
                  <c:v>345.60279479222953</c:v>
                </c:pt>
                <c:pt idx="53">
                  <c:v>40778.394586111419</c:v>
                </c:pt>
                <c:pt idx="54">
                  <c:v>2648.402206841231</c:v>
                </c:pt>
                <c:pt idx="55">
                  <c:v>3587.8882062967368</c:v>
                </c:pt>
                <c:pt idx="56">
                  <c:v>339.4761387111115</c:v>
                </c:pt>
                <c:pt idx="57">
                  <c:v>1511.1074924847967</c:v>
                </c:pt>
                <c:pt idx="58">
                  <c:v>1149.9483740454452</c:v>
                </c:pt>
                <c:pt idx="59">
                  <c:v>1349.277276540362</c:v>
                </c:pt>
                <c:pt idx="60">
                  <c:v>4942.1346800228612</c:v>
                </c:pt>
                <c:pt idx="61">
                  <c:v>1523.6648389046331</c:v>
                </c:pt>
                <c:pt idx="62">
                  <c:v>10651.565968190027</c:v>
                </c:pt>
                <c:pt idx="63">
                  <c:v>4025.4957237476124</c:v>
                </c:pt>
                <c:pt idx="64">
                  <c:v>2152.883115525522</c:v>
                </c:pt>
                <c:pt idx="65">
                  <c:v>228.44562516672124</c:v>
                </c:pt>
                <c:pt idx="66">
                  <c:v>2662.8484006213589</c:v>
                </c:pt>
                <c:pt idx="67">
                  <c:v>1284.1485061504968</c:v>
                </c:pt>
                <c:pt idx="68">
                  <c:v>5927.4676444662664</c:v>
                </c:pt>
                <c:pt idx="69">
                  <c:v>7412.7421929311422</c:v>
                </c:pt>
                <c:pt idx="70">
                  <c:v>6144.2860188286268</c:v>
                </c:pt>
                <c:pt idx="71">
                  <c:v>669.2251267216584</c:v>
                </c:pt>
                <c:pt idx="72">
                  <c:v>11338.617086275133</c:v>
                </c:pt>
                <c:pt idx="73">
                  <c:v>16488.562551013834</c:v>
                </c:pt>
                <c:pt idx="74">
                  <c:v>672.70777424220068</c:v>
                </c:pt>
                <c:pt idx="75">
                  <c:v>2156.6295785401176</c:v>
                </c:pt>
                <c:pt idx="76">
                  <c:v>6493.7021186141874</c:v>
                </c:pt>
                <c:pt idx="77">
                  <c:v>2441.9790265776096</c:v>
                </c:pt>
                <c:pt idx="78">
                  <c:v>2371.5315376163821</c:v>
                </c:pt>
                <c:pt idx="79">
                  <c:v>4965.4466596933989</c:v>
                </c:pt>
                <c:pt idx="80">
                  <c:v>3517.5705064492572</c:v>
                </c:pt>
                <c:pt idx="81">
                  <c:v>2286.4925467420835</c:v>
                </c:pt>
                <c:pt idx="82">
                  <c:v>383.53254678173693</c:v>
                </c:pt>
                <c:pt idx="83">
                  <c:v>63613.49461122472</c:v>
                </c:pt>
                <c:pt idx="84">
                  <c:v>6622.5526727896731</c:v>
                </c:pt>
                <c:pt idx="85">
                  <c:v>4146.8824297572364</c:v>
                </c:pt>
                <c:pt idx="86">
                  <c:v>475.03080785226382</c:v>
                </c:pt>
                <c:pt idx="87">
                  <c:v>879.72177538792766</c:v>
                </c:pt>
                <c:pt idx="88">
                  <c:v>313.89895318498077</c:v>
                </c:pt>
                <c:pt idx="89">
                  <c:v>1056.8216422404171</c:v>
                </c:pt>
                <c:pt idx="90">
                  <c:v>8467.7346029795426</c:v>
                </c:pt>
                <c:pt idx="91">
                  <c:v>469.61715803202941</c:v>
                </c:pt>
                <c:pt idx="92">
                  <c:v>568.69068459811206</c:v>
                </c:pt>
                <c:pt idx="93">
                  <c:v>667.43215316018927</c:v>
                </c:pt>
                <c:pt idx="94">
                  <c:v>1684.1198470002232</c:v>
                </c:pt>
                <c:pt idx="95">
                  <c:v>4407.5414197857708</c:v>
                </c:pt>
                <c:pt idx="96">
                  <c:v>6260.9032444982422</c:v>
                </c:pt>
                <c:pt idx="97">
                  <c:v>4444.9323414051196</c:v>
                </c:pt>
                <c:pt idx="98">
                  <c:v>694.57219823768196</c:v>
                </c:pt>
                <c:pt idx="99">
                  <c:v>281.78268842497494</c:v>
                </c:pt>
                <c:pt idx="100">
                  <c:v>2034.2611545552995</c:v>
                </c:pt>
                <c:pt idx="101">
                  <c:v>43.415516358062575</c:v>
                </c:pt>
                <c:pt idx="102">
                  <c:v>2016.2122593586353</c:v>
                </c:pt>
                <c:pt idx="103">
                  <c:v>6879.6406864616565</c:v>
                </c:pt>
                <c:pt idx="104">
                  <c:v>4921.5575570962437</c:v>
                </c:pt>
                <c:pt idx="105">
                  <c:v>4547.0463544049644</c:v>
                </c:pt>
                <c:pt idx="106">
                  <c:v>783.24629021113537</c:v>
                </c:pt>
                <c:pt idx="107">
                  <c:v>286.21210976344196</c:v>
                </c:pt>
                <c:pt idx="108">
                  <c:v>364.11883049612743</c:v>
                </c:pt>
                <c:pt idx="109">
                  <c:v>2058.3453627646468</c:v>
                </c:pt>
                <c:pt idx="110">
                  <c:v>1318.4273211861464</c:v>
                </c:pt>
                <c:pt idx="111">
                  <c:v>3323.208542475415</c:v>
                </c:pt>
                <c:pt idx="112">
                  <c:v>725.0894329109575</c:v>
                </c:pt>
                <c:pt idx="113">
                  <c:v>1300.5940643500865</c:v>
                </c:pt>
                <c:pt idx="114">
                  <c:v>2462.0207728639889</c:v>
                </c:pt>
                <c:pt idx="115">
                  <c:v>3426.3612612443781</c:v>
                </c:pt>
                <c:pt idx="116">
                  <c:v>700.71371921657953</c:v>
                </c:pt>
                <c:pt idx="117">
                  <c:v>5257.3957015789138</c:v>
                </c:pt>
                <c:pt idx="118">
                  <c:v>392.5409800399384</c:v>
                </c:pt>
                <c:pt idx="119">
                  <c:v>1874.6169731935945</c:v>
                </c:pt>
                <c:pt idx="120">
                  <c:v>1577.5780766739947</c:v>
                </c:pt>
                <c:pt idx="121">
                  <c:v>5512.3920845569683</c:v>
                </c:pt>
                <c:pt idx="122">
                  <c:v>7775.4113915813705</c:v>
                </c:pt>
                <c:pt idx="123">
                  <c:v>596.95161546955455</c:v>
                </c:pt>
                <c:pt idx="124">
                  <c:v>2942.4128507480459</c:v>
                </c:pt>
                <c:pt idx="125">
                  <c:v>825.28718633097947</c:v>
                </c:pt>
                <c:pt idx="126">
                  <c:v>2746.4988104642903</c:v>
                </c:pt>
                <c:pt idx="127">
                  <c:v>2884.3385247034385</c:v>
                </c:pt>
                <c:pt idx="128">
                  <c:v>2814.1654899540249</c:v>
                </c:pt>
                <c:pt idx="129">
                  <c:v>4750.2478058214983</c:v>
                </c:pt>
                <c:pt idx="130">
                  <c:v>22115.504774785724</c:v>
                </c:pt>
                <c:pt idx="131">
                  <c:v>259.02571836581632</c:v>
                </c:pt>
                <c:pt idx="132">
                  <c:v>2753.0073997998525</c:v>
                </c:pt>
                <c:pt idx="133">
                  <c:v>3833.0908229322672</c:v>
                </c:pt>
                <c:pt idx="134">
                  <c:v>1634.1862208005614</c:v>
                </c:pt>
                <c:pt idx="135">
                  <c:v>7351.4824416208494</c:v>
                </c:pt>
                <c:pt idx="136">
                  <c:v>1073.162996821387</c:v>
                </c:pt>
                <c:pt idx="137">
                  <c:v>6465.0474129829954</c:v>
                </c:pt>
                <c:pt idx="138">
                  <c:v>3876.0739985129139</c:v>
                </c:pt>
                <c:pt idx="139">
                  <c:v>1019.420725502142</c:v>
                </c:pt>
                <c:pt idx="140">
                  <c:v>1967.0181764401029</c:v>
                </c:pt>
                <c:pt idx="141">
                  <c:v>4760.9758926075783</c:v>
                </c:pt>
                <c:pt idx="142">
                  <c:v>873.80047125785586</c:v>
                </c:pt>
                <c:pt idx="143">
                  <c:v>310.52477364548162</c:v>
                </c:pt>
                <c:pt idx="144">
                  <c:v>506.52455944013673</c:v>
                </c:pt>
                <c:pt idx="145">
                  <c:v>808.77758520966279</c:v>
                </c:pt>
                <c:pt idx="146">
                  <c:v>3465.7147289993686</c:v>
                </c:pt>
                <c:pt idx="147">
                  <c:v>1473.1296069700884</c:v>
                </c:pt>
                <c:pt idx="148">
                  <c:v>11839.86370584257</c:v>
                </c:pt>
                <c:pt idx="149">
                  <c:v>3867.6585419562316</c:v>
                </c:pt>
                <c:pt idx="150">
                  <c:v>1310.7658480416037</c:v>
                </c:pt>
                <c:pt idx="151">
                  <c:v>4821.5925266114655</c:v>
                </c:pt>
                <c:pt idx="152">
                  <c:v>25477.307176838989</c:v>
                </c:pt>
                <c:pt idx="153">
                  <c:v>979.10156736937495</c:v>
                </c:pt>
                <c:pt idx="154">
                  <c:v>2745.8765185528346</c:v>
                </c:pt>
                <c:pt idx="155">
                  <c:v>966.51978069120753</c:v>
                </c:pt>
                <c:pt idx="156">
                  <c:v>1188.3477426038623</c:v>
                </c:pt>
                <c:pt idx="157">
                  <c:v>431.81127863149942</c:v>
                </c:pt>
                <c:pt idx="158">
                  <c:v>1202.2844480722106</c:v>
                </c:pt>
                <c:pt idx="159">
                  <c:v>422.31963628779653</c:v>
                </c:pt>
                <c:pt idx="160">
                  <c:v>358.5108401146112</c:v>
                </c:pt>
                <c:pt idx="161">
                  <c:v>1860.3549452933262</c:v>
                </c:pt>
                <c:pt idx="162">
                  <c:v>1798.42054531753</c:v>
                </c:pt>
                <c:pt idx="163">
                  <c:v>289.56841207814108</c:v>
                </c:pt>
                <c:pt idx="164">
                  <c:v>1527.1190597880798</c:v>
                </c:pt>
                <c:pt idx="165">
                  <c:v>1635.7920266463836</c:v>
                </c:pt>
                <c:pt idx="166">
                  <c:v>989.3713685888689</c:v>
                </c:pt>
                <c:pt idx="167">
                  <c:v>2868.1466123142663</c:v>
                </c:pt>
                <c:pt idx="168">
                  <c:v>1845.3760131126269</c:v>
                </c:pt>
                <c:pt idx="169">
                  <c:v>5440.3274404616941</c:v>
                </c:pt>
                <c:pt idx="170">
                  <c:v>8119.5054826808191</c:v>
                </c:pt>
                <c:pt idx="171">
                  <c:v>2423.190643401223</c:v>
                </c:pt>
                <c:pt idx="172">
                  <c:v>2901.0457929713875</c:v>
                </c:pt>
                <c:pt idx="173">
                  <c:v>18840.841067063695</c:v>
                </c:pt>
                <c:pt idx="174">
                  <c:v>798.03788830279143</c:v>
                </c:pt>
                <c:pt idx="175">
                  <c:v>6037.753451149938</c:v>
                </c:pt>
                <c:pt idx="176">
                  <c:v>1549.0976529277016</c:v>
                </c:pt>
                <c:pt idx="177">
                  <c:v>2620.4472330269018</c:v>
                </c:pt>
                <c:pt idx="178">
                  <c:v>12637.808043010031</c:v>
                </c:pt>
                <c:pt idx="179">
                  <c:v>982.20268738348364</c:v>
                </c:pt>
                <c:pt idx="180">
                  <c:v>4445.1735525561853</c:v>
                </c:pt>
                <c:pt idx="181">
                  <c:v>6669.147323824739</c:v>
                </c:pt>
                <c:pt idx="182">
                  <c:v>2360.778611844602</c:v>
                </c:pt>
                <c:pt idx="183">
                  <c:v>1514.9028517219742</c:v>
                </c:pt>
                <c:pt idx="184">
                  <c:v>2596.475708350551</c:v>
                </c:pt>
                <c:pt idx="185">
                  <c:v>209.76800721511574</c:v>
                </c:pt>
                <c:pt idx="186">
                  <c:v>3516.0738020989584</c:v>
                </c:pt>
                <c:pt idx="187">
                  <c:v>3123.3379875602322</c:v>
                </c:pt>
                <c:pt idx="188">
                  <c:v>401.55061191131273</c:v>
                </c:pt>
                <c:pt idx="189">
                  <c:v>537.21591532425168</c:v>
                </c:pt>
                <c:pt idx="190">
                  <c:v>373.05779136047227</c:v>
                </c:pt>
                <c:pt idx="191">
                  <c:v>543.52748308029368</c:v>
                </c:pt>
                <c:pt idx="192">
                  <c:v>4551.4976662263216</c:v>
                </c:pt>
                <c:pt idx="193">
                  <c:v>697.36663507256571</c:v>
                </c:pt>
                <c:pt idx="194">
                  <c:v>577.18834648151847</c:v>
                </c:pt>
                <c:pt idx="195">
                  <c:v>1986.2683565057853</c:v>
                </c:pt>
                <c:pt idx="196">
                  <c:v>6452.5148059645198</c:v>
                </c:pt>
                <c:pt idx="197">
                  <c:v>385.8886620659556</c:v>
                </c:pt>
                <c:pt idx="198">
                  <c:v>2801.7906325157751</c:v>
                </c:pt>
                <c:pt idx="199">
                  <c:v>2429.7204621728283</c:v>
                </c:pt>
                <c:pt idx="200">
                  <c:v>1630.8223086724397</c:v>
                </c:pt>
                <c:pt idx="201">
                  <c:v>4198.6643653517376</c:v>
                </c:pt>
                <c:pt idx="202">
                  <c:v>728.00133857768969</c:v>
                </c:pt>
                <c:pt idx="203">
                  <c:v>900.66600519512895</c:v>
                </c:pt>
                <c:pt idx="204">
                  <c:v>1008.7822271839731</c:v>
                </c:pt>
                <c:pt idx="205">
                  <c:v>1199.9097973571811</c:v>
                </c:pt>
                <c:pt idx="206">
                  <c:v>2918.5735732345879</c:v>
                </c:pt>
                <c:pt idx="207">
                  <c:v>1189.9805742082863</c:v>
                </c:pt>
                <c:pt idx="208">
                  <c:v>3142.3281442306816</c:v>
                </c:pt>
                <c:pt idx="209">
                  <c:v>2188.2777767192911</c:v>
                </c:pt>
                <c:pt idx="210">
                  <c:v>566.84727024897745</c:v>
                </c:pt>
                <c:pt idx="211">
                  <c:v>4018.6029453383303</c:v>
                </c:pt>
                <c:pt idx="212">
                  <c:v>1463.5118502400246</c:v>
                </c:pt>
                <c:pt idx="213">
                  <c:v>2305.6543926010745</c:v>
                </c:pt>
                <c:pt idx="214">
                  <c:v>627.12169776250403</c:v>
                </c:pt>
                <c:pt idx="215">
                  <c:v>17001.022723463269</c:v>
                </c:pt>
                <c:pt idx="216">
                  <c:v>293.25382240453382</c:v>
                </c:pt>
                <c:pt idx="217">
                  <c:v>3400.5150547906651</c:v>
                </c:pt>
                <c:pt idx="218">
                  <c:v>1421.129033740699</c:v>
                </c:pt>
                <c:pt idx="219">
                  <c:v>11737.851254765186</c:v>
                </c:pt>
                <c:pt idx="220">
                  <c:v>3875.652927028023</c:v>
                </c:pt>
                <c:pt idx="221">
                  <c:v>1263.1492139565148</c:v>
                </c:pt>
                <c:pt idx="222">
                  <c:v>440.50997324580885</c:v>
                </c:pt>
                <c:pt idx="223">
                  <c:v>800.21152821062867</c:v>
                </c:pt>
                <c:pt idx="224">
                  <c:v>3086.5180512953807</c:v>
                </c:pt>
                <c:pt idx="225">
                  <c:v>201.37098711286376</c:v>
                </c:pt>
                <c:pt idx="226">
                  <c:v>2228.4137301545011</c:v>
                </c:pt>
                <c:pt idx="227">
                  <c:v>1980.1400547703802</c:v>
                </c:pt>
                <c:pt idx="228">
                  <c:v>1497.0252383870259</c:v>
                </c:pt>
                <c:pt idx="229">
                  <c:v>658.1554520823845</c:v>
                </c:pt>
                <c:pt idx="230">
                  <c:v>41926.891291215135</c:v>
                </c:pt>
                <c:pt idx="231">
                  <c:v>9329.5152286761841</c:v>
                </c:pt>
                <c:pt idx="232">
                  <c:v>6505.183733594461</c:v>
                </c:pt>
                <c:pt idx="233">
                  <c:v>4660.137887728135</c:v>
                </c:pt>
                <c:pt idx="234">
                  <c:v>3296.731394362324</c:v>
                </c:pt>
                <c:pt idx="235">
                  <c:v>836.21782522092258</c:v>
                </c:pt>
                <c:pt idx="236">
                  <c:v>1381.2921200943022</c:v>
                </c:pt>
                <c:pt idx="237">
                  <c:v>792.84143914675724</c:v>
                </c:pt>
                <c:pt idx="238">
                  <c:v>562.93107180971901</c:v>
                </c:pt>
                <c:pt idx="239">
                  <c:v>2492.5742575549307</c:v>
                </c:pt>
                <c:pt idx="240">
                  <c:v>3591.62655441164</c:v>
                </c:pt>
                <c:pt idx="241">
                  <c:v>5471.2013823504203</c:v>
                </c:pt>
                <c:pt idx="242">
                  <c:v>3626.6833177027465</c:v>
                </c:pt>
                <c:pt idx="243">
                  <c:v>2066.5974512829557</c:v>
                </c:pt>
                <c:pt idx="244">
                  <c:v>480.57119793924835</c:v>
                </c:pt>
                <c:pt idx="245">
                  <c:v>488.28784377662942</c:v>
                </c:pt>
                <c:pt idx="246">
                  <c:v>2606.9536289765115</c:v>
                </c:pt>
                <c:pt idx="247">
                  <c:v>1908.2362208878801</c:v>
                </c:pt>
                <c:pt idx="248">
                  <c:v>1112.2629134590973</c:v>
                </c:pt>
                <c:pt idx="249">
                  <c:v>1673.4531230390953</c:v>
                </c:pt>
                <c:pt idx="250">
                  <c:v>1146.78142200196</c:v>
                </c:pt>
                <c:pt idx="251">
                  <c:v>534.39258490342422</c:v>
                </c:pt>
                <c:pt idx="252">
                  <c:v>785.97115297929099</c:v>
                </c:pt>
                <c:pt idx="253">
                  <c:v>1506.1547726441074</c:v>
                </c:pt>
                <c:pt idx="254">
                  <c:v>1141.1078842099716</c:v>
                </c:pt>
                <c:pt idx="255">
                  <c:v>5149.4853439559192</c:v>
                </c:pt>
                <c:pt idx="256">
                  <c:v>5124.1901899455752</c:v>
                </c:pt>
                <c:pt idx="257">
                  <c:v>1084.2501011530426</c:v>
                </c:pt>
                <c:pt idx="258">
                  <c:v>3162.4034414271637</c:v>
                </c:pt>
                <c:pt idx="259">
                  <c:v>6788.9081118099693</c:v>
                </c:pt>
                <c:pt idx="260">
                  <c:v>1742.2129369825111</c:v>
                </c:pt>
                <c:pt idx="261">
                  <c:v>448.38439461195395</c:v>
                </c:pt>
                <c:pt idx="262">
                  <c:v>1695.1334814136078</c:v>
                </c:pt>
                <c:pt idx="263">
                  <c:v>1665.6016705894071</c:v>
                </c:pt>
                <c:pt idx="264">
                  <c:v>9748.9687206601993</c:v>
                </c:pt>
                <c:pt idx="265">
                  <c:v>2709.9220095987748</c:v>
                </c:pt>
                <c:pt idx="266">
                  <c:v>929.66790699768262</c:v>
                </c:pt>
                <c:pt idx="267">
                  <c:v>21971.326567309126</c:v>
                </c:pt>
                <c:pt idx="268">
                  <c:v>13695.881867259124</c:v>
                </c:pt>
                <c:pt idx="269">
                  <c:v>4062.4914354278553</c:v>
                </c:pt>
                <c:pt idx="270">
                  <c:v>5360.4246064487161</c:v>
                </c:pt>
                <c:pt idx="271">
                  <c:v>14022.850478921431</c:v>
                </c:pt>
                <c:pt idx="272">
                  <c:v>3493.6484225825643</c:v>
                </c:pt>
                <c:pt idx="273">
                  <c:v>2370.8703122519032</c:v>
                </c:pt>
                <c:pt idx="274">
                  <c:v>2522.4671144032941</c:v>
                </c:pt>
                <c:pt idx="275">
                  <c:v>1052.5905044766482</c:v>
                </c:pt>
                <c:pt idx="276">
                  <c:v>689.36879897867198</c:v>
                </c:pt>
                <c:pt idx="277">
                  <c:v>1636.2880825833699</c:v>
                </c:pt>
                <c:pt idx="278">
                  <c:v>555.69273382077893</c:v>
                </c:pt>
                <c:pt idx="279">
                  <c:v>5268.6441930678029</c:v>
                </c:pt>
                <c:pt idx="280">
                  <c:v>1751.0996353419141</c:v>
                </c:pt>
                <c:pt idx="281">
                  <c:v>1325.6874043167822</c:v>
                </c:pt>
                <c:pt idx="282">
                  <c:v>2843.3875610632108</c:v>
                </c:pt>
                <c:pt idx="283">
                  <c:v>7486.5676338455996</c:v>
                </c:pt>
                <c:pt idx="284">
                  <c:v>6059.0467549208452</c:v>
                </c:pt>
                <c:pt idx="285">
                  <c:v>2774.4678713941657</c:v>
                </c:pt>
                <c:pt idx="286">
                  <c:v>2071.6369177692832</c:v>
                </c:pt>
                <c:pt idx="287">
                  <c:v>2315.7503528825837</c:v>
                </c:pt>
                <c:pt idx="288">
                  <c:v>828.01284583996312</c:v>
                </c:pt>
                <c:pt idx="289">
                  <c:v>6640.5699105719432</c:v>
                </c:pt>
                <c:pt idx="290">
                  <c:v>3045.2144558087725</c:v>
                </c:pt>
                <c:pt idx="291">
                  <c:v>577.67170336946083</c:v>
                </c:pt>
                <c:pt idx="292">
                  <c:v>1927.1890924196027</c:v>
                </c:pt>
                <c:pt idx="293">
                  <c:v>4700.580341368629</c:v>
                </c:pt>
                <c:pt idx="294">
                  <c:v>1590.8215668640046</c:v>
                </c:pt>
                <c:pt idx="295">
                  <c:v>13525.22631399288</c:v>
                </c:pt>
                <c:pt idx="296">
                  <c:v>2091.1930111384509</c:v>
                </c:pt>
                <c:pt idx="297">
                  <c:v>2192.3799680411012</c:v>
                </c:pt>
                <c:pt idx="298">
                  <c:v>1299.2252770594491</c:v>
                </c:pt>
                <c:pt idx="299">
                  <c:v>12697.555740437121</c:v>
                </c:pt>
                <c:pt idx="300">
                  <c:v>361.94126916518087</c:v>
                </c:pt>
                <c:pt idx="301">
                  <c:v>433.26655361847918</c:v>
                </c:pt>
                <c:pt idx="302">
                  <c:v>22377.89245883936</c:v>
                </c:pt>
                <c:pt idx="303">
                  <c:v>3662.5936350119882</c:v>
                </c:pt>
                <c:pt idx="304">
                  <c:v>3023.4578848277642</c:v>
                </c:pt>
                <c:pt idx="305">
                  <c:v>7522.2258600668974</c:v>
                </c:pt>
                <c:pt idx="306">
                  <c:v>206.78323120901214</c:v>
                </c:pt>
                <c:pt idx="307">
                  <c:v>1705.3344964193382</c:v>
                </c:pt>
                <c:pt idx="308">
                  <c:v>833.33375287905346</c:v>
                </c:pt>
                <c:pt idx="309">
                  <c:v>10054.112327627679</c:v>
                </c:pt>
                <c:pt idx="310">
                  <c:v>3287.7560039338791</c:v>
                </c:pt>
                <c:pt idx="311">
                  <c:v>1582.0396460556865</c:v>
                </c:pt>
                <c:pt idx="312">
                  <c:v>8996.6091805985852</c:v>
                </c:pt>
                <c:pt idx="313">
                  <c:v>12203.593799417858</c:v>
                </c:pt>
                <c:pt idx="314">
                  <c:v>1594.1263084694472</c:v>
                </c:pt>
                <c:pt idx="315">
                  <c:v>530.32456391929009</c:v>
                </c:pt>
                <c:pt idx="316">
                  <c:v>4426.5811789795443</c:v>
                </c:pt>
                <c:pt idx="317">
                  <c:v>1053.7420842967149</c:v>
                </c:pt>
                <c:pt idx="318">
                  <c:v>1140.2350348468988</c:v>
                </c:pt>
                <c:pt idx="319">
                  <c:v>3467.7310399336766</c:v>
                </c:pt>
                <c:pt idx="320">
                  <c:v>6121.4239211922595</c:v>
                </c:pt>
                <c:pt idx="321">
                  <c:v>202.70872236556107</c:v>
                </c:pt>
                <c:pt idx="322">
                  <c:v>5112.925784779166</c:v>
                </c:pt>
                <c:pt idx="323">
                  <c:v>10030.42851753041</c:v>
                </c:pt>
                <c:pt idx="324">
                  <c:v>9110.5976892723447</c:v>
                </c:pt>
                <c:pt idx="325">
                  <c:v>1160.1656380677248</c:v>
                </c:pt>
                <c:pt idx="326">
                  <c:v>4951.2883881218731</c:v>
                </c:pt>
                <c:pt idx="327">
                  <c:v>421.13175030135858</c:v>
                </c:pt>
                <c:pt idx="328">
                  <c:v>8253.6309269013291</c:v>
                </c:pt>
                <c:pt idx="329">
                  <c:v>526.59928801193723</c:v>
                </c:pt>
                <c:pt idx="330">
                  <c:v>13574.489785741507</c:v>
                </c:pt>
                <c:pt idx="331">
                  <c:v>3567.6727337927691</c:v>
                </c:pt>
                <c:pt idx="332">
                  <c:v>887.175532830169</c:v>
                </c:pt>
                <c:pt idx="333">
                  <c:v>1267.5386515175912</c:v>
                </c:pt>
                <c:pt idx="334">
                  <c:v>993.05183295971665</c:v>
                </c:pt>
                <c:pt idx="335">
                  <c:v>727.93266824892726</c:v>
                </c:pt>
                <c:pt idx="336">
                  <c:v>7738.9008456158062</c:v>
                </c:pt>
                <c:pt idx="337">
                  <c:v>1633.6014952389096</c:v>
                </c:pt>
                <c:pt idx="338">
                  <c:v>821.44679362768295</c:v>
                </c:pt>
                <c:pt idx="339">
                  <c:v>206.42070427201102</c:v>
                </c:pt>
                <c:pt idx="340">
                  <c:v>5399.3142871177206</c:v>
                </c:pt>
                <c:pt idx="341">
                  <c:v>1409.1210334127341</c:v>
                </c:pt>
                <c:pt idx="342">
                  <c:v>9224.22995646872</c:v>
                </c:pt>
                <c:pt idx="343">
                  <c:v>4020.3727358279207</c:v>
                </c:pt>
                <c:pt idx="344">
                  <c:v>4775.9446524334553</c:v>
                </c:pt>
                <c:pt idx="345">
                  <c:v>5649.0650113708825</c:v>
                </c:pt>
                <c:pt idx="346">
                  <c:v>1055.8213944974159</c:v>
                </c:pt>
                <c:pt idx="347">
                  <c:v>14598.414280259109</c:v>
                </c:pt>
                <c:pt idx="348">
                  <c:v>1343.8580086243014</c:v>
                </c:pt>
                <c:pt idx="349">
                  <c:v>358.16836850461078</c:v>
                </c:pt>
                <c:pt idx="350">
                  <c:v>1252.9129324058604</c:v>
                </c:pt>
                <c:pt idx="351">
                  <c:v>2253.4262800000893</c:v>
                </c:pt>
                <c:pt idx="352">
                  <c:v>3589.4201980433422</c:v>
                </c:pt>
                <c:pt idx="353">
                  <c:v>224.41469458697583</c:v>
                </c:pt>
                <c:pt idx="354">
                  <c:v>1361.4312529488971</c:v>
                </c:pt>
                <c:pt idx="355">
                  <c:v>3166.4672273800261</c:v>
                </c:pt>
                <c:pt idx="356">
                  <c:v>2884.0188665482879</c:v>
                </c:pt>
                <c:pt idx="357">
                  <c:v>553.69512750732326</c:v>
                </c:pt>
                <c:pt idx="358">
                  <c:v>1574.1618984174772</c:v>
                </c:pt>
                <c:pt idx="359">
                  <c:v>2966.6321544554021</c:v>
                </c:pt>
                <c:pt idx="360">
                  <c:v>1193.6095730411196</c:v>
                </c:pt>
                <c:pt idx="361">
                  <c:v>3552.3197202088813</c:v>
                </c:pt>
                <c:pt idx="362">
                  <c:v>1006.8995692449448</c:v>
                </c:pt>
                <c:pt idx="363">
                  <c:v>3104.9346899453521</c:v>
                </c:pt>
                <c:pt idx="364">
                  <c:v>6967.8638909703186</c:v>
                </c:pt>
                <c:pt idx="365">
                  <c:v>8834.970522449541</c:v>
                </c:pt>
                <c:pt idx="366">
                  <c:v>1111.0754213451037</c:v>
                </c:pt>
                <c:pt idx="367">
                  <c:v>2003.8438569134441</c:v>
                </c:pt>
                <c:pt idx="368">
                  <c:v>726.03707398634663</c:v>
                </c:pt>
                <c:pt idx="369">
                  <c:v>132.29732750726538</c:v>
                </c:pt>
                <c:pt idx="370">
                  <c:v>2014.483750876273</c:v>
                </c:pt>
                <c:pt idx="371">
                  <c:v>2522.5676935711158</c:v>
                </c:pt>
                <c:pt idx="372">
                  <c:v>1427.3217716418692</c:v>
                </c:pt>
                <c:pt idx="373">
                  <c:v>491.75525728059625</c:v>
                </c:pt>
                <c:pt idx="374">
                  <c:v>2730.1504455224049</c:v>
                </c:pt>
                <c:pt idx="375">
                  <c:v>15088.471453331078</c:v>
                </c:pt>
                <c:pt idx="376">
                  <c:v>2382.1534258255438</c:v>
                </c:pt>
                <c:pt idx="377">
                  <c:v>535.99796125001842</c:v>
                </c:pt>
                <c:pt idx="378">
                  <c:v>58.984896735970452</c:v>
                </c:pt>
                <c:pt idx="379">
                  <c:v>2469.0908961894334</c:v>
                </c:pt>
                <c:pt idx="380">
                  <c:v>2391.635723558129</c:v>
                </c:pt>
                <c:pt idx="381">
                  <c:v>238.11272791141252</c:v>
                </c:pt>
                <c:pt idx="382">
                  <c:v>1829.4596214952578</c:v>
                </c:pt>
                <c:pt idx="383">
                  <c:v>11658.448900173686</c:v>
                </c:pt>
                <c:pt idx="384">
                  <c:v>860.13178822857344</c:v>
                </c:pt>
                <c:pt idx="385">
                  <c:v>12294.108336563362</c:v>
                </c:pt>
                <c:pt idx="386">
                  <c:v>8157.0353164480603</c:v>
                </c:pt>
                <c:pt idx="387">
                  <c:v>439.8573078328385</c:v>
                </c:pt>
                <c:pt idx="388">
                  <c:v>2336.1923461656493</c:v>
                </c:pt>
                <c:pt idx="389">
                  <c:v>93.798135092368568</c:v>
                </c:pt>
                <c:pt idx="390">
                  <c:v>1347.8620755020088</c:v>
                </c:pt>
                <c:pt idx="391">
                  <c:v>813.43941798473224</c:v>
                </c:pt>
                <c:pt idx="392">
                  <c:v>4006.5975519674735</c:v>
                </c:pt>
                <c:pt idx="393">
                  <c:v>505.65536129959304</c:v>
                </c:pt>
                <c:pt idx="394">
                  <c:v>10924.560491808963</c:v>
                </c:pt>
                <c:pt idx="395">
                  <c:v>1447.0887210619192</c:v>
                </c:pt>
                <c:pt idx="396">
                  <c:v>3229.2552603071399</c:v>
                </c:pt>
                <c:pt idx="397">
                  <c:v>1179.7349899334779</c:v>
                </c:pt>
                <c:pt idx="398">
                  <c:v>1278.9560201766008</c:v>
                </c:pt>
                <c:pt idx="399">
                  <c:v>1748.532317001788</c:v>
                </c:pt>
                <c:pt idx="400">
                  <c:v>2613.9513692192882</c:v>
                </c:pt>
                <c:pt idx="401">
                  <c:v>4185.2272305858596</c:v>
                </c:pt>
                <c:pt idx="402">
                  <c:v>486.6785353398941</c:v>
                </c:pt>
                <c:pt idx="403">
                  <c:v>916.99645670966538</c:v>
                </c:pt>
                <c:pt idx="404">
                  <c:v>2744.6756130094691</c:v>
                </c:pt>
                <c:pt idx="405">
                  <c:v>2829.9801501063434</c:v>
                </c:pt>
                <c:pt idx="406">
                  <c:v>206.09187363701926</c:v>
                </c:pt>
                <c:pt idx="407">
                  <c:v>34939.927708330608</c:v>
                </c:pt>
                <c:pt idx="408">
                  <c:v>5095.8072521658378</c:v>
                </c:pt>
                <c:pt idx="409">
                  <c:v>1665.2926883065361</c:v>
                </c:pt>
                <c:pt idx="410">
                  <c:v>1668.7210717787204</c:v>
                </c:pt>
                <c:pt idx="411">
                  <c:v>3929.5693978042805</c:v>
                </c:pt>
                <c:pt idx="412">
                  <c:v>2832.5032330315366</c:v>
                </c:pt>
                <c:pt idx="413">
                  <c:v>5039.5504932188396</c:v>
                </c:pt>
                <c:pt idx="414">
                  <c:v>3637.8420474358481</c:v>
                </c:pt>
                <c:pt idx="415">
                  <c:v>4777.0288432806292</c:v>
                </c:pt>
                <c:pt idx="416">
                  <c:v>999.28417559687614</c:v>
                </c:pt>
                <c:pt idx="417">
                  <c:v>2653.5564567678948</c:v>
                </c:pt>
                <c:pt idx="418">
                  <c:v>2386.5684879247269</c:v>
                </c:pt>
                <c:pt idx="419">
                  <c:v>4052.9053219022499</c:v>
                </c:pt>
                <c:pt idx="420">
                  <c:v>2881.6136271834175</c:v>
                </c:pt>
                <c:pt idx="421">
                  <c:v>458.36908671125639</c:v>
                </c:pt>
                <c:pt idx="422">
                  <c:v>5748.1970867085693</c:v>
                </c:pt>
                <c:pt idx="423">
                  <c:v>805.67923352712171</c:v>
                </c:pt>
                <c:pt idx="424">
                  <c:v>996.59915066713552</c:v>
                </c:pt>
                <c:pt idx="425">
                  <c:v>9298.4795972802331</c:v>
                </c:pt>
                <c:pt idx="426">
                  <c:v>886.78258143004041</c:v>
                </c:pt>
                <c:pt idx="427">
                  <c:v>1747.48476905098</c:v>
                </c:pt>
                <c:pt idx="428">
                  <c:v>2318.6793677703999</c:v>
                </c:pt>
                <c:pt idx="429">
                  <c:v>319.33864290833856</c:v>
                </c:pt>
                <c:pt idx="430">
                  <c:v>4183.9352062754933</c:v>
                </c:pt>
                <c:pt idx="431">
                  <c:v>5669.6087781202723</c:v>
                </c:pt>
                <c:pt idx="432">
                  <c:v>682.47289906258391</c:v>
                </c:pt>
                <c:pt idx="433">
                  <c:v>674.94298258804611</c:v>
                </c:pt>
                <c:pt idx="434">
                  <c:v>2497.7708434652341</c:v>
                </c:pt>
                <c:pt idx="435">
                  <c:v>2083.2998993658457</c:v>
                </c:pt>
                <c:pt idx="436">
                  <c:v>6089.3539903120918</c:v>
                </c:pt>
                <c:pt idx="437">
                  <c:v>5566.3468796291199</c:v>
                </c:pt>
                <c:pt idx="438">
                  <c:v>7606.0419167996461</c:v>
                </c:pt>
                <c:pt idx="439">
                  <c:v>60333.222814898872</c:v>
                </c:pt>
                <c:pt idx="440">
                  <c:v>5725.7120434651843</c:v>
                </c:pt>
                <c:pt idx="441">
                  <c:v>1813.6865731132893</c:v>
                </c:pt>
                <c:pt idx="442">
                  <c:v>20361.007449716686</c:v>
                </c:pt>
                <c:pt idx="443">
                  <c:v>1771.5482909589184</c:v>
                </c:pt>
                <c:pt idx="444">
                  <c:v>2433.4032311735659</c:v>
                </c:pt>
                <c:pt idx="445">
                  <c:v>820.43618552439227</c:v>
                </c:pt>
                <c:pt idx="446">
                  <c:v>15041.733490758397</c:v>
                </c:pt>
                <c:pt idx="447">
                  <c:v>1865.8036396427635</c:v>
                </c:pt>
                <c:pt idx="448">
                  <c:v>782.6477371441747</c:v>
                </c:pt>
                <c:pt idx="449">
                  <c:v>2709.1673592439283</c:v>
                </c:pt>
                <c:pt idx="450">
                  <c:v>4813.9413667131639</c:v>
                </c:pt>
                <c:pt idx="451">
                  <c:v>620.23770514896228</c:v>
                </c:pt>
                <c:pt idx="452">
                  <c:v>2008.1172764618063</c:v>
                </c:pt>
                <c:pt idx="453">
                  <c:v>5714.6416107598088</c:v>
                </c:pt>
                <c:pt idx="454">
                  <c:v>17122.693416919028</c:v>
                </c:pt>
                <c:pt idx="455">
                  <c:v>1518.5955767122027</c:v>
                </c:pt>
                <c:pt idx="456">
                  <c:v>4791.9945462407004</c:v>
                </c:pt>
                <c:pt idx="457">
                  <c:v>5858.9756242709436</c:v>
                </c:pt>
                <c:pt idx="458">
                  <c:v>256.35409088773622</c:v>
                </c:pt>
                <c:pt idx="459">
                  <c:v>4086.7190900843243</c:v>
                </c:pt>
                <c:pt idx="460">
                  <c:v>8263.5451526523029</c:v>
                </c:pt>
                <c:pt idx="461">
                  <c:v>345.29450063896036</c:v>
                </c:pt>
                <c:pt idx="462">
                  <c:v>4623.846363739548</c:v>
                </c:pt>
                <c:pt idx="463">
                  <c:v>1794.2259205206624</c:v>
                </c:pt>
                <c:pt idx="464">
                  <c:v>780.72550095270969</c:v>
                </c:pt>
                <c:pt idx="465">
                  <c:v>1209.3993858695258</c:v>
                </c:pt>
                <c:pt idx="466">
                  <c:v>22023.725259081082</c:v>
                </c:pt>
                <c:pt idx="467">
                  <c:v>1318.2541184066208</c:v>
                </c:pt>
                <c:pt idx="468">
                  <c:v>763.94097526845667</c:v>
                </c:pt>
                <c:pt idx="469">
                  <c:v>2586.6375304478952</c:v>
                </c:pt>
                <c:pt idx="470">
                  <c:v>443.26545180105126</c:v>
                </c:pt>
                <c:pt idx="471">
                  <c:v>7015.145952615484</c:v>
                </c:pt>
                <c:pt idx="472">
                  <c:v>982.11493250313515</c:v>
                </c:pt>
                <c:pt idx="473">
                  <c:v>618.98949915300557</c:v>
                </c:pt>
                <c:pt idx="474">
                  <c:v>4951.9254660378883</c:v>
                </c:pt>
                <c:pt idx="475">
                  <c:v>6748.486470351565</c:v>
                </c:pt>
                <c:pt idx="476">
                  <c:v>6468.3480676119561</c:v>
                </c:pt>
                <c:pt idx="477">
                  <c:v>414.06691433863864</c:v>
                </c:pt>
                <c:pt idx="478">
                  <c:v>89.96623369755919</c:v>
                </c:pt>
                <c:pt idx="479">
                  <c:v>2903.1536950699506</c:v>
                </c:pt>
                <c:pt idx="480">
                  <c:v>2630.0389078944636</c:v>
                </c:pt>
                <c:pt idx="481">
                  <c:v>3378.3484606553116</c:v>
                </c:pt>
                <c:pt idx="482">
                  <c:v>4183.6563792061716</c:v>
                </c:pt>
                <c:pt idx="483">
                  <c:v>848.0697168269046</c:v>
                </c:pt>
                <c:pt idx="484">
                  <c:v>964.86638084696472</c:v>
                </c:pt>
                <c:pt idx="485">
                  <c:v>8658.1721704878455</c:v>
                </c:pt>
                <c:pt idx="486">
                  <c:v>337.21854017724979</c:v>
                </c:pt>
                <c:pt idx="487">
                  <c:v>1295.925097787381</c:v>
                </c:pt>
                <c:pt idx="488">
                  <c:v>1683.8166036367622</c:v>
                </c:pt>
                <c:pt idx="489">
                  <c:v>628.09242336854265</c:v>
                </c:pt>
                <c:pt idx="490">
                  <c:v>1585.3966300054008</c:v>
                </c:pt>
                <c:pt idx="491">
                  <c:v>5047.5108712241881</c:v>
                </c:pt>
                <c:pt idx="492">
                  <c:v>799.92518184745131</c:v>
                </c:pt>
                <c:pt idx="493">
                  <c:v>19040.104774431122</c:v>
                </c:pt>
                <c:pt idx="494">
                  <c:v>3325.3489993857329</c:v>
                </c:pt>
                <c:pt idx="495">
                  <c:v>535.68804192708023</c:v>
                </c:pt>
                <c:pt idx="496">
                  <c:v>3700.2418689745678</c:v>
                </c:pt>
                <c:pt idx="497">
                  <c:v>3006.2860367528538</c:v>
                </c:pt>
                <c:pt idx="498">
                  <c:v>4483.5223940189335</c:v>
                </c:pt>
                <c:pt idx="499">
                  <c:v>5164.7602452415567</c:v>
                </c:pt>
                <c:pt idx="500">
                  <c:v>4524.0295816469734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3-4F7D-A35B-5C3856806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111303"/>
        <c:axId val="614032391"/>
      </c:lineChart>
      <c:catAx>
        <c:axId val="1597111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032391"/>
        <c:crosses val="autoZero"/>
        <c:auto val="1"/>
        <c:lblAlgn val="ctr"/>
        <c:lblOffset val="100"/>
        <c:noMultiLvlLbl val="0"/>
      </c:catAx>
      <c:valAx>
        <c:axId val="61403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111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Accumulative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Accumulations!$I$1</c:f>
              <c:strCache>
                <c:ptCount val="1"/>
                <c:pt idx="0">
                  <c:v>Accumulated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Accumulations!$A$2:$A$501</c:f>
              <c:numCache>
                <c:formatCode>m/d/yyyy</c:formatCode>
                <c:ptCount val="500"/>
                <c:pt idx="0">
                  <c:v>40186</c:v>
                </c:pt>
                <c:pt idx="1">
                  <c:v>40188</c:v>
                </c:pt>
                <c:pt idx="2">
                  <c:v>40197</c:v>
                </c:pt>
                <c:pt idx="3">
                  <c:v>40204</c:v>
                </c:pt>
                <c:pt idx="4">
                  <c:v>40216</c:v>
                </c:pt>
                <c:pt idx="5">
                  <c:v>40221</c:v>
                </c:pt>
                <c:pt idx="6">
                  <c:v>40225</c:v>
                </c:pt>
                <c:pt idx="7">
                  <c:v>40228</c:v>
                </c:pt>
                <c:pt idx="8">
                  <c:v>40249</c:v>
                </c:pt>
                <c:pt idx="9">
                  <c:v>40257</c:v>
                </c:pt>
                <c:pt idx="10">
                  <c:v>40295</c:v>
                </c:pt>
                <c:pt idx="11">
                  <c:v>40311</c:v>
                </c:pt>
                <c:pt idx="12">
                  <c:v>40316</c:v>
                </c:pt>
                <c:pt idx="13">
                  <c:v>40326</c:v>
                </c:pt>
                <c:pt idx="14">
                  <c:v>40334</c:v>
                </c:pt>
                <c:pt idx="15">
                  <c:v>40335</c:v>
                </c:pt>
                <c:pt idx="16">
                  <c:v>40338</c:v>
                </c:pt>
                <c:pt idx="17">
                  <c:v>40339</c:v>
                </c:pt>
                <c:pt idx="18">
                  <c:v>40347</c:v>
                </c:pt>
                <c:pt idx="19">
                  <c:v>40347</c:v>
                </c:pt>
                <c:pt idx="20">
                  <c:v>40351</c:v>
                </c:pt>
                <c:pt idx="21">
                  <c:v>40354</c:v>
                </c:pt>
                <c:pt idx="22">
                  <c:v>40356</c:v>
                </c:pt>
                <c:pt idx="23">
                  <c:v>40359</c:v>
                </c:pt>
                <c:pt idx="24">
                  <c:v>40363</c:v>
                </c:pt>
                <c:pt idx="25">
                  <c:v>40372</c:v>
                </c:pt>
                <c:pt idx="26">
                  <c:v>40375</c:v>
                </c:pt>
                <c:pt idx="27">
                  <c:v>40390</c:v>
                </c:pt>
                <c:pt idx="28">
                  <c:v>40397</c:v>
                </c:pt>
                <c:pt idx="29">
                  <c:v>40400</c:v>
                </c:pt>
                <c:pt idx="30">
                  <c:v>40407</c:v>
                </c:pt>
                <c:pt idx="31">
                  <c:v>40408</c:v>
                </c:pt>
                <c:pt idx="32">
                  <c:v>40415</c:v>
                </c:pt>
                <c:pt idx="33">
                  <c:v>40420</c:v>
                </c:pt>
                <c:pt idx="34">
                  <c:v>40423</c:v>
                </c:pt>
                <c:pt idx="35">
                  <c:v>40423</c:v>
                </c:pt>
                <c:pt idx="36">
                  <c:v>40431</c:v>
                </c:pt>
                <c:pt idx="37">
                  <c:v>40439</c:v>
                </c:pt>
                <c:pt idx="38">
                  <c:v>40441</c:v>
                </c:pt>
                <c:pt idx="39">
                  <c:v>40444</c:v>
                </c:pt>
                <c:pt idx="40">
                  <c:v>40444</c:v>
                </c:pt>
                <c:pt idx="41">
                  <c:v>40446</c:v>
                </c:pt>
                <c:pt idx="42">
                  <c:v>40447</c:v>
                </c:pt>
                <c:pt idx="43">
                  <c:v>40455</c:v>
                </c:pt>
                <c:pt idx="44">
                  <c:v>40458</c:v>
                </c:pt>
                <c:pt idx="45">
                  <c:v>40465</c:v>
                </c:pt>
                <c:pt idx="46">
                  <c:v>40483</c:v>
                </c:pt>
                <c:pt idx="47">
                  <c:v>40508</c:v>
                </c:pt>
                <c:pt idx="48">
                  <c:v>40511</c:v>
                </c:pt>
                <c:pt idx="49">
                  <c:v>40523</c:v>
                </c:pt>
                <c:pt idx="50">
                  <c:v>40524</c:v>
                </c:pt>
                <c:pt idx="51">
                  <c:v>40546</c:v>
                </c:pt>
                <c:pt idx="52">
                  <c:v>40547</c:v>
                </c:pt>
                <c:pt idx="53">
                  <c:v>40555</c:v>
                </c:pt>
                <c:pt idx="54">
                  <c:v>40570</c:v>
                </c:pt>
                <c:pt idx="55">
                  <c:v>40583</c:v>
                </c:pt>
                <c:pt idx="56">
                  <c:v>40594</c:v>
                </c:pt>
                <c:pt idx="57">
                  <c:v>40622</c:v>
                </c:pt>
                <c:pt idx="58">
                  <c:v>40636</c:v>
                </c:pt>
                <c:pt idx="59">
                  <c:v>40642</c:v>
                </c:pt>
                <c:pt idx="60">
                  <c:v>40655</c:v>
                </c:pt>
                <c:pt idx="61">
                  <c:v>40657</c:v>
                </c:pt>
                <c:pt idx="62">
                  <c:v>40659</c:v>
                </c:pt>
                <c:pt idx="63">
                  <c:v>40663</c:v>
                </c:pt>
                <c:pt idx="64">
                  <c:v>40664</c:v>
                </c:pt>
                <c:pt idx="65">
                  <c:v>40673</c:v>
                </c:pt>
                <c:pt idx="66">
                  <c:v>40689</c:v>
                </c:pt>
                <c:pt idx="67">
                  <c:v>40702</c:v>
                </c:pt>
                <c:pt idx="68">
                  <c:v>40720</c:v>
                </c:pt>
                <c:pt idx="69">
                  <c:v>40733</c:v>
                </c:pt>
                <c:pt idx="70">
                  <c:v>40740</c:v>
                </c:pt>
                <c:pt idx="71">
                  <c:v>40749</c:v>
                </c:pt>
                <c:pt idx="72">
                  <c:v>40777</c:v>
                </c:pt>
                <c:pt idx="73">
                  <c:v>40783</c:v>
                </c:pt>
                <c:pt idx="74">
                  <c:v>40792</c:v>
                </c:pt>
                <c:pt idx="75">
                  <c:v>40817</c:v>
                </c:pt>
                <c:pt idx="76">
                  <c:v>40822</c:v>
                </c:pt>
                <c:pt idx="77">
                  <c:v>40838</c:v>
                </c:pt>
                <c:pt idx="78">
                  <c:v>40838</c:v>
                </c:pt>
                <c:pt idx="79">
                  <c:v>40857</c:v>
                </c:pt>
                <c:pt idx="80">
                  <c:v>40892</c:v>
                </c:pt>
                <c:pt idx="81">
                  <c:v>40898</c:v>
                </c:pt>
                <c:pt idx="82">
                  <c:v>40898</c:v>
                </c:pt>
                <c:pt idx="83">
                  <c:v>40903</c:v>
                </c:pt>
                <c:pt idx="84">
                  <c:v>40903</c:v>
                </c:pt>
                <c:pt idx="85">
                  <c:v>40904</c:v>
                </c:pt>
                <c:pt idx="86">
                  <c:v>40913</c:v>
                </c:pt>
                <c:pt idx="87">
                  <c:v>40924</c:v>
                </c:pt>
                <c:pt idx="88">
                  <c:v>40958</c:v>
                </c:pt>
                <c:pt idx="89">
                  <c:v>40962</c:v>
                </c:pt>
                <c:pt idx="90">
                  <c:v>40968</c:v>
                </c:pt>
                <c:pt idx="91">
                  <c:v>40976</c:v>
                </c:pt>
                <c:pt idx="92">
                  <c:v>40979</c:v>
                </c:pt>
                <c:pt idx="93">
                  <c:v>40981</c:v>
                </c:pt>
                <c:pt idx="94">
                  <c:v>40982</c:v>
                </c:pt>
                <c:pt idx="95">
                  <c:v>40984</c:v>
                </c:pt>
                <c:pt idx="96">
                  <c:v>40986</c:v>
                </c:pt>
                <c:pt idx="97">
                  <c:v>40988</c:v>
                </c:pt>
                <c:pt idx="98">
                  <c:v>40989</c:v>
                </c:pt>
                <c:pt idx="99">
                  <c:v>40996</c:v>
                </c:pt>
                <c:pt idx="100">
                  <c:v>40996</c:v>
                </c:pt>
                <c:pt idx="101">
                  <c:v>41007</c:v>
                </c:pt>
                <c:pt idx="102">
                  <c:v>41024</c:v>
                </c:pt>
                <c:pt idx="103">
                  <c:v>41037</c:v>
                </c:pt>
                <c:pt idx="104">
                  <c:v>41039</c:v>
                </c:pt>
                <c:pt idx="105">
                  <c:v>41040</c:v>
                </c:pt>
                <c:pt idx="106">
                  <c:v>41050</c:v>
                </c:pt>
                <c:pt idx="107">
                  <c:v>41051</c:v>
                </c:pt>
                <c:pt idx="108">
                  <c:v>41064</c:v>
                </c:pt>
                <c:pt idx="109">
                  <c:v>41071</c:v>
                </c:pt>
                <c:pt idx="110">
                  <c:v>41073</c:v>
                </c:pt>
                <c:pt idx="111">
                  <c:v>41075</c:v>
                </c:pt>
                <c:pt idx="112">
                  <c:v>41079</c:v>
                </c:pt>
                <c:pt idx="113">
                  <c:v>41080</c:v>
                </c:pt>
                <c:pt idx="114">
                  <c:v>41080</c:v>
                </c:pt>
                <c:pt idx="115">
                  <c:v>41087</c:v>
                </c:pt>
                <c:pt idx="116">
                  <c:v>41091</c:v>
                </c:pt>
                <c:pt idx="117">
                  <c:v>41095</c:v>
                </c:pt>
                <c:pt idx="118">
                  <c:v>41097</c:v>
                </c:pt>
                <c:pt idx="119">
                  <c:v>41104</c:v>
                </c:pt>
                <c:pt idx="120">
                  <c:v>41107</c:v>
                </c:pt>
                <c:pt idx="121">
                  <c:v>41111</c:v>
                </c:pt>
                <c:pt idx="122">
                  <c:v>41113</c:v>
                </c:pt>
                <c:pt idx="123">
                  <c:v>41115</c:v>
                </c:pt>
                <c:pt idx="124">
                  <c:v>41121</c:v>
                </c:pt>
                <c:pt idx="125">
                  <c:v>41131</c:v>
                </c:pt>
                <c:pt idx="126">
                  <c:v>41138</c:v>
                </c:pt>
                <c:pt idx="127">
                  <c:v>41140</c:v>
                </c:pt>
                <c:pt idx="128">
                  <c:v>41147</c:v>
                </c:pt>
                <c:pt idx="129">
                  <c:v>41148</c:v>
                </c:pt>
                <c:pt idx="130">
                  <c:v>41152</c:v>
                </c:pt>
                <c:pt idx="131">
                  <c:v>41159</c:v>
                </c:pt>
                <c:pt idx="132">
                  <c:v>41171</c:v>
                </c:pt>
                <c:pt idx="133">
                  <c:v>41176</c:v>
                </c:pt>
                <c:pt idx="134">
                  <c:v>41183</c:v>
                </c:pt>
                <c:pt idx="135">
                  <c:v>41190</c:v>
                </c:pt>
                <c:pt idx="136">
                  <c:v>41209</c:v>
                </c:pt>
                <c:pt idx="137">
                  <c:v>41215</c:v>
                </c:pt>
                <c:pt idx="138">
                  <c:v>41217</c:v>
                </c:pt>
                <c:pt idx="139">
                  <c:v>41220</c:v>
                </c:pt>
                <c:pt idx="140">
                  <c:v>41226</c:v>
                </c:pt>
                <c:pt idx="141">
                  <c:v>41228</c:v>
                </c:pt>
                <c:pt idx="142">
                  <c:v>41229</c:v>
                </c:pt>
                <c:pt idx="143">
                  <c:v>41242</c:v>
                </c:pt>
                <c:pt idx="144">
                  <c:v>41245</c:v>
                </c:pt>
                <c:pt idx="145">
                  <c:v>41282</c:v>
                </c:pt>
                <c:pt idx="146">
                  <c:v>41305</c:v>
                </c:pt>
                <c:pt idx="147">
                  <c:v>41305</c:v>
                </c:pt>
                <c:pt idx="148">
                  <c:v>41318</c:v>
                </c:pt>
                <c:pt idx="149">
                  <c:v>41320</c:v>
                </c:pt>
                <c:pt idx="150">
                  <c:v>41346</c:v>
                </c:pt>
                <c:pt idx="151">
                  <c:v>41364</c:v>
                </c:pt>
                <c:pt idx="152">
                  <c:v>41365</c:v>
                </c:pt>
                <c:pt idx="153">
                  <c:v>41367</c:v>
                </c:pt>
                <c:pt idx="154">
                  <c:v>41368</c:v>
                </c:pt>
                <c:pt idx="155">
                  <c:v>41384</c:v>
                </c:pt>
                <c:pt idx="156">
                  <c:v>41391</c:v>
                </c:pt>
                <c:pt idx="157">
                  <c:v>41397</c:v>
                </c:pt>
                <c:pt idx="158">
                  <c:v>41402</c:v>
                </c:pt>
                <c:pt idx="159">
                  <c:v>41406</c:v>
                </c:pt>
                <c:pt idx="160">
                  <c:v>41415</c:v>
                </c:pt>
                <c:pt idx="161">
                  <c:v>41432</c:v>
                </c:pt>
                <c:pt idx="162">
                  <c:v>41436</c:v>
                </c:pt>
                <c:pt idx="163">
                  <c:v>41438</c:v>
                </c:pt>
                <c:pt idx="164">
                  <c:v>41448</c:v>
                </c:pt>
                <c:pt idx="165">
                  <c:v>41449</c:v>
                </c:pt>
                <c:pt idx="166">
                  <c:v>41451</c:v>
                </c:pt>
                <c:pt idx="167">
                  <c:v>41472</c:v>
                </c:pt>
                <c:pt idx="168">
                  <c:v>41485</c:v>
                </c:pt>
                <c:pt idx="169">
                  <c:v>41489</c:v>
                </c:pt>
                <c:pt idx="170">
                  <c:v>41499</c:v>
                </c:pt>
                <c:pt idx="171">
                  <c:v>41535</c:v>
                </c:pt>
                <c:pt idx="172">
                  <c:v>41539</c:v>
                </c:pt>
                <c:pt idx="173">
                  <c:v>41548</c:v>
                </c:pt>
                <c:pt idx="174">
                  <c:v>41552</c:v>
                </c:pt>
                <c:pt idx="175">
                  <c:v>41556</c:v>
                </c:pt>
                <c:pt idx="176">
                  <c:v>41563</c:v>
                </c:pt>
                <c:pt idx="177">
                  <c:v>41564</c:v>
                </c:pt>
                <c:pt idx="178">
                  <c:v>41574</c:v>
                </c:pt>
                <c:pt idx="179">
                  <c:v>41580</c:v>
                </c:pt>
                <c:pt idx="180">
                  <c:v>41583</c:v>
                </c:pt>
                <c:pt idx="181">
                  <c:v>41587</c:v>
                </c:pt>
                <c:pt idx="182">
                  <c:v>41589</c:v>
                </c:pt>
                <c:pt idx="183">
                  <c:v>41609</c:v>
                </c:pt>
                <c:pt idx="184">
                  <c:v>41618</c:v>
                </c:pt>
                <c:pt idx="185">
                  <c:v>41623</c:v>
                </c:pt>
                <c:pt idx="186">
                  <c:v>41633</c:v>
                </c:pt>
                <c:pt idx="187">
                  <c:v>41651</c:v>
                </c:pt>
                <c:pt idx="188">
                  <c:v>41656</c:v>
                </c:pt>
                <c:pt idx="189">
                  <c:v>41665</c:v>
                </c:pt>
                <c:pt idx="190">
                  <c:v>41679</c:v>
                </c:pt>
                <c:pt idx="191">
                  <c:v>41680</c:v>
                </c:pt>
                <c:pt idx="192">
                  <c:v>41688</c:v>
                </c:pt>
                <c:pt idx="193">
                  <c:v>41692</c:v>
                </c:pt>
                <c:pt idx="194">
                  <c:v>41695</c:v>
                </c:pt>
                <c:pt idx="195">
                  <c:v>41697</c:v>
                </c:pt>
                <c:pt idx="196">
                  <c:v>41711</c:v>
                </c:pt>
                <c:pt idx="197">
                  <c:v>41711</c:v>
                </c:pt>
                <c:pt idx="198">
                  <c:v>41717</c:v>
                </c:pt>
                <c:pt idx="199">
                  <c:v>41724</c:v>
                </c:pt>
                <c:pt idx="200">
                  <c:v>41743</c:v>
                </c:pt>
                <c:pt idx="201">
                  <c:v>41746</c:v>
                </c:pt>
                <c:pt idx="202">
                  <c:v>41751</c:v>
                </c:pt>
                <c:pt idx="203">
                  <c:v>41755</c:v>
                </c:pt>
                <c:pt idx="204">
                  <c:v>41755</c:v>
                </c:pt>
                <c:pt idx="205">
                  <c:v>41761</c:v>
                </c:pt>
                <c:pt idx="206">
                  <c:v>41765</c:v>
                </c:pt>
                <c:pt idx="207">
                  <c:v>41787</c:v>
                </c:pt>
                <c:pt idx="208">
                  <c:v>41809</c:v>
                </c:pt>
                <c:pt idx="209">
                  <c:v>41819</c:v>
                </c:pt>
                <c:pt idx="210">
                  <c:v>41833</c:v>
                </c:pt>
                <c:pt idx="211">
                  <c:v>41834</c:v>
                </c:pt>
                <c:pt idx="212">
                  <c:v>41842</c:v>
                </c:pt>
                <c:pt idx="213">
                  <c:v>41843</c:v>
                </c:pt>
                <c:pt idx="214">
                  <c:v>41848</c:v>
                </c:pt>
                <c:pt idx="215">
                  <c:v>41872</c:v>
                </c:pt>
                <c:pt idx="216">
                  <c:v>41892</c:v>
                </c:pt>
                <c:pt idx="217">
                  <c:v>41916</c:v>
                </c:pt>
                <c:pt idx="218">
                  <c:v>41933</c:v>
                </c:pt>
                <c:pt idx="219">
                  <c:v>41951</c:v>
                </c:pt>
                <c:pt idx="220">
                  <c:v>41975</c:v>
                </c:pt>
                <c:pt idx="221">
                  <c:v>41996</c:v>
                </c:pt>
                <c:pt idx="222">
                  <c:v>42001</c:v>
                </c:pt>
                <c:pt idx="223">
                  <c:v>42007</c:v>
                </c:pt>
                <c:pt idx="224">
                  <c:v>42025</c:v>
                </c:pt>
                <c:pt idx="225">
                  <c:v>42038</c:v>
                </c:pt>
                <c:pt idx="226">
                  <c:v>42044</c:v>
                </c:pt>
                <c:pt idx="227">
                  <c:v>42048</c:v>
                </c:pt>
                <c:pt idx="228">
                  <c:v>42049</c:v>
                </c:pt>
                <c:pt idx="229">
                  <c:v>42060</c:v>
                </c:pt>
                <c:pt idx="230">
                  <c:v>42070</c:v>
                </c:pt>
                <c:pt idx="231">
                  <c:v>42098</c:v>
                </c:pt>
                <c:pt idx="232">
                  <c:v>42113</c:v>
                </c:pt>
                <c:pt idx="233">
                  <c:v>42126</c:v>
                </c:pt>
                <c:pt idx="234">
                  <c:v>42141</c:v>
                </c:pt>
                <c:pt idx="235">
                  <c:v>42150</c:v>
                </c:pt>
                <c:pt idx="236">
                  <c:v>42171</c:v>
                </c:pt>
                <c:pt idx="237">
                  <c:v>42177</c:v>
                </c:pt>
                <c:pt idx="238">
                  <c:v>42184</c:v>
                </c:pt>
                <c:pt idx="239">
                  <c:v>42195</c:v>
                </c:pt>
                <c:pt idx="240">
                  <c:v>42195</c:v>
                </c:pt>
                <c:pt idx="241">
                  <c:v>42205</c:v>
                </c:pt>
                <c:pt idx="242">
                  <c:v>42210</c:v>
                </c:pt>
                <c:pt idx="243">
                  <c:v>42214</c:v>
                </c:pt>
                <c:pt idx="244">
                  <c:v>42216</c:v>
                </c:pt>
                <c:pt idx="245">
                  <c:v>42218</c:v>
                </c:pt>
                <c:pt idx="246">
                  <c:v>42232</c:v>
                </c:pt>
                <c:pt idx="247">
                  <c:v>42238</c:v>
                </c:pt>
                <c:pt idx="248">
                  <c:v>42246</c:v>
                </c:pt>
                <c:pt idx="249">
                  <c:v>42256</c:v>
                </c:pt>
                <c:pt idx="250">
                  <c:v>42268</c:v>
                </c:pt>
                <c:pt idx="251">
                  <c:v>42269</c:v>
                </c:pt>
                <c:pt idx="252">
                  <c:v>42271</c:v>
                </c:pt>
                <c:pt idx="253">
                  <c:v>42274</c:v>
                </c:pt>
                <c:pt idx="254">
                  <c:v>42295</c:v>
                </c:pt>
                <c:pt idx="255">
                  <c:v>42305</c:v>
                </c:pt>
                <c:pt idx="256">
                  <c:v>42308</c:v>
                </c:pt>
                <c:pt idx="257">
                  <c:v>42312</c:v>
                </c:pt>
                <c:pt idx="258">
                  <c:v>42323</c:v>
                </c:pt>
                <c:pt idx="259">
                  <c:v>42330</c:v>
                </c:pt>
                <c:pt idx="260">
                  <c:v>42357</c:v>
                </c:pt>
                <c:pt idx="261">
                  <c:v>42360</c:v>
                </c:pt>
                <c:pt idx="262">
                  <c:v>42363</c:v>
                </c:pt>
                <c:pt idx="263">
                  <c:v>42364</c:v>
                </c:pt>
                <c:pt idx="264">
                  <c:v>42368</c:v>
                </c:pt>
                <c:pt idx="265">
                  <c:v>42388</c:v>
                </c:pt>
                <c:pt idx="266">
                  <c:v>42389</c:v>
                </c:pt>
                <c:pt idx="267">
                  <c:v>42389</c:v>
                </c:pt>
                <c:pt idx="268">
                  <c:v>42428</c:v>
                </c:pt>
                <c:pt idx="269">
                  <c:v>42430</c:v>
                </c:pt>
                <c:pt idx="270">
                  <c:v>42433</c:v>
                </c:pt>
                <c:pt idx="271">
                  <c:v>42448</c:v>
                </c:pt>
                <c:pt idx="272">
                  <c:v>42452</c:v>
                </c:pt>
                <c:pt idx="273">
                  <c:v>42456</c:v>
                </c:pt>
                <c:pt idx="274">
                  <c:v>42468</c:v>
                </c:pt>
                <c:pt idx="275">
                  <c:v>42470</c:v>
                </c:pt>
                <c:pt idx="276">
                  <c:v>42475</c:v>
                </c:pt>
                <c:pt idx="277">
                  <c:v>42485</c:v>
                </c:pt>
                <c:pt idx="278">
                  <c:v>42490</c:v>
                </c:pt>
                <c:pt idx="279">
                  <c:v>42495</c:v>
                </c:pt>
                <c:pt idx="280">
                  <c:v>42504</c:v>
                </c:pt>
                <c:pt idx="281">
                  <c:v>42524</c:v>
                </c:pt>
                <c:pt idx="282">
                  <c:v>42533</c:v>
                </c:pt>
                <c:pt idx="283">
                  <c:v>42541</c:v>
                </c:pt>
                <c:pt idx="284">
                  <c:v>42546</c:v>
                </c:pt>
                <c:pt idx="285">
                  <c:v>42568</c:v>
                </c:pt>
                <c:pt idx="286">
                  <c:v>42587</c:v>
                </c:pt>
                <c:pt idx="287">
                  <c:v>42608</c:v>
                </c:pt>
                <c:pt idx="288">
                  <c:v>42618</c:v>
                </c:pt>
                <c:pt idx="289">
                  <c:v>42618</c:v>
                </c:pt>
                <c:pt idx="290">
                  <c:v>42624</c:v>
                </c:pt>
                <c:pt idx="291">
                  <c:v>42628</c:v>
                </c:pt>
                <c:pt idx="292">
                  <c:v>42629</c:v>
                </c:pt>
                <c:pt idx="293">
                  <c:v>42638</c:v>
                </c:pt>
                <c:pt idx="294">
                  <c:v>42646</c:v>
                </c:pt>
                <c:pt idx="295">
                  <c:v>42650</c:v>
                </c:pt>
                <c:pt idx="296">
                  <c:v>42653</c:v>
                </c:pt>
                <c:pt idx="297">
                  <c:v>42672</c:v>
                </c:pt>
                <c:pt idx="298">
                  <c:v>42685</c:v>
                </c:pt>
                <c:pt idx="299">
                  <c:v>42711</c:v>
                </c:pt>
                <c:pt idx="300">
                  <c:v>42726</c:v>
                </c:pt>
                <c:pt idx="301">
                  <c:v>42727</c:v>
                </c:pt>
                <c:pt idx="302">
                  <c:v>42730</c:v>
                </c:pt>
                <c:pt idx="303">
                  <c:v>42739</c:v>
                </c:pt>
                <c:pt idx="304">
                  <c:v>42756</c:v>
                </c:pt>
                <c:pt idx="305">
                  <c:v>42759</c:v>
                </c:pt>
                <c:pt idx="306">
                  <c:v>42787</c:v>
                </c:pt>
                <c:pt idx="307">
                  <c:v>42792</c:v>
                </c:pt>
                <c:pt idx="308">
                  <c:v>42796</c:v>
                </c:pt>
                <c:pt idx="309">
                  <c:v>42797</c:v>
                </c:pt>
                <c:pt idx="310">
                  <c:v>42799</c:v>
                </c:pt>
                <c:pt idx="311">
                  <c:v>42813</c:v>
                </c:pt>
                <c:pt idx="312">
                  <c:v>42819</c:v>
                </c:pt>
                <c:pt idx="313">
                  <c:v>42822</c:v>
                </c:pt>
                <c:pt idx="314">
                  <c:v>42837</c:v>
                </c:pt>
                <c:pt idx="315">
                  <c:v>42856</c:v>
                </c:pt>
                <c:pt idx="316">
                  <c:v>42866</c:v>
                </c:pt>
                <c:pt idx="317">
                  <c:v>42869</c:v>
                </c:pt>
                <c:pt idx="318">
                  <c:v>42874</c:v>
                </c:pt>
                <c:pt idx="319">
                  <c:v>42887</c:v>
                </c:pt>
                <c:pt idx="320">
                  <c:v>42888</c:v>
                </c:pt>
                <c:pt idx="321">
                  <c:v>42892</c:v>
                </c:pt>
                <c:pt idx="322">
                  <c:v>42912</c:v>
                </c:pt>
                <c:pt idx="323">
                  <c:v>42913</c:v>
                </c:pt>
                <c:pt idx="324">
                  <c:v>42918</c:v>
                </c:pt>
                <c:pt idx="325">
                  <c:v>42919</c:v>
                </c:pt>
                <c:pt idx="326">
                  <c:v>42937</c:v>
                </c:pt>
                <c:pt idx="327">
                  <c:v>42949</c:v>
                </c:pt>
                <c:pt idx="328">
                  <c:v>42951</c:v>
                </c:pt>
                <c:pt idx="329">
                  <c:v>42961</c:v>
                </c:pt>
                <c:pt idx="330">
                  <c:v>42977</c:v>
                </c:pt>
                <c:pt idx="331">
                  <c:v>42984</c:v>
                </c:pt>
                <c:pt idx="332">
                  <c:v>42988</c:v>
                </c:pt>
                <c:pt idx="333">
                  <c:v>42991</c:v>
                </c:pt>
                <c:pt idx="334">
                  <c:v>43008</c:v>
                </c:pt>
                <c:pt idx="335">
                  <c:v>43012</c:v>
                </c:pt>
                <c:pt idx="336">
                  <c:v>43020</c:v>
                </c:pt>
                <c:pt idx="337">
                  <c:v>43020</c:v>
                </c:pt>
                <c:pt idx="338">
                  <c:v>43026</c:v>
                </c:pt>
                <c:pt idx="339">
                  <c:v>43041</c:v>
                </c:pt>
                <c:pt idx="340">
                  <c:v>43041</c:v>
                </c:pt>
                <c:pt idx="341">
                  <c:v>43065</c:v>
                </c:pt>
                <c:pt idx="342">
                  <c:v>43068</c:v>
                </c:pt>
                <c:pt idx="343">
                  <c:v>43070</c:v>
                </c:pt>
                <c:pt idx="344">
                  <c:v>43092</c:v>
                </c:pt>
                <c:pt idx="345">
                  <c:v>43101</c:v>
                </c:pt>
                <c:pt idx="346">
                  <c:v>43105</c:v>
                </c:pt>
                <c:pt idx="347">
                  <c:v>43113</c:v>
                </c:pt>
                <c:pt idx="348">
                  <c:v>43120</c:v>
                </c:pt>
                <c:pt idx="349">
                  <c:v>43129</c:v>
                </c:pt>
                <c:pt idx="350">
                  <c:v>43130</c:v>
                </c:pt>
                <c:pt idx="351">
                  <c:v>43130</c:v>
                </c:pt>
                <c:pt idx="352">
                  <c:v>43147</c:v>
                </c:pt>
                <c:pt idx="353">
                  <c:v>43158</c:v>
                </c:pt>
                <c:pt idx="354">
                  <c:v>43160</c:v>
                </c:pt>
                <c:pt idx="355">
                  <c:v>43161</c:v>
                </c:pt>
                <c:pt idx="356">
                  <c:v>43166</c:v>
                </c:pt>
                <c:pt idx="357">
                  <c:v>43174</c:v>
                </c:pt>
                <c:pt idx="358">
                  <c:v>43177</c:v>
                </c:pt>
                <c:pt idx="359">
                  <c:v>43185</c:v>
                </c:pt>
                <c:pt idx="360">
                  <c:v>43205</c:v>
                </c:pt>
                <c:pt idx="361">
                  <c:v>43208</c:v>
                </c:pt>
                <c:pt idx="362">
                  <c:v>43219</c:v>
                </c:pt>
                <c:pt idx="363">
                  <c:v>43220</c:v>
                </c:pt>
                <c:pt idx="364">
                  <c:v>43233</c:v>
                </c:pt>
                <c:pt idx="365">
                  <c:v>43233</c:v>
                </c:pt>
                <c:pt idx="366">
                  <c:v>43252</c:v>
                </c:pt>
                <c:pt idx="367">
                  <c:v>43262</c:v>
                </c:pt>
                <c:pt idx="368">
                  <c:v>43279</c:v>
                </c:pt>
                <c:pt idx="369">
                  <c:v>43281</c:v>
                </c:pt>
                <c:pt idx="370">
                  <c:v>43297</c:v>
                </c:pt>
                <c:pt idx="371">
                  <c:v>43302</c:v>
                </c:pt>
                <c:pt idx="372">
                  <c:v>43308</c:v>
                </c:pt>
                <c:pt idx="373">
                  <c:v>43309</c:v>
                </c:pt>
                <c:pt idx="374">
                  <c:v>43315</c:v>
                </c:pt>
                <c:pt idx="375">
                  <c:v>43369</c:v>
                </c:pt>
                <c:pt idx="376">
                  <c:v>43379</c:v>
                </c:pt>
                <c:pt idx="377">
                  <c:v>43382</c:v>
                </c:pt>
                <c:pt idx="378">
                  <c:v>43388</c:v>
                </c:pt>
                <c:pt idx="379">
                  <c:v>43417</c:v>
                </c:pt>
                <c:pt idx="380">
                  <c:v>43419</c:v>
                </c:pt>
                <c:pt idx="381">
                  <c:v>43420</c:v>
                </c:pt>
                <c:pt idx="382">
                  <c:v>43422</c:v>
                </c:pt>
                <c:pt idx="383">
                  <c:v>43434</c:v>
                </c:pt>
                <c:pt idx="384">
                  <c:v>43463</c:v>
                </c:pt>
                <c:pt idx="385">
                  <c:v>43466</c:v>
                </c:pt>
                <c:pt idx="386">
                  <c:v>43498</c:v>
                </c:pt>
                <c:pt idx="387">
                  <c:v>43499</c:v>
                </c:pt>
                <c:pt idx="388">
                  <c:v>43501</c:v>
                </c:pt>
                <c:pt idx="389">
                  <c:v>43517</c:v>
                </c:pt>
                <c:pt idx="390">
                  <c:v>43525</c:v>
                </c:pt>
                <c:pt idx="391">
                  <c:v>43526</c:v>
                </c:pt>
                <c:pt idx="392">
                  <c:v>43532</c:v>
                </c:pt>
                <c:pt idx="393">
                  <c:v>43533</c:v>
                </c:pt>
                <c:pt idx="394">
                  <c:v>43537</c:v>
                </c:pt>
                <c:pt idx="395">
                  <c:v>43538</c:v>
                </c:pt>
                <c:pt idx="396">
                  <c:v>43538</c:v>
                </c:pt>
                <c:pt idx="397">
                  <c:v>43561</c:v>
                </c:pt>
                <c:pt idx="398">
                  <c:v>43575</c:v>
                </c:pt>
                <c:pt idx="399">
                  <c:v>43576</c:v>
                </c:pt>
                <c:pt idx="400">
                  <c:v>43580</c:v>
                </c:pt>
                <c:pt idx="401">
                  <c:v>43586</c:v>
                </c:pt>
                <c:pt idx="402">
                  <c:v>43592</c:v>
                </c:pt>
                <c:pt idx="403">
                  <c:v>43608</c:v>
                </c:pt>
                <c:pt idx="404">
                  <c:v>43609</c:v>
                </c:pt>
                <c:pt idx="405">
                  <c:v>43616</c:v>
                </c:pt>
                <c:pt idx="406">
                  <c:v>43620</c:v>
                </c:pt>
                <c:pt idx="407">
                  <c:v>43629</c:v>
                </c:pt>
                <c:pt idx="408">
                  <c:v>43650</c:v>
                </c:pt>
                <c:pt idx="409">
                  <c:v>43653</c:v>
                </c:pt>
                <c:pt idx="410">
                  <c:v>43655</c:v>
                </c:pt>
                <c:pt idx="411">
                  <c:v>43662</c:v>
                </c:pt>
                <c:pt idx="412">
                  <c:v>43678</c:v>
                </c:pt>
                <c:pt idx="413">
                  <c:v>43712</c:v>
                </c:pt>
                <c:pt idx="414">
                  <c:v>43714</c:v>
                </c:pt>
                <c:pt idx="415">
                  <c:v>43717</c:v>
                </c:pt>
                <c:pt idx="416">
                  <c:v>43730</c:v>
                </c:pt>
                <c:pt idx="417">
                  <c:v>43731</c:v>
                </c:pt>
                <c:pt idx="418">
                  <c:v>43734</c:v>
                </c:pt>
                <c:pt idx="419">
                  <c:v>43735</c:v>
                </c:pt>
                <c:pt idx="420">
                  <c:v>43739</c:v>
                </c:pt>
                <c:pt idx="421">
                  <c:v>43745</c:v>
                </c:pt>
                <c:pt idx="422">
                  <c:v>43754</c:v>
                </c:pt>
                <c:pt idx="423">
                  <c:v>43767</c:v>
                </c:pt>
                <c:pt idx="424">
                  <c:v>43769</c:v>
                </c:pt>
                <c:pt idx="425">
                  <c:v>43772</c:v>
                </c:pt>
                <c:pt idx="426">
                  <c:v>43778</c:v>
                </c:pt>
                <c:pt idx="427">
                  <c:v>43795</c:v>
                </c:pt>
                <c:pt idx="428">
                  <c:v>43800</c:v>
                </c:pt>
                <c:pt idx="429">
                  <c:v>43805</c:v>
                </c:pt>
                <c:pt idx="430">
                  <c:v>43809</c:v>
                </c:pt>
                <c:pt idx="431">
                  <c:v>43809</c:v>
                </c:pt>
                <c:pt idx="432">
                  <c:v>43830</c:v>
                </c:pt>
                <c:pt idx="433">
                  <c:v>43835</c:v>
                </c:pt>
                <c:pt idx="434">
                  <c:v>43839</c:v>
                </c:pt>
                <c:pt idx="435">
                  <c:v>43840</c:v>
                </c:pt>
                <c:pt idx="436">
                  <c:v>43845</c:v>
                </c:pt>
                <c:pt idx="437">
                  <c:v>43849</c:v>
                </c:pt>
                <c:pt idx="438">
                  <c:v>43859</c:v>
                </c:pt>
                <c:pt idx="439">
                  <c:v>43859</c:v>
                </c:pt>
                <c:pt idx="440">
                  <c:v>43865</c:v>
                </c:pt>
                <c:pt idx="441">
                  <c:v>43867</c:v>
                </c:pt>
                <c:pt idx="442">
                  <c:v>43868</c:v>
                </c:pt>
                <c:pt idx="443">
                  <c:v>43874</c:v>
                </c:pt>
                <c:pt idx="444">
                  <c:v>43877</c:v>
                </c:pt>
                <c:pt idx="445">
                  <c:v>43885</c:v>
                </c:pt>
                <c:pt idx="446">
                  <c:v>43892</c:v>
                </c:pt>
                <c:pt idx="447">
                  <c:v>43893</c:v>
                </c:pt>
                <c:pt idx="448">
                  <c:v>43895</c:v>
                </c:pt>
                <c:pt idx="449">
                  <c:v>43902</c:v>
                </c:pt>
                <c:pt idx="450">
                  <c:v>43911</c:v>
                </c:pt>
                <c:pt idx="451">
                  <c:v>43914</c:v>
                </c:pt>
                <c:pt idx="452">
                  <c:v>43921</c:v>
                </c:pt>
                <c:pt idx="453">
                  <c:v>43921</c:v>
                </c:pt>
                <c:pt idx="454">
                  <c:v>43929</c:v>
                </c:pt>
                <c:pt idx="455">
                  <c:v>43951</c:v>
                </c:pt>
                <c:pt idx="456">
                  <c:v>43951</c:v>
                </c:pt>
                <c:pt idx="457">
                  <c:v>43952</c:v>
                </c:pt>
                <c:pt idx="458">
                  <c:v>43957</c:v>
                </c:pt>
                <c:pt idx="459">
                  <c:v>43958</c:v>
                </c:pt>
                <c:pt idx="460">
                  <c:v>43959</c:v>
                </c:pt>
                <c:pt idx="461">
                  <c:v>43977</c:v>
                </c:pt>
                <c:pt idx="462">
                  <c:v>43978</c:v>
                </c:pt>
                <c:pt idx="463">
                  <c:v>43983</c:v>
                </c:pt>
                <c:pt idx="464">
                  <c:v>43998</c:v>
                </c:pt>
                <c:pt idx="465">
                  <c:v>44010</c:v>
                </c:pt>
                <c:pt idx="466">
                  <c:v>44014</c:v>
                </c:pt>
                <c:pt idx="467">
                  <c:v>44018</c:v>
                </c:pt>
                <c:pt idx="468">
                  <c:v>44019</c:v>
                </c:pt>
                <c:pt idx="469">
                  <c:v>44027</c:v>
                </c:pt>
                <c:pt idx="470">
                  <c:v>44032</c:v>
                </c:pt>
                <c:pt idx="471">
                  <c:v>44040</c:v>
                </c:pt>
                <c:pt idx="472">
                  <c:v>44040</c:v>
                </c:pt>
                <c:pt idx="473">
                  <c:v>44047</c:v>
                </c:pt>
                <c:pt idx="474">
                  <c:v>44047</c:v>
                </c:pt>
                <c:pt idx="475">
                  <c:v>44053</c:v>
                </c:pt>
                <c:pt idx="476">
                  <c:v>44057</c:v>
                </c:pt>
                <c:pt idx="477">
                  <c:v>44063</c:v>
                </c:pt>
                <c:pt idx="478">
                  <c:v>44073</c:v>
                </c:pt>
                <c:pt idx="479">
                  <c:v>44075</c:v>
                </c:pt>
                <c:pt idx="480">
                  <c:v>44092</c:v>
                </c:pt>
                <c:pt idx="481">
                  <c:v>44097</c:v>
                </c:pt>
                <c:pt idx="482">
                  <c:v>44098</c:v>
                </c:pt>
                <c:pt idx="483">
                  <c:v>44107</c:v>
                </c:pt>
                <c:pt idx="484">
                  <c:v>44110</c:v>
                </c:pt>
                <c:pt idx="485">
                  <c:v>44114</c:v>
                </c:pt>
                <c:pt idx="486">
                  <c:v>44125</c:v>
                </c:pt>
                <c:pt idx="487">
                  <c:v>44126</c:v>
                </c:pt>
                <c:pt idx="488">
                  <c:v>44126</c:v>
                </c:pt>
                <c:pt idx="489">
                  <c:v>44130</c:v>
                </c:pt>
                <c:pt idx="490">
                  <c:v>44139</c:v>
                </c:pt>
                <c:pt idx="491">
                  <c:v>44139</c:v>
                </c:pt>
                <c:pt idx="492">
                  <c:v>44144</c:v>
                </c:pt>
                <c:pt idx="493">
                  <c:v>44152</c:v>
                </c:pt>
                <c:pt idx="494">
                  <c:v>44159</c:v>
                </c:pt>
                <c:pt idx="495">
                  <c:v>44160</c:v>
                </c:pt>
                <c:pt idx="496">
                  <c:v>44163</c:v>
                </c:pt>
                <c:pt idx="497">
                  <c:v>44181</c:v>
                </c:pt>
                <c:pt idx="498">
                  <c:v>44190</c:v>
                </c:pt>
                <c:pt idx="499">
                  <c:v>44196</c:v>
                </c:pt>
              </c:numCache>
            </c:numRef>
          </c:cat>
          <c:val>
            <c:numRef>
              <c:f>Accumulations!$I$2:$I$501</c:f>
              <c:numCache>
                <c:formatCode>0.00</c:formatCode>
                <c:ptCount val="500"/>
                <c:pt idx="0">
                  <c:v>2401</c:v>
                </c:pt>
                <c:pt idx="1">
                  <c:v>5249</c:v>
                </c:pt>
                <c:pt idx="2">
                  <c:v>6941</c:v>
                </c:pt>
                <c:pt idx="3">
                  <c:v>8523</c:v>
                </c:pt>
                <c:pt idx="4">
                  <c:v>10539</c:v>
                </c:pt>
                <c:pt idx="5">
                  <c:v>10791</c:v>
                </c:pt>
                <c:pt idx="6">
                  <c:v>12049</c:v>
                </c:pt>
                <c:pt idx="7">
                  <c:v>23372</c:v>
                </c:pt>
                <c:pt idx="8">
                  <c:v>23732</c:v>
                </c:pt>
                <c:pt idx="9">
                  <c:v>25636</c:v>
                </c:pt>
                <c:pt idx="10">
                  <c:v>26413</c:v>
                </c:pt>
                <c:pt idx="11">
                  <c:v>26763</c:v>
                </c:pt>
                <c:pt idx="12">
                  <c:v>27591</c:v>
                </c:pt>
                <c:pt idx="13">
                  <c:v>28347</c:v>
                </c:pt>
                <c:pt idx="14">
                  <c:v>28470</c:v>
                </c:pt>
                <c:pt idx="15">
                  <c:v>32762</c:v>
                </c:pt>
                <c:pt idx="16">
                  <c:v>33188</c:v>
                </c:pt>
                <c:pt idx="17">
                  <c:v>33653</c:v>
                </c:pt>
                <c:pt idx="18">
                  <c:v>35653</c:v>
                </c:pt>
                <c:pt idx="19">
                  <c:v>37355</c:v>
                </c:pt>
                <c:pt idx="20">
                  <c:v>38587</c:v>
                </c:pt>
                <c:pt idx="21">
                  <c:v>40253</c:v>
                </c:pt>
                <c:pt idx="22">
                  <c:v>40295</c:v>
                </c:pt>
                <c:pt idx="23">
                  <c:v>40479</c:v>
                </c:pt>
                <c:pt idx="24">
                  <c:v>43704</c:v>
                </c:pt>
                <c:pt idx="25">
                  <c:v>45992</c:v>
                </c:pt>
                <c:pt idx="26">
                  <c:v>48575</c:v>
                </c:pt>
                <c:pt idx="27">
                  <c:v>48847</c:v>
                </c:pt>
                <c:pt idx="28">
                  <c:v>49277</c:v>
                </c:pt>
                <c:pt idx="29">
                  <c:v>52817</c:v>
                </c:pt>
                <c:pt idx="30">
                  <c:v>53069</c:v>
                </c:pt>
                <c:pt idx="31">
                  <c:v>54473</c:v>
                </c:pt>
                <c:pt idx="32">
                  <c:v>54925</c:v>
                </c:pt>
                <c:pt idx="33">
                  <c:v>55562</c:v>
                </c:pt>
                <c:pt idx="34">
                  <c:v>56226</c:v>
                </c:pt>
                <c:pt idx="35">
                  <c:v>68409</c:v>
                </c:pt>
                <c:pt idx="36">
                  <c:v>68869</c:v>
                </c:pt>
                <c:pt idx="37">
                  <c:v>69889</c:v>
                </c:pt>
                <c:pt idx="38">
                  <c:v>71659</c:v>
                </c:pt>
                <c:pt idx="39">
                  <c:v>75789</c:v>
                </c:pt>
                <c:pt idx="40">
                  <c:v>75933</c:v>
                </c:pt>
                <c:pt idx="41">
                  <c:v>77382</c:v>
                </c:pt>
                <c:pt idx="42">
                  <c:v>77487</c:v>
                </c:pt>
                <c:pt idx="43">
                  <c:v>80835</c:v>
                </c:pt>
                <c:pt idx="44">
                  <c:v>83419</c:v>
                </c:pt>
                <c:pt idx="45">
                  <c:v>84163</c:v>
                </c:pt>
                <c:pt idx="46">
                  <c:v>94283</c:v>
                </c:pt>
                <c:pt idx="47">
                  <c:v>97235</c:v>
                </c:pt>
                <c:pt idx="48">
                  <c:v>98435</c:v>
                </c:pt>
                <c:pt idx="49">
                  <c:v>98764</c:v>
                </c:pt>
                <c:pt idx="50">
                  <c:v>101020</c:v>
                </c:pt>
                <c:pt idx="51">
                  <c:v>102420</c:v>
                </c:pt>
                <c:pt idx="52">
                  <c:v>102838</c:v>
                </c:pt>
                <c:pt idx="53">
                  <c:v>103520</c:v>
                </c:pt>
                <c:pt idx="54">
                  <c:v>111258</c:v>
                </c:pt>
                <c:pt idx="55">
                  <c:v>111594</c:v>
                </c:pt>
                <c:pt idx="56">
                  <c:v>113005</c:v>
                </c:pt>
                <c:pt idx="57">
                  <c:v>113764</c:v>
                </c:pt>
                <c:pt idx="58">
                  <c:v>124852</c:v>
                </c:pt>
                <c:pt idx="59">
                  <c:v>125797</c:v>
                </c:pt>
                <c:pt idx="60">
                  <c:v>127708</c:v>
                </c:pt>
                <c:pt idx="61">
                  <c:v>161056</c:v>
                </c:pt>
                <c:pt idx="62">
                  <c:v>164584</c:v>
                </c:pt>
                <c:pt idx="63">
                  <c:v>167899</c:v>
                </c:pt>
                <c:pt idx="64">
                  <c:v>171427</c:v>
                </c:pt>
                <c:pt idx="65">
                  <c:v>172532</c:v>
                </c:pt>
                <c:pt idx="66">
                  <c:v>173948</c:v>
                </c:pt>
                <c:pt idx="67">
                  <c:v>174179</c:v>
                </c:pt>
                <c:pt idx="68">
                  <c:v>174419</c:v>
                </c:pt>
                <c:pt idx="69">
                  <c:v>177576</c:v>
                </c:pt>
                <c:pt idx="70">
                  <c:v>179976</c:v>
                </c:pt>
                <c:pt idx="71">
                  <c:v>180135</c:v>
                </c:pt>
                <c:pt idx="72">
                  <c:v>181185</c:v>
                </c:pt>
                <c:pt idx="73">
                  <c:v>182059</c:v>
                </c:pt>
                <c:pt idx="74">
                  <c:v>182419</c:v>
                </c:pt>
                <c:pt idx="75">
                  <c:v>187794</c:v>
                </c:pt>
                <c:pt idx="76">
                  <c:v>188379</c:v>
                </c:pt>
                <c:pt idx="77">
                  <c:v>191343</c:v>
                </c:pt>
                <c:pt idx="78">
                  <c:v>191763</c:v>
                </c:pt>
                <c:pt idx="79">
                  <c:v>192003</c:v>
                </c:pt>
                <c:pt idx="80">
                  <c:v>193656</c:v>
                </c:pt>
                <c:pt idx="81">
                  <c:v>195036</c:v>
                </c:pt>
                <c:pt idx="82">
                  <c:v>197016</c:v>
                </c:pt>
                <c:pt idx="83">
                  <c:v>197527</c:v>
                </c:pt>
                <c:pt idx="84">
                  <c:v>198921</c:v>
                </c:pt>
                <c:pt idx="85">
                  <c:v>201261</c:v>
                </c:pt>
                <c:pt idx="86">
                  <c:v>203147</c:v>
                </c:pt>
                <c:pt idx="87">
                  <c:v>206037</c:v>
                </c:pt>
                <c:pt idx="88">
                  <c:v>207577</c:v>
                </c:pt>
                <c:pt idx="89">
                  <c:v>208957</c:v>
                </c:pt>
                <c:pt idx="90">
                  <c:v>209803</c:v>
                </c:pt>
                <c:pt idx="91">
                  <c:v>210363</c:v>
                </c:pt>
                <c:pt idx="92">
                  <c:v>213093</c:v>
                </c:pt>
                <c:pt idx="93">
                  <c:v>229473</c:v>
                </c:pt>
                <c:pt idx="94">
                  <c:v>229573</c:v>
                </c:pt>
                <c:pt idx="95">
                  <c:v>230899</c:v>
                </c:pt>
                <c:pt idx="96">
                  <c:v>232069</c:v>
                </c:pt>
                <c:pt idx="97">
                  <c:v>232476</c:v>
                </c:pt>
                <c:pt idx="98">
                  <c:v>232758</c:v>
                </c:pt>
                <c:pt idx="99">
                  <c:v>234081</c:v>
                </c:pt>
                <c:pt idx="100">
                  <c:v>235985</c:v>
                </c:pt>
                <c:pt idx="101">
                  <c:v>237021</c:v>
                </c:pt>
                <c:pt idx="102">
                  <c:v>237491</c:v>
                </c:pt>
                <c:pt idx="103">
                  <c:v>237909</c:v>
                </c:pt>
                <c:pt idx="104">
                  <c:v>239722</c:v>
                </c:pt>
                <c:pt idx="105">
                  <c:v>240337</c:v>
                </c:pt>
                <c:pt idx="106">
                  <c:v>246550</c:v>
                </c:pt>
                <c:pt idx="107">
                  <c:v>246778</c:v>
                </c:pt>
                <c:pt idx="108">
                  <c:v>248155</c:v>
                </c:pt>
                <c:pt idx="109">
                  <c:v>248451</c:v>
                </c:pt>
                <c:pt idx="110">
                  <c:v>249147</c:v>
                </c:pt>
                <c:pt idx="111">
                  <c:v>249203</c:v>
                </c:pt>
                <c:pt idx="112">
                  <c:v>250533</c:v>
                </c:pt>
                <c:pt idx="113">
                  <c:v>255349</c:v>
                </c:pt>
                <c:pt idx="114">
                  <c:v>255547</c:v>
                </c:pt>
                <c:pt idx="115">
                  <c:v>262837</c:v>
                </c:pt>
                <c:pt idx="116">
                  <c:v>263197</c:v>
                </c:pt>
                <c:pt idx="117">
                  <c:v>269801</c:v>
                </c:pt>
                <c:pt idx="118">
                  <c:v>270793</c:v>
                </c:pt>
                <c:pt idx="119">
                  <c:v>270933</c:v>
                </c:pt>
                <c:pt idx="120">
                  <c:v>272067</c:v>
                </c:pt>
                <c:pt idx="121">
                  <c:v>273367</c:v>
                </c:pt>
                <c:pt idx="122">
                  <c:v>273390</c:v>
                </c:pt>
                <c:pt idx="123">
                  <c:v>273698</c:v>
                </c:pt>
                <c:pt idx="124">
                  <c:v>275047</c:v>
                </c:pt>
                <c:pt idx="125">
                  <c:v>283363</c:v>
                </c:pt>
                <c:pt idx="126">
                  <c:v>284728</c:v>
                </c:pt>
                <c:pt idx="127">
                  <c:v>284973</c:v>
                </c:pt>
                <c:pt idx="128">
                  <c:v>285818</c:v>
                </c:pt>
                <c:pt idx="129">
                  <c:v>287238</c:v>
                </c:pt>
                <c:pt idx="130">
                  <c:v>288173</c:v>
                </c:pt>
                <c:pt idx="131">
                  <c:v>288219</c:v>
                </c:pt>
                <c:pt idx="132">
                  <c:v>288543</c:v>
                </c:pt>
                <c:pt idx="133">
                  <c:v>289659</c:v>
                </c:pt>
                <c:pt idx="134">
                  <c:v>290064</c:v>
                </c:pt>
                <c:pt idx="135">
                  <c:v>295069</c:v>
                </c:pt>
                <c:pt idx="136">
                  <c:v>298477</c:v>
                </c:pt>
                <c:pt idx="137">
                  <c:v>299625</c:v>
                </c:pt>
                <c:pt idx="138">
                  <c:v>300184</c:v>
                </c:pt>
                <c:pt idx="139">
                  <c:v>301432</c:v>
                </c:pt>
                <c:pt idx="140">
                  <c:v>302056</c:v>
                </c:pt>
                <c:pt idx="141">
                  <c:v>303346</c:v>
                </c:pt>
                <c:pt idx="142">
                  <c:v>304226</c:v>
                </c:pt>
                <c:pt idx="143">
                  <c:v>304523</c:v>
                </c:pt>
                <c:pt idx="144">
                  <c:v>305987</c:v>
                </c:pt>
                <c:pt idx="145">
                  <c:v>307241</c:v>
                </c:pt>
                <c:pt idx="146">
                  <c:v>307361</c:v>
                </c:pt>
                <c:pt idx="147">
                  <c:v>308161</c:v>
                </c:pt>
                <c:pt idx="148">
                  <c:v>310213</c:v>
                </c:pt>
                <c:pt idx="149">
                  <c:v>311471</c:v>
                </c:pt>
                <c:pt idx="150">
                  <c:v>312083</c:v>
                </c:pt>
                <c:pt idx="151">
                  <c:v>312239</c:v>
                </c:pt>
                <c:pt idx="152">
                  <c:v>312823</c:v>
                </c:pt>
                <c:pt idx="153">
                  <c:v>318713</c:v>
                </c:pt>
                <c:pt idx="154">
                  <c:v>319223</c:v>
                </c:pt>
                <c:pt idx="155">
                  <c:v>322513</c:v>
                </c:pt>
                <c:pt idx="156">
                  <c:v>324580</c:v>
                </c:pt>
                <c:pt idx="157">
                  <c:v>326671</c:v>
                </c:pt>
                <c:pt idx="158">
                  <c:v>331391</c:v>
                </c:pt>
                <c:pt idx="159">
                  <c:v>332224</c:v>
                </c:pt>
                <c:pt idx="160">
                  <c:v>334688</c:v>
                </c:pt>
                <c:pt idx="161">
                  <c:v>334786</c:v>
                </c:pt>
                <c:pt idx="162">
                  <c:v>335245</c:v>
                </c:pt>
                <c:pt idx="163">
                  <c:v>336169</c:v>
                </c:pt>
                <c:pt idx="164">
                  <c:v>340713</c:v>
                </c:pt>
                <c:pt idx="165">
                  <c:v>341049</c:v>
                </c:pt>
                <c:pt idx="166">
                  <c:v>341598</c:v>
                </c:pt>
                <c:pt idx="167">
                  <c:v>342261</c:v>
                </c:pt>
                <c:pt idx="168">
                  <c:v>342609</c:v>
                </c:pt>
                <c:pt idx="169">
                  <c:v>344369</c:v>
                </c:pt>
                <c:pt idx="170">
                  <c:v>352494</c:v>
                </c:pt>
                <c:pt idx="171">
                  <c:v>352683</c:v>
                </c:pt>
                <c:pt idx="172">
                  <c:v>355563</c:v>
                </c:pt>
                <c:pt idx="173">
                  <c:v>355738</c:v>
                </c:pt>
                <c:pt idx="174">
                  <c:v>358588</c:v>
                </c:pt>
                <c:pt idx="175">
                  <c:v>359006</c:v>
                </c:pt>
                <c:pt idx="176">
                  <c:v>363675</c:v>
                </c:pt>
                <c:pt idx="177">
                  <c:v>367275</c:v>
                </c:pt>
                <c:pt idx="178">
                  <c:v>369978</c:v>
                </c:pt>
                <c:pt idx="179">
                  <c:v>370058</c:v>
                </c:pt>
                <c:pt idx="180">
                  <c:v>373692</c:v>
                </c:pt>
                <c:pt idx="181">
                  <c:v>375512</c:v>
                </c:pt>
                <c:pt idx="182">
                  <c:v>375992</c:v>
                </c:pt>
                <c:pt idx="183">
                  <c:v>376510</c:v>
                </c:pt>
                <c:pt idx="184">
                  <c:v>379072</c:v>
                </c:pt>
                <c:pt idx="185">
                  <c:v>379360</c:v>
                </c:pt>
                <c:pt idx="186">
                  <c:v>380170</c:v>
                </c:pt>
                <c:pt idx="187">
                  <c:v>385217</c:v>
                </c:pt>
                <c:pt idx="188">
                  <c:v>388667</c:v>
                </c:pt>
                <c:pt idx="189">
                  <c:v>389356</c:v>
                </c:pt>
                <c:pt idx="190">
                  <c:v>391036</c:v>
                </c:pt>
                <c:pt idx="191">
                  <c:v>395638</c:v>
                </c:pt>
                <c:pt idx="192">
                  <c:v>396067</c:v>
                </c:pt>
                <c:pt idx="193">
                  <c:v>396990</c:v>
                </c:pt>
                <c:pt idx="194">
                  <c:v>397068</c:v>
                </c:pt>
                <c:pt idx="195">
                  <c:v>400903</c:v>
                </c:pt>
                <c:pt idx="196">
                  <c:v>402823</c:v>
                </c:pt>
                <c:pt idx="197">
                  <c:v>404341</c:v>
                </c:pt>
                <c:pt idx="198">
                  <c:v>414277</c:v>
                </c:pt>
                <c:pt idx="199">
                  <c:v>414425</c:v>
                </c:pt>
                <c:pt idx="200">
                  <c:v>414589</c:v>
                </c:pt>
                <c:pt idx="201">
                  <c:v>422062</c:v>
                </c:pt>
                <c:pt idx="202">
                  <c:v>422672</c:v>
                </c:pt>
                <c:pt idx="203">
                  <c:v>423675</c:v>
                </c:pt>
                <c:pt idx="204">
                  <c:v>424605</c:v>
                </c:pt>
                <c:pt idx="205">
                  <c:v>431517</c:v>
                </c:pt>
                <c:pt idx="206">
                  <c:v>432147</c:v>
                </c:pt>
                <c:pt idx="207">
                  <c:v>434503</c:v>
                </c:pt>
                <c:pt idx="208">
                  <c:v>435243</c:v>
                </c:pt>
                <c:pt idx="209">
                  <c:v>435553</c:v>
                </c:pt>
                <c:pt idx="210">
                  <c:v>436660</c:v>
                </c:pt>
                <c:pt idx="211">
                  <c:v>440560</c:v>
                </c:pt>
                <c:pt idx="212">
                  <c:v>440980</c:v>
                </c:pt>
                <c:pt idx="213">
                  <c:v>442252</c:v>
                </c:pt>
                <c:pt idx="214">
                  <c:v>442993</c:v>
                </c:pt>
                <c:pt idx="215">
                  <c:v>444574</c:v>
                </c:pt>
                <c:pt idx="216">
                  <c:v>448110</c:v>
                </c:pt>
                <c:pt idx="217">
                  <c:v>452358</c:v>
                </c:pt>
                <c:pt idx="218">
                  <c:v>453738</c:v>
                </c:pt>
                <c:pt idx="219">
                  <c:v>454326</c:v>
                </c:pt>
                <c:pt idx="220">
                  <c:v>455062</c:v>
                </c:pt>
                <c:pt idx="221">
                  <c:v>457599</c:v>
                </c:pt>
                <c:pt idx="222">
                  <c:v>457894</c:v>
                </c:pt>
                <c:pt idx="223">
                  <c:v>458598</c:v>
                </c:pt>
                <c:pt idx="224">
                  <c:v>459006</c:v>
                </c:pt>
                <c:pt idx="225">
                  <c:v>459518</c:v>
                </c:pt>
                <c:pt idx="226">
                  <c:v>460932</c:v>
                </c:pt>
                <c:pt idx="227">
                  <c:v>462323</c:v>
                </c:pt>
                <c:pt idx="228">
                  <c:v>464402</c:v>
                </c:pt>
                <c:pt idx="229">
                  <c:v>471882</c:v>
                </c:pt>
                <c:pt idx="230">
                  <c:v>475062</c:v>
                </c:pt>
                <c:pt idx="231">
                  <c:v>476825</c:v>
                </c:pt>
                <c:pt idx="232">
                  <c:v>483361</c:v>
                </c:pt>
                <c:pt idx="233">
                  <c:v>491015</c:v>
                </c:pt>
                <c:pt idx="234">
                  <c:v>491435</c:v>
                </c:pt>
                <c:pt idx="235">
                  <c:v>492923</c:v>
                </c:pt>
                <c:pt idx="236">
                  <c:v>498351</c:v>
                </c:pt>
                <c:pt idx="237">
                  <c:v>499275</c:v>
                </c:pt>
                <c:pt idx="238">
                  <c:v>500283</c:v>
                </c:pt>
                <c:pt idx="239">
                  <c:v>501115</c:v>
                </c:pt>
                <c:pt idx="240">
                  <c:v>501291</c:v>
                </c:pt>
                <c:pt idx="241">
                  <c:v>503991</c:v>
                </c:pt>
                <c:pt idx="242">
                  <c:v>505369</c:v>
                </c:pt>
                <c:pt idx="243">
                  <c:v>505927</c:v>
                </c:pt>
                <c:pt idx="244">
                  <c:v>508072</c:v>
                </c:pt>
                <c:pt idx="245">
                  <c:v>510082</c:v>
                </c:pt>
                <c:pt idx="246">
                  <c:v>510766</c:v>
                </c:pt>
                <c:pt idx="247">
                  <c:v>511622</c:v>
                </c:pt>
                <c:pt idx="248">
                  <c:v>512067</c:v>
                </c:pt>
                <c:pt idx="249">
                  <c:v>512307</c:v>
                </c:pt>
                <c:pt idx="250">
                  <c:v>512697</c:v>
                </c:pt>
                <c:pt idx="251">
                  <c:v>513489</c:v>
                </c:pt>
                <c:pt idx="252">
                  <c:v>514147</c:v>
                </c:pt>
                <c:pt idx="253">
                  <c:v>515107</c:v>
                </c:pt>
                <c:pt idx="254">
                  <c:v>516457</c:v>
                </c:pt>
                <c:pt idx="255">
                  <c:v>516729</c:v>
                </c:pt>
                <c:pt idx="256">
                  <c:v>517005</c:v>
                </c:pt>
                <c:pt idx="257">
                  <c:v>517845</c:v>
                </c:pt>
                <c:pt idx="258">
                  <c:v>519526</c:v>
                </c:pt>
                <c:pt idx="259">
                  <c:v>522620</c:v>
                </c:pt>
                <c:pt idx="260">
                  <c:v>524300</c:v>
                </c:pt>
                <c:pt idx="261">
                  <c:v>525137</c:v>
                </c:pt>
                <c:pt idx="262">
                  <c:v>525390</c:v>
                </c:pt>
                <c:pt idx="263">
                  <c:v>525734</c:v>
                </c:pt>
                <c:pt idx="264">
                  <c:v>526391</c:v>
                </c:pt>
                <c:pt idx="265">
                  <c:v>526755</c:v>
                </c:pt>
                <c:pt idx="266">
                  <c:v>529507</c:v>
                </c:pt>
                <c:pt idx="267">
                  <c:v>530731</c:v>
                </c:pt>
                <c:pt idx="268">
                  <c:v>533867</c:v>
                </c:pt>
                <c:pt idx="269">
                  <c:v>537417</c:v>
                </c:pt>
                <c:pt idx="270">
                  <c:v>551745</c:v>
                </c:pt>
                <c:pt idx="271">
                  <c:v>552042</c:v>
                </c:pt>
                <c:pt idx="272">
                  <c:v>552879</c:v>
                </c:pt>
                <c:pt idx="273">
                  <c:v>553905</c:v>
                </c:pt>
                <c:pt idx="274">
                  <c:v>555075</c:v>
                </c:pt>
                <c:pt idx="275">
                  <c:v>555143</c:v>
                </c:pt>
                <c:pt idx="276">
                  <c:v>556601</c:v>
                </c:pt>
                <c:pt idx="277">
                  <c:v>557030</c:v>
                </c:pt>
                <c:pt idx="278">
                  <c:v>557242</c:v>
                </c:pt>
                <c:pt idx="279">
                  <c:v>557800</c:v>
                </c:pt>
                <c:pt idx="280">
                  <c:v>559912</c:v>
                </c:pt>
                <c:pt idx="281">
                  <c:v>565524</c:v>
                </c:pt>
                <c:pt idx="282">
                  <c:v>566174</c:v>
                </c:pt>
                <c:pt idx="283">
                  <c:v>568190</c:v>
                </c:pt>
                <c:pt idx="284">
                  <c:v>568322</c:v>
                </c:pt>
                <c:pt idx="285">
                  <c:v>577096</c:v>
                </c:pt>
                <c:pt idx="286">
                  <c:v>577360</c:v>
                </c:pt>
                <c:pt idx="287">
                  <c:v>578680</c:v>
                </c:pt>
                <c:pt idx="288">
                  <c:v>580540</c:v>
                </c:pt>
                <c:pt idx="289">
                  <c:v>581316</c:v>
                </c:pt>
                <c:pt idx="290">
                  <c:v>581547</c:v>
                </c:pt>
                <c:pt idx="291">
                  <c:v>582735</c:v>
                </c:pt>
                <c:pt idx="292">
                  <c:v>584490</c:v>
                </c:pt>
                <c:pt idx="293">
                  <c:v>585141</c:v>
                </c:pt>
                <c:pt idx="294">
                  <c:v>586350</c:v>
                </c:pt>
                <c:pt idx="295">
                  <c:v>586974</c:v>
                </c:pt>
                <c:pt idx="296">
                  <c:v>587496</c:v>
                </c:pt>
                <c:pt idx="297">
                  <c:v>587971</c:v>
                </c:pt>
                <c:pt idx="298">
                  <c:v>588340</c:v>
                </c:pt>
                <c:pt idx="299">
                  <c:v>589800</c:v>
                </c:pt>
                <c:pt idx="300">
                  <c:v>590580</c:v>
                </c:pt>
                <c:pt idx="301">
                  <c:v>591504</c:v>
                </c:pt>
                <c:pt idx="302">
                  <c:v>592908</c:v>
                </c:pt>
                <c:pt idx="303">
                  <c:v>593070</c:v>
                </c:pt>
                <c:pt idx="304">
                  <c:v>596898</c:v>
                </c:pt>
                <c:pt idx="305">
                  <c:v>597885</c:v>
                </c:pt>
                <c:pt idx="306">
                  <c:v>598173</c:v>
                </c:pt>
                <c:pt idx="307">
                  <c:v>598578</c:v>
                </c:pt>
                <c:pt idx="308">
                  <c:v>601266</c:v>
                </c:pt>
                <c:pt idx="309">
                  <c:v>601462</c:v>
                </c:pt>
                <c:pt idx="310">
                  <c:v>601594</c:v>
                </c:pt>
                <c:pt idx="311">
                  <c:v>601884</c:v>
                </c:pt>
                <c:pt idx="312">
                  <c:v>602091</c:v>
                </c:pt>
                <c:pt idx="313">
                  <c:v>603419</c:v>
                </c:pt>
                <c:pt idx="314">
                  <c:v>605377</c:v>
                </c:pt>
                <c:pt idx="315">
                  <c:v>605476</c:v>
                </c:pt>
                <c:pt idx="316">
                  <c:v>606626</c:v>
                </c:pt>
                <c:pt idx="317">
                  <c:v>607410</c:v>
                </c:pt>
                <c:pt idx="318">
                  <c:v>608398</c:v>
                </c:pt>
                <c:pt idx="319">
                  <c:v>612043</c:v>
                </c:pt>
                <c:pt idx="320">
                  <c:v>613828</c:v>
                </c:pt>
                <c:pt idx="321">
                  <c:v>614224</c:v>
                </c:pt>
                <c:pt idx="322">
                  <c:v>619024</c:v>
                </c:pt>
                <c:pt idx="323">
                  <c:v>620557</c:v>
                </c:pt>
                <c:pt idx="324">
                  <c:v>621187</c:v>
                </c:pt>
                <c:pt idx="325">
                  <c:v>623923</c:v>
                </c:pt>
                <c:pt idx="326">
                  <c:v>624294</c:v>
                </c:pt>
                <c:pt idx="327">
                  <c:v>634443</c:v>
                </c:pt>
                <c:pt idx="328">
                  <c:v>636159</c:v>
                </c:pt>
                <c:pt idx="329">
                  <c:v>637563</c:v>
                </c:pt>
                <c:pt idx="330">
                  <c:v>642213</c:v>
                </c:pt>
                <c:pt idx="331">
                  <c:v>645013</c:v>
                </c:pt>
                <c:pt idx="332">
                  <c:v>646093</c:v>
                </c:pt>
                <c:pt idx="333">
                  <c:v>647333</c:v>
                </c:pt>
                <c:pt idx="334">
                  <c:v>647921</c:v>
                </c:pt>
                <c:pt idx="335">
                  <c:v>648497</c:v>
                </c:pt>
                <c:pt idx="336">
                  <c:v>648597</c:v>
                </c:pt>
                <c:pt idx="337">
                  <c:v>649247</c:v>
                </c:pt>
                <c:pt idx="338">
                  <c:v>650222</c:v>
                </c:pt>
                <c:pt idx="339">
                  <c:v>650383</c:v>
                </c:pt>
                <c:pt idx="340">
                  <c:v>651040</c:v>
                </c:pt>
                <c:pt idx="341">
                  <c:v>651195</c:v>
                </c:pt>
                <c:pt idx="342">
                  <c:v>651795</c:v>
                </c:pt>
                <c:pt idx="343">
                  <c:v>651993</c:v>
                </c:pt>
                <c:pt idx="344">
                  <c:v>652427</c:v>
                </c:pt>
                <c:pt idx="345">
                  <c:v>652867</c:v>
                </c:pt>
                <c:pt idx="346">
                  <c:v>653903</c:v>
                </c:pt>
                <c:pt idx="347">
                  <c:v>654280</c:v>
                </c:pt>
                <c:pt idx="348">
                  <c:v>663920</c:v>
                </c:pt>
                <c:pt idx="349">
                  <c:v>666125</c:v>
                </c:pt>
                <c:pt idx="350">
                  <c:v>668120</c:v>
                </c:pt>
                <c:pt idx="351">
                  <c:v>668876</c:v>
                </c:pt>
                <c:pt idx="352">
                  <c:v>674700</c:v>
                </c:pt>
                <c:pt idx="353">
                  <c:v>675420</c:v>
                </c:pt>
                <c:pt idx="354">
                  <c:v>677346</c:v>
                </c:pt>
                <c:pt idx="355">
                  <c:v>677794</c:v>
                </c:pt>
                <c:pt idx="356">
                  <c:v>678084</c:v>
                </c:pt>
                <c:pt idx="357">
                  <c:v>678264</c:v>
                </c:pt>
                <c:pt idx="358">
                  <c:v>678784</c:v>
                </c:pt>
                <c:pt idx="359">
                  <c:v>680934</c:v>
                </c:pt>
                <c:pt idx="360">
                  <c:v>682056</c:v>
                </c:pt>
                <c:pt idx="361">
                  <c:v>682491</c:v>
                </c:pt>
                <c:pt idx="362">
                  <c:v>684480</c:v>
                </c:pt>
                <c:pt idx="363">
                  <c:v>688206</c:v>
                </c:pt>
                <c:pt idx="364">
                  <c:v>691706</c:v>
                </c:pt>
                <c:pt idx="365">
                  <c:v>692335</c:v>
                </c:pt>
                <c:pt idx="366">
                  <c:v>693189</c:v>
                </c:pt>
                <c:pt idx="367">
                  <c:v>694789</c:v>
                </c:pt>
                <c:pt idx="368">
                  <c:v>696035</c:v>
                </c:pt>
                <c:pt idx="369">
                  <c:v>696175</c:v>
                </c:pt>
                <c:pt idx="370">
                  <c:v>704239</c:v>
                </c:pt>
                <c:pt idx="371">
                  <c:v>706248</c:v>
                </c:pt>
                <c:pt idx="372">
                  <c:v>707268</c:v>
                </c:pt>
                <c:pt idx="373">
                  <c:v>708402</c:v>
                </c:pt>
                <c:pt idx="374">
                  <c:v>709485</c:v>
                </c:pt>
                <c:pt idx="375">
                  <c:v>709853</c:v>
                </c:pt>
                <c:pt idx="376">
                  <c:v>711548</c:v>
                </c:pt>
                <c:pt idx="377">
                  <c:v>711833</c:v>
                </c:pt>
                <c:pt idx="378">
                  <c:v>715543</c:v>
                </c:pt>
                <c:pt idx="379">
                  <c:v>718826</c:v>
                </c:pt>
                <c:pt idx="380">
                  <c:v>719690</c:v>
                </c:pt>
                <c:pt idx="381">
                  <c:v>720810</c:v>
                </c:pt>
                <c:pt idx="382">
                  <c:v>720955</c:v>
                </c:pt>
                <c:pt idx="383">
                  <c:v>722971</c:v>
                </c:pt>
                <c:pt idx="384">
                  <c:v>723391</c:v>
                </c:pt>
                <c:pt idx="385">
                  <c:v>725254</c:v>
                </c:pt>
                <c:pt idx="386">
                  <c:v>726094</c:v>
                </c:pt>
                <c:pt idx="387">
                  <c:v>726574</c:v>
                </c:pt>
                <c:pt idx="388">
                  <c:v>726844</c:v>
                </c:pt>
                <c:pt idx="389">
                  <c:v>728736</c:v>
                </c:pt>
                <c:pt idx="390">
                  <c:v>729338</c:v>
                </c:pt>
                <c:pt idx="391">
                  <c:v>730060</c:v>
                </c:pt>
                <c:pt idx="392">
                  <c:v>730225</c:v>
                </c:pt>
                <c:pt idx="393">
                  <c:v>730383</c:v>
                </c:pt>
                <c:pt idx="394">
                  <c:v>730812</c:v>
                </c:pt>
                <c:pt idx="395">
                  <c:v>733435</c:v>
                </c:pt>
                <c:pt idx="396">
                  <c:v>735811</c:v>
                </c:pt>
                <c:pt idx="397">
                  <c:v>739411</c:v>
                </c:pt>
                <c:pt idx="398">
                  <c:v>740491</c:v>
                </c:pt>
                <c:pt idx="399">
                  <c:v>740509</c:v>
                </c:pt>
                <c:pt idx="400">
                  <c:v>741489</c:v>
                </c:pt>
                <c:pt idx="401">
                  <c:v>741633</c:v>
                </c:pt>
                <c:pt idx="402">
                  <c:v>741969</c:v>
                </c:pt>
                <c:pt idx="403">
                  <c:v>744192</c:v>
                </c:pt>
                <c:pt idx="404">
                  <c:v>747762</c:v>
                </c:pt>
                <c:pt idx="405">
                  <c:v>749501</c:v>
                </c:pt>
                <c:pt idx="406">
                  <c:v>750269</c:v>
                </c:pt>
                <c:pt idx="407">
                  <c:v>750602</c:v>
                </c:pt>
                <c:pt idx="408">
                  <c:v>750889</c:v>
                </c:pt>
                <c:pt idx="409">
                  <c:v>751126</c:v>
                </c:pt>
                <c:pt idx="410">
                  <c:v>755944</c:v>
                </c:pt>
                <c:pt idx="411">
                  <c:v>756534</c:v>
                </c:pt>
                <c:pt idx="412">
                  <c:v>756710</c:v>
                </c:pt>
                <c:pt idx="413">
                  <c:v>757088</c:v>
                </c:pt>
                <c:pt idx="414">
                  <c:v>757316</c:v>
                </c:pt>
                <c:pt idx="415">
                  <c:v>758912</c:v>
                </c:pt>
                <c:pt idx="416">
                  <c:v>762720</c:v>
                </c:pt>
                <c:pt idx="417">
                  <c:v>797722</c:v>
                </c:pt>
                <c:pt idx="418">
                  <c:v>797930</c:v>
                </c:pt>
                <c:pt idx="419">
                  <c:v>799074</c:v>
                </c:pt>
                <c:pt idx="420">
                  <c:v>800442</c:v>
                </c:pt>
                <c:pt idx="421">
                  <c:v>803088</c:v>
                </c:pt>
                <c:pt idx="422">
                  <c:v>804244</c:v>
                </c:pt>
                <c:pt idx="423">
                  <c:v>805354</c:v>
                </c:pt>
                <c:pt idx="424">
                  <c:v>807654</c:v>
                </c:pt>
                <c:pt idx="425">
                  <c:v>808577</c:v>
                </c:pt>
                <c:pt idx="426">
                  <c:v>808809</c:v>
                </c:pt>
                <c:pt idx="427">
                  <c:v>818207</c:v>
                </c:pt>
                <c:pt idx="428">
                  <c:v>824726</c:v>
                </c:pt>
                <c:pt idx="429">
                  <c:v>825122</c:v>
                </c:pt>
                <c:pt idx="430">
                  <c:v>828902</c:v>
                </c:pt>
                <c:pt idx="431">
                  <c:v>832192</c:v>
                </c:pt>
                <c:pt idx="432">
                  <c:v>834939</c:v>
                </c:pt>
                <c:pt idx="433">
                  <c:v>835609</c:v>
                </c:pt>
                <c:pt idx="434">
                  <c:v>836682</c:v>
                </c:pt>
                <c:pt idx="435">
                  <c:v>836762</c:v>
                </c:pt>
                <c:pt idx="436">
                  <c:v>838022</c:v>
                </c:pt>
                <c:pt idx="437">
                  <c:v>839450</c:v>
                </c:pt>
                <c:pt idx="438">
                  <c:v>840234</c:v>
                </c:pt>
                <c:pt idx="439">
                  <c:v>846317</c:v>
                </c:pt>
                <c:pt idx="440">
                  <c:v>848017</c:v>
                </c:pt>
                <c:pt idx="441">
                  <c:v>848797</c:v>
                </c:pt>
                <c:pt idx="442">
                  <c:v>849241</c:v>
                </c:pt>
                <c:pt idx="443">
                  <c:v>849801</c:v>
                </c:pt>
                <c:pt idx="444">
                  <c:v>849921</c:v>
                </c:pt>
                <c:pt idx="445">
                  <c:v>851715</c:v>
                </c:pt>
                <c:pt idx="446">
                  <c:v>853049</c:v>
                </c:pt>
                <c:pt idx="447">
                  <c:v>876549</c:v>
                </c:pt>
                <c:pt idx="448">
                  <c:v>876666</c:v>
                </c:pt>
                <c:pt idx="449">
                  <c:v>876846</c:v>
                </c:pt>
                <c:pt idx="450">
                  <c:v>876905</c:v>
                </c:pt>
                <c:pt idx="451">
                  <c:v>879609</c:v>
                </c:pt>
                <c:pt idx="452">
                  <c:v>880896</c:v>
                </c:pt>
                <c:pt idx="453">
                  <c:v>883744</c:v>
                </c:pt>
                <c:pt idx="454">
                  <c:v>885658</c:v>
                </c:pt>
                <c:pt idx="455">
                  <c:v>887539</c:v>
                </c:pt>
                <c:pt idx="456">
                  <c:v>894914</c:v>
                </c:pt>
                <c:pt idx="457">
                  <c:v>896946</c:v>
                </c:pt>
                <c:pt idx="458">
                  <c:v>898428</c:v>
                </c:pt>
                <c:pt idx="459">
                  <c:v>904658</c:v>
                </c:pt>
                <c:pt idx="460">
                  <c:v>905383</c:v>
                </c:pt>
                <c:pt idx="461">
                  <c:v>913249</c:v>
                </c:pt>
                <c:pt idx="462">
                  <c:v>914835</c:v>
                </c:pt>
                <c:pt idx="463">
                  <c:v>915405</c:v>
                </c:pt>
                <c:pt idx="464">
                  <c:v>916011</c:v>
                </c:pt>
                <c:pt idx="465">
                  <c:v>916596</c:v>
                </c:pt>
                <c:pt idx="466">
                  <c:v>916636</c:v>
                </c:pt>
                <c:pt idx="467">
                  <c:v>916906</c:v>
                </c:pt>
                <c:pt idx="468">
                  <c:v>919056</c:v>
                </c:pt>
                <c:pt idx="469">
                  <c:v>920336</c:v>
                </c:pt>
                <c:pt idx="470">
                  <c:v>924410</c:v>
                </c:pt>
                <c:pt idx="471">
                  <c:v>925820</c:v>
                </c:pt>
                <c:pt idx="472">
                  <c:v>933932</c:v>
                </c:pt>
                <c:pt idx="473">
                  <c:v>934464</c:v>
                </c:pt>
                <c:pt idx="474">
                  <c:v>935195</c:v>
                </c:pt>
                <c:pt idx="475">
                  <c:v>936495</c:v>
                </c:pt>
                <c:pt idx="476">
                  <c:v>937119</c:v>
                </c:pt>
                <c:pt idx="477">
                  <c:v>937767</c:v>
                </c:pt>
                <c:pt idx="478">
                  <c:v>937878</c:v>
                </c:pt>
                <c:pt idx="479">
                  <c:v>939691</c:v>
                </c:pt>
                <c:pt idx="480">
                  <c:v>939926</c:v>
                </c:pt>
                <c:pt idx="481">
                  <c:v>941246</c:v>
                </c:pt>
                <c:pt idx="482">
                  <c:v>941840</c:v>
                </c:pt>
                <c:pt idx="483">
                  <c:v>943520</c:v>
                </c:pt>
                <c:pt idx="484">
                  <c:v>943832</c:v>
                </c:pt>
                <c:pt idx="485">
                  <c:v>944984</c:v>
                </c:pt>
                <c:pt idx="486">
                  <c:v>945830</c:v>
                </c:pt>
                <c:pt idx="487">
                  <c:v>946501</c:v>
                </c:pt>
                <c:pt idx="488">
                  <c:v>949579</c:v>
                </c:pt>
                <c:pt idx="489">
                  <c:v>949819</c:v>
                </c:pt>
                <c:pt idx="490">
                  <c:v>951199</c:v>
                </c:pt>
                <c:pt idx="491">
                  <c:v>951328</c:v>
                </c:pt>
                <c:pt idx="492">
                  <c:v>952128</c:v>
                </c:pt>
                <c:pt idx="493">
                  <c:v>952947</c:v>
                </c:pt>
                <c:pt idx="494">
                  <c:v>956147</c:v>
                </c:pt>
                <c:pt idx="495">
                  <c:v>956847</c:v>
                </c:pt>
                <c:pt idx="496">
                  <c:v>957925</c:v>
                </c:pt>
                <c:pt idx="497">
                  <c:v>959005</c:v>
                </c:pt>
                <c:pt idx="498">
                  <c:v>962925</c:v>
                </c:pt>
                <c:pt idx="499">
                  <c:v>963546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44-469E-AFD1-829929B8B92A}"/>
            </c:ext>
          </c:extLst>
        </c:ser>
        <c:ser>
          <c:idx val="2"/>
          <c:order val="1"/>
          <c:tx>
            <c:strRef>
              <c:f>Accumulations!$J$1</c:f>
              <c:strCache>
                <c:ptCount val="1"/>
                <c:pt idx="0">
                  <c:v>Accumulated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Accumulations!$A$2:$A$501</c:f>
              <c:numCache>
                <c:formatCode>m/d/yyyy</c:formatCode>
                <c:ptCount val="500"/>
                <c:pt idx="0">
                  <c:v>40186</c:v>
                </c:pt>
                <c:pt idx="1">
                  <c:v>40188</c:v>
                </c:pt>
                <c:pt idx="2">
                  <c:v>40197</c:v>
                </c:pt>
                <c:pt idx="3">
                  <c:v>40204</c:v>
                </c:pt>
                <c:pt idx="4">
                  <c:v>40216</c:v>
                </c:pt>
                <c:pt idx="5">
                  <c:v>40221</c:v>
                </c:pt>
                <c:pt idx="6">
                  <c:v>40225</c:v>
                </c:pt>
                <c:pt idx="7">
                  <c:v>40228</c:v>
                </c:pt>
                <c:pt idx="8">
                  <c:v>40249</c:v>
                </c:pt>
                <c:pt idx="9">
                  <c:v>40257</c:v>
                </c:pt>
                <c:pt idx="10">
                  <c:v>40295</c:v>
                </c:pt>
                <c:pt idx="11">
                  <c:v>40311</c:v>
                </c:pt>
                <c:pt idx="12">
                  <c:v>40316</c:v>
                </c:pt>
                <c:pt idx="13">
                  <c:v>40326</c:v>
                </c:pt>
                <c:pt idx="14">
                  <c:v>40334</c:v>
                </c:pt>
                <c:pt idx="15">
                  <c:v>40335</c:v>
                </c:pt>
                <c:pt idx="16">
                  <c:v>40338</c:v>
                </c:pt>
                <c:pt idx="17">
                  <c:v>40339</c:v>
                </c:pt>
                <c:pt idx="18">
                  <c:v>40347</c:v>
                </c:pt>
                <c:pt idx="19">
                  <c:v>40347</c:v>
                </c:pt>
                <c:pt idx="20">
                  <c:v>40351</c:v>
                </c:pt>
                <c:pt idx="21">
                  <c:v>40354</c:v>
                </c:pt>
                <c:pt idx="22">
                  <c:v>40356</c:v>
                </c:pt>
                <c:pt idx="23">
                  <c:v>40359</c:v>
                </c:pt>
                <c:pt idx="24">
                  <c:v>40363</c:v>
                </c:pt>
                <c:pt idx="25">
                  <c:v>40372</c:v>
                </c:pt>
                <c:pt idx="26">
                  <c:v>40375</c:v>
                </c:pt>
                <c:pt idx="27">
                  <c:v>40390</c:v>
                </c:pt>
                <c:pt idx="28">
                  <c:v>40397</c:v>
                </c:pt>
                <c:pt idx="29">
                  <c:v>40400</c:v>
                </c:pt>
                <c:pt idx="30">
                  <c:v>40407</c:v>
                </c:pt>
                <c:pt idx="31">
                  <c:v>40408</c:v>
                </c:pt>
                <c:pt idx="32">
                  <c:v>40415</c:v>
                </c:pt>
                <c:pt idx="33">
                  <c:v>40420</c:v>
                </c:pt>
                <c:pt idx="34">
                  <c:v>40423</c:v>
                </c:pt>
                <c:pt idx="35">
                  <c:v>40423</c:v>
                </c:pt>
                <c:pt idx="36">
                  <c:v>40431</c:v>
                </c:pt>
                <c:pt idx="37">
                  <c:v>40439</c:v>
                </c:pt>
                <c:pt idx="38">
                  <c:v>40441</c:v>
                </c:pt>
                <c:pt idx="39">
                  <c:v>40444</c:v>
                </c:pt>
                <c:pt idx="40">
                  <c:v>40444</c:v>
                </c:pt>
                <c:pt idx="41">
                  <c:v>40446</c:v>
                </c:pt>
                <c:pt idx="42">
                  <c:v>40447</c:v>
                </c:pt>
                <c:pt idx="43">
                  <c:v>40455</c:v>
                </c:pt>
                <c:pt idx="44">
                  <c:v>40458</c:v>
                </c:pt>
                <c:pt idx="45">
                  <c:v>40465</c:v>
                </c:pt>
                <c:pt idx="46">
                  <c:v>40483</c:v>
                </c:pt>
                <c:pt idx="47">
                  <c:v>40508</c:v>
                </c:pt>
                <c:pt idx="48">
                  <c:v>40511</c:v>
                </c:pt>
                <c:pt idx="49">
                  <c:v>40523</c:v>
                </c:pt>
                <c:pt idx="50">
                  <c:v>40524</c:v>
                </c:pt>
                <c:pt idx="51">
                  <c:v>40546</c:v>
                </c:pt>
                <c:pt idx="52">
                  <c:v>40547</c:v>
                </c:pt>
                <c:pt idx="53">
                  <c:v>40555</c:v>
                </c:pt>
                <c:pt idx="54">
                  <c:v>40570</c:v>
                </c:pt>
                <c:pt idx="55">
                  <c:v>40583</c:v>
                </c:pt>
                <c:pt idx="56">
                  <c:v>40594</c:v>
                </c:pt>
                <c:pt idx="57">
                  <c:v>40622</c:v>
                </c:pt>
                <c:pt idx="58">
                  <c:v>40636</c:v>
                </c:pt>
                <c:pt idx="59">
                  <c:v>40642</c:v>
                </c:pt>
                <c:pt idx="60">
                  <c:v>40655</c:v>
                </c:pt>
                <c:pt idx="61">
                  <c:v>40657</c:v>
                </c:pt>
                <c:pt idx="62">
                  <c:v>40659</c:v>
                </c:pt>
                <c:pt idx="63">
                  <c:v>40663</c:v>
                </c:pt>
                <c:pt idx="64">
                  <c:v>40664</c:v>
                </c:pt>
                <c:pt idx="65">
                  <c:v>40673</c:v>
                </c:pt>
                <c:pt idx="66">
                  <c:v>40689</c:v>
                </c:pt>
                <c:pt idx="67">
                  <c:v>40702</c:v>
                </c:pt>
                <c:pt idx="68">
                  <c:v>40720</c:v>
                </c:pt>
                <c:pt idx="69">
                  <c:v>40733</c:v>
                </c:pt>
                <c:pt idx="70">
                  <c:v>40740</c:v>
                </c:pt>
                <c:pt idx="71">
                  <c:v>40749</c:v>
                </c:pt>
                <c:pt idx="72">
                  <c:v>40777</c:v>
                </c:pt>
                <c:pt idx="73">
                  <c:v>40783</c:v>
                </c:pt>
                <c:pt idx="74">
                  <c:v>40792</c:v>
                </c:pt>
                <c:pt idx="75">
                  <c:v>40817</c:v>
                </c:pt>
                <c:pt idx="76">
                  <c:v>40822</c:v>
                </c:pt>
                <c:pt idx="77">
                  <c:v>40838</c:v>
                </c:pt>
                <c:pt idx="78">
                  <c:v>40838</c:v>
                </c:pt>
                <c:pt idx="79">
                  <c:v>40857</c:v>
                </c:pt>
                <c:pt idx="80">
                  <c:v>40892</c:v>
                </c:pt>
                <c:pt idx="81">
                  <c:v>40898</c:v>
                </c:pt>
                <c:pt idx="82">
                  <c:v>40898</c:v>
                </c:pt>
                <c:pt idx="83">
                  <c:v>40903</c:v>
                </c:pt>
                <c:pt idx="84">
                  <c:v>40903</c:v>
                </c:pt>
                <c:pt idx="85">
                  <c:v>40904</c:v>
                </c:pt>
                <c:pt idx="86">
                  <c:v>40913</c:v>
                </c:pt>
                <c:pt idx="87">
                  <c:v>40924</c:v>
                </c:pt>
                <c:pt idx="88">
                  <c:v>40958</c:v>
                </c:pt>
                <c:pt idx="89">
                  <c:v>40962</c:v>
                </c:pt>
                <c:pt idx="90">
                  <c:v>40968</c:v>
                </c:pt>
                <c:pt idx="91">
                  <c:v>40976</c:v>
                </c:pt>
                <c:pt idx="92">
                  <c:v>40979</c:v>
                </c:pt>
                <c:pt idx="93">
                  <c:v>40981</c:v>
                </c:pt>
                <c:pt idx="94">
                  <c:v>40982</c:v>
                </c:pt>
                <c:pt idx="95">
                  <c:v>40984</c:v>
                </c:pt>
                <c:pt idx="96">
                  <c:v>40986</c:v>
                </c:pt>
                <c:pt idx="97">
                  <c:v>40988</c:v>
                </c:pt>
                <c:pt idx="98">
                  <c:v>40989</c:v>
                </c:pt>
                <c:pt idx="99">
                  <c:v>40996</c:v>
                </c:pt>
                <c:pt idx="100">
                  <c:v>40996</c:v>
                </c:pt>
                <c:pt idx="101">
                  <c:v>41007</c:v>
                </c:pt>
                <c:pt idx="102">
                  <c:v>41024</c:v>
                </c:pt>
                <c:pt idx="103">
                  <c:v>41037</c:v>
                </c:pt>
                <c:pt idx="104">
                  <c:v>41039</c:v>
                </c:pt>
                <c:pt idx="105">
                  <c:v>41040</c:v>
                </c:pt>
                <c:pt idx="106">
                  <c:v>41050</c:v>
                </c:pt>
                <c:pt idx="107">
                  <c:v>41051</c:v>
                </c:pt>
                <c:pt idx="108">
                  <c:v>41064</c:v>
                </c:pt>
                <c:pt idx="109">
                  <c:v>41071</c:v>
                </c:pt>
                <c:pt idx="110">
                  <c:v>41073</c:v>
                </c:pt>
                <c:pt idx="111">
                  <c:v>41075</c:v>
                </c:pt>
                <c:pt idx="112">
                  <c:v>41079</c:v>
                </c:pt>
                <c:pt idx="113">
                  <c:v>41080</c:v>
                </c:pt>
                <c:pt idx="114">
                  <c:v>41080</c:v>
                </c:pt>
                <c:pt idx="115">
                  <c:v>41087</c:v>
                </c:pt>
                <c:pt idx="116">
                  <c:v>41091</c:v>
                </c:pt>
                <c:pt idx="117">
                  <c:v>41095</c:v>
                </c:pt>
                <c:pt idx="118">
                  <c:v>41097</c:v>
                </c:pt>
                <c:pt idx="119">
                  <c:v>41104</c:v>
                </c:pt>
                <c:pt idx="120">
                  <c:v>41107</c:v>
                </c:pt>
                <c:pt idx="121">
                  <c:v>41111</c:v>
                </c:pt>
                <c:pt idx="122">
                  <c:v>41113</c:v>
                </c:pt>
                <c:pt idx="123">
                  <c:v>41115</c:v>
                </c:pt>
                <c:pt idx="124">
                  <c:v>41121</c:v>
                </c:pt>
                <c:pt idx="125">
                  <c:v>41131</c:v>
                </c:pt>
                <c:pt idx="126">
                  <c:v>41138</c:v>
                </c:pt>
                <c:pt idx="127">
                  <c:v>41140</c:v>
                </c:pt>
                <c:pt idx="128">
                  <c:v>41147</c:v>
                </c:pt>
                <c:pt idx="129">
                  <c:v>41148</c:v>
                </c:pt>
                <c:pt idx="130">
                  <c:v>41152</c:v>
                </c:pt>
                <c:pt idx="131">
                  <c:v>41159</c:v>
                </c:pt>
                <c:pt idx="132">
                  <c:v>41171</c:v>
                </c:pt>
                <c:pt idx="133">
                  <c:v>41176</c:v>
                </c:pt>
                <c:pt idx="134">
                  <c:v>41183</c:v>
                </c:pt>
                <c:pt idx="135">
                  <c:v>41190</c:v>
                </c:pt>
                <c:pt idx="136">
                  <c:v>41209</c:v>
                </c:pt>
                <c:pt idx="137">
                  <c:v>41215</c:v>
                </c:pt>
                <c:pt idx="138">
                  <c:v>41217</c:v>
                </c:pt>
                <c:pt idx="139">
                  <c:v>41220</c:v>
                </c:pt>
                <c:pt idx="140">
                  <c:v>41226</c:v>
                </c:pt>
                <c:pt idx="141">
                  <c:v>41228</c:v>
                </c:pt>
                <c:pt idx="142">
                  <c:v>41229</c:v>
                </c:pt>
                <c:pt idx="143">
                  <c:v>41242</c:v>
                </c:pt>
                <c:pt idx="144">
                  <c:v>41245</c:v>
                </c:pt>
                <c:pt idx="145">
                  <c:v>41282</c:v>
                </c:pt>
                <c:pt idx="146">
                  <c:v>41305</c:v>
                </c:pt>
                <c:pt idx="147">
                  <c:v>41305</c:v>
                </c:pt>
                <c:pt idx="148">
                  <c:v>41318</c:v>
                </c:pt>
                <c:pt idx="149">
                  <c:v>41320</c:v>
                </c:pt>
                <c:pt idx="150">
                  <c:v>41346</c:v>
                </c:pt>
                <c:pt idx="151">
                  <c:v>41364</c:v>
                </c:pt>
                <c:pt idx="152">
                  <c:v>41365</c:v>
                </c:pt>
                <c:pt idx="153">
                  <c:v>41367</c:v>
                </c:pt>
                <c:pt idx="154">
                  <c:v>41368</c:v>
                </c:pt>
                <c:pt idx="155">
                  <c:v>41384</c:v>
                </c:pt>
                <c:pt idx="156">
                  <c:v>41391</c:v>
                </c:pt>
                <c:pt idx="157">
                  <c:v>41397</c:v>
                </c:pt>
                <c:pt idx="158">
                  <c:v>41402</c:v>
                </c:pt>
                <c:pt idx="159">
                  <c:v>41406</c:v>
                </c:pt>
                <c:pt idx="160">
                  <c:v>41415</c:v>
                </c:pt>
                <c:pt idx="161">
                  <c:v>41432</c:v>
                </c:pt>
                <c:pt idx="162">
                  <c:v>41436</c:v>
                </c:pt>
                <c:pt idx="163">
                  <c:v>41438</c:v>
                </c:pt>
                <c:pt idx="164">
                  <c:v>41448</c:v>
                </c:pt>
                <c:pt idx="165">
                  <c:v>41449</c:v>
                </c:pt>
                <c:pt idx="166">
                  <c:v>41451</c:v>
                </c:pt>
                <c:pt idx="167">
                  <c:v>41472</c:v>
                </c:pt>
                <c:pt idx="168">
                  <c:v>41485</c:v>
                </c:pt>
                <c:pt idx="169">
                  <c:v>41489</c:v>
                </c:pt>
                <c:pt idx="170">
                  <c:v>41499</c:v>
                </c:pt>
                <c:pt idx="171">
                  <c:v>41535</c:v>
                </c:pt>
                <c:pt idx="172">
                  <c:v>41539</c:v>
                </c:pt>
                <c:pt idx="173">
                  <c:v>41548</c:v>
                </c:pt>
                <c:pt idx="174">
                  <c:v>41552</c:v>
                </c:pt>
                <c:pt idx="175">
                  <c:v>41556</c:v>
                </c:pt>
                <c:pt idx="176">
                  <c:v>41563</c:v>
                </c:pt>
                <c:pt idx="177">
                  <c:v>41564</c:v>
                </c:pt>
                <c:pt idx="178">
                  <c:v>41574</c:v>
                </c:pt>
                <c:pt idx="179">
                  <c:v>41580</c:v>
                </c:pt>
                <c:pt idx="180">
                  <c:v>41583</c:v>
                </c:pt>
                <c:pt idx="181">
                  <c:v>41587</c:v>
                </c:pt>
                <c:pt idx="182">
                  <c:v>41589</c:v>
                </c:pt>
                <c:pt idx="183">
                  <c:v>41609</c:v>
                </c:pt>
                <c:pt idx="184">
                  <c:v>41618</c:v>
                </c:pt>
                <c:pt idx="185">
                  <c:v>41623</c:v>
                </c:pt>
                <c:pt idx="186">
                  <c:v>41633</c:v>
                </c:pt>
                <c:pt idx="187">
                  <c:v>41651</c:v>
                </c:pt>
                <c:pt idx="188">
                  <c:v>41656</c:v>
                </c:pt>
                <c:pt idx="189">
                  <c:v>41665</c:v>
                </c:pt>
                <c:pt idx="190">
                  <c:v>41679</c:v>
                </c:pt>
                <c:pt idx="191">
                  <c:v>41680</c:v>
                </c:pt>
                <c:pt idx="192">
                  <c:v>41688</c:v>
                </c:pt>
                <c:pt idx="193">
                  <c:v>41692</c:v>
                </c:pt>
                <c:pt idx="194">
                  <c:v>41695</c:v>
                </c:pt>
                <c:pt idx="195">
                  <c:v>41697</c:v>
                </c:pt>
                <c:pt idx="196">
                  <c:v>41711</c:v>
                </c:pt>
                <c:pt idx="197">
                  <c:v>41711</c:v>
                </c:pt>
                <c:pt idx="198">
                  <c:v>41717</c:v>
                </c:pt>
                <c:pt idx="199">
                  <c:v>41724</c:v>
                </c:pt>
                <c:pt idx="200">
                  <c:v>41743</c:v>
                </c:pt>
                <c:pt idx="201">
                  <c:v>41746</c:v>
                </c:pt>
                <c:pt idx="202">
                  <c:v>41751</c:v>
                </c:pt>
                <c:pt idx="203">
                  <c:v>41755</c:v>
                </c:pt>
                <c:pt idx="204">
                  <c:v>41755</c:v>
                </c:pt>
                <c:pt idx="205">
                  <c:v>41761</c:v>
                </c:pt>
                <c:pt idx="206">
                  <c:v>41765</c:v>
                </c:pt>
                <c:pt idx="207">
                  <c:v>41787</c:v>
                </c:pt>
                <c:pt idx="208">
                  <c:v>41809</c:v>
                </c:pt>
                <c:pt idx="209">
                  <c:v>41819</c:v>
                </c:pt>
                <c:pt idx="210">
                  <c:v>41833</c:v>
                </c:pt>
                <c:pt idx="211">
                  <c:v>41834</c:v>
                </c:pt>
                <c:pt idx="212">
                  <c:v>41842</c:v>
                </c:pt>
                <c:pt idx="213">
                  <c:v>41843</c:v>
                </c:pt>
                <c:pt idx="214">
                  <c:v>41848</c:v>
                </c:pt>
                <c:pt idx="215">
                  <c:v>41872</c:v>
                </c:pt>
                <c:pt idx="216">
                  <c:v>41892</c:v>
                </c:pt>
                <c:pt idx="217">
                  <c:v>41916</c:v>
                </c:pt>
                <c:pt idx="218">
                  <c:v>41933</c:v>
                </c:pt>
                <c:pt idx="219">
                  <c:v>41951</c:v>
                </c:pt>
                <c:pt idx="220">
                  <c:v>41975</c:v>
                </c:pt>
                <c:pt idx="221">
                  <c:v>41996</c:v>
                </c:pt>
                <c:pt idx="222">
                  <c:v>42001</c:v>
                </c:pt>
                <c:pt idx="223">
                  <c:v>42007</c:v>
                </c:pt>
                <c:pt idx="224">
                  <c:v>42025</c:v>
                </c:pt>
                <c:pt idx="225">
                  <c:v>42038</c:v>
                </c:pt>
                <c:pt idx="226">
                  <c:v>42044</c:v>
                </c:pt>
                <c:pt idx="227">
                  <c:v>42048</c:v>
                </c:pt>
                <c:pt idx="228">
                  <c:v>42049</c:v>
                </c:pt>
                <c:pt idx="229">
                  <c:v>42060</c:v>
                </c:pt>
                <c:pt idx="230">
                  <c:v>42070</c:v>
                </c:pt>
                <c:pt idx="231">
                  <c:v>42098</c:v>
                </c:pt>
                <c:pt idx="232">
                  <c:v>42113</c:v>
                </c:pt>
                <c:pt idx="233">
                  <c:v>42126</c:v>
                </c:pt>
                <c:pt idx="234">
                  <c:v>42141</c:v>
                </c:pt>
                <c:pt idx="235">
                  <c:v>42150</c:v>
                </c:pt>
                <c:pt idx="236">
                  <c:v>42171</c:v>
                </c:pt>
                <c:pt idx="237">
                  <c:v>42177</c:v>
                </c:pt>
                <c:pt idx="238">
                  <c:v>42184</c:v>
                </c:pt>
                <c:pt idx="239">
                  <c:v>42195</c:v>
                </c:pt>
                <c:pt idx="240">
                  <c:v>42195</c:v>
                </c:pt>
                <c:pt idx="241">
                  <c:v>42205</c:v>
                </c:pt>
                <c:pt idx="242">
                  <c:v>42210</c:v>
                </c:pt>
                <c:pt idx="243">
                  <c:v>42214</c:v>
                </c:pt>
                <c:pt idx="244">
                  <c:v>42216</c:v>
                </c:pt>
                <c:pt idx="245">
                  <c:v>42218</c:v>
                </c:pt>
                <c:pt idx="246">
                  <c:v>42232</c:v>
                </c:pt>
                <c:pt idx="247">
                  <c:v>42238</c:v>
                </c:pt>
                <c:pt idx="248">
                  <c:v>42246</c:v>
                </c:pt>
                <c:pt idx="249">
                  <c:v>42256</c:v>
                </c:pt>
                <c:pt idx="250">
                  <c:v>42268</c:v>
                </c:pt>
                <c:pt idx="251">
                  <c:v>42269</c:v>
                </c:pt>
                <c:pt idx="252">
                  <c:v>42271</c:v>
                </c:pt>
                <c:pt idx="253">
                  <c:v>42274</c:v>
                </c:pt>
                <c:pt idx="254">
                  <c:v>42295</c:v>
                </c:pt>
                <c:pt idx="255">
                  <c:v>42305</c:v>
                </c:pt>
                <c:pt idx="256">
                  <c:v>42308</c:v>
                </c:pt>
                <c:pt idx="257">
                  <c:v>42312</c:v>
                </c:pt>
                <c:pt idx="258">
                  <c:v>42323</c:v>
                </c:pt>
                <c:pt idx="259">
                  <c:v>42330</c:v>
                </c:pt>
                <c:pt idx="260">
                  <c:v>42357</c:v>
                </c:pt>
                <c:pt idx="261">
                  <c:v>42360</c:v>
                </c:pt>
                <c:pt idx="262">
                  <c:v>42363</c:v>
                </c:pt>
                <c:pt idx="263">
                  <c:v>42364</c:v>
                </c:pt>
                <c:pt idx="264">
                  <c:v>42368</c:v>
                </c:pt>
                <c:pt idx="265">
                  <c:v>42388</c:v>
                </c:pt>
                <c:pt idx="266">
                  <c:v>42389</c:v>
                </c:pt>
                <c:pt idx="267">
                  <c:v>42389</c:v>
                </c:pt>
                <c:pt idx="268">
                  <c:v>42428</c:v>
                </c:pt>
                <c:pt idx="269">
                  <c:v>42430</c:v>
                </c:pt>
                <c:pt idx="270">
                  <c:v>42433</c:v>
                </c:pt>
                <c:pt idx="271">
                  <c:v>42448</c:v>
                </c:pt>
                <c:pt idx="272">
                  <c:v>42452</c:v>
                </c:pt>
                <c:pt idx="273">
                  <c:v>42456</c:v>
                </c:pt>
                <c:pt idx="274">
                  <c:v>42468</c:v>
                </c:pt>
                <c:pt idx="275">
                  <c:v>42470</c:v>
                </c:pt>
                <c:pt idx="276">
                  <c:v>42475</c:v>
                </c:pt>
                <c:pt idx="277">
                  <c:v>42485</c:v>
                </c:pt>
                <c:pt idx="278">
                  <c:v>42490</c:v>
                </c:pt>
                <c:pt idx="279">
                  <c:v>42495</c:v>
                </c:pt>
                <c:pt idx="280">
                  <c:v>42504</c:v>
                </c:pt>
                <c:pt idx="281">
                  <c:v>42524</c:v>
                </c:pt>
                <c:pt idx="282">
                  <c:v>42533</c:v>
                </c:pt>
                <c:pt idx="283">
                  <c:v>42541</c:v>
                </c:pt>
                <c:pt idx="284">
                  <c:v>42546</c:v>
                </c:pt>
                <c:pt idx="285">
                  <c:v>42568</c:v>
                </c:pt>
                <c:pt idx="286">
                  <c:v>42587</c:v>
                </c:pt>
                <c:pt idx="287">
                  <c:v>42608</c:v>
                </c:pt>
                <c:pt idx="288">
                  <c:v>42618</c:v>
                </c:pt>
                <c:pt idx="289">
                  <c:v>42618</c:v>
                </c:pt>
                <c:pt idx="290">
                  <c:v>42624</c:v>
                </c:pt>
                <c:pt idx="291">
                  <c:v>42628</c:v>
                </c:pt>
                <c:pt idx="292">
                  <c:v>42629</c:v>
                </c:pt>
                <c:pt idx="293">
                  <c:v>42638</c:v>
                </c:pt>
                <c:pt idx="294">
                  <c:v>42646</c:v>
                </c:pt>
                <c:pt idx="295">
                  <c:v>42650</c:v>
                </c:pt>
                <c:pt idx="296">
                  <c:v>42653</c:v>
                </c:pt>
                <c:pt idx="297">
                  <c:v>42672</c:v>
                </c:pt>
                <c:pt idx="298">
                  <c:v>42685</c:v>
                </c:pt>
                <c:pt idx="299">
                  <c:v>42711</c:v>
                </c:pt>
                <c:pt idx="300">
                  <c:v>42726</c:v>
                </c:pt>
                <c:pt idx="301">
                  <c:v>42727</c:v>
                </c:pt>
                <c:pt idx="302">
                  <c:v>42730</c:v>
                </c:pt>
                <c:pt idx="303">
                  <c:v>42739</c:v>
                </c:pt>
                <c:pt idx="304">
                  <c:v>42756</c:v>
                </c:pt>
                <c:pt idx="305">
                  <c:v>42759</c:v>
                </c:pt>
                <c:pt idx="306">
                  <c:v>42787</c:v>
                </c:pt>
                <c:pt idx="307">
                  <c:v>42792</c:v>
                </c:pt>
                <c:pt idx="308">
                  <c:v>42796</c:v>
                </c:pt>
                <c:pt idx="309">
                  <c:v>42797</c:v>
                </c:pt>
                <c:pt idx="310">
                  <c:v>42799</c:v>
                </c:pt>
                <c:pt idx="311">
                  <c:v>42813</c:v>
                </c:pt>
                <c:pt idx="312">
                  <c:v>42819</c:v>
                </c:pt>
                <c:pt idx="313">
                  <c:v>42822</c:v>
                </c:pt>
                <c:pt idx="314">
                  <c:v>42837</c:v>
                </c:pt>
                <c:pt idx="315">
                  <c:v>42856</c:v>
                </c:pt>
                <c:pt idx="316">
                  <c:v>42866</c:v>
                </c:pt>
                <c:pt idx="317">
                  <c:v>42869</c:v>
                </c:pt>
                <c:pt idx="318">
                  <c:v>42874</c:v>
                </c:pt>
                <c:pt idx="319">
                  <c:v>42887</c:v>
                </c:pt>
                <c:pt idx="320">
                  <c:v>42888</c:v>
                </c:pt>
                <c:pt idx="321">
                  <c:v>42892</c:v>
                </c:pt>
                <c:pt idx="322">
                  <c:v>42912</c:v>
                </c:pt>
                <c:pt idx="323">
                  <c:v>42913</c:v>
                </c:pt>
                <c:pt idx="324">
                  <c:v>42918</c:v>
                </c:pt>
                <c:pt idx="325">
                  <c:v>42919</c:v>
                </c:pt>
                <c:pt idx="326">
                  <c:v>42937</c:v>
                </c:pt>
                <c:pt idx="327">
                  <c:v>42949</c:v>
                </c:pt>
                <c:pt idx="328">
                  <c:v>42951</c:v>
                </c:pt>
                <c:pt idx="329">
                  <c:v>42961</c:v>
                </c:pt>
                <c:pt idx="330">
                  <c:v>42977</c:v>
                </c:pt>
                <c:pt idx="331">
                  <c:v>42984</c:v>
                </c:pt>
                <c:pt idx="332">
                  <c:v>42988</c:v>
                </c:pt>
                <c:pt idx="333">
                  <c:v>42991</c:v>
                </c:pt>
                <c:pt idx="334">
                  <c:v>43008</c:v>
                </c:pt>
                <c:pt idx="335">
                  <c:v>43012</c:v>
                </c:pt>
                <c:pt idx="336">
                  <c:v>43020</c:v>
                </c:pt>
                <c:pt idx="337">
                  <c:v>43020</c:v>
                </c:pt>
                <c:pt idx="338">
                  <c:v>43026</c:v>
                </c:pt>
                <c:pt idx="339">
                  <c:v>43041</c:v>
                </c:pt>
                <c:pt idx="340">
                  <c:v>43041</c:v>
                </c:pt>
                <c:pt idx="341">
                  <c:v>43065</c:v>
                </c:pt>
                <c:pt idx="342">
                  <c:v>43068</c:v>
                </c:pt>
                <c:pt idx="343">
                  <c:v>43070</c:v>
                </c:pt>
                <c:pt idx="344">
                  <c:v>43092</c:v>
                </c:pt>
                <c:pt idx="345">
                  <c:v>43101</c:v>
                </c:pt>
                <c:pt idx="346">
                  <c:v>43105</c:v>
                </c:pt>
                <c:pt idx="347">
                  <c:v>43113</c:v>
                </c:pt>
                <c:pt idx="348">
                  <c:v>43120</c:v>
                </c:pt>
                <c:pt idx="349">
                  <c:v>43129</c:v>
                </c:pt>
                <c:pt idx="350">
                  <c:v>43130</c:v>
                </c:pt>
                <c:pt idx="351">
                  <c:v>43130</c:v>
                </c:pt>
                <c:pt idx="352">
                  <c:v>43147</c:v>
                </c:pt>
                <c:pt idx="353">
                  <c:v>43158</c:v>
                </c:pt>
                <c:pt idx="354">
                  <c:v>43160</c:v>
                </c:pt>
                <c:pt idx="355">
                  <c:v>43161</c:v>
                </c:pt>
                <c:pt idx="356">
                  <c:v>43166</c:v>
                </c:pt>
                <c:pt idx="357">
                  <c:v>43174</c:v>
                </c:pt>
                <c:pt idx="358">
                  <c:v>43177</c:v>
                </c:pt>
                <c:pt idx="359">
                  <c:v>43185</c:v>
                </c:pt>
                <c:pt idx="360">
                  <c:v>43205</c:v>
                </c:pt>
                <c:pt idx="361">
                  <c:v>43208</c:v>
                </c:pt>
                <c:pt idx="362">
                  <c:v>43219</c:v>
                </c:pt>
                <c:pt idx="363">
                  <c:v>43220</c:v>
                </c:pt>
                <c:pt idx="364">
                  <c:v>43233</c:v>
                </c:pt>
                <c:pt idx="365">
                  <c:v>43233</c:v>
                </c:pt>
                <c:pt idx="366">
                  <c:v>43252</c:v>
                </c:pt>
                <c:pt idx="367">
                  <c:v>43262</c:v>
                </c:pt>
                <c:pt idx="368">
                  <c:v>43279</c:v>
                </c:pt>
                <c:pt idx="369">
                  <c:v>43281</c:v>
                </c:pt>
                <c:pt idx="370">
                  <c:v>43297</c:v>
                </c:pt>
                <c:pt idx="371">
                  <c:v>43302</c:v>
                </c:pt>
                <c:pt idx="372">
                  <c:v>43308</c:v>
                </c:pt>
                <c:pt idx="373">
                  <c:v>43309</c:v>
                </c:pt>
                <c:pt idx="374">
                  <c:v>43315</c:v>
                </c:pt>
                <c:pt idx="375">
                  <c:v>43369</c:v>
                </c:pt>
                <c:pt idx="376">
                  <c:v>43379</c:v>
                </c:pt>
                <c:pt idx="377">
                  <c:v>43382</c:v>
                </c:pt>
                <c:pt idx="378">
                  <c:v>43388</c:v>
                </c:pt>
                <c:pt idx="379">
                  <c:v>43417</c:v>
                </c:pt>
                <c:pt idx="380">
                  <c:v>43419</c:v>
                </c:pt>
                <c:pt idx="381">
                  <c:v>43420</c:v>
                </c:pt>
                <c:pt idx="382">
                  <c:v>43422</c:v>
                </c:pt>
                <c:pt idx="383">
                  <c:v>43434</c:v>
                </c:pt>
                <c:pt idx="384">
                  <c:v>43463</c:v>
                </c:pt>
                <c:pt idx="385">
                  <c:v>43466</c:v>
                </c:pt>
                <c:pt idx="386">
                  <c:v>43498</c:v>
                </c:pt>
                <c:pt idx="387">
                  <c:v>43499</c:v>
                </c:pt>
                <c:pt idx="388">
                  <c:v>43501</c:v>
                </c:pt>
                <c:pt idx="389">
                  <c:v>43517</c:v>
                </c:pt>
                <c:pt idx="390">
                  <c:v>43525</c:v>
                </c:pt>
                <c:pt idx="391">
                  <c:v>43526</c:v>
                </c:pt>
                <c:pt idx="392">
                  <c:v>43532</c:v>
                </c:pt>
                <c:pt idx="393">
                  <c:v>43533</c:v>
                </c:pt>
                <c:pt idx="394">
                  <c:v>43537</c:v>
                </c:pt>
                <c:pt idx="395">
                  <c:v>43538</c:v>
                </c:pt>
                <c:pt idx="396">
                  <c:v>43538</c:v>
                </c:pt>
                <c:pt idx="397">
                  <c:v>43561</c:v>
                </c:pt>
                <c:pt idx="398">
                  <c:v>43575</c:v>
                </c:pt>
                <c:pt idx="399">
                  <c:v>43576</c:v>
                </c:pt>
                <c:pt idx="400">
                  <c:v>43580</c:v>
                </c:pt>
                <c:pt idx="401">
                  <c:v>43586</c:v>
                </c:pt>
                <c:pt idx="402">
                  <c:v>43592</c:v>
                </c:pt>
                <c:pt idx="403">
                  <c:v>43608</c:v>
                </c:pt>
                <c:pt idx="404">
                  <c:v>43609</c:v>
                </c:pt>
                <c:pt idx="405">
                  <c:v>43616</c:v>
                </c:pt>
                <c:pt idx="406">
                  <c:v>43620</c:v>
                </c:pt>
                <c:pt idx="407">
                  <c:v>43629</c:v>
                </c:pt>
                <c:pt idx="408">
                  <c:v>43650</c:v>
                </c:pt>
                <c:pt idx="409">
                  <c:v>43653</c:v>
                </c:pt>
                <c:pt idx="410">
                  <c:v>43655</c:v>
                </c:pt>
                <c:pt idx="411">
                  <c:v>43662</c:v>
                </c:pt>
                <c:pt idx="412">
                  <c:v>43678</c:v>
                </c:pt>
                <c:pt idx="413">
                  <c:v>43712</c:v>
                </c:pt>
                <c:pt idx="414">
                  <c:v>43714</c:v>
                </c:pt>
                <c:pt idx="415">
                  <c:v>43717</c:v>
                </c:pt>
                <c:pt idx="416">
                  <c:v>43730</c:v>
                </c:pt>
                <c:pt idx="417">
                  <c:v>43731</c:v>
                </c:pt>
                <c:pt idx="418">
                  <c:v>43734</c:v>
                </c:pt>
                <c:pt idx="419">
                  <c:v>43735</c:v>
                </c:pt>
                <c:pt idx="420">
                  <c:v>43739</c:v>
                </c:pt>
                <c:pt idx="421">
                  <c:v>43745</c:v>
                </c:pt>
                <c:pt idx="422">
                  <c:v>43754</c:v>
                </c:pt>
                <c:pt idx="423">
                  <c:v>43767</c:v>
                </c:pt>
                <c:pt idx="424">
                  <c:v>43769</c:v>
                </c:pt>
                <c:pt idx="425">
                  <c:v>43772</c:v>
                </c:pt>
                <c:pt idx="426">
                  <c:v>43778</c:v>
                </c:pt>
                <c:pt idx="427">
                  <c:v>43795</c:v>
                </c:pt>
                <c:pt idx="428">
                  <c:v>43800</c:v>
                </c:pt>
                <c:pt idx="429">
                  <c:v>43805</c:v>
                </c:pt>
                <c:pt idx="430">
                  <c:v>43809</c:v>
                </c:pt>
                <c:pt idx="431">
                  <c:v>43809</c:v>
                </c:pt>
                <c:pt idx="432">
                  <c:v>43830</c:v>
                </c:pt>
                <c:pt idx="433">
                  <c:v>43835</c:v>
                </c:pt>
                <c:pt idx="434">
                  <c:v>43839</c:v>
                </c:pt>
                <c:pt idx="435">
                  <c:v>43840</c:v>
                </c:pt>
                <c:pt idx="436">
                  <c:v>43845</c:v>
                </c:pt>
                <c:pt idx="437">
                  <c:v>43849</c:v>
                </c:pt>
                <c:pt idx="438">
                  <c:v>43859</c:v>
                </c:pt>
                <c:pt idx="439">
                  <c:v>43859</c:v>
                </c:pt>
                <c:pt idx="440">
                  <c:v>43865</c:v>
                </c:pt>
                <c:pt idx="441">
                  <c:v>43867</c:v>
                </c:pt>
                <c:pt idx="442">
                  <c:v>43868</c:v>
                </c:pt>
                <c:pt idx="443">
                  <c:v>43874</c:v>
                </c:pt>
                <c:pt idx="444">
                  <c:v>43877</c:v>
                </c:pt>
                <c:pt idx="445">
                  <c:v>43885</c:v>
                </c:pt>
                <c:pt idx="446">
                  <c:v>43892</c:v>
                </c:pt>
                <c:pt idx="447">
                  <c:v>43893</c:v>
                </c:pt>
                <c:pt idx="448">
                  <c:v>43895</c:v>
                </c:pt>
                <c:pt idx="449">
                  <c:v>43902</c:v>
                </c:pt>
                <c:pt idx="450">
                  <c:v>43911</c:v>
                </c:pt>
                <c:pt idx="451">
                  <c:v>43914</c:v>
                </c:pt>
                <c:pt idx="452">
                  <c:v>43921</c:v>
                </c:pt>
                <c:pt idx="453">
                  <c:v>43921</c:v>
                </c:pt>
                <c:pt idx="454">
                  <c:v>43929</c:v>
                </c:pt>
                <c:pt idx="455">
                  <c:v>43951</c:v>
                </c:pt>
                <c:pt idx="456">
                  <c:v>43951</c:v>
                </c:pt>
                <c:pt idx="457">
                  <c:v>43952</c:v>
                </c:pt>
                <c:pt idx="458">
                  <c:v>43957</c:v>
                </c:pt>
                <c:pt idx="459">
                  <c:v>43958</c:v>
                </c:pt>
                <c:pt idx="460">
                  <c:v>43959</c:v>
                </c:pt>
                <c:pt idx="461">
                  <c:v>43977</c:v>
                </c:pt>
                <c:pt idx="462">
                  <c:v>43978</c:v>
                </c:pt>
                <c:pt idx="463">
                  <c:v>43983</c:v>
                </c:pt>
                <c:pt idx="464">
                  <c:v>43998</c:v>
                </c:pt>
                <c:pt idx="465">
                  <c:v>44010</c:v>
                </c:pt>
                <c:pt idx="466">
                  <c:v>44014</c:v>
                </c:pt>
                <c:pt idx="467">
                  <c:v>44018</c:v>
                </c:pt>
                <c:pt idx="468">
                  <c:v>44019</c:v>
                </c:pt>
                <c:pt idx="469">
                  <c:v>44027</c:v>
                </c:pt>
                <c:pt idx="470">
                  <c:v>44032</c:v>
                </c:pt>
                <c:pt idx="471">
                  <c:v>44040</c:v>
                </c:pt>
                <c:pt idx="472">
                  <c:v>44040</c:v>
                </c:pt>
                <c:pt idx="473">
                  <c:v>44047</c:v>
                </c:pt>
                <c:pt idx="474">
                  <c:v>44047</c:v>
                </c:pt>
                <c:pt idx="475">
                  <c:v>44053</c:v>
                </c:pt>
                <c:pt idx="476">
                  <c:v>44057</c:v>
                </c:pt>
                <c:pt idx="477">
                  <c:v>44063</c:v>
                </c:pt>
                <c:pt idx="478">
                  <c:v>44073</c:v>
                </c:pt>
                <c:pt idx="479">
                  <c:v>44075</c:v>
                </c:pt>
                <c:pt idx="480">
                  <c:v>44092</c:v>
                </c:pt>
                <c:pt idx="481">
                  <c:v>44097</c:v>
                </c:pt>
                <c:pt idx="482">
                  <c:v>44098</c:v>
                </c:pt>
                <c:pt idx="483">
                  <c:v>44107</c:v>
                </c:pt>
                <c:pt idx="484">
                  <c:v>44110</c:v>
                </c:pt>
                <c:pt idx="485">
                  <c:v>44114</c:v>
                </c:pt>
                <c:pt idx="486">
                  <c:v>44125</c:v>
                </c:pt>
                <c:pt idx="487">
                  <c:v>44126</c:v>
                </c:pt>
                <c:pt idx="488">
                  <c:v>44126</c:v>
                </c:pt>
                <c:pt idx="489">
                  <c:v>44130</c:v>
                </c:pt>
                <c:pt idx="490">
                  <c:v>44139</c:v>
                </c:pt>
                <c:pt idx="491">
                  <c:v>44139</c:v>
                </c:pt>
                <c:pt idx="492">
                  <c:v>44144</c:v>
                </c:pt>
                <c:pt idx="493">
                  <c:v>44152</c:v>
                </c:pt>
                <c:pt idx="494">
                  <c:v>44159</c:v>
                </c:pt>
                <c:pt idx="495">
                  <c:v>44160</c:v>
                </c:pt>
                <c:pt idx="496">
                  <c:v>44163</c:v>
                </c:pt>
                <c:pt idx="497">
                  <c:v>44181</c:v>
                </c:pt>
                <c:pt idx="498">
                  <c:v>44190</c:v>
                </c:pt>
                <c:pt idx="499">
                  <c:v>44196</c:v>
                </c:pt>
              </c:numCache>
            </c:numRef>
          </c:cat>
          <c:val>
            <c:numRef>
              <c:f>Accumulations!$J$2:$J$501</c:f>
              <c:numCache>
                <c:formatCode>0.00</c:formatCode>
                <c:ptCount val="500"/>
                <c:pt idx="0">
                  <c:v>4524.0295816469734</c:v>
                </c:pt>
                <c:pt idx="1">
                  <c:v>9688.7898268885292</c:v>
                </c:pt>
                <c:pt idx="2">
                  <c:v>14172.312220907463</c:v>
                </c:pt>
                <c:pt idx="3">
                  <c:v>17178.598257660316</c:v>
                </c:pt>
                <c:pt idx="4">
                  <c:v>20878.840126634885</c:v>
                </c:pt>
                <c:pt idx="5">
                  <c:v>21414.528168561967</c:v>
                </c:pt>
                <c:pt idx="6">
                  <c:v>24739.877167947699</c:v>
                </c:pt>
                <c:pt idx="7">
                  <c:v>43779.981942378821</c:v>
                </c:pt>
                <c:pt idx="8">
                  <c:v>44579.907124226273</c:v>
                </c:pt>
                <c:pt idx="9">
                  <c:v>49627.417995450458</c:v>
                </c:pt>
                <c:pt idx="10">
                  <c:v>51212.81462545586</c:v>
                </c:pt>
                <c:pt idx="11">
                  <c:v>51840.907048824403</c:v>
                </c:pt>
                <c:pt idx="12">
                  <c:v>53524.723652461165</c:v>
                </c:pt>
                <c:pt idx="13">
                  <c:v>54820.648750248547</c:v>
                </c:pt>
                <c:pt idx="14">
                  <c:v>55157.867290425798</c:v>
                </c:pt>
                <c:pt idx="15">
                  <c:v>63816.039460913642</c:v>
                </c:pt>
                <c:pt idx="16">
                  <c:v>64780.905841760607</c:v>
                </c:pt>
                <c:pt idx="17">
                  <c:v>65628.97555858751</c:v>
                </c:pt>
                <c:pt idx="18">
                  <c:v>69007.32401924282</c:v>
                </c:pt>
                <c:pt idx="19">
                  <c:v>73190.980398448999</c:v>
                </c:pt>
                <c:pt idx="20">
                  <c:v>75821.019306343456</c:v>
                </c:pt>
                <c:pt idx="21">
                  <c:v>78724.173001413408</c:v>
                </c:pt>
                <c:pt idx="22">
                  <c:v>78814.139235110968</c:v>
                </c:pt>
                <c:pt idx="23">
                  <c:v>79228.206149449601</c:v>
                </c:pt>
                <c:pt idx="24">
                  <c:v>85696.554217061552</c:v>
                </c:pt>
                <c:pt idx="25">
                  <c:v>92445.040687413115</c:v>
                </c:pt>
                <c:pt idx="26">
                  <c:v>97396.966153451009</c:v>
                </c:pt>
                <c:pt idx="27">
                  <c:v>98015.955652604011</c:v>
                </c:pt>
                <c:pt idx="28">
                  <c:v>98998.07058510714</c:v>
                </c:pt>
                <c:pt idx="29">
                  <c:v>106013.21653772262</c:v>
                </c:pt>
                <c:pt idx="30">
                  <c:v>106456.48198952367</c:v>
                </c:pt>
                <c:pt idx="31">
                  <c:v>109043.11951997157</c:v>
                </c:pt>
                <c:pt idx="32">
                  <c:v>109807.06049524003</c:v>
                </c:pt>
                <c:pt idx="33">
                  <c:v>111125.31461364665</c:v>
                </c:pt>
                <c:pt idx="34">
                  <c:v>112334.71399951619</c:v>
                </c:pt>
                <c:pt idx="35">
                  <c:v>134358.43925859727</c:v>
                </c:pt>
                <c:pt idx="36">
                  <c:v>135139.16475954998</c:v>
                </c:pt>
                <c:pt idx="37">
                  <c:v>136933.39068007065</c:v>
                </c:pt>
                <c:pt idx="38">
                  <c:v>141557.23704381019</c:v>
                </c:pt>
                <c:pt idx="39">
                  <c:v>149820.7821964625</c:v>
                </c:pt>
                <c:pt idx="40">
                  <c:v>150166.07669710147</c:v>
                </c:pt>
                <c:pt idx="41">
                  <c:v>154252.79578718578</c:v>
                </c:pt>
                <c:pt idx="42">
                  <c:v>154509.14987807351</c:v>
                </c:pt>
                <c:pt idx="43">
                  <c:v>160368.12550234445</c:v>
                </c:pt>
                <c:pt idx="44">
                  <c:v>165160.12004858514</c:v>
                </c:pt>
                <c:pt idx="45">
                  <c:v>166678.71562529734</c:v>
                </c:pt>
                <c:pt idx="46">
                  <c:v>183801.40904221637</c:v>
                </c:pt>
                <c:pt idx="47">
                  <c:v>189516.05065297618</c:v>
                </c:pt>
                <c:pt idx="48">
                  <c:v>191524.16792943797</c:v>
                </c:pt>
                <c:pt idx="49">
                  <c:v>192144.40563458693</c:v>
                </c:pt>
                <c:pt idx="50">
                  <c:v>196958.34700130011</c:v>
                </c:pt>
                <c:pt idx="51">
                  <c:v>199667.51436054404</c:v>
                </c:pt>
                <c:pt idx="52">
                  <c:v>200450.16209768821</c:v>
                </c:pt>
                <c:pt idx="53">
                  <c:v>202315.96573733099</c:v>
                </c:pt>
                <c:pt idx="54">
                  <c:v>217357.69922808939</c:v>
                </c:pt>
                <c:pt idx="55">
                  <c:v>218178.13541361378</c:v>
                </c:pt>
                <c:pt idx="56">
                  <c:v>220611.53864478736</c:v>
                </c:pt>
                <c:pt idx="57">
                  <c:v>222383.08693574628</c:v>
                </c:pt>
                <c:pt idx="58">
                  <c:v>242744.09438546296</c:v>
                </c:pt>
                <c:pt idx="59">
                  <c:v>244557.78095857624</c:v>
                </c:pt>
                <c:pt idx="60">
                  <c:v>250283.49300204142</c:v>
                </c:pt>
                <c:pt idx="61">
                  <c:v>310616.7158169403</c:v>
                </c:pt>
                <c:pt idx="62">
                  <c:v>318222.75773373997</c:v>
                </c:pt>
                <c:pt idx="63">
                  <c:v>323789.1046133691</c:v>
                </c:pt>
                <c:pt idx="64">
                  <c:v>329878.45860368118</c:v>
                </c:pt>
                <c:pt idx="65">
                  <c:v>331961.75850304705</c:v>
                </c:pt>
                <c:pt idx="66">
                  <c:v>334459.52934651228</c:v>
                </c:pt>
                <c:pt idx="67">
                  <c:v>335134.4723291003</c:v>
                </c:pt>
                <c:pt idx="68">
                  <c:v>335816.94522816286</c:v>
                </c:pt>
                <c:pt idx="69">
                  <c:v>341486.55400628311</c:v>
                </c:pt>
                <c:pt idx="70">
                  <c:v>345670.4892125586</c:v>
                </c:pt>
                <c:pt idx="71">
                  <c:v>345989.82785546692</c:v>
                </c:pt>
                <c:pt idx="72">
                  <c:v>348308.50722323731</c:v>
                </c:pt>
                <c:pt idx="73">
                  <c:v>350055.99199228827</c:v>
                </c:pt>
                <c:pt idx="74">
                  <c:v>350942.77457371831</c:v>
                </c:pt>
                <c:pt idx="75">
                  <c:v>360241.25417099852</c:v>
                </c:pt>
                <c:pt idx="76">
                  <c:v>361237.85332166567</c:v>
                </c:pt>
                <c:pt idx="77">
                  <c:v>366986.05040837423</c:v>
                </c:pt>
                <c:pt idx="78">
                  <c:v>367791.72964190133</c:v>
                </c:pt>
                <c:pt idx="79">
                  <c:v>368250.09872861259</c:v>
                </c:pt>
                <c:pt idx="80">
                  <c:v>371131.71235579601</c:v>
                </c:pt>
                <c:pt idx="81">
                  <c:v>373518.28084372071</c:v>
                </c:pt>
                <c:pt idx="82">
                  <c:v>377571.18616562296</c:v>
                </c:pt>
                <c:pt idx="83">
                  <c:v>378570.47034121986</c:v>
                </c:pt>
                <c:pt idx="84">
                  <c:v>381224.02679798775</c:v>
                </c:pt>
                <c:pt idx="85">
                  <c:v>386001.05564126838</c:v>
                </c:pt>
                <c:pt idx="86">
                  <c:v>389638.89768870425</c:v>
                </c:pt>
                <c:pt idx="87">
                  <c:v>394678.44818192307</c:v>
                </c:pt>
                <c:pt idx="88">
                  <c:v>397510.95141495462</c:v>
                </c:pt>
                <c:pt idx="89">
                  <c:v>401440.52081275888</c:v>
                </c:pt>
                <c:pt idx="90">
                  <c:v>403109.24188453762</c:v>
                </c:pt>
                <c:pt idx="91">
                  <c:v>404774.53457284416</c:v>
                </c:pt>
                <c:pt idx="92">
                  <c:v>409870.34182501002</c:v>
                </c:pt>
                <c:pt idx="93">
                  <c:v>444810.26953334064</c:v>
                </c:pt>
                <c:pt idx="94">
                  <c:v>445016.36140697764</c:v>
                </c:pt>
                <c:pt idx="95">
                  <c:v>447846.341557084</c:v>
                </c:pt>
                <c:pt idx="96">
                  <c:v>450591.01717009349</c:v>
                </c:pt>
                <c:pt idx="97">
                  <c:v>451508.01362680318</c:v>
                </c:pt>
                <c:pt idx="98">
                  <c:v>451994.69216214307</c:v>
                </c:pt>
                <c:pt idx="99">
                  <c:v>454608.64353136235</c:v>
                </c:pt>
                <c:pt idx="100">
                  <c:v>458793.87076194823</c:v>
                </c:pt>
                <c:pt idx="101">
                  <c:v>460542.40307895001</c:v>
                </c:pt>
                <c:pt idx="102">
                  <c:v>461821.3590991266</c:v>
                </c:pt>
                <c:pt idx="103">
                  <c:v>463001.09408906009</c:v>
                </c:pt>
                <c:pt idx="104">
                  <c:v>466230.34934936726</c:v>
                </c:pt>
                <c:pt idx="105">
                  <c:v>467677.4380704292</c:v>
                </c:pt>
                <c:pt idx="106">
                  <c:v>478601.99856223818</c:v>
                </c:pt>
                <c:pt idx="107">
                  <c:v>479107.65392353776</c:v>
                </c:pt>
                <c:pt idx="108">
                  <c:v>483114.25147550524</c:v>
                </c:pt>
                <c:pt idx="109">
                  <c:v>483927.69089348998</c:v>
                </c:pt>
                <c:pt idx="110">
                  <c:v>485275.55296899198</c:v>
                </c:pt>
                <c:pt idx="111">
                  <c:v>485369.35110408434</c:v>
                </c:pt>
                <c:pt idx="112">
                  <c:v>487705.54345025</c:v>
                </c:pt>
                <c:pt idx="113">
                  <c:v>495862.57876669808</c:v>
                </c:pt>
                <c:pt idx="114">
                  <c:v>496302.43607453094</c:v>
                </c:pt>
                <c:pt idx="115">
                  <c:v>508596.54441109428</c:v>
                </c:pt>
                <c:pt idx="116">
                  <c:v>509456.67619932286</c:v>
                </c:pt>
                <c:pt idx="117">
                  <c:v>521115.12509949657</c:v>
                </c:pt>
                <c:pt idx="118">
                  <c:v>522944.58472099184</c:v>
                </c:pt>
                <c:pt idx="119">
                  <c:v>523182.69744890323</c:v>
                </c:pt>
                <c:pt idx="120">
                  <c:v>525574.33317246137</c:v>
                </c:pt>
                <c:pt idx="121">
                  <c:v>528043.42406865081</c:v>
                </c:pt>
                <c:pt idx="122">
                  <c:v>528102.4089653868</c:v>
                </c:pt>
                <c:pt idx="123">
                  <c:v>528638.40692663682</c:v>
                </c:pt>
                <c:pt idx="124">
                  <c:v>531020.56035246234</c:v>
                </c:pt>
                <c:pt idx="125">
                  <c:v>546109.03180579341</c:v>
                </c:pt>
                <c:pt idx="126">
                  <c:v>548839.1822513158</c:v>
                </c:pt>
                <c:pt idx="127">
                  <c:v>549330.93750859634</c:v>
                </c:pt>
                <c:pt idx="128">
                  <c:v>550758.25928023818</c:v>
                </c:pt>
                <c:pt idx="129">
                  <c:v>553280.82697380928</c:v>
                </c:pt>
                <c:pt idx="130">
                  <c:v>555295.31072468555</c:v>
                </c:pt>
                <c:pt idx="131">
                  <c:v>555427.60805219284</c:v>
                </c:pt>
                <c:pt idx="132">
                  <c:v>556153.64512617921</c:v>
                </c:pt>
                <c:pt idx="133">
                  <c:v>558157.4889830926</c:v>
                </c:pt>
                <c:pt idx="134">
                  <c:v>559268.56440443767</c:v>
                </c:pt>
                <c:pt idx="135">
                  <c:v>568103.53492688725</c:v>
                </c:pt>
                <c:pt idx="136">
                  <c:v>575071.39881785761</c:v>
                </c:pt>
                <c:pt idx="137">
                  <c:v>578176.33350780292</c:v>
                </c:pt>
                <c:pt idx="138">
                  <c:v>579183.23307704786</c:v>
                </c:pt>
                <c:pt idx="139">
                  <c:v>582735.55279725674</c:v>
                </c:pt>
                <c:pt idx="140">
                  <c:v>583929.16237029782</c:v>
                </c:pt>
                <c:pt idx="141">
                  <c:v>586895.79452475323</c:v>
                </c:pt>
                <c:pt idx="142">
                  <c:v>588469.95642317075</c:v>
                </c:pt>
                <c:pt idx="143">
                  <c:v>589023.65155067807</c:v>
                </c:pt>
                <c:pt idx="144">
                  <c:v>591907.67041722639</c:v>
                </c:pt>
                <c:pt idx="145">
                  <c:v>595074.13764460641</c:v>
                </c:pt>
                <c:pt idx="146">
                  <c:v>595298.55233919341</c:v>
                </c:pt>
                <c:pt idx="147">
                  <c:v>596659.98359214235</c:v>
                </c:pt>
                <c:pt idx="148">
                  <c:v>600249.40379018569</c:v>
                </c:pt>
                <c:pt idx="149">
                  <c:v>602502.83007018582</c:v>
                </c:pt>
                <c:pt idx="150">
                  <c:v>603755.74300259165</c:v>
                </c:pt>
                <c:pt idx="151">
                  <c:v>604113.91137109627</c:v>
                </c:pt>
                <c:pt idx="152">
                  <c:v>605457.76937972056</c:v>
                </c:pt>
                <c:pt idx="153">
                  <c:v>620056.18365997961</c:v>
                </c:pt>
                <c:pt idx="154">
                  <c:v>621112.00505447702</c:v>
                </c:pt>
                <c:pt idx="155">
                  <c:v>626761.07006584795</c:v>
                </c:pt>
                <c:pt idx="156">
                  <c:v>631537.01471828145</c:v>
                </c:pt>
                <c:pt idx="157">
                  <c:v>635557.38745410938</c:v>
                </c:pt>
                <c:pt idx="158">
                  <c:v>644781.61741057807</c:v>
                </c:pt>
                <c:pt idx="159">
                  <c:v>646190.73844399082</c:v>
                </c:pt>
                <c:pt idx="160">
                  <c:v>651590.0527311085</c:v>
                </c:pt>
                <c:pt idx="161">
                  <c:v>651796.4734353805</c:v>
                </c:pt>
                <c:pt idx="162">
                  <c:v>652617.92022900819</c:v>
                </c:pt>
                <c:pt idx="163">
                  <c:v>654251.52172424714</c:v>
                </c:pt>
                <c:pt idx="164">
                  <c:v>661990.42256986292</c:v>
                </c:pt>
                <c:pt idx="165">
                  <c:v>662718.35523811181</c:v>
                </c:pt>
                <c:pt idx="166">
                  <c:v>663711.40707107156</c:v>
                </c:pt>
                <c:pt idx="167">
                  <c:v>664978.94572258915</c:v>
                </c:pt>
                <c:pt idx="168">
                  <c:v>665866.12125541933</c:v>
                </c:pt>
                <c:pt idx="169">
                  <c:v>669433.79398921214</c:v>
                </c:pt>
                <c:pt idx="170">
                  <c:v>683008.28377495368</c:v>
                </c:pt>
                <c:pt idx="171">
                  <c:v>683534.88306296559</c:v>
                </c:pt>
                <c:pt idx="172">
                  <c:v>691788.51398986694</c:v>
                </c:pt>
                <c:pt idx="173">
                  <c:v>692209.64574016829</c:v>
                </c:pt>
                <c:pt idx="174">
                  <c:v>697160.93412829016</c:v>
                </c:pt>
                <c:pt idx="175">
                  <c:v>698321.09976635792</c:v>
                </c:pt>
                <c:pt idx="176">
                  <c:v>707431.69745563029</c:v>
                </c:pt>
                <c:pt idx="177">
                  <c:v>717462.12597316073</c:v>
                </c:pt>
                <c:pt idx="178">
                  <c:v>722575.05175793986</c:v>
                </c:pt>
                <c:pt idx="179">
                  <c:v>722777.76048030541</c:v>
                </c:pt>
                <c:pt idx="180">
                  <c:v>728899.18440149771</c:v>
                </c:pt>
                <c:pt idx="181">
                  <c:v>732366.91544143134</c:v>
                </c:pt>
                <c:pt idx="182">
                  <c:v>733507.15047627827</c:v>
                </c:pt>
                <c:pt idx="183">
                  <c:v>734560.89256057504</c:v>
                </c:pt>
                <c:pt idx="184">
                  <c:v>738987.47373955464</c:v>
                </c:pt>
                <c:pt idx="185">
                  <c:v>739517.79830347397</c:v>
                </c:pt>
                <c:pt idx="186">
                  <c:v>741111.92461194342</c:v>
                </c:pt>
                <c:pt idx="187">
                  <c:v>753315.51841136126</c:v>
                </c:pt>
                <c:pt idx="188">
                  <c:v>762312.1275919599</c:v>
                </c:pt>
                <c:pt idx="189">
                  <c:v>763894.16723801557</c:v>
                </c:pt>
                <c:pt idx="190">
                  <c:v>767181.92324194941</c:v>
                </c:pt>
                <c:pt idx="191">
                  <c:v>777236.03556957713</c:v>
                </c:pt>
                <c:pt idx="192">
                  <c:v>778069.36932245619</c:v>
                </c:pt>
                <c:pt idx="193">
                  <c:v>779774.70381887548</c:v>
                </c:pt>
                <c:pt idx="194">
                  <c:v>779981.48705008451</c:v>
                </c:pt>
                <c:pt idx="195">
                  <c:v>787503.71291015146</c:v>
                </c:pt>
                <c:pt idx="196">
                  <c:v>791166.3065451635</c:v>
                </c:pt>
                <c:pt idx="197">
                  <c:v>794189.76442999125</c:v>
                </c:pt>
                <c:pt idx="198">
                  <c:v>816567.65688883059</c:v>
                </c:pt>
                <c:pt idx="199">
                  <c:v>817000.92344244907</c:v>
                </c:pt>
                <c:pt idx="200">
                  <c:v>817362.86471161421</c:v>
                </c:pt>
                <c:pt idx="201">
                  <c:v>830060.42045205133</c:v>
                </c:pt>
                <c:pt idx="202">
                  <c:v>831359.64572911081</c:v>
                </c:pt>
                <c:pt idx="203">
                  <c:v>833450.83874024928</c:v>
                </c:pt>
                <c:pt idx="204">
                  <c:v>835643.21870829037</c:v>
                </c:pt>
                <c:pt idx="205">
                  <c:v>849168.44502228324</c:v>
                </c:pt>
                <c:pt idx="206">
                  <c:v>850759.26658914727</c:v>
                </c:pt>
                <c:pt idx="207">
                  <c:v>855459.84693051595</c:v>
                </c:pt>
                <c:pt idx="208">
                  <c:v>857387.03602293553</c:v>
                </c:pt>
                <c:pt idx="209">
                  <c:v>857964.707726305</c:v>
                </c:pt>
                <c:pt idx="210">
                  <c:v>861009.92218211375</c:v>
                </c:pt>
                <c:pt idx="211">
                  <c:v>867650.49209268566</c:v>
                </c:pt>
                <c:pt idx="212">
                  <c:v>868478.50493852561</c:v>
                </c:pt>
                <c:pt idx="213">
                  <c:v>870794.25529140816</c:v>
                </c:pt>
                <c:pt idx="214">
                  <c:v>872865.89220917749</c:v>
                </c:pt>
                <c:pt idx="215">
                  <c:v>875640.36008057161</c:v>
                </c:pt>
                <c:pt idx="216">
                  <c:v>881699.40683549247</c:v>
                </c:pt>
                <c:pt idx="217">
                  <c:v>889185.97446933808</c:v>
                </c:pt>
                <c:pt idx="218">
                  <c:v>892029.36203040124</c:v>
                </c:pt>
                <c:pt idx="219">
                  <c:v>893355.04943471798</c:v>
                </c:pt>
                <c:pt idx="220">
                  <c:v>895106.14907005988</c:v>
                </c:pt>
                <c:pt idx="221">
                  <c:v>900374.79326312768</c:v>
                </c:pt>
                <c:pt idx="222">
                  <c:v>900930.48599694844</c:v>
                </c:pt>
                <c:pt idx="223">
                  <c:v>902566.77407953178</c:v>
                </c:pt>
                <c:pt idx="224">
                  <c:v>903256.14287851041</c:v>
                </c:pt>
                <c:pt idx="225">
                  <c:v>904308.73338298709</c:v>
                </c:pt>
                <c:pt idx="226">
                  <c:v>906831.20049739035</c:v>
                </c:pt>
                <c:pt idx="227">
                  <c:v>909202.0708096422</c:v>
                </c:pt>
                <c:pt idx="228">
                  <c:v>912695.71923222474</c:v>
                </c:pt>
                <c:pt idx="229">
                  <c:v>926718.56971114618</c:v>
                </c:pt>
                <c:pt idx="230">
                  <c:v>932078.99431759492</c:v>
                </c:pt>
                <c:pt idx="231">
                  <c:v>936141.48575302272</c:v>
                </c:pt>
                <c:pt idx="232">
                  <c:v>949837.36762028188</c:v>
                </c:pt>
                <c:pt idx="233">
                  <c:v>971808.69418759097</c:v>
                </c:pt>
                <c:pt idx="234">
                  <c:v>972738.36209458869</c:v>
                </c:pt>
                <c:pt idx="235">
                  <c:v>975448.28410418751</c:v>
                </c:pt>
                <c:pt idx="236">
                  <c:v>985197.2528248477</c:v>
                </c:pt>
                <c:pt idx="237">
                  <c:v>986862.85449543712</c:v>
                </c:pt>
                <c:pt idx="238">
                  <c:v>988557.98797685071</c:v>
                </c:pt>
                <c:pt idx="239">
                  <c:v>990300.20091383322</c:v>
                </c:pt>
                <c:pt idx="240">
                  <c:v>990748.58530844515</c:v>
                </c:pt>
                <c:pt idx="241">
                  <c:v>997537.49342025514</c:v>
                </c:pt>
                <c:pt idx="242">
                  <c:v>1000699.8968616823</c:v>
                </c:pt>
                <c:pt idx="243">
                  <c:v>1001784.1469628353</c:v>
                </c:pt>
                <c:pt idx="244">
                  <c:v>1006908.337152781</c:v>
                </c:pt>
                <c:pt idx="245">
                  <c:v>1012057.8224967369</c:v>
                </c:pt>
                <c:pt idx="246">
                  <c:v>1013198.9303809468</c:v>
                </c:pt>
                <c:pt idx="247">
                  <c:v>1014705.085153591</c:v>
                </c:pt>
                <c:pt idx="248">
                  <c:v>1015491.0563065703</c:v>
                </c:pt>
                <c:pt idx="249">
                  <c:v>1016025.4488914737</c:v>
                </c:pt>
                <c:pt idx="250">
                  <c:v>1017172.2303134757</c:v>
                </c:pt>
                <c:pt idx="251">
                  <c:v>1018845.6834365148</c:v>
                </c:pt>
                <c:pt idx="252">
                  <c:v>1019957.9463499739</c:v>
                </c:pt>
                <c:pt idx="253">
                  <c:v>1021866.1825708618</c:v>
                </c:pt>
                <c:pt idx="254">
                  <c:v>1024473.1361998382</c:v>
                </c:pt>
                <c:pt idx="255">
                  <c:v>1024961.4240436149</c:v>
                </c:pt>
                <c:pt idx="256">
                  <c:v>1025441.9952415541</c:v>
                </c:pt>
                <c:pt idx="257">
                  <c:v>1027508.592692837</c:v>
                </c:pt>
                <c:pt idx="258">
                  <c:v>1031135.2760105397</c:v>
                </c:pt>
                <c:pt idx="259">
                  <c:v>1036606.4773928901</c:v>
                </c:pt>
                <c:pt idx="260">
                  <c:v>1040198.1039473017</c:v>
                </c:pt>
                <c:pt idx="261">
                  <c:v>1042690.6782048567</c:v>
                </c:pt>
                <c:pt idx="262">
                  <c:v>1043253.6092766664</c:v>
                </c:pt>
                <c:pt idx="263">
                  <c:v>1044046.4507158132</c:v>
                </c:pt>
                <c:pt idx="264">
                  <c:v>1045427.7428359075</c:v>
                </c:pt>
                <c:pt idx="265">
                  <c:v>1046263.9606611284</c:v>
                </c:pt>
                <c:pt idx="266">
                  <c:v>1050924.0985488566</c:v>
                </c:pt>
                <c:pt idx="267">
                  <c:v>1054220.829943219</c:v>
                </c:pt>
                <c:pt idx="268">
                  <c:v>1060726.0136768133</c:v>
                </c:pt>
                <c:pt idx="269">
                  <c:v>1070055.5289054895</c:v>
                </c:pt>
                <c:pt idx="270">
                  <c:v>1111982.4201967046</c:v>
                </c:pt>
                <c:pt idx="271">
                  <c:v>1112640.575648787</c:v>
                </c:pt>
                <c:pt idx="272">
                  <c:v>1114137.600887174</c:v>
                </c:pt>
                <c:pt idx="273">
                  <c:v>1116117.7409419443</c:v>
                </c:pt>
                <c:pt idx="274">
                  <c:v>1118346.1546720988</c:v>
                </c:pt>
                <c:pt idx="275">
                  <c:v>1118547.5256592117</c:v>
                </c:pt>
                <c:pt idx="276">
                  <c:v>1121634.043710507</c:v>
                </c:pt>
                <c:pt idx="277">
                  <c:v>1122434.2552387177</c:v>
                </c:pt>
                <c:pt idx="278">
                  <c:v>1122874.7652119636</c:v>
                </c:pt>
                <c:pt idx="279">
                  <c:v>1124137.91442592</c:v>
                </c:pt>
                <c:pt idx="280">
                  <c:v>1128013.567352948</c:v>
                </c:pt>
                <c:pt idx="281">
                  <c:v>1139751.4186077132</c:v>
                </c:pt>
                <c:pt idx="282">
                  <c:v>1141172.5476414538</c:v>
                </c:pt>
                <c:pt idx="283">
                  <c:v>1144573.0626962446</c:v>
                </c:pt>
                <c:pt idx="284">
                  <c:v>1144866.316518649</c:v>
                </c:pt>
                <c:pt idx="285">
                  <c:v>1161867.3392421124</c:v>
                </c:pt>
                <c:pt idx="286">
                  <c:v>1162494.4609398749</c:v>
                </c:pt>
                <c:pt idx="287">
                  <c:v>1164800.1153324759</c:v>
                </c:pt>
                <c:pt idx="288">
                  <c:v>1168818.7182778141</c:v>
                </c:pt>
                <c:pt idx="289">
                  <c:v>1170282.230128054</c:v>
                </c:pt>
                <c:pt idx="290">
                  <c:v>1170849.077398303</c:v>
                </c:pt>
                <c:pt idx="291">
                  <c:v>1173037.3551750223</c:v>
                </c:pt>
                <c:pt idx="292">
                  <c:v>1176179.6833192529</c:v>
                </c:pt>
                <c:pt idx="293">
                  <c:v>1177369.6638934612</c:v>
                </c:pt>
                <c:pt idx="294">
                  <c:v>1180288.2374666957</c:v>
                </c:pt>
                <c:pt idx="295">
                  <c:v>1181488.1472640529</c:v>
                </c:pt>
                <c:pt idx="296">
                  <c:v>1182496.9294912368</c:v>
                </c:pt>
                <c:pt idx="297">
                  <c:v>1183397.5954964319</c:v>
                </c:pt>
                <c:pt idx="298">
                  <c:v>1184125.5968350095</c:v>
                </c:pt>
                <c:pt idx="299">
                  <c:v>1188324.2612003612</c:v>
                </c:pt>
                <c:pt idx="300">
                  <c:v>1189955.0835090335</c:v>
                </c:pt>
                <c:pt idx="301">
                  <c:v>1192384.8039712063</c:v>
                </c:pt>
                <c:pt idx="302">
                  <c:v>1195186.594603722</c:v>
                </c:pt>
                <c:pt idx="303">
                  <c:v>1195572.4832657878</c:v>
                </c:pt>
                <c:pt idx="304">
                  <c:v>1202024.9980717523</c:v>
                </c:pt>
                <c:pt idx="305">
                  <c:v>1204011.266428258</c:v>
                </c:pt>
                <c:pt idx="306">
                  <c:v>1204588.4547747395</c:v>
                </c:pt>
                <c:pt idx="307">
                  <c:v>1205285.821409812</c:v>
                </c:pt>
                <c:pt idx="308">
                  <c:v>1209837.3190760382</c:v>
                </c:pt>
                <c:pt idx="309">
                  <c:v>1210380.8465591185</c:v>
                </c:pt>
                <c:pt idx="310">
                  <c:v>1210753.9043504789</c:v>
                </c:pt>
                <c:pt idx="311">
                  <c:v>1211291.1202658031</c:v>
                </c:pt>
                <c:pt idx="312">
                  <c:v>1211692.6708777144</c:v>
                </c:pt>
                <c:pt idx="313">
                  <c:v>1214816.0088652747</c:v>
                </c:pt>
                <c:pt idx="314">
                  <c:v>1218332.0826673736</c:v>
                </c:pt>
                <c:pt idx="315">
                  <c:v>1218541.8506745887</c:v>
                </c:pt>
                <c:pt idx="316">
                  <c:v>1221138.3263829392</c:v>
                </c:pt>
                <c:pt idx="317">
                  <c:v>1222653.2292346612</c:v>
                </c:pt>
                <c:pt idx="318">
                  <c:v>1225014.0078465058</c:v>
                </c:pt>
                <c:pt idx="319">
                  <c:v>1231683.1551703305</c:v>
                </c:pt>
                <c:pt idx="320">
                  <c:v>1236128.3287228867</c:v>
                </c:pt>
                <c:pt idx="321">
                  <c:v>1237110.5314102701</c:v>
                </c:pt>
                <c:pt idx="322">
                  <c:v>1249748.3394532802</c:v>
                </c:pt>
                <c:pt idx="323">
                  <c:v>1252368.7866863071</c:v>
                </c:pt>
                <c:pt idx="324">
                  <c:v>1253917.8843392348</c:v>
                </c:pt>
                <c:pt idx="325">
                  <c:v>1259955.6377903847</c:v>
                </c:pt>
                <c:pt idx="326">
                  <c:v>1260753.6756786874</c:v>
                </c:pt>
                <c:pt idx="327">
                  <c:v>1279594.516745751</c:v>
                </c:pt>
                <c:pt idx="328">
                  <c:v>1282495.5625387223</c:v>
                </c:pt>
                <c:pt idx="329">
                  <c:v>1284918.7531821234</c:v>
                </c:pt>
                <c:pt idx="330">
                  <c:v>1293038.2586648043</c:v>
                </c:pt>
                <c:pt idx="331">
                  <c:v>1298478.5861052659</c:v>
                </c:pt>
                <c:pt idx="332">
                  <c:v>1300323.9621183786</c:v>
                </c:pt>
                <c:pt idx="333">
                  <c:v>1303192.1087306929</c:v>
                </c:pt>
                <c:pt idx="334">
                  <c:v>1304181.4800992818</c:v>
                </c:pt>
                <c:pt idx="335">
                  <c:v>1305817.2721259282</c:v>
                </c:pt>
                <c:pt idx="336">
                  <c:v>1306106.8405380063</c:v>
                </c:pt>
                <c:pt idx="337">
                  <c:v>1307633.9595977943</c:v>
                </c:pt>
                <c:pt idx="338">
                  <c:v>1309432.3801431118</c:v>
                </c:pt>
                <c:pt idx="339">
                  <c:v>1309790.8909832265</c:v>
                </c:pt>
                <c:pt idx="340">
                  <c:v>1311651.2459285199</c:v>
                </c:pt>
                <c:pt idx="341">
                  <c:v>1312073.5655648077</c:v>
                </c:pt>
                <c:pt idx="342">
                  <c:v>1313275.8500128801</c:v>
                </c:pt>
                <c:pt idx="343">
                  <c:v>1313707.6612915115</c:v>
                </c:pt>
                <c:pt idx="344">
                  <c:v>1314896.0090341154</c:v>
                </c:pt>
                <c:pt idx="345">
                  <c:v>1315862.5288148066</c:v>
                </c:pt>
                <c:pt idx="346">
                  <c:v>1318608.4053333595</c:v>
                </c:pt>
                <c:pt idx="347">
                  <c:v>1319587.5069007289</c:v>
                </c:pt>
                <c:pt idx="348">
                  <c:v>1345064.814077568</c:v>
                </c:pt>
                <c:pt idx="349">
                  <c:v>1349886.4066041794</c:v>
                </c:pt>
                <c:pt idx="350">
                  <c:v>1353754.0651461356</c:v>
                </c:pt>
                <c:pt idx="351">
                  <c:v>1355064.8309941771</c:v>
                </c:pt>
                <c:pt idx="352">
                  <c:v>1366904.6947000197</c:v>
                </c:pt>
                <c:pt idx="353">
                  <c:v>1368377.8243069898</c:v>
                </c:pt>
                <c:pt idx="354">
                  <c:v>1371843.5390359892</c:v>
                </c:pt>
                <c:pt idx="355">
                  <c:v>1372652.3166211988</c:v>
                </c:pt>
                <c:pt idx="356">
                  <c:v>1373158.8411806389</c:v>
                </c:pt>
                <c:pt idx="357">
                  <c:v>1373469.3659542843</c:v>
                </c:pt>
                <c:pt idx="358">
                  <c:v>1374343.1664255422</c:v>
                </c:pt>
                <c:pt idx="359">
                  <c:v>1379104.1423181498</c:v>
                </c:pt>
                <c:pt idx="360">
                  <c:v>1381071.1604945899</c:v>
                </c:pt>
                <c:pt idx="361">
                  <c:v>1382090.581220092</c:v>
                </c:pt>
                <c:pt idx="362">
                  <c:v>1385966.655218605</c:v>
                </c:pt>
                <c:pt idx="363">
                  <c:v>1392431.7026315879</c:v>
                </c:pt>
                <c:pt idx="364">
                  <c:v>1399783.1850732088</c:v>
                </c:pt>
                <c:pt idx="365">
                  <c:v>1400856.3480700301</c:v>
                </c:pt>
                <c:pt idx="366">
                  <c:v>1402490.5342908306</c:v>
                </c:pt>
                <c:pt idx="367">
                  <c:v>1406323.6251137629</c:v>
                </c:pt>
                <c:pt idx="368">
                  <c:v>1409076.6325135627</c:v>
                </c:pt>
                <c:pt idx="369">
                  <c:v>1409335.6582319285</c:v>
                </c:pt>
                <c:pt idx="370">
                  <c:v>1431451.1630067143</c:v>
                </c:pt>
                <c:pt idx="371">
                  <c:v>1436201.4108125358</c:v>
                </c:pt>
                <c:pt idx="372">
                  <c:v>1439015.5763024897</c:v>
                </c:pt>
                <c:pt idx="373">
                  <c:v>1441899.9148271931</c:v>
                </c:pt>
                <c:pt idx="374">
                  <c:v>1444646.4136376574</c:v>
                </c:pt>
                <c:pt idx="375">
                  <c:v>1445471.7008239883</c:v>
                </c:pt>
                <c:pt idx="376">
                  <c:v>1448414.1136747363</c:v>
                </c:pt>
                <c:pt idx="377">
                  <c:v>1449011.0652902059</c:v>
                </c:pt>
                <c:pt idx="378">
                  <c:v>1456786.4766817873</c:v>
                </c:pt>
                <c:pt idx="379">
                  <c:v>1462298.8687663442</c:v>
                </c:pt>
                <c:pt idx="380">
                  <c:v>1463876.4468430181</c:v>
                </c:pt>
                <c:pt idx="381">
                  <c:v>1465751.0638162117</c:v>
                </c:pt>
                <c:pt idx="382">
                  <c:v>1466143.6047962515</c:v>
                </c:pt>
                <c:pt idx="383">
                  <c:v>1471401.0004978303</c:v>
                </c:pt>
                <c:pt idx="384">
                  <c:v>1472101.714217047</c:v>
                </c:pt>
                <c:pt idx="385">
                  <c:v>1475528.0754782914</c:v>
                </c:pt>
                <c:pt idx="386">
                  <c:v>1477990.0962511552</c:v>
                </c:pt>
                <c:pt idx="387">
                  <c:v>1479290.6903155053</c:v>
                </c:pt>
                <c:pt idx="388">
                  <c:v>1480015.7797484163</c:v>
                </c:pt>
                <c:pt idx="389">
                  <c:v>1483338.9882908917</c:v>
                </c:pt>
                <c:pt idx="390">
                  <c:v>1484657.4156120778</c:v>
                </c:pt>
                <c:pt idx="391">
                  <c:v>1486715.7609748424</c:v>
                </c:pt>
                <c:pt idx="392">
                  <c:v>1487079.8798053386</c:v>
                </c:pt>
                <c:pt idx="393">
                  <c:v>1487366.091915102</c:v>
                </c:pt>
                <c:pt idx="394">
                  <c:v>1488149.3382053131</c:v>
                </c:pt>
                <c:pt idx="395">
                  <c:v>1493070.8957624093</c:v>
                </c:pt>
                <c:pt idx="396">
                  <c:v>1497617.9421168142</c:v>
                </c:pt>
                <c:pt idx="397">
                  <c:v>1504497.5828032759</c:v>
                </c:pt>
                <c:pt idx="398">
                  <c:v>1506513.7950626346</c:v>
                </c:pt>
                <c:pt idx="399">
                  <c:v>1506557.2105789927</c:v>
                </c:pt>
                <c:pt idx="400">
                  <c:v>1508591.471733548</c:v>
                </c:pt>
                <c:pt idx="401">
                  <c:v>1508873.2544219729</c:v>
                </c:pt>
                <c:pt idx="402">
                  <c:v>1509567.8266202107</c:v>
                </c:pt>
                <c:pt idx="403">
                  <c:v>1514012.7589616159</c:v>
                </c:pt>
                <c:pt idx="404">
                  <c:v>1520273.662206114</c:v>
                </c:pt>
                <c:pt idx="405">
                  <c:v>1524681.2036258997</c:v>
                </c:pt>
                <c:pt idx="406">
                  <c:v>1526365.3234728999</c:v>
                </c:pt>
                <c:pt idx="407">
                  <c:v>1527032.7556260601</c:v>
                </c:pt>
                <c:pt idx="408">
                  <c:v>1527601.4463106582</c:v>
                </c:pt>
                <c:pt idx="409">
                  <c:v>1528071.0634686903</c:v>
                </c:pt>
                <c:pt idx="410">
                  <c:v>1536538.7980716699</c:v>
                </c:pt>
                <c:pt idx="411">
                  <c:v>1537595.6197139104</c:v>
                </c:pt>
                <c:pt idx="412">
                  <c:v>1537909.5186670953</c:v>
                </c:pt>
                <c:pt idx="413">
                  <c:v>1538789.2404424832</c:v>
                </c:pt>
                <c:pt idx="414">
                  <c:v>1539264.2712503355</c:v>
                </c:pt>
                <c:pt idx="415">
                  <c:v>1543411.1536800927</c:v>
                </c:pt>
                <c:pt idx="416">
                  <c:v>1550033.7063528823</c:v>
                </c:pt>
                <c:pt idx="417">
                  <c:v>1613647.2009641069</c:v>
                </c:pt>
                <c:pt idx="418">
                  <c:v>1614030.7335108886</c:v>
                </c:pt>
                <c:pt idx="419">
                  <c:v>1616317.2260576307</c:v>
                </c:pt>
                <c:pt idx="420">
                  <c:v>1619834.7965640801</c:v>
                </c:pt>
                <c:pt idx="421">
                  <c:v>1624800.2432237735</c:v>
                </c:pt>
                <c:pt idx="422">
                  <c:v>1627171.7747613899</c:v>
                </c:pt>
                <c:pt idx="423">
                  <c:v>1629613.7537879676</c:v>
                </c:pt>
                <c:pt idx="424">
                  <c:v>1636107.4559065818</c:v>
                </c:pt>
                <c:pt idx="425">
                  <c:v>1638264.0854851219</c:v>
                </c:pt>
                <c:pt idx="426">
                  <c:v>1638936.7932593641</c:v>
                </c:pt>
                <c:pt idx="427">
                  <c:v>1655425.355810378</c:v>
                </c:pt>
                <c:pt idx="428">
                  <c:v>1666763.9728966532</c:v>
                </c:pt>
                <c:pt idx="429">
                  <c:v>1667433.1980233749</c:v>
                </c:pt>
                <c:pt idx="430">
                  <c:v>1674845.9402163061</c:v>
                </c:pt>
                <c:pt idx="431">
                  <c:v>1680990.2262351348</c:v>
                </c:pt>
                <c:pt idx="432">
                  <c:v>1686917.6938796011</c:v>
                </c:pt>
                <c:pt idx="433">
                  <c:v>1688201.8423857517</c:v>
                </c:pt>
                <c:pt idx="434">
                  <c:v>1690864.6907863731</c:v>
                </c:pt>
                <c:pt idx="435">
                  <c:v>1691093.1364115397</c:v>
                </c:pt>
                <c:pt idx="436">
                  <c:v>1693246.0195270653</c:v>
                </c:pt>
                <c:pt idx="437">
                  <c:v>1697271.515250813</c:v>
                </c:pt>
                <c:pt idx="438">
                  <c:v>1698795.1800897177</c:v>
                </c:pt>
                <c:pt idx="439">
                  <c:v>1709446.7460579078</c:v>
                </c:pt>
                <c:pt idx="440">
                  <c:v>1714388.8807379308</c:v>
                </c:pt>
                <c:pt idx="441">
                  <c:v>1715738.1580144712</c:v>
                </c:pt>
                <c:pt idx="442">
                  <c:v>1716888.1063885167</c:v>
                </c:pt>
                <c:pt idx="443">
                  <c:v>1718399.2138810016</c:v>
                </c:pt>
                <c:pt idx="444">
                  <c:v>1718738.6900197128</c:v>
                </c:pt>
                <c:pt idx="445">
                  <c:v>1722326.5782260096</c:v>
                </c:pt>
                <c:pt idx="446">
                  <c:v>1724974.9804328508</c:v>
                </c:pt>
                <c:pt idx="447">
                  <c:v>1765753.3750189622</c:v>
                </c:pt>
                <c:pt idx="448">
                  <c:v>1766098.9778137545</c:v>
                </c:pt>
                <c:pt idx="449">
                  <c:v>1766508.288191526</c:v>
                </c:pt>
                <c:pt idx="450">
                  <c:v>1766656.7104738508</c:v>
                </c:pt>
                <c:pt idx="451">
                  <c:v>1771694.7430409603</c:v>
                </c:pt>
                <c:pt idx="452">
                  <c:v>1774250.9339934736</c:v>
                </c:pt>
                <c:pt idx="453">
                  <c:v>1781949.2537148409</c:v>
                </c:pt>
                <c:pt idx="454">
                  <c:v>1785915.0934886893</c:v>
                </c:pt>
                <c:pt idx="455">
                  <c:v>1789698.6700619475</c:v>
                </c:pt>
                <c:pt idx="456">
                  <c:v>1802243.2035235791</c:v>
                </c:pt>
                <c:pt idx="457">
                  <c:v>1805720.9000270257</c:v>
                </c:pt>
                <c:pt idx="458">
                  <c:v>1809426.1321240354</c:v>
                </c:pt>
                <c:pt idx="459">
                  <c:v>1821517.394839738</c:v>
                </c:pt>
                <c:pt idx="460">
                  <c:v>1823567.1085353775</c:v>
                </c:pt>
                <c:pt idx="461">
                  <c:v>1837935.9755542632</c:v>
                </c:pt>
                <c:pt idx="462">
                  <c:v>1840665.8532645162</c:v>
                </c:pt>
                <c:pt idx="463">
                  <c:v>1841947.7416890571</c:v>
                </c:pt>
                <c:pt idx="464">
                  <c:v>1843063.7394264911</c:v>
                </c:pt>
                <c:pt idx="465">
                  <c:v>1844489.5567590035</c:v>
                </c:pt>
                <c:pt idx="466">
                  <c:v>1844556.8337392907</c:v>
                </c:pt>
                <c:pt idx="467">
                  <c:v>1845197.656194316</c:v>
                </c:pt>
                <c:pt idx="468">
                  <c:v>1849084.1462507611</c:v>
                </c:pt>
                <c:pt idx="469">
                  <c:v>1852425.740425633</c:v>
                </c:pt>
                <c:pt idx="470">
                  <c:v>1860438.9030618004</c:v>
                </c:pt>
                <c:pt idx="471">
                  <c:v>1863092.8392056108</c:v>
                </c:pt>
                <c:pt idx="472">
                  <c:v>1880753.553862948</c:v>
                </c:pt>
                <c:pt idx="473">
                  <c:v>1881953.1005591366</c:v>
                </c:pt>
                <c:pt idx="474">
                  <c:v>1883866.1354234572</c:v>
                </c:pt>
                <c:pt idx="475">
                  <c:v>1886454.7650928551</c:v>
                </c:pt>
                <c:pt idx="476">
                  <c:v>1887699.3648631694</c:v>
                </c:pt>
                <c:pt idx="477">
                  <c:v>1889144.6142302977</c:v>
                </c:pt>
                <c:pt idx="478">
                  <c:v>1889455.5298807926</c:v>
                </c:pt>
                <c:pt idx="479">
                  <c:v>1893406.6125596187</c:v>
                </c:pt>
                <c:pt idx="480">
                  <c:v>1893950.8209305613</c:v>
                </c:pt>
                <c:pt idx="481">
                  <c:v>1896857.7510261743</c:v>
                </c:pt>
                <c:pt idx="482">
                  <c:v>1898012.749527619</c:v>
                </c:pt>
                <c:pt idx="483">
                  <c:v>1901502.5009962237</c:v>
                </c:pt>
                <c:pt idx="484">
                  <c:v>1902213.8910832063</c:v>
                </c:pt>
                <c:pt idx="485">
                  <c:v>1904669.5289230477</c:v>
                </c:pt>
                <c:pt idx="486">
                  <c:v>1906145.7796626789</c:v>
                </c:pt>
                <c:pt idx="487">
                  <c:v>1907448.7734511353</c:v>
                </c:pt>
                <c:pt idx="488">
                  <c:v>1914384.7430117284</c:v>
                </c:pt>
                <c:pt idx="489">
                  <c:v>1915035.6839113983</c:v>
                </c:pt>
                <c:pt idx="490">
                  <c:v>1917688.6486051171</c:v>
                </c:pt>
                <c:pt idx="491">
                  <c:v>1917934.5908100882</c:v>
                </c:pt>
                <c:pt idx="492">
                  <c:v>1919953.2615955772</c:v>
                </c:pt>
                <c:pt idx="493">
                  <c:v>1921507.9208906943</c:v>
                </c:pt>
                <c:pt idx="494">
                  <c:v>1927089.013216217</c:v>
                </c:pt>
                <c:pt idx="495">
                  <c:v>1928661.4583351233</c:v>
                </c:pt>
                <c:pt idx="496">
                  <c:v>1930543.4239529811</c:v>
                </c:pt>
                <c:pt idx="497">
                  <c:v>1932857.0532544572</c:v>
                </c:pt>
                <c:pt idx="498">
                  <c:v>1943687.5375281652</c:v>
                </c:pt>
                <c:pt idx="499">
                  <c:v>1945251.9445661604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744-469E-AFD1-829929B8B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929544"/>
        <c:axId val="829112328"/>
      </c:lineChart>
      <c:dateAx>
        <c:axId val="828929544"/>
        <c:scaling>
          <c:orientation val="minMax"/>
        </c:scaling>
        <c:delete val="0"/>
        <c:axPos val="b"/>
        <c:numFmt formatCode="m/d/yyyy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12328"/>
        <c:crosses val="autoZero"/>
        <c:auto val="1"/>
        <c:lblOffset val="100"/>
        <c:baseTimeUnit val="days"/>
        <c:minorUnit val="1"/>
        <c:minorTimeUnit val="months"/>
      </c:dateAx>
      <c:valAx>
        <c:axId val="82911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2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Standardization!$L$1</c:f>
              <c:strCache>
                <c:ptCount val="1"/>
                <c:pt idx="0">
                  <c:v>Unit Price - Median Standardization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Standardization!$J$2:$J$501</c:f>
              <c:numCache>
                <c:formatCode>0.00</c:formatCode>
                <c:ptCount val="500"/>
                <c:pt idx="0">
                  <c:v>1.4521483992536632</c:v>
                </c:pt>
                <c:pt idx="1">
                  <c:v>0.87348777659558363</c:v>
                </c:pt>
                <c:pt idx="2">
                  <c:v>1.3887483865491637</c:v>
                </c:pt>
                <c:pt idx="3">
                  <c:v>-0.69027320147907056</c:v>
                </c:pt>
                <c:pt idx="4">
                  <c:v>0.11843609891879808</c:v>
                </c:pt>
                <c:pt idx="5">
                  <c:v>3.0886842748762817E-2</c:v>
                </c:pt>
                <c:pt idx="6">
                  <c:v>-6.1304112214655537E-2</c:v>
                </c:pt>
                <c:pt idx="7">
                  <c:v>7.5010731473355213E-2</c:v>
                </c:pt>
                <c:pt idx="8">
                  <c:v>1.4916019422557727</c:v>
                </c:pt>
                <c:pt idx="9">
                  <c:v>-0.61381137491108595</c:v>
                </c:pt>
                <c:pt idx="10">
                  <c:v>0.74192627265324329</c:v>
                </c:pt>
                <c:pt idx="11">
                  <c:v>-3.4168796944393245E-2</c:v>
                </c:pt>
                <c:pt idx="12">
                  <c:v>0.2868125442640761</c:v>
                </c:pt>
                <c:pt idx="13">
                  <c:v>0.36036694606052266</c:v>
                </c:pt>
                <c:pt idx="14">
                  <c:v>-0.70068201358544702</c:v>
                </c:pt>
                <c:pt idx="15">
                  <c:v>-0.87293921135300245</c:v>
                </c:pt>
                <c:pt idx="16">
                  <c:v>-0.4172930428739916</c:v>
                </c:pt>
                <c:pt idx="17">
                  <c:v>0.11892741685670934</c:v>
                </c:pt>
                <c:pt idx="18">
                  <c:v>-0.592081973601426</c:v>
                </c:pt>
                <c:pt idx="19">
                  <c:v>0.10350565158924745</c:v>
                </c:pt>
                <c:pt idx="20">
                  <c:v>-2.3750318245715586E-2</c:v>
                </c:pt>
                <c:pt idx="21">
                  <c:v>0.25401918832884979</c:v>
                </c:pt>
                <c:pt idx="22">
                  <c:v>-0.4471692057315112</c:v>
                </c:pt>
                <c:pt idx="23">
                  <c:v>-0.21419144544156146</c:v>
                </c:pt>
                <c:pt idx="24">
                  <c:v>-0.28177737706840994</c:v>
                </c:pt>
                <c:pt idx="25">
                  <c:v>-0.73451080014076009</c:v>
                </c:pt>
                <c:pt idx="26">
                  <c:v>0.34479128360151967</c:v>
                </c:pt>
                <c:pt idx="27">
                  <c:v>0.76517367909713063</c:v>
                </c:pt>
                <c:pt idx="28">
                  <c:v>-6.4062386783230993E-2</c:v>
                </c:pt>
                <c:pt idx="29">
                  <c:v>-0.56269164329034571</c:v>
                </c:pt>
                <c:pt idx="30">
                  <c:v>1.3974483050090347</c:v>
                </c:pt>
                <c:pt idx="31">
                  <c:v>0.34253649207136105</c:v>
                </c:pt>
                <c:pt idx="32">
                  <c:v>-0.67338105498580514</c:v>
                </c:pt>
                <c:pt idx="33">
                  <c:v>-0.9810448664940683</c:v>
                </c:pt>
                <c:pt idx="34">
                  <c:v>0.19251024854769525</c:v>
                </c:pt>
                <c:pt idx="35">
                  <c:v>0.83014206707629634</c:v>
                </c:pt>
                <c:pt idx="36">
                  <c:v>-0.66128298322721735</c:v>
                </c:pt>
                <c:pt idx="37">
                  <c:v>0.92399096037658424</c:v>
                </c:pt>
                <c:pt idx="38">
                  <c:v>-0.35835252465786682</c:v>
                </c:pt>
                <c:pt idx="39">
                  <c:v>-0.40361262165732043</c:v>
                </c:pt>
                <c:pt idx="40">
                  <c:v>0.79037752770341418</c:v>
                </c:pt>
                <c:pt idx="41">
                  <c:v>-0.61307912387551033</c:v>
                </c:pt>
                <c:pt idx="42">
                  <c:v>0.99821228621703717</c:v>
                </c:pt>
                <c:pt idx="43">
                  <c:v>1.3050700886010325</c:v>
                </c:pt>
                <c:pt idx="44">
                  <c:v>0.91233795936932083</c:v>
                </c:pt>
                <c:pt idx="45">
                  <c:v>0.114026140673406</c:v>
                </c:pt>
                <c:pt idx="46">
                  <c:v>-0.63014027540691964</c:v>
                </c:pt>
                <c:pt idx="47">
                  <c:v>2.9190261493541207</c:v>
                </c:pt>
                <c:pt idx="48">
                  <c:v>-1.1327345374784028</c:v>
                </c:pt>
                <c:pt idx="49">
                  <c:v>0.96891365805609964</c:v>
                </c:pt>
                <c:pt idx="50">
                  <c:v>-1.1174092796774706</c:v>
                </c:pt>
                <c:pt idx="51">
                  <c:v>-1.2851594131297215</c:v>
                </c:pt>
                <c:pt idx="52">
                  <c:v>0.33167915841242968</c:v>
                </c:pt>
                <c:pt idx="53">
                  <c:v>-4.3772126789816658E-2</c:v>
                </c:pt>
                <c:pt idx="54">
                  <c:v>0.32798044905179696</c:v>
                </c:pt>
                <c:pt idx="55">
                  <c:v>-1.1482665732453632</c:v>
                </c:pt>
                <c:pt idx="56">
                  <c:v>-0.77109409434092091</c:v>
                </c:pt>
                <c:pt idx="57">
                  <c:v>8.9767211329474152E-3</c:v>
                </c:pt>
                <c:pt idx="58">
                  <c:v>-0.46289153941765465</c:v>
                </c:pt>
                <c:pt idx="59">
                  <c:v>0.19766986340815795</c:v>
                </c:pt>
                <c:pt idx="60">
                  <c:v>1.0641699017821742</c:v>
                </c:pt>
                <c:pt idx="61">
                  <c:v>2.4759381564359629E-2</c:v>
                </c:pt>
                <c:pt idx="62">
                  <c:v>0.5602119538522693</c:v>
                </c:pt>
                <c:pt idx="63">
                  <c:v>0.49777069902421439</c:v>
                </c:pt>
                <c:pt idx="64">
                  <c:v>-0.67246606499425832</c:v>
                </c:pt>
                <c:pt idx="65">
                  <c:v>-0.11674227926651722</c:v>
                </c:pt>
                <c:pt idx="66">
                  <c:v>9.0113033993272459E-2</c:v>
                </c:pt>
                <c:pt idx="67">
                  <c:v>0.59709448219202854</c:v>
                </c:pt>
                <c:pt idx="68">
                  <c:v>0.87702740917384692</c:v>
                </c:pt>
                <c:pt idx="69">
                  <c:v>6.8608186589397352E-2</c:v>
                </c:pt>
                <c:pt idx="70">
                  <c:v>-0.88435955162105884</c:v>
                </c:pt>
                <c:pt idx="71">
                  <c:v>1.016415575124028</c:v>
                </c:pt>
                <c:pt idx="72">
                  <c:v>1.1696076580139425</c:v>
                </c:pt>
                <c:pt idx="73">
                  <c:v>1.6201411406419337</c:v>
                </c:pt>
                <c:pt idx="74">
                  <c:v>1.1406202703249011</c:v>
                </c:pt>
                <c:pt idx="75">
                  <c:v>0.7948242669501201</c:v>
                </c:pt>
                <c:pt idx="76">
                  <c:v>-0.44379081965680428</c:v>
                </c:pt>
                <c:pt idx="77">
                  <c:v>0.40661709532612617</c:v>
                </c:pt>
                <c:pt idx="78">
                  <c:v>1.6287039531089944</c:v>
                </c:pt>
                <c:pt idx="79">
                  <c:v>0.97340550488692001</c:v>
                </c:pt>
                <c:pt idx="80">
                  <c:v>1.422024661772864</c:v>
                </c:pt>
                <c:pt idx="81">
                  <c:v>-0.45998671428281929</c:v>
                </c:pt>
                <c:pt idx="82">
                  <c:v>-0.73403324735441922</c:v>
                </c:pt>
                <c:pt idx="83">
                  <c:v>0.76052620515890068</c:v>
                </c:pt>
                <c:pt idx="84">
                  <c:v>1.021648463368692</c:v>
                </c:pt>
                <c:pt idx="85">
                  <c:v>0.10087082077354</c:v>
                </c:pt>
                <c:pt idx="86">
                  <c:v>-8.7733699182868816E-2</c:v>
                </c:pt>
                <c:pt idx="87">
                  <c:v>-0.75519787360275192</c:v>
                </c:pt>
                <c:pt idx="88">
                  <c:v>-0.37216048428815418</c:v>
                </c:pt>
                <c:pt idx="89">
                  <c:v>-0.26816947095651644</c:v>
                </c:pt>
                <c:pt idx="90">
                  <c:v>0.59604870784067121</c:v>
                </c:pt>
                <c:pt idx="91">
                  <c:v>-0.57425100880009083</c:v>
                </c:pt>
                <c:pt idx="92">
                  <c:v>-0.67096867741608746</c:v>
                </c:pt>
                <c:pt idx="93">
                  <c:v>-4.033415432165182E-2</c:v>
                </c:pt>
                <c:pt idx="94">
                  <c:v>0.42609888647494293</c:v>
                </c:pt>
                <c:pt idx="95">
                  <c:v>0.64641448119888489</c:v>
                </c:pt>
                <c:pt idx="96">
                  <c:v>-4.9272520533156651E-2</c:v>
                </c:pt>
                <c:pt idx="97">
                  <c:v>3.8251901855109398E-2</c:v>
                </c:pt>
                <c:pt idx="98">
                  <c:v>-0.75610989531816752</c:v>
                </c:pt>
                <c:pt idx="99">
                  <c:v>-0.18292667557500944</c:v>
                </c:pt>
                <c:pt idx="100">
                  <c:v>-1.438189299205064</c:v>
                </c:pt>
                <c:pt idx="101">
                  <c:v>0.12146847852347151</c:v>
                </c:pt>
                <c:pt idx="102">
                  <c:v>1.0215915528950203</c:v>
                </c:pt>
                <c:pt idx="103">
                  <c:v>-0.15965188100184088</c:v>
                </c:pt>
                <c:pt idx="104">
                  <c:v>0.2273714002683199</c:v>
                </c:pt>
                <c:pt idx="105">
                  <c:v>-0.82644122377192342</c:v>
                </c:pt>
                <c:pt idx="106">
                  <c:v>0.17455604945903511</c:v>
                </c:pt>
                <c:pt idx="107">
                  <c:v>-0.58735924348176616</c:v>
                </c:pt>
                <c:pt idx="108">
                  <c:v>0.3699717748079116</c:v>
                </c:pt>
                <c:pt idx="109">
                  <c:v>-0.23123776984372846</c:v>
                </c:pt>
                <c:pt idx="110">
                  <c:v>0.20432940923226484</c:v>
                </c:pt>
                <c:pt idx="111">
                  <c:v>1.0189795845427119</c:v>
                </c:pt>
                <c:pt idx="112">
                  <c:v>0.30875044199621621</c:v>
                </c:pt>
                <c:pt idx="113">
                  <c:v>-1.9254093447401935E-2</c:v>
                </c:pt>
                <c:pt idx="114">
                  <c:v>0.2958665660091529</c:v>
                </c:pt>
                <c:pt idx="115">
                  <c:v>-0.36891431424757809</c:v>
                </c:pt>
                <c:pt idx="116">
                  <c:v>-0.42433419517119558</c:v>
                </c:pt>
                <c:pt idx="117">
                  <c:v>-0.2834869307441652</c:v>
                </c:pt>
                <c:pt idx="118">
                  <c:v>-0.65302956880966301</c:v>
                </c:pt>
                <c:pt idx="119">
                  <c:v>-0.90399953607601125</c:v>
                </c:pt>
                <c:pt idx="120">
                  <c:v>-0.40932283820996501</c:v>
                </c:pt>
                <c:pt idx="121">
                  <c:v>-0.63351002827382985</c:v>
                </c:pt>
                <c:pt idx="122">
                  <c:v>-1.184376934486731</c:v>
                </c:pt>
                <c:pt idx="123">
                  <c:v>0.7724463493375251</c:v>
                </c:pt>
                <c:pt idx="124">
                  <c:v>-0.94014539173223499</c:v>
                </c:pt>
                <c:pt idx="125">
                  <c:v>0.91024689851378815</c:v>
                </c:pt>
                <c:pt idx="126">
                  <c:v>0.19718850780452635</c:v>
                </c:pt>
                <c:pt idx="127">
                  <c:v>3.9616294874299976E-2</c:v>
                </c:pt>
                <c:pt idx="128">
                  <c:v>0.26095837801439076</c:v>
                </c:pt>
                <c:pt idx="129">
                  <c:v>1.224878379916637</c:v>
                </c:pt>
                <c:pt idx="130">
                  <c:v>3.0433471981158377E-2</c:v>
                </c:pt>
                <c:pt idx="131">
                  <c:v>1.5406446608495041</c:v>
                </c:pt>
                <c:pt idx="132">
                  <c:v>-8.5210747157199562E-2</c:v>
                </c:pt>
                <c:pt idx="133">
                  <c:v>-8.833855307467528E-2</c:v>
                </c:pt>
                <c:pt idx="134">
                  <c:v>0.5800649353384737</c:v>
                </c:pt>
                <c:pt idx="135">
                  <c:v>-1.0171208906058227</c:v>
                </c:pt>
                <c:pt idx="136">
                  <c:v>-0.59135756562359099</c:v>
                </c:pt>
                <c:pt idx="137">
                  <c:v>-0.67591617862140752</c:v>
                </c:pt>
                <c:pt idx="138">
                  <c:v>-1.204594514342642</c:v>
                </c:pt>
                <c:pt idx="139">
                  <c:v>-0.63172216065784903</c:v>
                </c:pt>
                <c:pt idx="140">
                  <c:v>-0.1984126778326315</c:v>
                </c:pt>
                <c:pt idx="141">
                  <c:v>0.93840965514307106</c:v>
                </c:pt>
                <c:pt idx="142">
                  <c:v>-0.81304353442947952</c:v>
                </c:pt>
                <c:pt idx="143">
                  <c:v>-0.4781299102338798</c:v>
                </c:pt>
                <c:pt idx="144">
                  <c:v>-0.21974501128668689</c:v>
                </c:pt>
                <c:pt idx="145">
                  <c:v>0.84708851152337339</c:v>
                </c:pt>
                <c:pt idx="146">
                  <c:v>0.13234545580717391</c:v>
                </c:pt>
                <c:pt idx="147">
                  <c:v>-0.15154891965088862</c:v>
                </c:pt>
                <c:pt idx="148">
                  <c:v>-0.8060631523758125</c:v>
                </c:pt>
                <c:pt idx="149">
                  <c:v>2.51485283245928</c:v>
                </c:pt>
                <c:pt idx="150">
                  <c:v>-0.5337211762765498</c:v>
                </c:pt>
                <c:pt idx="151">
                  <c:v>0.22503955903993134</c:v>
                </c:pt>
                <c:pt idx="152">
                  <c:v>-0.38366529479968153</c:v>
                </c:pt>
                <c:pt idx="153">
                  <c:v>7.919896427098097E-2</c:v>
                </c:pt>
                <c:pt idx="154">
                  <c:v>-0.33503252614881129</c:v>
                </c:pt>
                <c:pt idx="155">
                  <c:v>-0.14624887334591402</c:v>
                </c:pt>
                <c:pt idx="156">
                  <c:v>1.8312701756086902</c:v>
                </c:pt>
                <c:pt idx="157">
                  <c:v>-0.2620820576638424</c:v>
                </c:pt>
                <c:pt idx="158">
                  <c:v>-0.15936633565491157</c:v>
                </c:pt>
                <c:pt idx="159">
                  <c:v>-0.95158606060243978</c:v>
                </c:pt>
                <c:pt idx="160">
                  <c:v>2.3584252503567193</c:v>
                </c:pt>
                <c:pt idx="161">
                  <c:v>-0.11447230013677402</c:v>
                </c:pt>
                <c:pt idx="162">
                  <c:v>-0.64729271937299104</c:v>
                </c:pt>
                <c:pt idx="163">
                  <c:v>0.28012979652723891</c:v>
                </c:pt>
                <c:pt idx="164">
                  <c:v>1.0492364275756677E-2</c:v>
                </c:pt>
                <c:pt idx="165">
                  <c:v>-1.2372118480366039</c:v>
                </c:pt>
                <c:pt idx="166">
                  <c:v>0.7174252446650905</c:v>
                </c:pt>
                <c:pt idx="167">
                  <c:v>0.16436716309330404</c:v>
                </c:pt>
                <c:pt idx="168">
                  <c:v>-0.35752166596161417</c:v>
                </c:pt>
                <c:pt idx="169">
                  <c:v>1.6748190404134637</c:v>
                </c:pt>
                <c:pt idx="170">
                  <c:v>-6.0283534904029101E-2</c:v>
                </c:pt>
                <c:pt idx="171">
                  <c:v>1.0233561716125781</c:v>
                </c:pt>
                <c:pt idx="172">
                  <c:v>-0.46643613329577216</c:v>
                </c:pt>
                <c:pt idx="173">
                  <c:v>7.7265930625725454E-2</c:v>
                </c:pt>
                <c:pt idx="174">
                  <c:v>0.32141723621841606</c:v>
                </c:pt>
                <c:pt idx="175">
                  <c:v>0.22299578568088319</c:v>
                </c:pt>
                <c:pt idx="176">
                  <c:v>-0.21210315194088347</c:v>
                </c:pt>
                <c:pt idx="177">
                  <c:v>0.72484610109032233</c:v>
                </c:pt>
                <c:pt idx="178">
                  <c:v>-0.16478753159809278</c:v>
                </c:pt>
                <c:pt idx="179">
                  <c:v>-0.20027185566952316</c:v>
                </c:pt>
                <c:pt idx="180">
                  <c:v>-0.66544549993742108</c:v>
                </c:pt>
                <c:pt idx="181">
                  <c:v>-0.18022446411500045</c:v>
                </c:pt>
                <c:pt idx="182">
                  <c:v>-0.40356098622961595</c:v>
                </c:pt>
                <c:pt idx="183">
                  <c:v>-2.1459454051908595E-2</c:v>
                </c:pt>
                <c:pt idx="184">
                  <c:v>-0.67838814983289175</c:v>
                </c:pt>
                <c:pt idx="185">
                  <c:v>0.38527045776937369</c:v>
                </c:pt>
                <c:pt idx="186">
                  <c:v>1.6838900145882241</c:v>
                </c:pt>
                <c:pt idx="187">
                  <c:v>0.19790551935455242</c:v>
                </c:pt>
                <c:pt idx="188">
                  <c:v>-0.28552686841474995</c:v>
                </c:pt>
                <c:pt idx="189">
                  <c:v>-1.1493104745842155</c:v>
                </c:pt>
                <c:pt idx="190">
                  <c:v>0.88920212709935043</c:v>
                </c:pt>
                <c:pt idx="191">
                  <c:v>-0.79278782869514619</c:v>
                </c:pt>
                <c:pt idx="192">
                  <c:v>-2.1843534511393091E-3</c:v>
                </c:pt>
                <c:pt idx="193">
                  <c:v>-0.70267821003443443</c:v>
                </c:pt>
                <c:pt idx="194">
                  <c:v>-0.34385670547506664</c:v>
                </c:pt>
                <c:pt idx="195">
                  <c:v>0.65854306143156671</c:v>
                </c:pt>
                <c:pt idx="196">
                  <c:v>0.50475618018133661</c:v>
                </c:pt>
                <c:pt idx="197">
                  <c:v>0.59968793693575029</c:v>
                </c:pt>
                <c:pt idx="198">
                  <c:v>0.4128649408993138</c:v>
                </c:pt>
                <c:pt idx="199">
                  <c:v>-0.81013354532597903</c:v>
                </c:pt>
                <c:pt idx="200">
                  <c:v>-0.65977252522863938</c:v>
                </c:pt>
                <c:pt idx="201">
                  <c:v>-0.5853111923231008</c:v>
                </c:pt>
                <c:pt idx="202">
                  <c:v>-1.3026739737921591</c:v>
                </c:pt>
                <c:pt idx="203">
                  <c:v>-0.13981862205803625</c:v>
                </c:pt>
                <c:pt idx="204">
                  <c:v>-0.33104607332203417</c:v>
                </c:pt>
                <c:pt idx="205">
                  <c:v>-0.4614902214495693</c:v>
                </c:pt>
                <c:pt idx="206">
                  <c:v>0.57904755595675039</c:v>
                </c:pt>
                <c:pt idx="207">
                  <c:v>-0.22467538017221261</c:v>
                </c:pt>
                <c:pt idx="208">
                  <c:v>-0.88583114059722956</c:v>
                </c:pt>
                <c:pt idx="209">
                  <c:v>-0.87892427506408677</c:v>
                </c:pt>
                <c:pt idx="210">
                  <c:v>2.6784986001862467</c:v>
                </c:pt>
                <c:pt idx="211">
                  <c:v>0.8596166984574003</c:v>
                </c:pt>
                <c:pt idx="212">
                  <c:v>0.74034755336803537</c:v>
                </c:pt>
                <c:pt idx="213">
                  <c:v>-0.80112419760882392</c:v>
                </c:pt>
                <c:pt idx="214">
                  <c:v>0.57562233370308369</c:v>
                </c:pt>
                <c:pt idx="215">
                  <c:v>-0.99363797662216613</c:v>
                </c:pt>
                <c:pt idx="216">
                  <c:v>1.783282045653267</c:v>
                </c:pt>
                <c:pt idx="217">
                  <c:v>0.58267724709624558</c:v>
                </c:pt>
                <c:pt idx="218">
                  <c:v>1.3141124911269806</c:v>
                </c:pt>
                <c:pt idx="219">
                  <c:v>0.46885994184726859</c:v>
                </c:pt>
                <c:pt idx="220">
                  <c:v>0.62149139276020138</c:v>
                </c:pt>
                <c:pt idx="221">
                  <c:v>-4.4413127241873303E-2</c:v>
                </c:pt>
                <c:pt idx="222">
                  <c:v>-0.77804802359373604</c:v>
                </c:pt>
                <c:pt idx="223">
                  <c:v>5.5617739276745973E-2</c:v>
                </c:pt>
                <c:pt idx="224">
                  <c:v>0.25549215029652889</c:v>
                </c:pt>
                <c:pt idx="225">
                  <c:v>-0.72991648766893535</c:v>
                </c:pt>
                <c:pt idx="226">
                  <c:v>-0.26121833341074729</c:v>
                </c:pt>
                <c:pt idx="227">
                  <c:v>-1.1688651248782309</c:v>
                </c:pt>
                <c:pt idx="228">
                  <c:v>-0.57780113684989165</c:v>
                </c:pt>
                <c:pt idx="229">
                  <c:v>2.5147409382785768</c:v>
                </c:pt>
                <c:pt idx="230">
                  <c:v>0.71724615256479851</c:v>
                </c:pt>
                <c:pt idx="231">
                  <c:v>-0.18510934742029683</c:v>
                </c:pt>
                <c:pt idx="232">
                  <c:v>3.4087365188017436E-2</c:v>
                </c:pt>
                <c:pt idx="233">
                  <c:v>-3.034416393737065E-2</c:v>
                </c:pt>
                <c:pt idx="234">
                  <c:v>1.8673170755082882</c:v>
                </c:pt>
                <c:pt idx="235">
                  <c:v>0.6882308132688677</c:v>
                </c:pt>
                <c:pt idx="236">
                  <c:v>-7.6490672913607033E-2</c:v>
                </c:pt>
                <c:pt idx="237">
                  <c:v>-0.95285001539063618</c:v>
                </c:pt>
                <c:pt idx="238">
                  <c:v>8.7060466483856264E-2</c:v>
                </c:pt>
                <c:pt idx="239">
                  <c:v>0.30528443846910946</c:v>
                </c:pt>
                <c:pt idx="240">
                  <c:v>1.0319364402969848</c:v>
                </c:pt>
                <c:pt idx="241">
                  <c:v>-0.34788922887750939</c:v>
                </c:pt>
                <c:pt idx="242">
                  <c:v>-0.73728441169098147</c:v>
                </c:pt>
                <c:pt idx="243">
                  <c:v>-0.7671068125187871</c:v>
                </c:pt>
                <c:pt idx="244">
                  <c:v>-0.14028781432638743</c:v>
                </c:pt>
                <c:pt idx="245">
                  <c:v>-0.37618702517415048</c:v>
                </c:pt>
                <c:pt idx="246">
                  <c:v>0.14662052865329722</c:v>
                </c:pt>
                <c:pt idx="247">
                  <c:v>0.1993017497782355</c:v>
                </c:pt>
                <c:pt idx="248">
                  <c:v>1.2361535888181732</c:v>
                </c:pt>
                <c:pt idx="249">
                  <c:v>0.53765815973244435</c:v>
                </c:pt>
                <c:pt idx="250">
                  <c:v>-1.2595960443170833</c:v>
                </c:pt>
                <c:pt idx="251">
                  <c:v>0.30283240860833144</c:v>
                </c:pt>
                <c:pt idx="252">
                  <c:v>0.71309566323468365</c:v>
                </c:pt>
                <c:pt idx="253">
                  <c:v>0.55355097926896057</c:v>
                </c:pt>
                <c:pt idx="254">
                  <c:v>1.4467046461720585</c:v>
                </c:pt>
                <c:pt idx="255">
                  <c:v>-0.13730277419832834</c:v>
                </c:pt>
                <c:pt idx="256">
                  <c:v>0.91513490949229559</c:v>
                </c:pt>
                <c:pt idx="257">
                  <c:v>-0.78051156131667487</c:v>
                </c:pt>
                <c:pt idx="258">
                  <c:v>1.0141706240833275</c:v>
                </c:pt>
                <c:pt idx="259">
                  <c:v>-5.1918124836213705E-2</c:v>
                </c:pt>
                <c:pt idx="260">
                  <c:v>-1.0599515995659647</c:v>
                </c:pt>
                <c:pt idx="261">
                  <c:v>-0.63912204582009691</c:v>
                </c:pt>
                <c:pt idx="262">
                  <c:v>1.4872939701468375</c:v>
                </c:pt>
                <c:pt idx="263">
                  <c:v>-0.36322146578547793</c:v>
                </c:pt>
                <c:pt idx="264">
                  <c:v>1.3581363466379299</c:v>
                </c:pt>
                <c:pt idx="265">
                  <c:v>-0.23772000935448825</c:v>
                </c:pt>
                <c:pt idx="266">
                  <c:v>0.68689779693498876</c:v>
                </c:pt>
                <c:pt idx="267">
                  <c:v>1.1191075731009044</c:v>
                </c:pt>
                <c:pt idx="268">
                  <c:v>-7.7118940619361656E-2</c:v>
                </c:pt>
                <c:pt idx="269">
                  <c:v>-0.54605650763700797</c:v>
                </c:pt>
                <c:pt idx="270">
                  <c:v>0.57834114474544029</c:v>
                </c:pt>
                <c:pt idx="271">
                  <c:v>0.27678853216042842</c:v>
                </c:pt>
                <c:pt idx="272">
                  <c:v>0.52813502853385652</c:v>
                </c:pt>
                <c:pt idx="273">
                  <c:v>0.64741885271138089</c:v>
                </c:pt>
                <c:pt idx="274">
                  <c:v>0.28336531417038974</c:v>
                </c:pt>
                <c:pt idx="275">
                  <c:v>-0.73334785200919839</c:v>
                </c:pt>
                <c:pt idx="276">
                  <c:v>-8.6268210956403097E-3</c:v>
                </c:pt>
                <c:pt idx="277">
                  <c:v>-0.20095334073235396</c:v>
                </c:pt>
                <c:pt idx="278">
                  <c:v>0.15637454378820778</c:v>
                </c:pt>
                <c:pt idx="279">
                  <c:v>0.15377392354810765</c:v>
                </c:pt>
                <c:pt idx="280">
                  <c:v>-0.18358874757098539</c:v>
                </c:pt>
                <c:pt idx="281">
                  <c:v>-0.30634884436314364</c:v>
                </c:pt>
                <c:pt idx="282">
                  <c:v>0.98579249879128383</c:v>
                </c:pt>
                <c:pt idx="283">
                  <c:v>-0.3144898845054413</c:v>
                </c:pt>
                <c:pt idx="284">
                  <c:v>0.36589352669689634</c:v>
                </c:pt>
                <c:pt idx="285">
                  <c:v>0.36054460585180154</c:v>
                </c:pt>
                <c:pt idx="286">
                  <c:v>-0.47233493751178252</c:v>
                </c:pt>
                <c:pt idx="287">
                  <c:v>0.29680513406545145</c:v>
                </c:pt>
                <c:pt idx="288">
                  <c:v>0.36799678303357303</c:v>
                </c:pt>
                <c:pt idx="289">
                  <c:v>-0.35360516863885522</c:v>
                </c:pt>
                <c:pt idx="290">
                  <c:v>2.3624963640543521</c:v>
                </c:pt>
                <c:pt idx="291">
                  <c:v>2.5620034385271169E-2</c:v>
                </c:pt>
                <c:pt idx="292">
                  <c:v>2.0350139182425884</c:v>
                </c:pt>
                <c:pt idx="293">
                  <c:v>0.31650923491062943</c:v>
                </c:pt>
                <c:pt idx="294">
                  <c:v>1.4053539187644228</c:v>
                </c:pt>
                <c:pt idx="295">
                  <c:v>0.17158456854925966</c:v>
                </c:pt>
                <c:pt idx="296">
                  <c:v>-1.1980514330612648</c:v>
                </c:pt>
                <c:pt idx="297">
                  <c:v>0.32568448449582699</c:v>
                </c:pt>
                <c:pt idx="298">
                  <c:v>-0.67428029043607995</c:v>
                </c:pt>
                <c:pt idx="299">
                  <c:v>-0.28420480558236488</c:v>
                </c:pt>
                <c:pt idx="300">
                  <c:v>0.40080547373422792</c:v>
                </c:pt>
                <c:pt idx="301">
                  <c:v>0.28478255938400787</c:v>
                </c:pt>
                <c:pt idx="302">
                  <c:v>1.8082789972414943</c:v>
                </c:pt>
                <c:pt idx="303">
                  <c:v>0.21687274462782957</c:v>
                </c:pt>
                <c:pt idx="304">
                  <c:v>0.12401641622987747</c:v>
                </c:pt>
                <c:pt idx="305">
                  <c:v>0.18351620489174886</c:v>
                </c:pt>
                <c:pt idx="306">
                  <c:v>5.1353338184922076E-2</c:v>
                </c:pt>
                <c:pt idx="307">
                  <c:v>-0.86100694796719346</c:v>
                </c:pt>
                <c:pt idx="308">
                  <c:v>1.0626191880869933</c:v>
                </c:pt>
                <c:pt idx="309">
                  <c:v>-0.93608266070218826</c:v>
                </c:pt>
                <c:pt idx="310">
                  <c:v>0.31855646867285853</c:v>
                </c:pt>
                <c:pt idx="311">
                  <c:v>0.48358380482900337</c:v>
                </c:pt>
                <c:pt idx="312">
                  <c:v>0.34322337305012396</c:v>
                </c:pt>
                <c:pt idx="313">
                  <c:v>-0.19666905472654847</c:v>
                </c:pt>
                <c:pt idx="314">
                  <c:v>-0.56967301514050606</c:v>
                </c:pt>
                <c:pt idx="315">
                  <c:v>0.94906109726320587</c:v>
                </c:pt>
                <c:pt idx="316">
                  <c:v>0.56453106728844804</c:v>
                </c:pt>
                <c:pt idx="317">
                  <c:v>0.7526322262722277</c:v>
                </c:pt>
                <c:pt idx="318">
                  <c:v>1.8560405989479591</c:v>
                </c:pt>
                <c:pt idx="319">
                  <c:v>1.5565053270353519</c:v>
                </c:pt>
                <c:pt idx="320">
                  <c:v>-0.87435539277532381</c:v>
                </c:pt>
                <c:pt idx="321">
                  <c:v>-0.41018571123125447</c:v>
                </c:pt>
                <c:pt idx="322">
                  <c:v>0.68520145741235805</c:v>
                </c:pt>
                <c:pt idx="323">
                  <c:v>2.9687922791171815</c:v>
                </c:pt>
                <c:pt idx="324">
                  <c:v>0.28009548702319775</c:v>
                </c:pt>
                <c:pt idx="325">
                  <c:v>-0.68020680037082271</c:v>
                </c:pt>
                <c:pt idx="326">
                  <c:v>-0.29233052616227878</c:v>
                </c:pt>
                <c:pt idx="327">
                  <c:v>-0.43183738134550526</c:v>
                </c:pt>
                <c:pt idx="328">
                  <c:v>-0.32364142529714823</c:v>
                </c:pt>
                <c:pt idx="329">
                  <c:v>0.79370290187224002</c:v>
                </c:pt>
                <c:pt idx="330">
                  <c:v>0.74125989529099834</c:v>
                </c:pt>
                <c:pt idx="331">
                  <c:v>0.98272933432100351</c:v>
                </c:pt>
                <c:pt idx="332">
                  <c:v>-0.3777830344368614</c:v>
                </c:pt>
                <c:pt idx="333">
                  <c:v>-0.28879295897986768</c:v>
                </c:pt>
                <c:pt idx="334">
                  <c:v>-8.0092759080026762E-2</c:v>
                </c:pt>
                <c:pt idx="335">
                  <c:v>-0.27055536866844998</c:v>
                </c:pt>
                <c:pt idx="336">
                  <c:v>-0.24653610760615588</c:v>
                </c:pt>
                <c:pt idx="337">
                  <c:v>-1.1679469308188499</c:v>
                </c:pt>
                <c:pt idx="338">
                  <c:v>-0.13594545737552902</c:v>
                </c:pt>
                <c:pt idx="339">
                  <c:v>1.0412790346144891</c:v>
                </c:pt>
                <c:pt idx="340">
                  <c:v>-0.77356199585173957</c:v>
                </c:pt>
                <c:pt idx="341">
                  <c:v>0.55851592857596521</c:v>
                </c:pt>
                <c:pt idx="342">
                  <c:v>-0.36037176032506696</c:v>
                </c:pt>
                <c:pt idx="343">
                  <c:v>0.34255271530094683</c:v>
                </c:pt>
                <c:pt idx="344">
                  <c:v>0.27796979333195826</c:v>
                </c:pt>
                <c:pt idx="345">
                  <c:v>-0.69516176262735319</c:v>
                </c:pt>
                <c:pt idx="346">
                  <c:v>1.039363358079302</c:v>
                </c:pt>
                <c:pt idx="347">
                  <c:v>1.1433710685264695</c:v>
                </c:pt>
                <c:pt idx="348">
                  <c:v>-0.7796725726150816</c:v>
                </c:pt>
                <c:pt idx="349">
                  <c:v>-0.16107691347363076</c:v>
                </c:pt>
                <c:pt idx="350">
                  <c:v>3.6223840820880836E-4</c:v>
                </c:pt>
                <c:pt idx="351">
                  <c:v>-5.0249466253823385E-2</c:v>
                </c:pt>
                <c:pt idx="352">
                  <c:v>-0.74483831158896752</c:v>
                </c:pt>
                <c:pt idx="353">
                  <c:v>-1.1322755085732443</c:v>
                </c:pt>
                <c:pt idx="354">
                  <c:v>-1.8493535556973126E-2</c:v>
                </c:pt>
                <c:pt idx="355">
                  <c:v>3.7326381777692546</c:v>
                </c:pt>
                <c:pt idx="356">
                  <c:v>-1.1047051033874919</c:v>
                </c:pt>
                <c:pt idx="357">
                  <c:v>-0.47561322986969023</c:v>
                </c:pt>
                <c:pt idx="358">
                  <c:v>-8.3313420893538992E-2</c:v>
                </c:pt>
                <c:pt idx="359">
                  <c:v>-0.7198713039479343</c:v>
                </c:pt>
                <c:pt idx="360">
                  <c:v>-0.44647233651730062</c:v>
                </c:pt>
                <c:pt idx="361">
                  <c:v>-0.75585445457851541</c:v>
                </c:pt>
                <c:pt idx="362">
                  <c:v>0.35605771969093447</c:v>
                </c:pt>
                <c:pt idx="363">
                  <c:v>-0.26369619410311534</c:v>
                </c:pt>
                <c:pt idx="364">
                  <c:v>1.5966327360462569</c:v>
                </c:pt>
                <c:pt idx="365">
                  <c:v>-0.35993802567710326</c:v>
                </c:pt>
                <c:pt idx="366">
                  <c:v>-0.93827293638428733</c:v>
                </c:pt>
                <c:pt idx="367">
                  <c:v>-0.43527232039505698</c:v>
                </c:pt>
                <c:pt idx="368">
                  <c:v>-0.48303257176447567</c:v>
                </c:pt>
                <c:pt idx="369">
                  <c:v>0.15550962640571461</c:v>
                </c:pt>
                <c:pt idx="370">
                  <c:v>-0.10713997532844062</c:v>
                </c:pt>
                <c:pt idx="371">
                  <c:v>-0.4314067355200335</c:v>
                </c:pt>
                <c:pt idx="372">
                  <c:v>-0.2884177195319666</c:v>
                </c:pt>
                <c:pt idx="373">
                  <c:v>1.0187330559880063</c:v>
                </c:pt>
                <c:pt idx="374">
                  <c:v>1.382810590058797</c:v>
                </c:pt>
                <c:pt idx="375">
                  <c:v>-0.13073229048070598</c:v>
                </c:pt>
                <c:pt idx="376">
                  <c:v>-4.8429529621156507E-2</c:v>
                </c:pt>
                <c:pt idx="377">
                  <c:v>-0.70781301543321451</c:v>
                </c:pt>
                <c:pt idx="378">
                  <c:v>-2.7736903700942405E-3</c:v>
                </c:pt>
                <c:pt idx="379">
                  <c:v>4.2186075624157486E-2</c:v>
                </c:pt>
                <c:pt idx="380">
                  <c:v>-0.29766424959403437</c:v>
                </c:pt>
                <c:pt idx="381">
                  <c:v>-0.19459378079065937</c:v>
                </c:pt>
                <c:pt idx="382">
                  <c:v>1.2129877892010568</c:v>
                </c:pt>
                <c:pt idx="383">
                  <c:v>-9.3276996572916576E-2</c:v>
                </c:pt>
                <c:pt idx="384">
                  <c:v>1.6523175408555213</c:v>
                </c:pt>
                <c:pt idx="385">
                  <c:v>0.60105161766887361</c:v>
                </c:pt>
                <c:pt idx="386">
                  <c:v>0.69269269261714528</c:v>
                </c:pt>
                <c:pt idx="387">
                  <c:v>0.41819619728946</c:v>
                </c:pt>
                <c:pt idx="388">
                  <c:v>-0.65091829492884101</c:v>
                </c:pt>
                <c:pt idx="389">
                  <c:v>-0.13244726889235592</c:v>
                </c:pt>
                <c:pt idx="390">
                  <c:v>0.19256267708999622</c:v>
                </c:pt>
                <c:pt idx="391">
                  <c:v>-0.21908353525533275</c:v>
                </c:pt>
                <c:pt idx="392">
                  <c:v>0.34110060121153013</c:v>
                </c:pt>
                <c:pt idx="393">
                  <c:v>0.75669800545421395</c:v>
                </c:pt>
                <c:pt idx="394">
                  <c:v>-9.6339974087098795E-2</c:v>
                </c:pt>
                <c:pt idx="395">
                  <c:v>-0.93001929230312197</c:v>
                </c:pt>
                <c:pt idx="396">
                  <c:v>0.33591690032874943</c:v>
                </c:pt>
                <c:pt idx="397">
                  <c:v>0.70136852743450662</c:v>
                </c:pt>
                <c:pt idx="398">
                  <c:v>-0.23996742249807207</c:v>
                </c:pt>
                <c:pt idx="399">
                  <c:v>9.1965057590345831E-2</c:v>
                </c:pt>
                <c:pt idx="400">
                  <c:v>0.71946698758785066</c:v>
                </c:pt>
                <c:pt idx="401">
                  <c:v>-0.76654548427532909</c:v>
                </c:pt>
                <c:pt idx="402">
                  <c:v>-0.38216517026919944</c:v>
                </c:pt>
                <c:pt idx="403">
                  <c:v>1.4570235065418486</c:v>
                </c:pt>
                <c:pt idx="404">
                  <c:v>1.7931510630566971</c:v>
                </c:pt>
                <c:pt idx="405">
                  <c:v>-0.17248179238420333</c:v>
                </c:pt>
                <c:pt idx="406">
                  <c:v>1.3984210281136713</c:v>
                </c:pt>
                <c:pt idx="407">
                  <c:v>6.6481885593445117E-2</c:v>
                </c:pt>
                <c:pt idx="408">
                  <c:v>-0.59831081346911308</c:v>
                </c:pt>
                <c:pt idx="409">
                  <c:v>-0.40276720126304183</c:v>
                </c:pt>
                <c:pt idx="410">
                  <c:v>-0.50361114565070486</c:v>
                </c:pt>
                <c:pt idx="411">
                  <c:v>0.19084427459979664</c:v>
                </c:pt>
                <c:pt idx="412">
                  <c:v>0.14681899925785025</c:v>
                </c:pt>
                <c:pt idx="413">
                  <c:v>-0.6419635691937815</c:v>
                </c:pt>
                <c:pt idx="414">
                  <c:v>1.104137620197869</c:v>
                </c:pt>
                <c:pt idx="415">
                  <c:v>0.35180161230359508</c:v>
                </c:pt>
                <c:pt idx="416">
                  <c:v>-0.67452530630728458</c:v>
                </c:pt>
                <c:pt idx="417">
                  <c:v>-0.46372970633196242</c:v>
                </c:pt>
                <c:pt idx="418">
                  <c:v>0.33115408004140262</c:v>
                </c:pt>
                <c:pt idx="419">
                  <c:v>-0.50759093541185996</c:v>
                </c:pt>
                <c:pt idx="420">
                  <c:v>0.44702619007820604</c:v>
                </c:pt>
                <c:pt idx="421">
                  <c:v>0.46204494949661989</c:v>
                </c:pt>
                <c:pt idx="422">
                  <c:v>0.18000998815900077</c:v>
                </c:pt>
                <c:pt idx="423">
                  <c:v>-0.40193529978063919</c:v>
                </c:pt>
                <c:pt idx="424">
                  <c:v>1.0260653872530505</c:v>
                </c:pt>
                <c:pt idx="425">
                  <c:v>-3.6223840820903133E-4</c:v>
                </c:pt>
                <c:pt idx="426">
                  <c:v>-0.3944159040797518</c:v>
                </c:pt>
                <c:pt idx="427">
                  <c:v>5.8687072533382789E-2</c:v>
                </c:pt>
                <c:pt idx="428">
                  <c:v>-0.15992212227168298</c:v>
                </c:pt>
                <c:pt idx="429">
                  <c:v>-8.7698830594780605E-2</c:v>
                </c:pt>
                <c:pt idx="430">
                  <c:v>8.598032540276726E-2</c:v>
                </c:pt>
                <c:pt idx="431">
                  <c:v>-1.2584402813928022</c:v>
                </c:pt>
                <c:pt idx="432">
                  <c:v>0.15304279463621215</c:v>
                </c:pt>
                <c:pt idx="433">
                  <c:v>-0.42262725159388159</c:v>
                </c:pt>
                <c:pt idx="434">
                  <c:v>-3.1248434546345294E-2</c:v>
                </c:pt>
                <c:pt idx="435">
                  <c:v>7.661347514137419E-2</c:v>
                </c:pt>
                <c:pt idx="436">
                  <c:v>-0.45179972815641034</c:v>
                </c:pt>
                <c:pt idx="437">
                  <c:v>-0.5312279929091096</c:v>
                </c:pt>
                <c:pt idx="438">
                  <c:v>0.29588616710836196</c:v>
                </c:pt>
                <c:pt idx="439">
                  <c:v>0.60584515884657952</c:v>
                </c:pt>
                <c:pt idx="440">
                  <c:v>-0.82740235831813769</c:v>
                </c:pt>
                <c:pt idx="441">
                  <c:v>0.36733889571125544</c:v>
                </c:pt>
                <c:pt idx="442">
                  <c:v>1.0513597537822958</c:v>
                </c:pt>
                <c:pt idx="443">
                  <c:v>5.0154404019117901E-2</c:v>
                </c:pt>
                <c:pt idx="444">
                  <c:v>-0.57022981330434197</c:v>
                </c:pt>
                <c:pt idx="445">
                  <c:v>-0.26725301749182861</c:v>
                </c:pt>
                <c:pt idx="446">
                  <c:v>-0.63871000141796963</c:v>
                </c:pt>
                <c:pt idx="447">
                  <c:v>-0.79677118297506577</c:v>
                </c:pt>
                <c:pt idx="448">
                  <c:v>0.2169881293213286</c:v>
                </c:pt>
                <c:pt idx="449">
                  <c:v>1.5073063080839222</c:v>
                </c:pt>
                <c:pt idx="450">
                  <c:v>-0.53145661405849465</c:v>
                </c:pt>
                <c:pt idx="451">
                  <c:v>0.69873676702310505</c:v>
                </c:pt>
                <c:pt idx="452">
                  <c:v>0.2773311135167052</c:v>
                </c:pt>
                <c:pt idx="453">
                  <c:v>0.16058665034785241</c:v>
                </c:pt>
                <c:pt idx="454">
                  <c:v>-0.82422574355217759</c:v>
                </c:pt>
                <c:pt idx="455">
                  <c:v>0.20075496756509145</c:v>
                </c:pt>
                <c:pt idx="456">
                  <c:v>0.35162717488188594</c:v>
                </c:pt>
                <c:pt idx="457">
                  <c:v>-0.25389277506634927</c:v>
                </c:pt>
                <c:pt idx="458">
                  <c:v>1.7615432792354788</c:v>
                </c:pt>
                <c:pt idx="459">
                  <c:v>1.8687865978555154</c:v>
                </c:pt>
                <c:pt idx="460">
                  <c:v>-0.25790087719727778</c:v>
                </c:pt>
                <c:pt idx="461">
                  <c:v>1.1479509479021299</c:v>
                </c:pt>
                <c:pt idx="462">
                  <c:v>0.5923944752343997</c:v>
                </c:pt>
                <c:pt idx="463">
                  <c:v>-1.3993808161860024</c:v>
                </c:pt>
                <c:pt idx="464">
                  <c:v>0.30222659361974002</c:v>
                </c:pt>
                <c:pt idx="465">
                  <c:v>1.4832511259660628</c:v>
                </c:pt>
                <c:pt idx="466">
                  <c:v>-0.19261899304468147</c:v>
                </c:pt>
                <c:pt idx="467">
                  <c:v>0.61004902947473871</c:v>
                </c:pt>
                <c:pt idx="468">
                  <c:v>-0.40969117072464556</c:v>
                </c:pt>
                <c:pt idx="469">
                  <c:v>-0.83669011771081747</c:v>
                </c:pt>
                <c:pt idx="470">
                  <c:v>-1.9574585633014691E-2</c:v>
                </c:pt>
                <c:pt idx="471">
                  <c:v>-0.10453224372768964</c:v>
                </c:pt>
                <c:pt idx="472">
                  <c:v>-1.156448865504957</c:v>
                </c:pt>
                <c:pt idx="473">
                  <c:v>-2.3980893352139362E-2</c:v>
                </c:pt>
                <c:pt idx="474">
                  <c:v>1.3439493141908632</c:v>
                </c:pt>
                <c:pt idx="475">
                  <c:v>0.52976853148452618</c:v>
                </c:pt>
                <c:pt idx="476">
                  <c:v>-3.2199933095918815E-2</c:v>
                </c:pt>
                <c:pt idx="477">
                  <c:v>-0.33186971195467091</c:v>
                </c:pt>
                <c:pt idx="478">
                  <c:v>0.44652575801636207</c:v>
                </c:pt>
                <c:pt idx="479">
                  <c:v>-0.27025303844315918</c:v>
                </c:pt>
                <c:pt idx="480">
                  <c:v>-0.10696571311985525</c:v>
                </c:pt>
                <c:pt idx="481">
                  <c:v>-0.14414438719480607</c:v>
                </c:pt>
                <c:pt idx="482">
                  <c:v>-1.0356101535778397</c:v>
                </c:pt>
                <c:pt idx="483">
                  <c:v>0.98111260297992742</c:v>
                </c:pt>
                <c:pt idx="484">
                  <c:v>1.4414283491565214E-2</c:v>
                </c:pt>
                <c:pt idx="485">
                  <c:v>0.40361505879855314</c:v>
                </c:pt>
                <c:pt idx="486">
                  <c:v>-0.62682222368800011</c:v>
                </c:pt>
                <c:pt idx="487">
                  <c:v>1.1467749732383004</c:v>
                </c:pt>
                <c:pt idx="488">
                  <c:v>-9.1761907605011697E-2</c:v>
                </c:pt>
                <c:pt idx="489">
                  <c:v>-0.62905004460326563</c:v>
                </c:pt>
                <c:pt idx="490">
                  <c:v>1.6857607726528532</c:v>
                </c:pt>
                <c:pt idx="491">
                  <c:v>0.46369286758571243</c:v>
                </c:pt>
                <c:pt idx="492">
                  <c:v>-0.40412848971366544</c:v>
                </c:pt>
                <c:pt idx="493">
                  <c:v>7.0958121427697293E-2</c:v>
                </c:pt>
                <c:pt idx="494">
                  <c:v>-0.84788186674839661</c:v>
                </c:pt>
                <c:pt idx="495">
                  <c:v>1.0990266838231253</c:v>
                </c:pt>
                <c:pt idx="496">
                  <c:v>1.355245946929226</c:v>
                </c:pt>
                <c:pt idx="497">
                  <c:v>2.6706912318954217E-2</c:v>
                </c:pt>
                <c:pt idx="498">
                  <c:v>0.43475957170824137</c:v>
                </c:pt>
                <c:pt idx="499">
                  <c:v>-0.47743262793053481</c:v>
                </c:pt>
              </c:numCache>
            </c:numRef>
          </c:xVal>
          <c:yVal>
            <c:numRef>
              <c:f>Standardization!$L$2:$L$501</c:f>
              <c:numCache>
                <c:formatCode>0.00</c:formatCode>
                <c:ptCount val="500"/>
                <c:pt idx="0">
                  <c:v>0.96680389022285851</c:v>
                </c:pt>
                <c:pt idx="1">
                  <c:v>0.35427739361248117</c:v>
                </c:pt>
                <c:pt idx="2">
                  <c:v>1.2692185221317407</c:v>
                </c:pt>
                <c:pt idx="3">
                  <c:v>-0.43981815622018816</c:v>
                </c:pt>
                <c:pt idx="4">
                  <c:v>-1.3212603124984817E-2</c:v>
                </c:pt>
                <c:pt idx="5">
                  <c:v>0.42034300222002957</c:v>
                </c:pt>
                <c:pt idx="6">
                  <c:v>0.10265272797821075</c:v>
                </c:pt>
                <c:pt idx="7">
                  <c:v>-0.19460253360365956</c:v>
                </c:pt>
                <c:pt idx="8">
                  <c:v>1.7197938152231924</c:v>
                </c:pt>
                <c:pt idx="9">
                  <c:v>-0.49659279599638184</c:v>
                </c:pt>
                <c:pt idx="10">
                  <c:v>0.27153516699981295</c:v>
                </c:pt>
                <c:pt idx="11">
                  <c:v>8.4564741317107381E-2</c:v>
                </c:pt>
                <c:pt idx="12">
                  <c:v>0.13602607902747915</c:v>
                </c:pt>
                <c:pt idx="13">
                  <c:v>0.81072998465633417</c:v>
                </c:pt>
                <c:pt idx="14">
                  <c:v>-0.71597853132197598</c:v>
                </c:pt>
                <c:pt idx="15">
                  <c:v>-0.93092311820869167</c:v>
                </c:pt>
                <c:pt idx="16">
                  <c:v>-0.41273236312724809</c:v>
                </c:pt>
                <c:pt idx="17">
                  <c:v>0.24197775235715535</c:v>
                </c:pt>
                <c:pt idx="18">
                  <c:v>-0.64489639637459184</c:v>
                </c:pt>
                <c:pt idx="19">
                  <c:v>-6.8595864514474497E-2</c:v>
                </c:pt>
                <c:pt idx="20">
                  <c:v>-0.10135028110482699</c:v>
                </c:pt>
                <c:pt idx="21">
                  <c:v>-0.15150142115848217</c:v>
                </c:pt>
                <c:pt idx="22">
                  <c:v>-0.5235066392704486</c:v>
                </c:pt>
                <c:pt idx="23">
                  <c:v>-0.1502570331376829</c:v>
                </c:pt>
                <c:pt idx="24">
                  <c:v>-0.21644554263457616</c:v>
                </c:pt>
                <c:pt idx="25">
                  <c:v>-0.79689238724871814</c:v>
                </c:pt>
                <c:pt idx="26">
                  <c:v>-9.803500281979351E-3</c:v>
                </c:pt>
                <c:pt idx="27">
                  <c:v>1.0162954321599904</c:v>
                </c:pt>
                <c:pt idx="28">
                  <c:v>-0.13775501011032845</c:v>
                </c:pt>
                <c:pt idx="29">
                  <c:v>-0.48656742050582741</c:v>
                </c:pt>
                <c:pt idx="30">
                  <c:v>0.85935754400955577</c:v>
                </c:pt>
                <c:pt idx="31">
                  <c:v>0.674205048681075</c:v>
                </c:pt>
                <c:pt idx="32">
                  <c:v>-0.78178381342239778</c:v>
                </c:pt>
                <c:pt idx="33">
                  <c:v>-0.73087953659827853</c:v>
                </c:pt>
                <c:pt idx="34">
                  <c:v>-5.5265928648554487E-2</c:v>
                </c:pt>
                <c:pt idx="35">
                  <c:v>1.1608237416554037</c:v>
                </c:pt>
                <c:pt idx="36">
                  <c:v>-0.72783886445270363</c:v>
                </c:pt>
                <c:pt idx="37">
                  <c:v>1.5430911504433982</c:v>
                </c:pt>
                <c:pt idx="38">
                  <c:v>-0.14379464489106278</c:v>
                </c:pt>
                <c:pt idx="39">
                  <c:v>-0.67665995249712352</c:v>
                </c:pt>
                <c:pt idx="40">
                  <c:v>0.94942521383428591</c:v>
                </c:pt>
                <c:pt idx="41">
                  <c:v>-0.76709561295119411</c:v>
                </c:pt>
                <c:pt idx="42">
                  <c:v>1.6604505993334175</c:v>
                </c:pt>
                <c:pt idx="43">
                  <c:v>1.3701299669422273</c:v>
                </c:pt>
                <c:pt idx="44">
                  <c:v>1.5849750354451602</c:v>
                </c:pt>
                <c:pt idx="45">
                  <c:v>0.11201839942341005</c:v>
                </c:pt>
                <c:pt idx="46">
                  <c:v>-0.56862001142163165</c:v>
                </c:pt>
                <c:pt idx="47">
                  <c:v>2.0303771120530776</c:v>
                </c:pt>
                <c:pt idx="48">
                  <c:v>-1.0309825222514797</c:v>
                </c:pt>
                <c:pt idx="49">
                  <c:v>0.56207377453169716</c:v>
                </c:pt>
                <c:pt idx="50">
                  <c:v>-1.1506706119610997</c:v>
                </c:pt>
                <c:pt idx="51">
                  <c:v>-1.3792602641676273</c:v>
                </c:pt>
                <c:pt idx="52">
                  <c:v>0.79616200091373968</c:v>
                </c:pt>
                <c:pt idx="53">
                  <c:v>3.1886650568714821E-2</c:v>
                </c:pt>
                <c:pt idx="54">
                  <c:v>0.39593866271287914</c:v>
                </c:pt>
                <c:pt idx="55">
                  <c:v>-1.2619431174001039</c:v>
                </c:pt>
                <c:pt idx="56">
                  <c:v>-0.9429402280457948</c:v>
                </c:pt>
                <c:pt idx="57">
                  <c:v>-0.27593676354684704</c:v>
                </c:pt>
                <c:pt idx="58">
                  <c:v>-0.14907933053197761</c:v>
                </c:pt>
                <c:pt idx="59">
                  <c:v>-0.22791765807002706</c:v>
                </c:pt>
                <c:pt idx="60">
                  <c:v>1.2318643178153905</c:v>
                </c:pt>
                <c:pt idx="61">
                  <c:v>0.40129760430955658</c:v>
                </c:pt>
                <c:pt idx="62">
                  <c:v>8.3655754189274567E-2</c:v>
                </c:pt>
                <c:pt idx="63">
                  <c:v>1.0557770082088225</c:v>
                </c:pt>
                <c:pt idx="64">
                  <c:v>-0.89285579679890403</c:v>
                </c:pt>
                <c:pt idx="65">
                  <c:v>-0.33977829696939316</c:v>
                </c:pt>
                <c:pt idx="66">
                  <c:v>0.24327928579577027</c:v>
                </c:pt>
                <c:pt idx="67">
                  <c:v>0.50073021180495891</c:v>
                </c:pt>
                <c:pt idx="68">
                  <c:v>1.0093608094843265</c:v>
                </c:pt>
                <c:pt idx="69">
                  <c:v>0.28016029152705924</c:v>
                </c:pt>
                <c:pt idx="70">
                  <c:v>-0.61804642311564739</c:v>
                </c:pt>
                <c:pt idx="71">
                  <c:v>1.6059592211078686</c:v>
                </c:pt>
                <c:pt idx="72">
                  <c:v>1.7474871118913751</c:v>
                </c:pt>
                <c:pt idx="73">
                  <c:v>0.87684066815899753</c:v>
                </c:pt>
                <c:pt idx="74">
                  <c:v>0.84047398252733208</c:v>
                </c:pt>
                <c:pt idx="75">
                  <c:v>0.26652976076733131</c:v>
                </c:pt>
                <c:pt idx="76">
                  <c:v>-0.50585725286133287</c:v>
                </c:pt>
                <c:pt idx="77">
                  <c:v>0.41993743936762151</c:v>
                </c:pt>
                <c:pt idx="78">
                  <c:v>1.9646876107117495</c:v>
                </c:pt>
                <c:pt idx="79">
                  <c:v>0.53248717793426226</c:v>
                </c:pt>
                <c:pt idx="80">
                  <c:v>1.5091898432067214</c:v>
                </c:pt>
                <c:pt idx="81">
                  <c:v>-0.27507465673453485</c:v>
                </c:pt>
                <c:pt idx="82">
                  <c:v>-0.55764282553308531</c:v>
                </c:pt>
                <c:pt idx="83">
                  <c:v>1.3007438582124569</c:v>
                </c:pt>
                <c:pt idx="84">
                  <c:v>0.55698549908325534</c:v>
                </c:pt>
                <c:pt idx="85">
                  <c:v>8.940417519673545E-2</c:v>
                </c:pt>
                <c:pt idx="86">
                  <c:v>-0.24537839285929194</c:v>
                </c:pt>
                <c:pt idx="87">
                  <c:v>-0.55245665897564389</c:v>
                </c:pt>
                <c:pt idx="88">
                  <c:v>-0.11893887597095207</c:v>
                </c:pt>
                <c:pt idx="89">
                  <c:v>4.540556499829957E-2</c:v>
                </c:pt>
                <c:pt idx="90">
                  <c:v>0.69140479973368063</c:v>
                </c:pt>
                <c:pt idx="91">
                  <c:v>-0.50837120100312116</c:v>
                </c:pt>
                <c:pt idx="92">
                  <c:v>-0.62122074408316941</c:v>
                </c:pt>
                <c:pt idx="93">
                  <c:v>-0.12570554470779965</c:v>
                </c:pt>
                <c:pt idx="94">
                  <c:v>9.5220636741528975E-2</c:v>
                </c:pt>
                <c:pt idx="95">
                  <c:v>1.131260005668276</c:v>
                </c:pt>
                <c:pt idx="96">
                  <c:v>1.3159684612597434E-2</c:v>
                </c:pt>
                <c:pt idx="97">
                  <c:v>4.1671774720573804E-2</c:v>
                </c:pt>
                <c:pt idx="98">
                  <c:v>-0.68039022327256082</c:v>
                </c:pt>
                <c:pt idx="99">
                  <c:v>-0.18218183961410478</c:v>
                </c:pt>
                <c:pt idx="100">
                  <c:v>-1.4569705749041502</c:v>
                </c:pt>
                <c:pt idx="101">
                  <c:v>0.33887095427344177</c:v>
                </c:pt>
                <c:pt idx="102">
                  <c:v>1.2421101569596857</c:v>
                </c:pt>
                <c:pt idx="103">
                  <c:v>2.08430088871394E-2</c:v>
                </c:pt>
                <c:pt idx="104">
                  <c:v>0.39264965834073723</c:v>
                </c:pt>
                <c:pt idx="105">
                  <c:v>-0.66830385806455528</c:v>
                </c:pt>
                <c:pt idx="106">
                  <c:v>0.47736605020554168</c:v>
                </c:pt>
                <c:pt idx="107">
                  <c:v>-0.6424981404878769</c:v>
                </c:pt>
                <c:pt idx="108">
                  <c:v>-7.6685579760104136E-2</c:v>
                </c:pt>
                <c:pt idx="109">
                  <c:v>-0.30231758288710175</c:v>
                </c:pt>
                <c:pt idx="110">
                  <c:v>0.60402192544378364</c:v>
                </c:pt>
                <c:pt idx="111">
                  <c:v>0.50782880116425366</c:v>
                </c:pt>
                <c:pt idx="112">
                  <c:v>-7.5906859170147042E-2</c:v>
                </c:pt>
                <c:pt idx="113">
                  <c:v>-0.40180931685145815</c:v>
                </c:pt>
                <c:pt idx="114">
                  <c:v>0.5708365128924312</c:v>
                </c:pt>
                <c:pt idx="115">
                  <c:v>5.7981406302493939E-2</c:v>
                </c:pt>
                <c:pt idx="116">
                  <c:v>-0.63938119140611516</c:v>
                </c:pt>
                <c:pt idx="117">
                  <c:v>-0.55192355036560836</c:v>
                </c:pt>
                <c:pt idx="118">
                  <c:v>-0.30936879173003107</c:v>
                </c:pt>
                <c:pt idx="119">
                  <c:v>-0.75549025917238821</c:v>
                </c:pt>
                <c:pt idx="120">
                  <c:v>-1.0339911194100456E-2</c:v>
                </c:pt>
                <c:pt idx="121">
                  <c:v>-0.63406642478950881</c:v>
                </c:pt>
                <c:pt idx="122">
                  <c:v>-1.1687437424823419</c:v>
                </c:pt>
                <c:pt idx="123">
                  <c:v>1.3227308462072187</c:v>
                </c:pt>
                <c:pt idx="124">
                  <c:v>-0.98098498205106832</c:v>
                </c:pt>
                <c:pt idx="125">
                  <c:v>0.50041452171778067</c:v>
                </c:pt>
                <c:pt idx="126">
                  <c:v>-0.10069166656959699</c:v>
                </c:pt>
                <c:pt idx="127">
                  <c:v>-0.30817905170221782</c:v>
                </c:pt>
                <c:pt idx="128">
                  <c:v>4.3228022017415407E-2</c:v>
                </c:pt>
                <c:pt idx="129">
                  <c:v>0.64425415064253366</c:v>
                </c:pt>
                <c:pt idx="130">
                  <c:v>0.26077473874017576</c:v>
                </c:pt>
                <c:pt idx="131">
                  <c:v>1.3304193682929619</c:v>
                </c:pt>
                <c:pt idx="132">
                  <c:v>-0.2759648165561247</c:v>
                </c:pt>
                <c:pt idx="133">
                  <c:v>5.7056725142192732E-2</c:v>
                </c:pt>
                <c:pt idx="134">
                  <c:v>0.53988382588304817</c:v>
                </c:pt>
                <c:pt idx="135">
                  <c:v>-0.79700076156201427</c:v>
                </c:pt>
                <c:pt idx="136">
                  <c:v>-0.30991865679554947</c:v>
                </c:pt>
                <c:pt idx="137">
                  <c:v>-0.59186553394192842</c:v>
                </c:pt>
                <c:pt idx="138">
                  <c:v>-1.2427456733646598</c:v>
                </c:pt>
                <c:pt idx="139">
                  <c:v>-0.37821766668450768</c:v>
                </c:pt>
                <c:pt idx="140">
                  <c:v>-0.28564862909279892</c:v>
                </c:pt>
                <c:pt idx="141">
                  <c:v>1.6778835564132319</c:v>
                </c:pt>
                <c:pt idx="142">
                  <c:v>-0.56589753755512961</c:v>
                </c:pt>
                <c:pt idx="143">
                  <c:v>-0.18868515529178803</c:v>
                </c:pt>
                <c:pt idx="144">
                  <c:v>3.8128447174872244E-2</c:v>
                </c:pt>
                <c:pt idx="145">
                  <c:v>1.2650321602319554</c:v>
                </c:pt>
                <c:pt idx="146">
                  <c:v>0.1531887626300458</c:v>
                </c:pt>
                <c:pt idx="147">
                  <c:v>-0.11844644849072614</c:v>
                </c:pt>
                <c:pt idx="148">
                  <c:v>-0.7216908570910594</c:v>
                </c:pt>
                <c:pt idx="149">
                  <c:v>3.4185136870972084</c:v>
                </c:pt>
                <c:pt idx="150">
                  <c:v>-0.58339251464275765</c:v>
                </c:pt>
                <c:pt idx="151">
                  <c:v>-0.11841619439476329</c:v>
                </c:pt>
                <c:pt idx="152">
                  <c:v>-0.60279525915063503</c:v>
                </c:pt>
                <c:pt idx="153">
                  <c:v>-0.2402771125151163</c:v>
                </c:pt>
                <c:pt idx="154">
                  <c:v>-0.40282714764765332</c:v>
                </c:pt>
                <c:pt idx="155">
                  <c:v>-0.45036490189801609</c:v>
                </c:pt>
                <c:pt idx="156">
                  <c:v>1.6373403355810565</c:v>
                </c:pt>
                <c:pt idx="157">
                  <c:v>-0.20644403619530161</c:v>
                </c:pt>
                <c:pt idx="158">
                  <c:v>-0.45702609794442073</c:v>
                </c:pt>
                <c:pt idx="159">
                  <c:v>-0.98679468338286935</c:v>
                </c:pt>
                <c:pt idx="160">
                  <c:v>1.4907567624898674</c:v>
                </c:pt>
                <c:pt idx="161">
                  <c:v>0.10752092682516104</c:v>
                </c:pt>
                <c:pt idx="162">
                  <c:v>-0.8800724865535875</c:v>
                </c:pt>
                <c:pt idx="163">
                  <c:v>6.8897289311992418E-2</c:v>
                </c:pt>
                <c:pt idx="164">
                  <c:v>-0.35483612111173857</c:v>
                </c:pt>
                <c:pt idx="165">
                  <c:v>-1.0521696774659266</c:v>
                </c:pt>
                <c:pt idx="166">
                  <c:v>0.48216651860045989</c:v>
                </c:pt>
                <c:pt idx="167">
                  <c:v>0.64746385855005328</c:v>
                </c:pt>
                <c:pt idx="168">
                  <c:v>-0.25490935109294416</c:v>
                </c:pt>
                <c:pt idx="169">
                  <c:v>2.3705166627538774</c:v>
                </c:pt>
                <c:pt idx="170">
                  <c:v>0.34217804370243626</c:v>
                </c:pt>
                <c:pt idx="171">
                  <c:v>1.7528879676747429</c:v>
                </c:pt>
                <c:pt idx="172">
                  <c:v>-0.29428354847972393</c:v>
                </c:pt>
                <c:pt idx="173">
                  <c:v>1.368212975316643E-2</c:v>
                </c:pt>
                <c:pt idx="174">
                  <c:v>0.20140014484419036</c:v>
                </c:pt>
                <c:pt idx="175">
                  <c:v>-3.978502734001229E-2</c:v>
                </c:pt>
                <c:pt idx="176">
                  <c:v>0.18541330296944536</c:v>
                </c:pt>
                <c:pt idx="177">
                  <c:v>0.29472926961014489</c:v>
                </c:pt>
                <c:pt idx="178">
                  <c:v>-0.38011002436083857</c:v>
                </c:pt>
                <c:pt idx="179">
                  <c:v>-0.41406317000417725</c:v>
                </c:pt>
                <c:pt idx="180">
                  <c:v>-0.49094558262241295</c:v>
                </c:pt>
                <c:pt idx="181">
                  <c:v>-0.35608146633689441</c:v>
                </c:pt>
                <c:pt idx="182">
                  <c:v>-0.29422244344534937</c:v>
                </c:pt>
                <c:pt idx="183">
                  <c:v>-0.14798836529989784</c:v>
                </c:pt>
                <c:pt idx="184">
                  <c:v>-0.68872365094188737</c:v>
                </c:pt>
                <c:pt idx="185">
                  <c:v>0.74370725184980668</c:v>
                </c:pt>
                <c:pt idx="186">
                  <c:v>1.3075581606026005</c:v>
                </c:pt>
                <c:pt idx="187">
                  <c:v>0.32988513901864097</c:v>
                </c:pt>
                <c:pt idx="188">
                  <c:v>-9.0879147508477864E-2</c:v>
                </c:pt>
                <c:pt idx="189">
                  <c:v>-1.2624732223325519</c:v>
                </c:pt>
                <c:pt idx="190">
                  <c:v>0.36225731891981033</c:v>
                </c:pt>
                <c:pt idx="191">
                  <c:v>-0.50781004958610632</c:v>
                </c:pt>
                <c:pt idx="192">
                  <c:v>0.41948287759558306</c:v>
                </c:pt>
                <c:pt idx="193">
                  <c:v>-0.65325700783952623</c:v>
                </c:pt>
                <c:pt idx="194">
                  <c:v>-0.29577154026564789</c:v>
                </c:pt>
                <c:pt idx="195">
                  <c:v>1.3126908765190275</c:v>
                </c:pt>
                <c:pt idx="196">
                  <c:v>0.24670032772841208</c:v>
                </c:pt>
                <c:pt idx="197">
                  <c:v>0.6773190378521613</c:v>
                </c:pt>
                <c:pt idx="198">
                  <c:v>4.0698878172458243E-2</c:v>
                </c:pt>
                <c:pt idx="199">
                  <c:v>-0.80342686710145317</c:v>
                </c:pt>
                <c:pt idx="200">
                  <c:v>-0.88640987342517163</c:v>
                </c:pt>
                <c:pt idx="201">
                  <c:v>-0.51398768756283097</c:v>
                </c:pt>
                <c:pt idx="202">
                  <c:v>-1.2288163199337128</c:v>
                </c:pt>
                <c:pt idx="203">
                  <c:v>-1.6886848411559775E-2</c:v>
                </c:pt>
                <c:pt idx="204">
                  <c:v>-0.20959713771778696</c:v>
                </c:pt>
                <c:pt idx="205">
                  <c:v>-0.6104480317127654</c:v>
                </c:pt>
                <c:pt idx="206">
                  <c:v>0.90584467343084341</c:v>
                </c:pt>
                <c:pt idx="207">
                  <c:v>5.1558553635786417E-2</c:v>
                </c:pt>
                <c:pt idx="208">
                  <c:v>-0.7462641420102476</c:v>
                </c:pt>
                <c:pt idx="209">
                  <c:v>-0.98176381240116872</c:v>
                </c:pt>
                <c:pt idx="210">
                  <c:v>2.4659176245436938</c:v>
                </c:pt>
                <c:pt idx="211">
                  <c:v>1.1120560788984124</c:v>
                </c:pt>
                <c:pt idx="212">
                  <c:v>1.2586293027758422</c:v>
                </c:pt>
                <c:pt idx="213">
                  <c:v>-0.89445464020917109</c:v>
                </c:pt>
                <c:pt idx="214">
                  <c:v>0.72883346641404068</c:v>
                </c:pt>
                <c:pt idx="215">
                  <c:v>-1.0240829266609373</c:v>
                </c:pt>
                <c:pt idx="216">
                  <c:v>2.7124038722355777</c:v>
                </c:pt>
                <c:pt idx="217">
                  <c:v>0.46154136907152848</c:v>
                </c:pt>
                <c:pt idx="218">
                  <c:v>1.2631851757745767</c:v>
                </c:pt>
                <c:pt idx="219">
                  <c:v>0.77022113568141293</c:v>
                </c:pt>
                <c:pt idx="220">
                  <c:v>0.43345022119689236</c:v>
                </c:pt>
                <c:pt idx="221">
                  <c:v>-4.8107875059115672E-2</c:v>
                </c:pt>
                <c:pt idx="222">
                  <c:v>-0.64372924247913854</c:v>
                </c:pt>
                <c:pt idx="223">
                  <c:v>1.8622736471308743E-2</c:v>
                </c:pt>
                <c:pt idx="224">
                  <c:v>-0.19855484537486898</c:v>
                </c:pt>
                <c:pt idx="225">
                  <c:v>-0.61928750296754487</c:v>
                </c:pt>
                <c:pt idx="226">
                  <c:v>-0.14227021256325084</c:v>
                </c:pt>
                <c:pt idx="227">
                  <c:v>-1.0333962404053219</c:v>
                </c:pt>
                <c:pt idx="228">
                  <c:v>-0.63764442559946555</c:v>
                </c:pt>
                <c:pt idx="229">
                  <c:v>1.5542018369819666</c:v>
                </c:pt>
                <c:pt idx="230">
                  <c:v>0.29086992960377994</c:v>
                </c:pt>
                <c:pt idx="231">
                  <c:v>-0.1832902251176374</c:v>
                </c:pt>
                <c:pt idx="232">
                  <c:v>0.51757108579154865</c:v>
                </c:pt>
                <c:pt idx="233">
                  <c:v>-0.34370576568570688</c:v>
                </c:pt>
                <c:pt idx="234">
                  <c:v>1.5281749306080994</c:v>
                </c:pt>
                <c:pt idx="235">
                  <c:v>0.64261309575141667</c:v>
                </c:pt>
                <c:pt idx="236">
                  <c:v>-0.22373525301400804</c:v>
                </c:pt>
                <c:pt idx="237">
                  <c:v>-0.98743653395119102</c:v>
                </c:pt>
                <c:pt idx="238">
                  <c:v>-0.33188777458068913</c:v>
                </c:pt>
                <c:pt idx="239">
                  <c:v>0.24100913828203116</c:v>
                </c:pt>
                <c:pt idx="240">
                  <c:v>1.5501056777050146</c:v>
                </c:pt>
                <c:pt idx="241">
                  <c:v>-0.39342212335697047</c:v>
                </c:pt>
                <c:pt idx="242">
                  <c:v>-0.86203607329874343</c:v>
                </c:pt>
                <c:pt idx="243">
                  <c:v>-0.52663654581151431</c:v>
                </c:pt>
                <c:pt idx="244">
                  <c:v>0.14221292710142164</c:v>
                </c:pt>
                <c:pt idx="245">
                  <c:v>-0.26438783207214889</c:v>
                </c:pt>
                <c:pt idx="246">
                  <c:v>0.22417302109472068</c:v>
                </c:pt>
                <c:pt idx="247">
                  <c:v>0.72893925231681445</c:v>
                </c:pt>
                <c:pt idx="248">
                  <c:v>1.1598615468551634</c:v>
                </c:pt>
                <c:pt idx="249">
                  <c:v>2.4401270889361313E-2</c:v>
                </c:pt>
                <c:pt idx="250">
                  <c:v>-1.2706760737257607</c:v>
                </c:pt>
                <c:pt idx="251">
                  <c:v>0.70184427605393374</c:v>
                </c:pt>
                <c:pt idx="252">
                  <c:v>1.1969890730675352</c:v>
                </c:pt>
                <c:pt idx="253">
                  <c:v>1.227507099782899</c:v>
                </c:pt>
                <c:pt idx="254">
                  <c:v>0.93217188337027745</c:v>
                </c:pt>
                <c:pt idx="255">
                  <c:v>-0.31835154201510613</c:v>
                </c:pt>
                <c:pt idx="256">
                  <c:v>1.0765136410925207</c:v>
                </c:pt>
                <c:pt idx="257">
                  <c:v>-0.85211970252360836</c:v>
                </c:pt>
                <c:pt idx="258">
                  <c:v>0.60098957853268464</c:v>
                </c:pt>
                <c:pt idx="259">
                  <c:v>-6.7852801572873378E-2</c:v>
                </c:pt>
                <c:pt idx="260">
                  <c:v>-1.1533605580530615</c:v>
                </c:pt>
                <c:pt idx="261">
                  <c:v>-0.30230639391472847</c:v>
                </c:pt>
                <c:pt idx="262">
                  <c:v>1.9884808404863017</c:v>
                </c:pt>
                <c:pt idx="263">
                  <c:v>-0.11439954105188606</c:v>
                </c:pt>
                <c:pt idx="264">
                  <c:v>1.7954227059400287</c:v>
                </c:pt>
                <c:pt idx="265">
                  <c:v>-0.3215431412530963</c:v>
                </c:pt>
                <c:pt idx="266">
                  <c:v>0.16392206495201206</c:v>
                </c:pt>
                <c:pt idx="267">
                  <c:v>1.0685566460291362</c:v>
                </c:pt>
                <c:pt idx="268">
                  <c:v>-0.22405429447637895</c:v>
                </c:pt>
                <c:pt idx="269">
                  <c:v>-0.19131144406525882</c:v>
                </c:pt>
                <c:pt idx="270">
                  <c:v>0.82581693147803581</c:v>
                </c:pt>
                <c:pt idx="271">
                  <c:v>0.8479569370525456</c:v>
                </c:pt>
                <c:pt idx="272">
                  <c:v>1.1030639662452693</c:v>
                </c:pt>
                <c:pt idx="273">
                  <c:v>1.0680348222407814</c:v>
                </c:pt>
                <c:pt idx="274">
                  <c:v>0.29361357317681908</c:v>
                </c:pt>
                <c:pt idx="275">
                  <c:v>-0.42982434467575398</c:v>
                </c:pt>
                <c:pt idx="276">
                  <c:v>-0.17333941616036339</c:v>
                </c:pt>
                <c:pt idx="277">
                  <c:v>-3.1997947847387256E-2</c:v>
                </c:pt>
                <c:pt idx="278">
                  <c:v>0.14945720220902595</c:v>
                </c:pt>
                <c:pt idx="279">
                  <c:v>-5.9002869891482977E-2</c:v>
                </c:pt>
                <c:pt idx="280">
                  <c:v>-0.29405467294380805</c:v>
                </c:pt>
                <c:pt idx="281">
                  <c:v>-0.29265842690946325</c:v>
                </c:pt>
                <c:pt idx="282">
                  <c:v>1.5107394575022279</c:v>
                </c:pt>
                <c:pt idx="283">
                  <c:v>5.3751141291198415E-2</c:v>
                </c:pt>
                <c:pt idx="284">
                  <c:v>0.7976026412805366</c:v>
                </c:pt>
                <c:pt idx="285">
                  <c:v>-6.5538999346076626E-2</c:v>
                </c:pt>
                <c:pt idx="286">
                  <c:v>-0.26541142079029223</c:v>
                </c:pt>
                <c:pt idx="287">
                  <c:v>0.39604128805841243</c:v>
                </c:pt>
                <c:pt idx="288">
                  <c:v>0.91020732435421225</c:v>
                </c:pt>
                <c:pt idx="289">
                  <c:v>-0.61939799368889903</c:v>
                </c:pt>
                <c:pt idx="290">
                  <c:v>2.799396020825458</c:v>
                </c:pt>
                <c:pt idx="291">
                  <c:v>-0.26748510042604595</c:v>
                </c:pt>
                <c:pt idx="292">
                  <c:v>2.1391488091803041</c:v>
                </c:pt>
                <c:pt idx="293">
                  <c:v>7.7021621499531265E-3</c:v>
                </c:pt>
                <c:pt idx="294">
                  <c:v>1.5644594656108992</c:v>
                </c:pt>
                <c:pt idx="295">
                  <c:v>0.15718102518769322</c:v>
                </c:pt>
                <c:pt idx="296">
                  <c:v>-1.2394230225244192</c:v>
                </c:pt>
                <c:pt idx="297">
                  <c:v>0.26730231655459336</c:v>
                </c:pt>
                <c:pt idx="298">
                  <c:v>-0.36796156004751851</c:v>
                </c:pt>
                <c:pt idx="299">
                  <c:v>-0.36108245134737749</c:v>
                </c:pt>
                <c:pt idx="300">
                  <c:v>-7.696168161312425E-2</c:v>
                </c:pt>
                <c:pt idx="301">
                  <c:v>0.13499522969558539</c:v>
                </c:pt>
                <c:pt idx="302">
                  <c:v>2.0877454609309964</c:v>
                </c:pt>
                <c:pt idx="303">
                  <c:v>0.29171550000559132</c:v>
                </c:pt>
                <c:pt idx="304">
                  <c:v>0.22862820025593628</c:v>
                </c:pt>
                <c:pt idx="305">
                  <c:v>-0.15543602796323405</c:v>
                </c:pt>
                <c:pt idx="306">
                  <c:v>0.28733188759078271</c:v>
                </c:pt>
                <c:pt idx="307">
                  <c:v>-0.78145954661105055</c:v>
                </c:pt>
                <c:pt idx="308">
                  <c:v>0.91240077449345158</c:v>
                </c:pt>
                <c:pt idx="309">
                  <c:v>-0.86738525551753387</c:v>
                </c:pt>
                <c:pt idx="310">
                  <c:v>0.13621219999182371</c:v>
                </c:pt>
                <c:pt idx="311">
                  <c:v>0.10847832620439322</c:v>
                </c:pt>
                <c:pt idx="312">
                  <c:v>8.5003118966895413E-2</c:v>
                </c:pt>
                <c:pt idx="313">
                  <c:v>-0.10949135718399619</c:v>
                </c:pt>
                <c:pt idx="314">
                  <c:v>-0.39450981826582637</c:v>
                </c:pt>
                <c:pt idx="315">
                  <c:v>1.5558220501233948</c:v>
                </c:pt>
                <c:pt idx="316">
                  <c:v>0.59573076627753974</c:v>
                </c:pt>
                <c:pt idx="317">
                  <c:v>0.46817741559722736</c:v>
                </c:pt>
                <c:pt idx="318">
                  <c:v>2.143866950986355</c:v>
                </c:pt>
                <c:pt idx="319">
                  <c:v>2.4379060473514982</c:v>
                </c:pt>
                <c:pt idx="320">
                  <c:v>-0.99537748585335462</c:v>
                </c:pt>
                <c:pt idx="321">
                  <c:v>-0.26571894655914174</c:v>
                </c:pt>
                <c:pt idx="322">
                  <c:v>0.19492825184750653</c:v>
                </c:pt>
                <c:pt idx="323">
                  <c:v>3.2028827808326952</c:v>
                </c:pt>
                <c:pt idx="324">
                  <c:v>-0.12232577744120673</c:v>
                </c:pt>
                <c:pt idx="325">
                  <c:v>-0.41877251996866494</c:v>
                </c:pt>
                <c:pt idx="326">
                  <c:v>-0.46081160636164153</c:v>
                </c:pt>
                <c:pt idx="327">
                  <c:v>-0.70692660905978655</c:v>
                </c:pt>
                <c:pt idx="328">
                  <c:v>-0.60418206518218209</c:v>
                </c:pt>
                <c:pt idx="329">
                  <c:v>1.5247308085246458</c:v>
                </c:pt>
                <c:pt idx="330">
                  <c:v>0.78107849035030541</c:v>
                </c:pt>
                <c:pt idx="331">
                  <c:v>0.5531557278726249</c:v>
                </c:pt>
                <c:pt idx="332">
                  <c:v>-0.24926449999994055</c:v>
                </c:pt>
                <c:pt idx="333">
                  <c:v>-4.4736294318909062E-2</c:v>
                </c:pt>
                <c:pt idx="334">
                  <c:v>-0.14589541486625188</c:v>
                </c:pt>
                <c:pt idx="335">
                  <c:v>0.12386299742868989</c:v>
                </c:pt>
                <c:pt idx="336">
                  <c:v>5.6391232120896334E-2</c:v>
                </c:pt>
                <c:pt idx="337">
                  <c:v>-1.0329299710542761</c:v>
                </c:pt>
                <c:pt idx="338">
                  <c:v>-0.15832424448223306</c:v>
                </c:pt>
                <c:pt idx="339">
                  <c:v>0.88563019900383932</c:v>
                </c:pt>
                <c:pt idx="340">
                  <c:v>-0.48211315007768751</c:v>
                </c:pt>
                <c:pt idx="341">
                  <c:v>0.68827903265706647</c:v>
                </c:pt>
                <c:pt idx="342">
                  <c:v>-0.24042285764989535</c:v>
                </c:pt>
                <c:pt idx="343">
                  <c:v>0.14839776602603538</c:v>
                </c:pt>
                <c:pt idx="344">
                  <c:v>0.76888777653243268</c:v>
                </c:pt>
                <c:pt idx="345">
                  <c:v>-0.68130767798061342</c:v>
                </c:pt>
                <c:pt idx="346">
                  <c:v>0.64565034174746905</c:v>
                </c:pt>
                <c:pt idx="347">
                  <c:v>0.87373847636729751</c:v>
                </c:pt>
                <c:pt idx="348">
                  <c:v>-0.85169365455103685</c:v>
                </c:pt>
                <c:pt idx="349">
                  <c:v>-0.13921867541984503</c:v>
                </c:pt>
                <c:pt idx="350">
                  <c:v>0.30923944014168647</c:v>
                </c:pt>
                <c:pt idx="351">
                  <c:v>0.31540585016574141</c:v>
                </c:pt>
                <c:pt idx="352">
                  <c:v>-0.61093117062588498</c:v>
                </c:pt>
                <c:pt idx="353">
                  <c:v>-0.93514660017129125</c:v>
                </c:pt>
                <c:pt idx="354">
                  <c:v>-0.27395266760170561</c:v>
                </c:pt>
                <c:pt idx="355">
                  <c:v>3.9413160669933331</c:v>
                </c:pt>
                <c:pt idx="356">
                  <c:v>-1.0008150542411201</c:v>
                </c:pt>
                <c:pt idx="357">
                  <c:v>-0.23520856747592173</c:v>
                </c:pt>
                <c:pt idx="358">
                  <c:v>-0.22719992177378517</c:v>
                </c:pt>
                <c:pt idx="359">
                  <c:v>-0.61418644481227636</c:v>
                </c:pt>
                <c:pt idx="360">
                  <c:v>-0.71435840518263893</c:v>
                </c:pt>
                <c:pt idx="361">
                  <c:v>-0.5687238819039675</c:v>
                </c:pt>
                <c:pt idx="362">
                  <c:v>-3.5949883664209918E-2</c:v>
                </c:pt>
                <c:pt idx="363">
                  <c:v>-0.2391313203083596</c:v>
                </c:pt>
                <c:pt idx="364">
                  <c:v>2.2192761454920782</c:v>
                </c:pt>
                <c:pt idx="365">
                  <c:v>-0.62261389027559544</c:v>
                </c:pt>
                <c:pt idx="366">
                  <c:v>-0.77289468033651354</c:v>
                </c:pt>
                <c:pt idx="367">
                  <c:v>-0.51746526604589138</c:v>
                </c:pt>
                <c:pt idx="368">
                  <c:v>-0.7488579107164296</c:v>
                </c:pt>
                <c:pt idx="369">
                  <c:v>8.5282772692343023E-2</c:v>
                </c:pt>
                <c:pt idx="370">
                  <c:v>0.20684718647350783</c:v>
                </c:pt>
                <c:pt idx="371">
                  <c:v>-5.3421971901245861E-2</c:v>
                </c:pt>
                <c:pt idx="372">
                  <c:v>-0.23575138747209154</c:v>
                </c:pt>
                <c:pt idx="373">
                  <c:v>1.0972543468307465</c:v>
                </c:pt>
                <c:pt idx="374">
                  <c:v>1.8398201737637043</c:v>
                </c:pt>
                <c:pt idx="375">
                  <c:v>0.19486674142126595</c:v>
                </c:pt>
                <c:pt idx="376">
                  <c:v>0.33226383828322881</c:v>
                </c:pt>
                <c:pt idx="377">
                  <c:v>-0.86300396788849765</c:v>
                </c:pt>
                <c:pt idx="378">
                  <c:v>0.16424274696382793</c:v>
                </c:pt>
                <c:pt idx="379">
                  <c:v>1.180198542116933E-2</c:v>
                </c:pt>
                <c:pt idx="380">
                  <c:v>9.4162996750115469E-2</c:v>
                </c:pt>
                <c:pt idx="381">
                  <c:v>1.9032919775893154E-2</c:v>
                </c:pt>
                <c:pt idx="382">
                  <c:v>1.7695160342201941</c:v>
                </c:pt>
                <c:pt idx="383">
                  <c:v>-0.28006094944003113</c:v>
                </c:pt>
                <c:pt idx="384">
                  <c:v>2.5502957902229322</c:v>
                </c:pt>
                <c:pt idx="385">
                  <c:v>1.2197608550471322</c:v>
                </c:pt>
                <c:pt idx="386">
                  <c:v>0.53334226299410337</c:v>
                </c:pt>
                <c:pt idx="387">
                  <c:v>0.85603013758908464</c:v>
                </c:pt>
                <c:pt idx="388">
                  <c:v>-0.30829666292214702</c:v>
                </c:pt>
                <c:pt idx="389">
                  <c:v>-1.31435917200424E-2</c:v>
                </c:pt>
                <c:pt idx="390">
                  <c:v>-0.18270973417259884</c:v>
                </c:pt>
                <c:pt idx="391">
                  <c:v>-0.55108638345956562</c:v>
                </c:pt>
                <c:pt idx="392">
                  <c:v>0.21139558069782619</c:v>
                </c:pt>
                <c:pt idx="393">
                  <c:v>1.2509984440103932</c:v>
                </c:pt>
                <c:pt idx="394">
                  <c:v>-0.26568256047394445</c:v>
                </c:pt>
                <c:pt idx="395">
                  <c:v>-0.75276958265086913</c:v>
                </c:pt>
                <c:pt idx="396">
                  <c:v>-9.3979031031224028E-2</c:v>
                </c:pt>
                <c:pt idx="397">
                  <c:v>0.23500568059085231</c:v>
                </c:pt>
                <c:pt idx="398">
                  <c:v>0.18719731420665706</c:v>
                </c:pt>
                <c:pt idx="399">
                  <c:v>0.18048454970492522</c:v>
                </c:pt>
                <c:pt idx="400">
                  <c:v>0.57880616079878444</c:v>
                </c:pt>
                <c:pt idx="401">
                  <c:v>-0.51041769330034137</c:v>
                </c:pt>
                <c:pt idx="402">
                  <c:v>-0.47456304957810636</c:v>
                </c:pt>
                <c:pt idx="403">
                  <c:v>1.1126837579615523</c:v>
                </c:pt>
                <c:pt idx="404">
                  <c:v>1.665784429148119</c:v>
                </c:pt>
                <c:pt idx="405">
                  <c:v>-0.16094400587097973</c:v>
                </c:pt>
                <c:pt idx="406">
                  <c:v>1.2900642028237044</c:v>
                </c:pt>
                <c:pt idx="407">
                  <c:v>0.27908053177978048</c:v>
                </c:pt>
                <c:pt idx="408">
                  <c:v>-0.85519891952770966</c:v>
                </c:pt>
                <c:pt idx="409">
                  <c:v>-0.32568695777482826</c:v>
                </c:pt>
                <c:pt idx="410">
                  <c:v>-0.75930794379314526</c:v>
                </c:pt>
                <c:pt idx="411">
                  <c:v>0.4537697882253573</c:v>
                </c:pt>
                <c:pt idx="412">
                  <c:v>0.55888368371413177</c:v>
                </c:pt>
                <c:pt idx="413">
                  <c:v>-0.54275640669012393</c:v>
                </c:pt>
                <c:pt idx="414">
                  <c:v>1.1246899489272242</c:v>
                </c:pt>
                <c:pt idx="415">
                  <c:v>0.47177053409009762</c:v>
                </c:pt>
                <c:pt idx="416">
                  <c:v>-0.55929162588231141</c:v>
                </c:pt>
                <c:pt idx="417">
                  <c:v>-0.14950496119165047</c:v>
                </c:pt>
                <c:pt idx="418">
                  <c:v>0.34974885750283979</c:v>
                </c:pt>
                <c:pt idx="419">
                  <c:v>-0.21957960148318748</c:v>
                </c:pt>
                <c:pt idx="420">
                  <c:v>0.63166327971630465</c:v>
                </c:pt>
                <c:pt idx="421">
                  <c:v>0.60742236865297039</c:v>
                </c:pt>
                <c:pt idx="422">
                  <c:v>0.33673138909894218</c:v>
                </c:pt>
                <c:pt idx="423">
                  <c:v>-3.845604277526965E-2</c:v>
                </c:pt>
                <c:pt idx="424">
                  <c:v>1.6427271124202347</c:v>
                </c:pt>
                <c:pt idx="425">
                  <c:v>-0.23287778205903098</c:v>
                </c:pt>
                <c:pt idx="426">
                  <c:v>-0.33737987807005598</c:v>
                </c:pt>
                <c:pt idx="427">
                  <c:v>-4.3553835976254958E-2</c:v>
                </c:pt>
                <c:pt idx="428">
                  <c:v>-0.10676465202496037</c:v>
                </c:pt>
                <c:pt idx="429">
                  <c:v>0.28045483479988631</c:v>
                </c:pt>
                <c:pt idx="430">
                  <c:v>0.40051868619455505</c:v>
                </c:pt>
                <c:pt idx="431">
                  <c:v>-1.3497581825448481</c:v>
                </c:pt>
                <c:pt idx="432">
                  <c:v>-0.26651359310492251</c:v>
                </c:pt>
                <c:pt idx="433">
                  <c:v>-0.14456647244753187</c:v>
                </c:pt>
                <c:pt idx="434">
                  <c:v>0.14978294911107362</c:v>
                </c:pt>
                <c:pt idx="435">
                  <c:v>0.50729871912454483</c:v>
                </c:pt>
                <c:pt idx="436">
                  <c:v>-6.3777764715730767E-2</c:v>
                </c:pt>
                <c:pt idx="437">
                  <c:v>-0.566192644202128</c:v>
                </c:pt>
                <c:pt idx="438">
                  <c:v>0.61864787755232475</c:v>
                </c:pt>
                <c:pt idx="439">
                  <c:v>5.9027401936349186E-2</c:v>
                </c:pt>
                <c:pt idx="440">
                  <c:v>-0.73252714774759342</c:v>
                </c:pt>
                <c:pt idx="441">
                  <c:v>0.6549323830506133</c:v>
                </c:pt>
                <c:pt idx="442">
                  <c:v>0.7632788731296889</c:v>
                </c:pt>
                <c:pt idx="443">
                  <c:v>0.47792869922966791</c:v>
                </c:pt>
                <c:pt idx="444">
                  <c:v>-0.71346864001495702</c:v>
                </c:pt>
                <c:pt idx="445">
                  <c:v>-0.16126849720903239</c:v>
                </c:pt>
                <c:pt idx="446">
                  <c:v>-0.8438464777582475</c:v>
                </c:pt>
                <c:pt idx="447">
                  <c:v>-0.66917087870573166</c:v>
                </c:pt>
                <c:pt idx="448">
                  <c:v>0.35550930832688121</c:v>
                </c:pt>
                <c:pt idx="449">
                  <c:v>1.3931587932023051</c:v>
                </c:pt>
                <c:pt idx="450">
                  <c:v>-0.39103690028155941</c:v>
                </c:pt>
                <c:pt idx="451">
                  <c:v>1.3968369104784606</c:v>
                </c:pt>
                <c:pt idx="452">
                  <c:v>0.41801976701956206</c:v>
                </c:pt>
                <c:pt idx="453">
                  <c:v>0.67741167865898122</c:v>
                </c:pt>
                <c:pt idx="454">
                  <c:v>-0.79464924142869142</c:v>
                </c:pt>
                <c:pt idx="455">
                  <c:v>0.44286874678391835</c:v>
                </c:pt>
                <c:pt idx="456">
                  <c:v>0.79035802612036288</c:v>
                </c:pt>
                <c:pt idx="457">
                  <c:v>-0.44129248066480092</c:v>
                </c:pt>
                <c:pt idx="458">
                  <c:v>1.0283152952567871</c:v>
                </c:pt>
                <c:pt idx="459">
                  <c:v>1.959133869708835</c:v>
                </c:pt>
                <c:pt idx="460">
                  <c:v>-0.4273940366920469</c:v>
                </c:pt>
                <c:pt idx="461">
                  <c:v>0.65299093969582733</c:v>
                </c:pt>
                <c:pt idx="462">
                  <c:v>1.0560266233254274</c:v>
                </c:pt>
                <c:pt idx="463">
                  <c:v>-1.2619913470028743</c:v>
                </c:pt>
                <c:pt idx="464">
                  <c:v>0.60593381433676397</c:v>
                </c:pt>
                <c:pt idx="465">
                  <c:v>1.9704940347193194</c:v>
                </c:pt>
                <c:pt idx="466">
                  <c:v>-0.18710370828722417</c:v>
                </c:pt>
                <c:pt idx="467">
                  <c:v>1.2402636464139554</c:v>
                </c:pt>
                <c:pt idx="468">
                  <c:v>-0.2176664022847519</c:v>
                </c:pt>
                <c:pt idx="469">
                  <c:v>-0.6257069515779794</c:v>
                </c:pt>
                <c:pt idx="470">
                  <c:v>6.0108239912785119E-2</c:v>
                </c:pt>
                <c:pt idx="471">
                  <c:v>-0.23797508052345095</c:v>
                </c:pt>
                <c:pt idx="472">
                  <c:v>-1.1864291598229093</c:v>
                </c:pt>
                <c:pt idx="473">
                  <c:v>0.12160588157374695</c:v>
                </c:pt>
                <c:pt idx="474">
                  <c:v>0.64098450606507729</c:v>
                </c:pt>
                <c:pt idx="475">
                  <c:v>0.5940117602309074</c:v>
                </c:pt>
                <c:pt idx="476">
                  <c:v>-0.15344250230133449</c:v>
                </c:pt>
                <c:pt idx="477">
                  <c:v>-0.36935342741647514</c:v>
                </c:pt>
                <c:pt idx="478">
                  <c:v>0.91821762064014856</c:v>
                </c:pt>
                <c:pt idx="479">
                  <c:v>-0.30619617485184492</c:v>
                </c:pt>
                <c:pt idx="480">
                  <c:v>0.35033991179689533</c:v>
                </c:pt>
                <c:pt idx="481">
                  <c:v>-0.35369339797714433</c:v>
                </c:pt>
                <c:pt idx="482">
                  <c:v>-0.90199264087331477</c:v>
                </c:pt>
                <c:pt idx="483">
                  <c:v>0.75947418103670605</c:v>
                </c:pt>
                <c:pt idx="484">
                  <c:v>6.1434369250167646E-2</c:v>
                </c:pt>
                <c:pt idx="485">
                  <c:v>-1.1799727804878689E-2</c:v>
                </c:pt>
                <c:pt idx="486">
                  <c:v>-0.32792801215109679</c:v>
                </c:pt>
                <c:pt idx="487">
                  <c:v>1.1782092874268228</c:v>
                </c:pt>
                <c:pt idx="488">
                  <c:v>0.19872253990671768</c:v>
                </c:pt>
                <c:pt idx="489">
                  <c:v>-0.59993398719483992</c:v>
                </c:pt>
                <c:pt idx="490">
                  <c:v>1.0695010977550974</c:v>
                </c:pt>
                <c:pt idx="491">
                  <c:v>0.32145073414046971</c:v>
                </c:pt>
                <c:pt idx="492">
                  <c:v>-7.7021621499531265E-3</c:v>
                </c:pt>
                <c:pt idx="493">
                  <c:v>-0.24446190592055025</c:v>
                </c:pt>
                <c:pt idx="494">
                  <c:v>-0.85446349992845227</c:v>
                </c:pt>
                <c:pt idx="495">
                  <c:v>1.472638238167151</c:v>
                </c:pt>
                <c:pt idx="496">
                  <c:v>1.618683087873749</c:v>
                </c:pt>
                <c:pt idx="497">
                  <c:v>-0.2828669751581176</c:v>
                </c:pt>
                <c:pt idx="498">
                  <c:v>0.76883838486503464</c:v>
                </c:pt>
                <c:pt idx="499">
                  <c:v>-0.33173530043309579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16-44BA-9E24-A7B357E40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762503"/>
        <c:axId val="301337607"/>
      </c:scatterChart>
      <c:valAx>
        <c:axId val="294762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37607"/>
        <c:crosses val="autoZero"/>
        <c:crossBetween val="midCat"/>
      </c:valAx>
      <c:valAx>
        <c:axId val="301337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762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Standardization!$K$1</c:f>
              <c:strCache>
                <c:ptCount val="1"/>
                <c:pt idx="0">
                  <c:v>Unit Price - Mean Standardization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Standardization!$I$2:$I$501</c:f>
              <c:numCache>
                <c:formatCode>0.00000</c:formatCode>
                <c:ptCount val="500"/>
                <c:pt idx="0">
                  <c:v>1.7021273879115466</c:v>
                </c:pt>
                <c:pt idx="1">
                  <c:v>0.9667665212663773</c:v>
                </c:pt>
                <c:pt idx="2">
                  <c:v>1.621558767096227</c:v>
                </c:pt>
                <c:pt idx="3">
                  <c:v>-1.0204580850679439</c:v>
                </c:pt>
                <c:pt idx="4">
                  <c:v>7.2482227724965861E-3</c:v>
                </c:pt>
                <c:pt idx="5">
                  <c:v>-0.10400921270947201</c:v>
                </c:pt>
                <c:pt idx="6">
                  <c:v>-0.2211653105744604</c:v>
                </c:pt>
                <c:pt idx="7">
                  <c:v>-4.7936655183048384E-2</c:v>
                </c:pt>
                <c:pt idx="8">
                  <c:v>1.7522648785895614</c:v>
                </c:pt>
                <c:pt idx="9">
                  <c:v>-0.92329053495536362</c:v>
                </c:pt>
                <c:pt idx="10">
                  <c:v>0.79957840137706815</c:v>
                </c:pt>
                <c:pt idx="11">
                  <c:v>-0.18668180129026191</c:v>
                </c:pt>
                <c:pt idx="12">
                  <c:v>0.22122070322741463</c:v>
                </c:pt>
                <c:pt idx="13">
                  <c:v>0.31469350322915629</c:v>
                </c:pt>
                <c:pt idx="14">
                  <c:v>-1.0336855845582875</c:v>
                </c:pt>
                <c:pt idx="15">
                  <c:v>-1.2525897181320449</c:v>
                </c:pt>
                <c:pt idx="16">
                  <c:v>-0.673555396084768</c:v>
                </c:pt>
                <c:pt idx="17">
                  <c:v>7.8725887142486409E-3</c:v>
                </c:pt>
                <c:pt idx="18">
                  <c:v>-0.89567685129852026</c:v>
                </c:pt>
                <c:pt idx="19">
                  <c:v>-1.1725362534250406E-2</c:v>
                </c:pt>
                <c:pt idx="20">
                  <c:v>-0.17344201751200611</c:v>
                </c:pt>
                <c:pt idx="21">
                  <c:v>0.17954696615859622</c:v>
                </c:pt>
                <c:pt idx="22">
                  <c:v>-0.71152196949703805</c:v>
                </c:pt>
                <c:pt idx="23">
                  <c:v>-0.41545425552525189</c:v>
                </c:pt>
                <c:pt idx="24">
                  <c:v>-0.50134233449258003</c:v>
                </c:pt>
                <c:pt idx="25">
                  <c:v>-1.0766751449755831</c:v>
                </c:pt>
                <c:pt idx="26">
                  <c:v>0.29489997970959769</c:v>
                </c:pt>
                <c:pt idx="27">
                  <c:v>0.82912116319711826</c:v>
                </c:pt>
                <c:pt idx="28">
                  <c:v>-0.22467052087868994</c:v>
                </c:pt>
                <c:pt idx="29">
                  <c:v>-0.85832767300249813</c:v>
                </c:pt>
                <c:pt idx="30">
                  <c:v>1.6326146076492023</c:v>
                </c:pt>
                <c:pt idx="31">
                  <c:v>0.29203459473471349</c:v>
                </c:pt>
                <c:pt idx="32">
                  <c:v>-0.99899157603243149</c:v>
                </c:pt>
                <c:pt idx="33">
                  <c:v>-1.3899701880327093</c:v>
                </c:pt>
                <c:pt idx="34">
                  <c:v>0.10138151737425467</c:v>
                </c:pt>
                <c:pt idx="35">
                  <c:v>0.91168287245848678</c:v>
                </c:pt>
                <c:pt idx="36">
                  <c:v>-0.98361736844895242</c:v>
                </c:pt>
                <c:pt idx="37">
                  <c:v>1.0309458753460501</c:v>
                </c:pt>
                <c:pt idx="38">
                  <c:v>-0.59865389275310743</c:v>
                </c:pt>
                <c:pt idx="39">
                  <c:v>-0.6561703416883734</c:v>
                </c:pt>
                <c:pt idx="40">
                  <c:v>0.86115016815822076</c:v>
                </c:pt>
                <c:pt idx="41">
                  <c:v>-0.92235999167137572</c:v>
                </c:pt>
                <c:pt idx="42">
                  <c:v>1.1252662012097283</c:v>
                </c:pt>
                <c:pt idx="43">
                  <c:v>1.5152205382810797</c:v>
                </c:pt>
                <c:pt idx="44">
                  <c:v>1.0161372628637357</c:v>
                </c:pt>
                <c:pt idx="45">
                  <c:v>1.6440558563096718E-3</c:v>
                </c:pt>
                <c:pt idx="46">
                  <c:v>-0.94404127200192789</c:v>
                </c:pt>
                <c:pt idx="47">
                  <c:v>3.5662329643743922</c:v>
                </c:pt>
                <c:pt idx="48">
                  <c:v>-1.5827371459842818</c:v>
                </c:pt>
                <c:pt idx="49">
                  <c:v>1.0880335578392943</c:v>
                </c:pt>
                <c:pt idx="50">
                  <c:v>-1.5632618362486941</c:v>
                </c:pt>
                <c:pt idx="51">
                  <c:v>-1.7764384006892633</c:v>
                </c:pt>
                <c:pt idx="52">
                  <c:v>0.27823711487127861</c:v>
                </c:pt>
                <c:pt idx="53">
                  <c:v>-0.19888569538862141</c:v>
                </c:pt>
                <c:pt idx="54">
                  <c:v>0.27353680174402678</c:v>
                </c:pt>
                <c:pt idx="55">
                  <c:v>-1.6024752287829529</c:v>
                </c:pt>
                <c:pt idx="56">
                  <c:v>-1.1231651286972877</c:v>
                </c:pt>
                <c:pt idx="57">
                  <c:v>-0.13185255540263341</c:v>
                </c:pt>
                <c:pt idx="58">
                  <c:v>-0.73150188254524018</c:v>
                </c:pt>
                <c:pt idx="59">
                  <c:v>0.10793834655318958</c:v>
                </c:pt>
                <c:pt idx="60">
                  <c:v>1.2090850190878673</c:v>
                </c:pt>
                <c:pt idx="61">
                  <c:v>-0.11179597923628271</c:v>
                </c:pt>
                <c:pt idx="62">
                  <c:v>0.56865617559728177</c:v>
                </c:pt>
                <c:pt idx="63">
                  <c:v>0.48930594254729293</c:v>
                </c:pt>
                <c:pt idx="64">
                  <c:v>-0.99782880841561183</c:v>
                </c:pt>
                <c:pt idx="65">
                  <c:v>-0.29161603241762479</c:v>
                </c:pt>
                <c:pt idx="66">
                  <c:v>-2.8744676613001473E-2</c:v>
                </c:pt>
                <c:pt idx="67">
                  <c:v>0.61552642551925774</c:v>
                </c:pt>
                <c:pt idx="68">
                  <c:v>0.97126467990796705</c:v>
                </c:pt>
                <c:pt idx="69">
                  <c:v>-5.6072997574854497E-2</c:v>
                </c:pt>
                <c:pt idx="70">
                  <c:v>-1.2671026657702029</c:v>
                </c:pt>
                <c:pt idx="71">
                  <c:v>1.1483989076395329</c:v>
                </c:pt>
                <c:pt idx="72">
                  <c:v>1.343075127907712</c:v>
                </c:pt>
                <c:pt idx="73">
                  <c:v>1.9156122580758868</c:v>
                </c:pt>
                <c:pt idx="74">
                  <c:v>1.3062380083627931</c:v>
                </c:pt>
                <c:pt idx="75">
                  <c:v>0.86680107630396974</c:v>
                </c:pt>
                <c:pt idx="76">
                  <c:v>-0.70722872261884762</c:v>
                </c:pt>
                <c:pt idx="77">
                  <c:v>0.37346810878326336</c:v>
                </c:pt>
                <c:pt idx="78">
                  <c:v>1.9264938645826051</c:v>
                </c:pt>
                <c:pt idx="79">
                  <c:v>1.0937417886208818</c:v>
                </c:pt>
                <c:pt idx="80">
                  <c:v>1.6638461971183705</c:v>
                </c:pt>
                <c:pt idx="81">
                  <c:v>-0.72781043604799445</c:v>
                </c:pt>
                <c:pt idx="82">
                  <c:v>-1.0760682717634069</c:v>
                </c:pt>
                <c:pt idx="83">
                  <c:v>0.82321516177053256</c:v>
                </c:pt>
                <c:pt idx="84">
                  <c:v>1.1550488525018205</c:v>
                </c:pt>
                <c:pt idx="85">
                  <c:v>-1.5073700741889072E-2</c:v>
                </c:pt>
                <c:pt idx="86">
                  <c:v>-0.25475198161618978</c:v>
                </c:pt>
                <c:pt idx="87">
                  <c:v>-1.1029642402996855</c:v>
                </c:pt>
                <c:pt idx="88">
                  <c:v>-0.61620102273352317</c:v>
                </c:pt>
                <c:pt idx="89">
                  <c:v>-0.48404943215942636</c:v>
                </c:pt>
                <c:pt idx="90">
                  <c:v>0.61419745737589782</c:v>
                </c:pt>
                <c:pt idx="91">
                  <c:v>-0.87301729366489655</c:v>
                </c:pt>
                <c:pt idx="92">
                  <c:v>-0.99592593100513693</c:v>
                </c:pt>
                <c:pt idx="93">
                  <c:v>-0.19451672623001709</c:v>
                </c:pt>
                <c:pt idx="94">
                  <c:v>0.39822553353628498</c:v>
                </c:pt>
                <c:pt idx="95">
                  <c:v>0.67820219054025321</c:v>
                </c:pt>
                <c:pt idx="96">
                  <c:v>-0.20587558575201348</c:v>
                </c:pt>
                <c:pt idx="97">
                  <c:v>-9.4649708994742621E-2</c:v>
                </c:pt>
                <c:pt idx="98">
                  <c:v>-1.1041232358365971</c:v>
                </c:pt>
                <c:pt idx="99">
                  <c:v>-0.37572304285188773</c:v>
                </c:pt>
                <c:pt idx="100">
                  <c:v>-1.9709085015405334</c:v>
                </c:pt>
                <c:pt idx="101">
                  <c:v>1.1101765257981032E-2</c:v>
                </c:pt>
                <c:pt idx="102">
                  <c:v>1.1549765307754032</c:v>
                </c:pt>
                <c:pt idx="103">
                  <c:v>-0.34614547624696829</c:v>
                </c:pt>
                <c:pt idx="104">
                  <c:v>0.14568300556567573</c:v>
                </c:pt>
                <c:pt idx="105">
                  <c:v>-1.1935001600974686</c:v>
                </c:pt>
                <c:pt idx="106">
                  <c:v>7.8565353832471124E-2</c:v>
                </c:pt>
                <c:pt idx="107">
                  <c:v>-0.88967521445347031</c:v>
                </c:pt>
                <c:pt idx="108">
                  <c:v>0.32689930212940688</c:v>
                </c:pt>
                <c:pt idx="109">
                  <c:v>-0.43711669356693467</c:v>
                </c:pt>
                <c:pt idx="110">
                  <c:v>0.11640128527223234</c:v>
                </c:pt>
                <c:pt idx="111">
                  <c:v>1.1516572461446632</c:v>
                </c:pt>
                <c:pt idx="112">
                  <c:v>0.24909934375867451</c:v>
                </c:pt>
                <c:pt idx="113">
                  <c:v>-0.16772822321729203</c:v>
                </c:pt>
                <c:pt idx="114">
                  <c:v>0.23272653759108788</c:v>
                </c:pt>
                <c:pt idx="115">
                  <c:v>-0.61207579575099513</c:v>
                </c:pt>
                <c:pt idx="116">
                  <c:v>-0.6825032796156506</c:v>
                </c:pt>
                <c:pt idx="117">
                  <c:v>-0.50351483219391868</c:v>
                </c:pt>
                <c:pt idx="118">
                  <c:v>-0.97312894442072773</c:v>
                </c:pt>
                <c:pt idx="119">
                  <c:v>-1.2920611222888958</c:v>
                </c:pt>
                <c:pt idx="120">
                  <c:v>-0.66342687449614568</c:v>
                </c:pt>
                <c:pt idx="121">
                  <c:v>-0.94832354781535466</c:v>
                </c:pt>
                <c:pt idx="122">
                  <c:v>-1.648364210160925</c:v>
                </c:pt>
                <c:pt idx="123">
                  <c:v>0.83836325930905831</c:v>
                </c:pt>
                <c:pt idx="124">
                  <c:v>-1.3379952099046997</c:v>
                </c:pt>
                <c:pt idx="125">
                  <c:v>1.0134799465323272</c:v>
                </c:pt>
                <c:pt idx="126">
                  <c:v>0.10732664072771785</c:v>
                </c:pt>
                <c:pt idx="127">
                  <c:v>-9.2915840827892351E-2</c:v>
                </c:pt>
                <c:pt idx="128">
                  <c:v>0.18836527578805548</c:v>
                </c:pt>
                <c:pt idx="129">
                  <c:v>1.4133130607599105</c:v>
                </c:pt>
                <c:pt idx="130">
                  <c:v>-0.10458535545622702</c:v>
                </c:pt>
                <c:pt idx="131">
                  <c:v>1.8145882761659524</c:v>
                </c:pt>
                <c:pt idx="132">
                  <c:v>-0.25154581877141541</c:v>
                </c:pt>
                <c:pt idx="133">
                  <c:v>-0.25552062884162108</c:v>
                </c:pt>
                <c:pt idx="134">
                  <c:v>0.59388530835583164</c:v>
                </c:pt>
                <c:pt idx="135">
                  <c:v>-1.4358155338488305</c:v>
                </c:pt>
                <c:pt idx="136">
                  <c:v>-0.894756274958042</c:v>
                </c:pt>
                <c:pt idx="137">
                  <c:v>-1.0022132065369678</c:v>
                </c:pt>
                <c:pt idx="138">
                  <c:v>-1.6740566738644651</c:v>
                </c:pt>
                <c:pt idx="139">
                  <c:v>-0.94605152890123667</c:v>
                </c:pt>
                <c:pt idx="140">
                  <c:v>-0.39540262635063028</c:v>
                </c:pt>
                <c:pt idx="141">
                  <c:v>1.0492691264265734</c:v>
                </c:pt>
                <c:pt idx="142">
                  <c:v>-1.1764744008525307</c:v>
                </c:pt>
                <c:pt idx="143">
                  <c:v>-0.75086677645871636</c:v>
                </c:pt>
                <c:pt idx="144">
                  <c:v>-0.42251171689886868</c:v>
                </c:pt>
                <c:pt idx="145">
                  <c:v>0.93321838323493067</c:v>
                </c:pt>
                <c:pt idx="146">
                  <c:v>2.4924208204041641E-2</c:v>
                </c:pt>
                <c:pt idx="147">
                  <c:v>-0.33584824770209565</c:v>
                </c:pt>
                <c:pt idx="148">
                  <c:v>-1.1676037440365892</c:v>
                </c:pt>
                <c:pt idx="149">
                  <c:v>3.0526102484871549</c:v>
                </c:pt>
                <c:pt idx="150">
                  <c:v>-0.82151205622090095</c:v>
                </c:pt>
                <c:pt idx="151">
                  <c:v>0.14271970597444025</c:v>
                </c:pt>
                <c:pt idx="152">
                  <c:v>-0.6308213150034262</c:v>
                </c:pt>
                <c:pt idx="153">
                  <c:v>-4.2614256562547075E-2</c:v>
                </c:pt>
                <c:pt idx="154">
                  <c:v>-0.56901888106869236</c:v>
                </c:pt>
                <c:pt idx="155">
                  <c:v>-0.32911295849893069</c:v>
                </c:pt>
                <c:pt idx="156">
                  <c:v>2.1839146516514911</c:v>
                </c:pt>
                <c:pt idx="157">
                  <c:v>-0.47631355842057482</c:v>
                </c:pt>
                <c:pt idx="158">
                  <c:v>-0.34578260573951969</c:v>
                </c:pt>
                <c:pt idx="159">
                  <c:v>-1.3525339910934888</c:v>
                </c:pt>
                <c:pt idx="160">
                  <c:v>2.8538223617051695</c:v>
                </c:pt>
                <c:pt idx="161">
                  <c:v>-0.28873134706881587</c:v>
                </c:pt>
                <c:pt idx="162">
                  <c:v>-0.96583856659238077</c:v>
                </c:pt>
                <c:pt idx="163">
                  <c:v>0.21272827955988022</c:v>
                </c:pt>
                <c:pt idx="164">
                  <c:v>-0.12992647885382427</c:v>
                </c:pt>
                <c:pt idx="165">
                  <c:v>-1.7155067221892828</c:v>
                </c:pt>
                <c:pt idx="166">
                  <c:v>0.76844253957900088</c:v>
                </c:pt>
                <c:pt idx="167">
                  <c:v>6.5617335573277535E-2</c:v>
                </c:pt>
                <c:pt idx="168">
                  <c:v>-0.59759803903330622</c:v>
                </c:pt>
                <c:pt idx="169">
                  <c:v>1.9850968336421912</c:v>
                </c:pt>
                <c:pt idx="170">
                  <c:v>-0.2198683627846259</c:v>
                </c:pt>
                <c:pt idx="171">
                  <c:v>1.1572190050316971</c:v>
                </c:pt>
                <c:pt idx="172">
                  <c:v>-0.73600634599765968</c:v>
                </c:pt>
                <c:pt idx="173">
                  <c:v>-4.5070752202599103E-2</c:v>
                </c:pt>
                <c:pt idx="174">
                  <c:v>0.26519628281436142</c:v>
                </c:pt>
                <c:pt idx="175">
                  <c:v>0.14012248250754472</c:v>
                </c:pt>
                <c:pt idx="176">
                  <c:v>-0.41280045594335874</c:v>
                </c:pt>
                <c:pt idx="177">
                  <c:v>0.77787295042506999</c:v>
                </c:pt>
                <c:pt idx="178">
                  <c:v>-0.35267185168253701</c:v>
                </c:pt>
                <c:pt idx="179">
                  <c:v>-0.39776526616376295</c:v>
                </c:pt>
                <c:pt idx="180">
                  <c:v>-0.98890708711233744</c:v>
                </c:pt>
                <c:pt idx="181">
                  <c:v>-0.37228907744404133</c:v>
                </c:pt>
                <c:pt idx="182">
                  <c:v>-0.65610472348077542</c:v>
                </c:pt>
                <c:pt idx="183">
                  <c:v>-0.17053079146177649</c:v>
                </c:pt>
                <c:pt idx="184">
                  <c:v>-1.0053545830558139</c:v>
                </c:pt>
                <c:pt idx="185">
                  <c:v>0.34634084060733766</c:v>
                </c:pt>
                <c:pt idx="186">
                  <c:v>1.9966242111226682</c:v>
                </c:pt>
                <c:pt idx="187">
                  <c:v>0.10823781770119116</c:v>
                </c:pt>
                <c:pt idx="188">
                  <c:v>-0.5061071812748924</c:v>
                </c:pt>
                <c:pt idx="189">
                  <c:v>-1.6038018167054289</c:v>
                </c:pt>
                <c:pt idx="190">
                  <c:v>0.98673628930093726</c:v>
                </c:pt>
                <c:pt idx="191">
                  <c:v>-1.1507334868520456</c:v>
                </c:pt>
                <c:pt idx="192">
                  <c:v>-0.14603602868122734</c:v>
                </c:pt>
                <c:pt idx="193">
                  <c:v>-1.0362223473744239</c:v>
                </c:pt>
                <c:pt idx="194">
                  <c:v>-0.5802326321046285</c:v>
                </c:pt>
                <c:pt idx="195">
                  <c:v>0.69361516823711378</c:v>
                </c:pt>
                <c:pt idx="196">
                  <c:v>0.49818307929462979</c:v>
                </c:pt>
                <c:pt idx="197">
                  <c:v>0.61882218308988324</c:v>
                </c:pt>
                <c:pt idx="198">
                  <c:v>0.38140785957235274</c:v>
                </c:pt>
                <c:pt idx="199">
                  <c:v>-1.1727763919932992</c:v>
                </c:pt>
                <c:pt idx="200">
                  <c:v>-0.98169788117200019</c:v>
                </c:pt>
                <c:pt idx="201">
                  <c:v>-0.88707255476660285</c:v>
                </c:pt>
                <c:pt idx="202">
                  <c:v>-1.7986958725187399</c:v>
                </c:pt>
                <c:pt idx="203">
                  <c:v>-0.32094140685942329</c:v>
                </c:pt>
                <c:pt idx="204">
                  <c:v>-0.56395290406809195</c:v>
                </c:pt>
                <c:pt idx="205">
                  <c:v>-0.7297210902205038</c:v>
                </c:pt>
                <c:pt idx="206">
                  <c:v>0.59259242448822991</c:v>
                </c:pt>
                <c:pt idx="207">
                  <c:v>-0.42877722070986996</c:v>
                </c:pt>
                <c:pt idx="208">
                  <c:v>-1.2689727583641859</c:v>
                </c:pt>
                <c:pt idx="209">
                  <c:v>-1.260195526208794</c:v>
                </c:pt>
                <c:pt idx="210">
                  <c:v>3.2605709924301935</c:v>
                </c:pt>
                <c:pt idx="211">
                  <c:v>0.9491391804009448</c:v>
                </c:pt>
                <c:pt idx="212">
                  <c:v>0.79757216778123918</c:v>
                </c:pt>
                <c:pt idx="213">
                  <c:v>-1.1613273293030433</c:v>
                </c:pt>
                <c:pt idx="214">
                  <c:v>0.58823965827901625</c:v>
                </c:pt>
                <c:pt idx="215">
                  <c:v>-1.4059734894756484</c:v>
                </c:pt>
                <c:pt idx="216">
                  <c:v>2.122931423398283</c:v>
                </c:pt>
                <c:pt idx="217">
                  <c:v>0.59720502938560971</c:v>
                </c:pt>
                <c:pt idx="218">
                  <c:v>1.5267116069622204</c:v>
                </c:pt>
                <c:pt idx="219">
                  <c:v>0.45256620491774802</c:v>
                </c:pt>
                <c:pt idx="220">
                  <c:v>0.64652997508941235</c:v>
                </c:pt>
                <c:pt idx="221">
                  <c:v>-0.1997002775970653</c:v>
                </c:pt>
                <c:pt idx="222">
                  <c:v>-1.1320021693420266</c:v>
                </c:pt>
                <c:pt idx="223">
                  <c:v>-7.2581234389136967E-2</c:v>
                </c:pt>
                <c:pt idx="224">
                  <c:v>0.18141880354769035</c:v>
                </c:pt>
                <c:pt idx="225">
                  <c:v>-1.0708367010438005</c:v>
                </c:pt>
                <c:pt idx="226">
                  <c:v>-0.47521593921092325</c:v>
                </c:pt>
                <c:pt idx="227">
                  <c:v>-1.6286518307276325</c:v>
                </c:pt>
                <c:pt idx="228">
                  <c:v>-0.87752878993262418</c:v>
                </c:pt>
                <c:pt idx="229">
                  <c:v>3.0524680535658613</c:v>
                </c:pt>
                <c:pt idx="230">
                  <c:v>0.76821494966373216</c:v>
                </c:pt>
                <c:pt idx="231">
                  <c:v>-0.37849677826242895</c:v>
                </c:pt>
                <c:pt idx="232">
                  <c:v>-9.9941994615666704E-2</c:v>
                </c:pt>
                <c:pt idx="233">
                  <c:v>-0.18182146462224275</c:v>
                </c:pt>
                <c:pt idx="234">
                  <c:v>2.2297229864717836</c:v>
                </c:pt>
                <c:pt idx="235">
                  <c:v>0.73134230926762422</c:v>
                </c:pt>
                <c:pt idx="236">
                  <c:v>-0.24046436428515186</c:v>
                </c:pt>
                <c:pt idx="237">
                  <c:v>-1.3541402225390966</c:v>
                </c:pt>
                <c:pt idx="238">
                  <c:v>-3.2623873851109639E-2</c:v>
                </c:pt>
                <c:pt idx="239">
                  <c:v>0.24469475278135755</c:v>
                </c:pt>
                <c:pt idx="240">
                  <c:v>1.1681227948676645</c:v>
                </c:pt>
                <c:pt idx="241">
                  <c:v>-0.58535715550897871</c:v>
                </c:pt>
                <c:pt idx="242">
                  <c:v>-1.0801998454881894</c:v>
                </c:pt>
                <c:pt idx="243">
                  <c:v>-1.1180980982108961</c:v>
                </c:pt>
                <c:pt idx="244">
                  <c:v>-0.3215376555405467</c:v>
                </c:pt>
                <c:pt idx="245">
                  <c:v>-0.62131794356685599</c:v>
                </c:pt>
                <c:pt idx="246">
                  <c:v>4.3064944809426416E-2</c:v>
                </c:pt>
                <c:pt idx="247">
                  <c:v>0.11001214478375579</c:v>
                </c:pt>
                <c:pt idx="248">
                  <c:v>1.4276415757215002</c:v>
                </c:pt>
                <c:pt idx="249">
                  <c:v>0.53999485505691536</c:v>
                </c:pt>
                <c:pt idx="250">
                  <c:v>-1.7439525181039206</c:v>
                </c:pt>
                <c:pt idx="251">
                  <c:v>0.24157871769471398</c:v>
                </c:pt>
                <c:pt idx="252">
                  <c:v>0.76294051537308549</c:v>
                </c:pt>
                <c:pt idx="253">
                  <c:v>0.56019142121364429</c:v>
                </c:pt>
                <c:pt idx="254">
                  <c:v>1.6952094763980541</c:v>
                </c:pt>
                <c:pt idx="255">
                  <c:v>-0.31774427197582961</c:v>
                </c:pt>
                <c:pt idx="256">
                  <c:v>1.0196916219921421</c:v>
                </c:pt>
                <c:pt idx="257">
                  <c:v>-1.1351328285989701</c:v>
                </c:pt>
                <c:pt idx="258">
                  <c:v>1.1455460279407512</c:v>
                </c:pt>
                <c:pt idx="259">
                  <c:v>-0.20923761488777823</c:v>
                </c:pt>
                <c:pt idx="260">
                  <c:v>-1.4902447208829854</c:v>
                </c:pt>
                <c:pt idx="261">
                  <c:v>-0.95545528950445413</c:v>
                </c:pt>
                <c:pt idx="262">
                  <c:v>1.746790315470063</c:v>
                </c:pt>
                <c:pt idx="263">
                  <c:v>-0.60484133428109266</c:v>
                </c:pt>
                <c:pt idx="264">
                  <c:v>1.5826570424627149</c:v>
                </c:pt>
                <c:pt idx="265">
                  <c:v>-0.44535431174550988</c:v>
                </c:pt>
                <c:pt idx="266">
                  <c:v>0.72964831453539136</c:v>
                </c:pt>
                <c:pt idx="267">
                  <c:v>1.278899711863809</c:v>
                </c:pt>
                <c:pt idx="268">
                  <c:v>-0.24126276574275698</c:v>
                </c:pt>
                <c:pt idx="269">
                  <c:v>-0.83718777287484325</c:v>
                </c:pt>
                <c:pt idx="270">
                  <c:v>0.59169471840591414</c:v>
                </c:pt>
                <c:pt idx="271">
                  <c:v>0.20848220688055746</c:v>
                </c:pt>
                <c:pt idx="272">
                  <c:v>0.52789287725306699</c:v>
                </c:pt>
                <c:pt idx="273">
                  <c:v>0.67947854403130326</c:v>
                </c:pt>
                <c:pt idx="274">
                  <c:v>0.2168399694951379</c:v>
                </c:pt>
                <c:pt idx="275">
                  <c:v>-1.0751972726054877</c:v>
                </c:pt>
                <c:pt idx="276">
                  <c:v>-0.15422310484450905</c:v>
                </c:pt>
                <c:pt idx="277">
                  <c:v>-0.39863129614193393</c:v>
                </c:pt>
                <c:pt idx="278">
                  <c:v>5.5460329499557905E-2</c:v>
                </c:pt>
                <c:pt idx="279">
                  <c:v>5.215546602916931E-2</c:v>
                </c:pt>
                <c:pt idx="280">
                  <c:v>-0.37656440274001346</c:v>
                </c:pt>
                <c:pt idx="281">
                  <c:v>-0.53256771043331597</c:v>
                </c:pt>
                <c:pt idx="282">
                  <c:v>1.1094831579416411</c:v>
                </c:pt>
                <c:pt idx="283">
                  <c:v>-0.54291332943696202</c:v>
                </c:pt>
                <c:pt idx="284">
                  <c:v>0.32171667184857949</c:v>
                </c:pt>
                <c:pt idx="285">
                  <c:v>0.3149192729687364</c:v>
                </c:pt>
                <c:pt idx="286">
                  <c:v>-0.74350253566498159</c:v>
                </c:pt>
                <c:pt idx="287">
                  <c:v>0.23391926816970368</c:v>
                </c:pt>
                <c:pt idx="288">
                  <c:v>0.32438948617524122</c:v>
                </c:pt>
                <c:pt idx="289">
                  <c:v>-0.59262096135995768</c:v>
                </c:pt>
                <c:pt idx="290">
                  <c:v>2.8589959255864485</c:v>
                </c:pt>
                <c:pt idx="291">
                  <c:v>-0.11070226319706279</c:v>
                </c:pt>
                <c:pt idx="292">
                  <c:v>2.4428318291649207</c:v>
                </c:pt>
                <c:pt idx="293">
                  <c:v>0.2589592036804626</c:v>
                </c:pt>
                <c:pt idx="294">
                  <c:v>1.6426610472286225</c:v>
                </c:pt>
                <c:pt idx="295">
                  <c:v>7.4789201297683586E-2</c:v>
                </c:pt>
                <c:pt idx="296">
                  <c:v>-1.6657417380744652</c:v>
                </c:pt>
                <c:pt idx="297">
                  <c:v>0.27061909416283836</c:v>
                </c:pt>
                <c:pt idx="298">
                  <c:v>-1.0001343228068615</c:v>
                </c:pt>
                <c:pt idx="299">
                  <c:v>-0.50442710623243259</c:v>
                </c:pt>
                <c:pt idx="300">
                  <c:v>0.36608271063607112</c:v>
                </c:pt>
                <c:pt idx="301">
                  <c:v>0.21864100213452442</c:v>
                </c:pt>
                <c:pt idx="302">
                  <c:v>2.1546975040052017</c:v>
                </c:pt>
                <c:pt idx="303">
                  <c:v>0.13234133307561252</c:v>
                </c:pt>
                <c:pt idx="304">
                  <c:v>1.4339679860384695E-2</c:v>
                </c:pt>
                <c:pt idx="305">
                  <c:v>8.9951903057143553E-2</c:v>
                </c:pt>
                <c:pt idx="306">
                  <c:v>-7.8000427539349229E-2</c:v>
                </c:pt>
                <c:pt idx="307">
                  <c:v>-1.2374262195270747</c:v>
                </c:pt>
                <c:pt idx="308">
                  <c:v>1.2071143749449003</c:v>
                </c:pt>
                <c:pt idx="309">
                  <c:v>-1.3328322987021404</c:v>
                </c:pt>
                <c:pt idx="310">
                  <c:v>0.26156082462142577</c:v>
                </c:pt>
                <c:pt idx="311">
                  <c:v>0.47127726321108365</c:v>
                </c:pt>
                <c:pt idx="312">
                  <c:v>0.29290748183303539</c:v>
                </c:pt>
                <c:pt idx="313">
                  <c:v>-0.39318683327920606</c:v>
                </c:pt>
                <c:pt idx="314">
                  <c:v>-0.86719958765002314</c:v>
                </c:pt>
                <c:pt idx="315">
                  <c:v>1.0628049596970384</c:v>
                </c:pt>
                <c:pt idx="316">
                  <c:v>0.57414489709517424</c:v>
                </c:pt>
                <c:pt idx="317">
                  <c:v>0.81318350776111059</c:v>
                </c:pt>
                <c:pt idx="318">
                  <c:v>2.2153928605717059</c:v>
                </c:pt>
                <c:pt idx="319">
                  <c:v>1.8347439819031415</c:v>
                </c:pt>
                <c:pt idx="320">
                  <c:v>-1.2543893989073867</c:v>
                </c:pt>
                <c:pt idx="321">
                  <c:v>-0.66452341196196718</c:v>
                </c:pt>
                <c:pt idx="322">
                  <c:v>0.72749260935580584</c:v>
                </c:pt>
                <c:pt idx="323">
                  <c:v>3.6294756715488257</c:v>
                </c:pt>
                <c:pt idx="324">
                  <c:v>0.21268467910455641</c:v>
                </c:pt>
                <c:pt idx="325">
                  <c:v>-1.0076657208511497</c:v>
                </c:pt>
                <c:pt idx="326">
                  <c:v>-0.51475325716406894</c:v>
                </c:pt>
                <c:pt idx="327">
                  <c:v>-0.69203831495708368</c:v>
                </c:pt>
                <c:pt idx="328">
                  <c:v>-0.55454309082769804</c:v>
                </c:pt>
                <c:pt idx="329">
                  <c:v>0.86537604760285014</c:v>
                </c:pt>
                <c:pt idx="330">
                  <c:v>0.79873157023731967</c:v>
                </c:pt>
                <c:pt idx="331">
                  <c:v>1.1055904941049435</c:v>
                </c:pt>
                <c:pt idx="332">
                  <c:v>-0.62334614923464393</c:v>
                </c:pt>
                <c:pt idx="333">
                  <c:v>-0.51025772322377094</c:v>
                </c:pt>
                <c:pt idx="334">
                  <c:v>-0.24504188883296293</c:v>
                </c:pt>
                <c:pt idx="335">
                  <c:v>-0.48708142663161785</c:v>
                </c:pt>
                <c:pt idx="336">
                  <c:v>-0.45655779336656011</c:v>
                </c:pt>
                <c:pt idx="337">
                  <c:v>-1.6274849913872373</c:v>
                </c:pt>
                <c:pt idx="338">
                  <c:v>-0.31601939622648118</c:v>
                </c:pt>
                <c:pt idx="339">
                  <c:v>1.1799953467314424</c:v>
                </c:pt>
                <c:pt idx="340">
                  <c:v>-1.126301333447931</c:v>
                </c:pt>
                <c:pt idx="341">
                  <c:v>0.56650086976135661</c:v>
                </c:pt>
                <c:pt idx="342">
                  <c:v>-0.60121993376583849</c:v>
                </c:pt>
                <c:pt idx="343">
                  <c:v>0.29205521118535976</c:v>
                </c:pt>
                <c:pt idx="344">
                  <c:v>0.20998335142853158</c:v>
                </c:pt>
                <c:pt idx="345">
                  <c:v>-1.026670459682508</c:v>
                </c:pt>
                <c:pt idx="346">
                  <c:v>1.1775609084752914</c:v>
                </c:pt>
                <c:pt idx="347">
                  <c:v>1.3097337177134301</c:v>
                </c:pt>
                <c:pt idx="348">
                  <c:v>-1.1340666432831714</c:v>
                </c:pt>
                <c:pt idx="349">
                  <c:v>-0.34795640491987384</c:v>
                </c:pt>
                <c:pt idx="350">
                  <c:v>-0.14279982437881658</c:v>
                </c:pt>
                <c:pt idx="351">
                  <c:v>-0.20711708659669645</c:v>
                </c:pt>
                <c:pt idx="352">
                  <c:v>-1.0897993277374181</c:v>
                </c:pt>
                <c:pt idx="353">
                  <c:v>-1.5821538128866157</c:v>
                </c:pt>
                <c:pt idx="354">
                  <c:v>-0.16676170763364911</c:v>
                </c:pt>
                <c:pt idx="355">
                  <c:v>4.600169650060729</c:v>
                </c:pt>
                <c:pt idx="356">
                  <c:v>-1.5471173921292749</c:v>
                </c:pt>
                <c:pt idx="357">
                  <c:v>-0.74766858362994182</c:v>
                </c:pt>
                <c:pt idx="358">
                  <c:v>-0.24913470000693971</c:v>
                </c:pt>
                <c:pt idx="359">
                  <c:v>-1.0580712998441233</c:v>
                </c:pt>
                <c:pt idx="360">
                  <c:v>-0.71063638936727846</c:v>
                </c:pt>
                <c:pt idx="361">
                  <c:v>-1.1037986222093139</c:v>
                </c:pt>
                <c:pt idx="362">
                  <c:v>0.3092173461975018</c:v>
                </c:pt>
                <c:pt idx="363">
                  <c:v>-0.47836480007136306</c:v>
                </c:pt>
                <c:pt idx="364">
                  <c:v>1.8857378202793187</c:v>
                </c:pt>
                <c:pt idx="365">
                  <c:v>-0.60066874456420338</c:v>
                </c:pt>
                <c:pt idx="366">
                  <c:v>-1.3356156970546702</c:v>
                </c:pt>
                <c:pt idx="367">
                  <c:v>-0.6964034292528325</c:v>
                </c:pt>
                <c:pt idx="368">
                  <c:v>-0.75709706981347458</c:v>
                </c:pt>
                <c:pt idx="369">
                  <c:v>5.436119406323766E-2</c:v>
                </c:pt>
                <c:pt idx="370">
                  <c:v>-0.27941344204045543</c:v>
                </c:pt>
                <c:pt idx="371">
                  <c:v>-0.6914910510254525</c:v>
                </c:pt>
                <c:pt idx="372">
                  <c:v>-0.50978086961596802</c:v>
                </c:pt>
                <c:pt idx="373">
                  <c:v>1.1513439581057983</c:v>
                </c:pt>
                <c:pt idx="374">
                  <c:v>1.6140130261175831</c:v>
                </c:pt>
                <c:pt idx="375">
                  <c:v>-0.30939451321969641</c:v>
                </c:pt>
                <c:pt idx="376">
                  <c:v>-0.2048043144345098</c:v>
                </c:pt>
                <c:pt idx="377">
                  <c:v>-1.0427476487345828</c:v>
                </c:pt>
                <c:pt idx="378">
                  <c:v>-0.14678495696578553</c:v>
                </c:pt>
                <c:pt idx="379">
                  <c:v>-8.9650168125604654E-2</c:v>
                </c:pt>
                <c:pt idx="380">
                  <c:v>-0.52153134319868577</c:v>
                </c:pt>
                <c:pt idx="381">
                  <c:v>-0.39054957893656306</c:v>
                </c:pt>
                <c:pt idx="382">
                  <c:v>1.3982025197084613</c:v>
                </c:pt>
                <c:pt idx="383">
                  <c:v>-0.26179639385577297</c:v>
                </c:pt>
                <c:pt idx="384">
                  <c:v>1.9565019689359371</c:v>
                </c:pt>
                <c:pt idx="385">
                  <c:v>0.62055514608489493</c:v>
                </c:pt>
                <c:pt idx="386">
                  <c:v>0.73701245742690957</c:v>
                </c:pt>
                <c:pt idx="387">
                  <c:v>0.38818281049498016</c:v>
                </c:pt>
                <c:pt idx="388">
                  <c:v>-0.97044594141355067</c:v>
                </c:pt>
                <c:pt idx="389">
                  <c:v>-0.31157390466554197</c:v>
                </c:pt>
                <c:pt idx="390">
                  <c:v>0.10144814347043914</c:v>
                </c:pt>
                <c:pt idx="391">
                  <c:v>-0.42167111436150023</c:v>
                </c:pt>
                <c:pt idx="392">
                  <c:v>0.29020986724203762</c:v>
                </c:pt>
                <c:pt idx="393">
                  <c:v>0.81835029254960978</c:v>
                </c:pt>
                <c:pt idx="394">
                  <c:v>-0.26568882010900119</c:v>
                </c:pt>
                <c:pt idx="395">
                  <c:v>-1.3251269811703463</c:v>
                </c:pt>
                <c:pt idx="396">
                  <c:v>0.28362242958975531</c:v>
                </c:pt>
                <c:pt idx="397">
                  <c:v>0.74803769253079344</c:v>
                </c:pt>
                <c:pt idx="398">
                  <c:v>-0.44821032028015678</c:v>
                </c:pt>
                <c:pt idx="399">
                  <c:v>-2.6391128394815725E-2</c:v>
                </c:pt>
                <c:pt idx="400">
                  <c:v>0.77103718277115507</c:v>
                </c:pt>
                <c:pt idx="401">
                  <c:v>-1.1173847633002094</c:v>
                </c:pt>
                <c:pt idx="402">
                  <c:v>-0.62891495947893294</c:v>
                </c:pt>
                <c:pt idx="403">
                  <c:v>1.7083226653851729</c:v>
                </c:pt>
                <c:pt idx="404">
                  <c:v>2.1354729527620515</c:v>
                </c:pt>
                <c:pt idx="405">
                  <c:v>-0.36244970429306694</c:v>
                </c:pt>
                <c:pt idx="406">
                  <c:v>1.6338507424011155</c:v>
                </c:pt>
                <c:pt idx="407">
                  <c:v>-5.8775097012603555E-2</c:v>
                </c:pt>
                <c:pt idx="408">
                  <c:v>-0.90359244967163233</c:v>
                </c:pt>
                <c:pt idx="409">
                  <c:v>-0.65509598298920968</c:v>
                </c:pt>
                <c:pt idx="410">
                  <c:v>-0.78324828407406688</c:v>
                </c:pt>
                <c:pt idx="411">
                  <c:v>9.9264400711801426E-2</c:v>
                </c:pt>
                <c:pt idx="412">
                  <c:v>4.3317160892658926E-2</c:v>
                </c:pt>
                <c:pt idx="413">
                  <c:v>-0.95906629223878015</c:v>
                </c:pt>
                <c:pt idx="414">
                  <c:v>1.2598759229461411</c:v>
                </c:pt>
                <c:pt idx="415">
                  <c:v>0.3038086926718615</c:v>
                </c:pt>
                <c:pt idx="416">
                  <c:v>-1.0004456885302855</c:v>
                </c:pt>
                <c:pt idx="417">
                  <c:v>-0.7325670235352516</c:v>
                </c:pt>
                <c:pt idx="418">
                  <c:v>0.27756984623253583</c:v>
                </c:pt>
                <c:pt idx="419">
                  <c:v>-0.78830579366299536</c:v>
                </c:pt>
                <c:pt idx="420">
                  <c:v>0.42481991288691745</c:v>
                </c:pt>
                <c:pt idx="421">
                  <c:v>0.44390572503554526</c:v>
                </c:pt>
                <c:pt idx="422">
                  <c:v>8.5496209211248439E-2</c:v>
                </c:pt>
                <c:pt idx="423">
                  <c:v>-0.65403880409866599</c:v>
                </c:pt>
                <c:pt idx="424">
                  <c:v>1.1606618713393351</c:v>
                </c:pt>
                <c:pt idx="425">
                  <c:v>-0.14372048819924063</c:v>
                </c:pt>
                <c:pt idx="426">
                  <c:v>-0.64448316972034436</c:v>
                </c:pt>
                <c:pt idx="427">
                  <c:v>-6.8680731269959022E-2</c:v>
                </c:pt>
                <c:pt idx="428">
                  <c:v>-0.3464888983610937</c:v>
                </c:pt>
                <c:pt idx="429">
                  <c:v>-0.25470767067787592</c:v>
                </c:pt>
                <c:pt idx="430">
                  <c:v>-3.3996515172096842E-2</c:v>
                </c:pt>
                <c:pt idx="431">
                  <c:v>-1.7424837766821668</c:v>
                </c:pt>
                <c:pt idx="432">
                  <c:v>5.122634873791293E-2</c:v>
                </c:pt>
                <c:pt idx="433">
                  <c:v>-0.68033409882266327</c:v>
                </c:pt>
                <c:pt idx="434">
                  <c:v>-0.18297061006718909</c:v>
                </c:pt>
                <c:pt idx="435">
                  <c:v>-4.5899891445245367E-2</c:v>
                </c:pt>
                <c:pt idx="436">
                  <c:v>-0.71740642897131901</c:v>
                </c:pt>
                <c:pt idx="437">
                  <c:v>-0.81834372333285255</c:v>
                </c:pt>
                <c:pt idx="438">
                  <c:v>0.23275144663230679</c:v>
                </c:pt>
                <c:pt idx="439">
                  <c:v>0.62664676949369902</c:v>
                </c:pt>
                <c:pt idx="440">
                  <c:v>-1.1947215681304193</c:v>
                </c:pt>
                <c:pt idx="441">
                  <c:v>0.32355344416278831</c:v>
                </c:pt>
                <c:pt idx="442">
                  <c:v>1.1928059063122785</c:v>
                </c:pt>
                <c:pt idx="443">
                  <c:v>-7.95240308962986E-2</c:v>
                </c:pt>
                <c:pt idx="444">
                  <c:v>-0.86790716574376647</c:v>
                </c:pt>
                <c:pt idx="445">
                  <c:v>-0.48288480476360124</c:v>
                </c:pt>
                <c:pt idx="446">
                  <c:v>-0.95493166422777154</c:v>
                </c:pt>
                <c:pt idx="447">
                  <c:v>-1.155795526224936</c:v>
                </c:pt>
                <c:pt idx="448">
                  <c:v>0.13248796373421734</c:v>
                </c:pt>
                <c:pt idx="449">
                  <c:v>1.77222195811651</c:v>
                </c:pt>
                <c:pt idx="450">
                  <c:v>-0.81863425467361151</c:v>
                </c:pt>
                <c:pt idx="451">
                  <c:v>0.74469325618736137</c:v>
                </c:pt>
                <c:pt idx="452">
                  <c:v>0.2091717182811163</c:v>
                </c:pt>
                <c:pt idx="453">
                  <c:v>6.0813066853404603E-2</c:v>
                </c:pt>
                <c:pt idx="454">
                  <c:v>-1.1906847318643468</c:v>
                </c:pt>
                <c:pt idx="455">
                  <c:v>0.11185889130377606</c:v>
                </c:pt>
                <c:pt idx="456">
                  <c:v>0.30358701791366882</c:v>
                </c:pt>
                <c:pt idx="457">
                  <c:v>-0.46590663299262308</c:v>
                </c:pt>
                <c:pt idx="458">
                  <c:v>2.0953058385790664</c:v>
                </c:pt>
                <c:pt idx="459">
                  <c:v>2.2315904527974642</c:v>
                </c:pt>
                <c:pt idx="460">
                  <c:v>-0.47100012188955731</c:v>
                </c:pt>
                <c:pt idx="461">
                  <c:v>1.3155538200928623</c:v>
                </c:pt>
                <c:pt idx="462">
                  <c:v>0.60955366522718146</c:v>
                </c:pt>
                <c:pt idx="463">
                  <c:v>-1.9215907519155613</c:v>
                </c:pt>
                <c:pt idx="464">
                  <c:v>0.24080884910923669</c:v>
                </c:pt>
                <c:pt idx="465">
                  <c:v>1.7416526764393829</c:v>
                </c:pt>
                <c:pt idx="466">
                  <c:v>-0.38804002226126699</c:v>
                </c:pt>
                <c:pt idx="467">
                  <c:v>0.63198904064079586</c:v>
                </c:pt>
                <c:pt idx="468">
                  <c:v>-0.66389495078577621</c:v>
                </c:pt>
                <c:pt idx="469">
                  <c:v>-1.2065244358714793</c:v>
                </c:pt>
                <c:pt idx="470">
                  <c:v>-0.16813550410376848</c:v>
                </c:pt>
                <c:pt idx="471">
                  <c:v>-0.27609954146588783</c:v>
                </c:pt>
                <c:pt idx="472">
                  <c:v>-1.6128732709022182</c:v>
                </c:pt>
                <c:pt idx="473">
                  <c:v>-0.17373503193781539</c:v>
                </c:pt>
                <c:pt idx="474">
                  <c:v>1.5646281874362988</c:v>
                </c:pt>
                <c:pt idx="475">
                  <c:v>0.52996872983130905</c:v>
                </c:pt>
                <c:pt idx="476">
                  <c:v>-0.18417977269313721</c:v>
                </c:pt>
                <c:pt idx="477">
                  <c:v>-0.56499958254418403</c:v>
                </c:pt>
                <c:pt idx="478">
                  <c:v>0.42418396473305103</c:v>
                </c:pt>
                <c:pt idx="479">
                  <c:v>-0.48669722593128045</c:v>
                </c:pt>
                <c:pt idx="480">
                  <c:v>-0.27919198994278166</c:v>
                </c:pt>
                <c:pt idx="481">
                  <c:v>-0.32643858132632686</c:v>
                </c:pt>
                <c:pt idx="482">
                  <c:v>-1.459311655600261</c:v>
                </c:pt>
                <c:pt idx="483">
                  <c:v>1.1035359548576642</c:v>
                </c:pt>
                <c:pt idx="484">
                  <c:v>-0.12494251104865114</c:v>
                </c:pt>
                <c:pt idx="485">
                  <c:v>0.36965312622496166</c:v>
                </c:pt>
                <c:pt idx="486">
                  <c:v>-0.93982469791331935</c:v>
                </c:pt>
                <c:pt idx="487">
                  <c:v>1.3140593936292571</c:v>
                </c:pt>
                <c:pt idx="488">
                  <c:v>-0.25987102155142422</c:v>
                </c:pt>
                <c:pt idx="489">
                  <c:v>-0.94265580867985921</c:v>
                </c:pt>
                <c:pt idx="490">
                  <c:v>1.9990015670681445</c:v>
                </c:pt>
                <c:pt idx="491">
                  <c:v>0.44599989634547277</c:v>
                </c:pt>
                <c:pt idx="492">
                  <c:v>-0.65682590587597256</c:v>
                </c:pt>
                <c:pt idx="493">
                  <c:v>-5.3086704657057324E-2</c:v>
                </c:pt>
                <c:pt idx="494">
                  <c:v>-1.2207468901897722</c:v>
                </c:pt>
                <c:pt idx="495">
                  <c:v>1.2533809542983081</c:v>
                </c:pt>
                <c:pt idx="496">
                  <c:v>1.5789839277707558</c:v>
                </c:pt>
                <c:pt idx="497">
                  <c:v>-0.10932106069605395</c:v>
                </c:pt>
                <c:pt idx="498">
                  <c:v>0.40923151657630003</c:v>
                </c:pt>
                <c:pt idx="499">
                  <c:v>-0.7499806713760363</c:v>
                </c:pt>
              </c:numCache>
            </c:numRef>
          </c:xVal>
          <c:yVal>
            <c:numRef>
              <c:f>Standardization!$K$2:$K$501</c:f>
              <c:numCache>
                <c:formatCode>0.00000</c:formatCode>
                <c:ptCount val="500"/>
                <c:pt idx="0">
                  <c:v>0.97074354653771877</c:v>
                </c:pt>
                <c:pt idx="1">
                  <c:v>0.23533027944299223</c:v>
                </c:pt>
                <c:pt idx="2">
                  <c:v>1.3338294435561895</c:v>
                </c:pt>
                <c:pt idx="3">
                  <c:v>-0.71807892965983688</c:v>
                </c:pt>
                <c:pt idx="4">
                  <c:v>-0.20588658320848319</c:v>
                </c:pt>
                <c:pt idx="5">
                  <c:v>0.31465015431786392</c:v>
                </c:pt>
                <c:pt idx="6">
                  <c:v>-6.6776026912313824E-2</c:v>
                </c:pt>
                <c:pt idx="7">
                  <c:v>-0.42366746636962399</c:v>
                </c:pt>
                <c:pt idx="8">
                  <c:v>1.8748004059524874</c:v>
                </c:pt>
                <c:pt idx="9">
                  <c:v>-0.78624385567853194</c:v>
                </c:pt>
                <c:pt idx="10">
                  <c:v>0.13598807704579444</c:v>
                </c:pt>
                <c:pt idx="11">
                  <c:v>-8.8492875798394321E-2</c:v>
                </c:pt>
                <c:pt idx="12">
                  <c:v>-2.6707221293520475E-2</c:v>
                </c:pt>
                <c:pt idx="13">
                  <c:v>0.78335765966412396</c:v>
                </c:pt>
                <c:pt idx="14">
                  <c:v>-1.0496433678018426</c:v>
                </c:pt>
                <c:pt idx="15">
                  <c:v>-1.3077107359262208</c:v>
                </c:pt>
                <c:pt idx="16">
                  <c:v>-0.68555910937359499</c:v>
                </c:pt>
                <c:pt idx="17">
                  <c:v>0.10050077161571279</c:v>
                </c:pt>
                <c:pt idx="18">
                  <c:v>-0.96430053711124564</c:v>
                </c:pt>
                <c:pt idx="19">
                  <c:v>-0.27238098863616145</c:v>
                </c:pt>
                <c:pt idx="20">
                  <c:v>-0.31170668744232266</c:v>
                </c:pt>
                <c:pt idx="21">
                  <c:v>-0.37191928879015296</c:v>
                </c:pt>
                <c:pt idx="22">
                  <c:v>-0.81855722909468132</c:v>
                </c:pt>
                <c:pt idx="23">
                  <c:v>-0.37042524818134048</c:v>
                </c:pt>
                <c:pt idx="24">
                  <c:v>-0.44989268066402527</c:v>
                </c:pt>
                <c:pt idx="25">
                  <c:v>-1.1467903866975298</c:v>
                </c:pt>
                <c:pt idx="26">
                  <c:v>-0.20179353666517372</c:v>
                </c:pt>
                <c:pt idx="27">
                  <c:v>1.0301642193591485</c:v>
                </c:pt>
                <c:pt idx="28">
                  <c:v>-0.35541503449961537</c:v>
                </c:pt>
                <c:pt idx="29">
                  <c:v>-0.77420716145524537</c:v>
                </c:pt>
                <c:pt idx="30">
                  <c:v>0.84174101531109269</c:v>
                </c:pt>
                <c:pt idx="31">
                  <c:v>0.6194427110683105</c:v>
                </c:pt>
                <c:pt idx="32">
                  <c:v>-1.1286506887412082</c:v>
                </c:pt>
                <c:pt idx="33">
                  <c:v>-1.0675338542279538</c:v>
                </c:pt>
                <c:pt idx="34">
                  <c:v>-0.25637676393801745</c:v>
                </c:pt>
                <c:pt idx="35">
                  <c:v>1.2036882005450735</c:v>
                </c:pt>
                <c:pt idx="36">
                  <c:v>-1.0638831539739801</c:v>
                </c:pt>
                <c:pt idx="37">
                  <c:v>1.6626471607799567</c:v>
                </c:pt>
                <c:pt idx="38">
                  <c:v>-0.36266635761908533</c:v>
                </c:pt>
                <c:pt idx="39">
                  <c:v>-1.0024365862648488</c:v>
                </c:pt>
                <c:pt idx="40">
                  <c:v>0.94987831172513937</c:v>
                </c:pt>
                <c:pt idx="41">
                  <c:v>-1.1110157006124561</c:v>
                </c:pt>
                <c:pt idx="42">
                  <c:v>1.8035515889316505</c:v>
                </c:pt>
                <c:pt idx="43">
                  <c:v>1.4549860232731555</c:v>
                </c:pt>
                <c:pt idx="44">
                  <c:v>1.7129339073586247</c:v>
                </c:pt>
                <c:pt idx="45">
                  <c:v>-5.553138839599675E-2</c:v>
                </c:pt>
                <c:pt idx="46">
                  <c:v>-0.87272137152273588</c:v>
                </c:pt>
                <c:pt idx="47">
                  <c:v>2.2476937881827825</c:v>
                </c:pt>
                <c:pt idx="48">
                  <c:v>-1.4278443360853412</c:v>
                </c:pt>
                <c:pt idx="49">
                  <c:v>0.48481534862436015</c:v>
                </c:pt>
                <c:pt idx="50">
                  <c:v>-1.5715445834587496</c:v>
                </c:pt>
                <c:pt idx="51">
                  <c:v>-1.8459945278832466</c:v>
                </c:pt>
                <c:pt idx="52">
                  <c:v>0.76586700647865202</c:v>
                </c:pt>
                <c:pt idx="53">
                  <c:v>-0.15173939172214568</c:v>
                </c:pt>
                <c:pt idx="54">
                  <c:v>0.28534974829859822</c:v>
                </c:pt>
                <c:pt idx="55">
                  <c:v>-1.7051408886235953</c:v>
                </c:pt>
                <c:pt idx="56">
                  <c:v>-1.3221387517838952</c:v>
                </c:pt>
                <c:pt idx="57">
                  <c:v>-0.52131919588688691</c:v>
                </c:pt>
                <c:pt idx="58">
                  <c:v>-0.36901127160119163</c:v>
                </c:pt>
                <c:pt idx="59">
                  <c:v>-0.46366636382640336</c:v>
                </c:pt>
                <c:pt idx="60">
                  <c:v>1.2889811348086826</c:v>
                </c:pt>
                <c:pt idx="61">
                  <c:v>0.2917838156729754</c:v>
                </c:pt>
                <c:pt idx="62">
                  <c:v>-8.9584226453632662E-2</c:v>
                </c:pt>
                <c:pt idx="63">
                  <c:v>1.0775666990768373</c:v>
                </c:pt>
                <c:pt idx="64">
                  <c:v>-1.2620062425493008</c:v>
                </c:pt>
                <c:pt idx="65">
                  <c:v>-0.59796879542327441</c:v>
                </c:pt>
                <c:pt idx="66">
                  <c:v>0.10206342231510561</c:v>
                </c:pt>
                <c:pt idx="67">
                  <c:v>0.41116486961692417</c:v>
                </c:pt>
                <c:pt idx="68">
                  <c:v>1.02183835338241</c:v>
                </c:pt>
                <c:pt idx="69">
                  <c:v>0.14634359806044828</c:v>
                </c:pt>
                <c:pt idx="70">
                  <c:v>-0.93206384749041027</c:v>
                </c:pt>
                <c:pt idx="71">
                  <c:v>1.7381279987504801</c:v>
                </c:pt>
                <c:pt idx="72">
                  <c:v>1.908049608871992</c:v>
                </c:pt>
                <c:pt idx="73">
                  <c:v>0.86273165248501738</c:v>
                </c:pt>
                <c:pt idx="74">
                  <c:v>0.81906898116909899</c:v>
                </c:pt>
                <c:pt idx="75">
                  <c:v>0.12997847228430914</c:v>
                </c:pt>
                <c:pt idx="76">
                  <c:v>-0.79736697366381903</c:v>
                </c:pt>
                <c:pt idx="77">
                  <c:v>0.31416322631727589</c:v>
                </c:pt>
                <c:pt idx="78">
                  <c:v>2.1688254762606314</c:v>
                </c:pt>
                <c:pt idx="79">
                  <c:v>0.44929300667451683</c:v>
                </c:pt>
                <c:pt idx="80">
                  <c:v>1.621944478934072</c:v>
                </c:pt>
                <c:pt idx="81">
                  <c:v>-0.52028413080654246</c:v>
                </c:pt>
                <c:pt idx="82">
                  <c:v>-0.85954191205041031</c:v>
                </c:pt>
                <c:pt idx="83">
                  <c:v>1.3716794803001935</c:v>
                </c:pt>
                <c:pt idx="84">
                  <c:v>0.47870624919417387</c:v>
                </c:pt>
                <c:pt idx="85">
                  <c:v>-8.2682541225112968E-2</c:v>
                </c:pt>
                <c:pt idx="86">
                  <c:v>-0.4846301198244003</c:v>
                </c:pt>
                <c:pt idx="87">
                  <c:v>-0.85331528232449427</c:v>
                </c:pt>
                <c:pt idx="88">
                  <c:v>-0.33282395516164937</c:v>
                </c:pt>
                <c:pt idx="89">
                  <c:v>-0.13550827505494462</c:v>
                </c:pt>
                <c:pt idx="90">
                  <c:v>0.64009312404605068</c:v>
                </c:pt>
                <c:pt idx="91">
                  <c:v>-0.80038527707843077</c:v>
                </c:pt>
                <c:pt idx="92">
                  <c:v>-0.93587500956495084</c:v>
                </c:pt>
                <c:pt idx="93">
                  <c:v>-0.34094817181293036</c:v>
                </c:pt>
                <c:pt idx="94">
                  <c:v>-7.5699164977295993E-2</c:v>
                </c:pt>
                <c:pt idx="95">
                  <c:v>1.1681933055648011</c:v>
                </c:pt>
                <c:pt idx="96">
                  <c:v>-0.17422341370776157</c:v>
                </c:pt>
                <c:pt idx="97">
                  <c:v>-0.13999114872977189</c:v>
                </c:pt>
                <c:pt idx="98">
                  <c:v>-1.0069152343450434</c:v>
                </c:pt>
                <c:pt idx="99">
                  <c:v>-0.40875489818361033</c:v>
                </c:pt>
                <c:pt idx="100">
                  <c:v>-1.9392952974368038</c:v>
                </c:pt>
                <c:pt idx="101">
                  <c:v>0.2168329573657945</c:v>
                </c:pt>
                <c:pt idx="102">
                  <c:v>1.3012825227174998</c:v>
                </c:pt>
                <c:pt idx="103">
                  <c:v>-0.16499863953365215</c:v>
                </c:pt>
                <c:pt idx="104">
                  <c:v>0.28140089471562535</c:v>
                </c:pt>
                <c:pt idx="105">
                  <c:v>-0.99240406891121014</c:v>
                </c:pt>
                <c:pt idx="106">
                  <c:v>0.38311332489218053</c:v>
                </c:pt>
                <c:pt idx="107">
                  <c:v>-0.96142113645390537</c:v>
                </c:pt>
                <c:pt idx="108">
                  <c:v>-0.28209368506901272</c:v>
                </c:pt>
                <c:pt idx="109">
                  <c:v>-0.55299260862415367</c:v>
                </c:pt>
                <c:pt idx="110">
                  <c:v>0.53517925431914204</c:v>
                </c:pt>
                <c:pt idx="111">
                  <c:v>0.41968759772970243</c:v>
                </c:pt>
                <c:pt idx="112">
                  <c:v>-0.28115873538702607</c:v>
                </c:pt>
                <c:pt idx="113">
                  <c:v>-0.67244465115381413</c:v>
                </c:pt>
                <c:pt idx="114">
                  <c:v>0.49533609194277178</c:v>
                </c:pt>
                <c:pt idx="115">
                  <c:v>-0.12040943346823489</c:v>
                </c:pt>
                <c:pt idx="116">
                  <c:v>-0.95767885637251915</c:v>
                </c:pt>
                <c:pt idx="117">
                  <c:v>-0.85267521998140849</c:v>
                </c:pt>
                <c:pt idx="118">
                  <c:v>-0.56145845060950761</c:v>
                </c:pt>
                <c:pt idx="119">
                  <c:v>-1.0970820484594608</c:v>
                </c:pt>
                <c:pt idx="120">
                  <c:v>-0.20243756382738015</c:v>
                </c:pt>
                <c:pt idx="121">
                  <c:v>-0.95129782648565919</c:v>
                </c:pt>
                <c:pt idx="122">
                  <c:v>-1.5932435957248439</c:v>
                </c:pt>
                <c:pt idx="123">
                  <c:v>1.398077559018877</c:v>
                </c:pt>
                <c:pt idx="124">
                  <c:v>-1.3678161502207995</c:v>
                </c:pt>
                <c:pt idx="125">
                  <c:v>0.41078584490585307</c:v>
                </c:pt>
                <c:pt idx="126">
                  <c:v>-0.31091593982603194</c:v>
                </c:pt>
                <c:pt idx="127">
                  <c:v>-0.56003002162612581</c:v>
                </c:pt>
                <c:pt idx="128">
                  <c:v>-0.13812268276901588</c:v>
                </c:pt>
                <c:pt idx="129">
                  <c:v>0.58348298050835157</c:v>
                </c:pt>
                <c:pt idx="130">
                  <c:v>0.1230688617211522</c:v>
                </c:pt>
                <c:pt idx="131">
                  <c:v>1.4073085738035371</c:v>
                </c:pt>
                <c:pt idx="132">
                  <c:v>-0.52135287696896082</c:v>
                </c:pt>
                <c:pt idx="133">
                  <c:v>-0.1215196267364138</c:v>
                </c:pt>
                <c:pt idx="134">
                  <c:v>0.4581735907205427</c:v>
                </c:pt>
                <c:pt idx="135">
                  <c:v>-1.1469205033671781</c:v>
                </c:pt>
                <c:pt idx="136">
                  <c:v>-0.56211863113481031</c:v>
                </c:pt>
                <c:pt idx="137">
                  <c:v>-0.9006304754661193</c:v>
                </c:pt>
                <c:pt idx="138">
                  <c:v>-1.6820919999369814</c:v>
                </c:pt>
                <c:pt idx="139">
                  <c:v>-0.64411997847199076</c:v>
                </c:pt>
                <c:pt idx="140">
                  <c:v>-0.53297948292794917</c:v>
                </c:pt>
                <c:pt idx="141">
                  <c:v>1.8244819943788182</c:v>
                </c:pt>
                <c:pt idx="142">
                  <c:v>-0.8694527073721664</c:v>
                </c:pt>
                <c:pt idx="143">
                  <c:v>-0.41656292715205445</c:v>
                </c:pt>
                <c:pt idx="144">
                  <c:v>-0.14424534850919574</c:v>
                </c:pt>
                <c:pt idx="145">
                  <c:v>1.3288032020809242</c:v>
                </c:pt>
                <c:pt idx="146">
                  <c:v>-6.1013123408092378E-3</c:v>
                </c:pt>
                <c:pt idx="147">
                  <c:v>-0.33223273550985605</c:v>
                </c:pt>
                <c:pt idx="148">
                  <c:v>-1.0565017162648043</c:v>
                </c:pt>
                <c:pt idx="149">
                  <c:v>3.914322186262098</c:v>
                </c:pt>
                <c:pt idx="150">
                  <c:v>-0.89045757545372439</c:v>
                </c:pt>
                <c:pt idx="151">
                  <c:v>-0.33219641175296033</c:v>
                </c:pt>
                <c:pt idx="152">
                  <c:v>-0.91375295256492683</c:v>
                </c:pt>
                <c:pt idx="153">
                  <c:v>-0.47850540642010381</c:v>
                </c:pt>
                <c:pt idx="154">
                  <c:v>-0.67366668199708657</c:v>
                </c:pt>
                <c:pt idx="155">
                  <c:v>-0.73074159280840312</c:v>
                </c:pt>
                <c:pt idx="156">
                  <c:v>1.7758048797466675</c:v>
                </c:pt>
                <c:pt idx="157">
                  <c:v>-0.43788464416751688</c:v>
                </c:pt>
                <c:pt idx="158">
                  <c:v>-0.73873917654454146</c:v>
                </c:pt>
                <c:pt idx="159">
                  <c:v>-1.3747914100028789</c:v>
                </c:pt>
                <c:pt idx="160">
                  <c:v>1.5998133022623382</c:v>
                </c:pt>
                <c:pt idx="161">
                  <c:v>-6.0931156463909709E-2</c:v>
                </c:pt>
                <c:pt idx="162">
                  <c:v>-1.24665830902509</c:v>
                </c:pt>
                <c:pt idx="163">
                  <c:v>-0.10730357562916505</c:v>
                </c:pt>
                <c:pt idx="164">
                  <c:v>-0.61604756215277956</c:v>
                </c:pt>
                <c:pt idx="165">
                  <c:v>-1.4532821173452932</c:v>
                </c:pt>
                <c:pt idx="166">
                  <c:v>0.3888768766167639</c:v>
                </c:pt>
                <c:pt idx="167">
                  <c:v>0.58733662894927818</c:v>
                </c:pt>
                <c:pt idx="168">
                  <c:v>-0.49607320542468258</c:v>
                </c:pt>
                <c:pt idx="169">
                  <c:v>2.6560730821941592</c:v>
                </c:pt>
                <c:pt idx="170">
                  <c:v>0.22080352428005862</c:v>
                </c:pt>
                <c:pt idx="171">
                  <c:v>1.9145339993738455</c:v>
                </c:pt>
                <c:pt idx="172">
                  <c:v>-0.54334676387429071</c:v>
                </c:pt>
                <c:pt idx="173">
                  <c:v>-0.17359615416906443</c:v>
                </c:pt>
                <c:pt idx="174">
                  <c:v>5.178237155117011E-2</c:v>
                </c:pt>
                <c:pt idx="175">
                  <c:v>-0.23779004112375879</c:v>
                </c:pt>
                <c:pt idx="176">
                  <c:v>3.258820496622402E-2</c:v>
                </c:pt>
                <c:pt idx="177">
                  <c:v>0.16383544507376813</c:v>
                </c:pt>
                <c:pt idx="178">
                  <c:v>-0.64639198621200455</c:v>
                </c:pt>
                <c:pt idx="179">
                  <c:v>-0.68715690642996807</c:v>
                </c:pt>
                <c:pt idx="180">
                  <c:v>-0.77946368264060828</c:v>
                </c:pt>
                <c:pt idx="181">
                  <c:v>-0.61754275200295072</c:v>
                </c:pt>
                <c:pt idx="182">
                  <c:v>-0.54327339977785727</c:v>
                </c:pt>
                <c:pt idx="183">
                  <c:v>-0.3677014338879655</c:v>
                </c:pt>
                <c:pt idx="184">
                  <c:v>-1.0169205374663144</c:v>
                </c:pt>
                <c:pt idx="185">
                  <c:v>0.70288863966968307</c:v>
                </c:pt>
                <c:pt idx="186">
                  <c:v>1.3798608870008648</c:v>
                </c:pt>
                <c:pt idx="187">
                  <c:v>0.20604438284597879</c:v>
                </c:pt>
                <c:pt idx="188">
                  <c:v>-0.29913480588145896</c:v>
                </c:pt>
                <c:pt idx="189">
                  <c:v>-1.7057773446829365</c:v>
                </c:pt>
                <c:pt idx="190">
                  <c:v>0.24491115957456264</c:v>
                </c:pt>
                <c:pt idx="191">
                  <c:v>-0.79971154590238303</c:v>
                </c:pt>
                <c:pt idx="192">
                  <c:v>0.31361746909743143</c:v>
                </c:pt>
                <c:pt idx="193">
                  <c:v>-0.97433847771685511</c:v>
                </c:pt>
                <c:pt idx="194">
                  <c:v>-0.54513328071356548</c:v>
                </c:pt>
                <c:pt idx="195">
                  <c:v>1.3860233426694066</c:v>
                </c:pt>
                <c:pt idx="196">
                  <c:v>0.10617080320144219</c:v>
                </c:pt>
                <c:pt idx="197">
                  <c:v>0.62318143741350385</c:v>
                </c:pt>
                <c:pt idx="198">
                  <c:v>-0.14115923049105766</c:v>
                </c:pt>
                <c:pt idx="199">
                  <c:v>-1.1546358320845582</c:v>
                </c:pt>
                <c:pt idx="200">
                  <c:v>-1.2542671200885558</c:v>
                </c:pt>
                <c:pt idx="201">
                  <c:v>-0.80712855880310219</c:v>
                </c:pt>
                <c:pt idx="202">
                  <c:v>-1.6653681008536643</c:v>
                </c:pt>
                <c:pt idx="203">
                  <c:v>-0.21029796581031415</c:v>
                </c:pt>
                <c:pt idx="204">
                  <c:v>-0.44167032969290126</c:v>
                </c:pt>
                <c:pt idx="205">
                  <c:v>-0.9229410456570516</c:v>
                </c:pt>
                <c:pt idx="206">
                  <c:v>0.89755452201611075</c:v>
                </c:pt>
                <c:pt idx="207">
                  <c:v>-0.12812085671250312</c:v>
                </c:pt>
                <c:pt idx="208">
                  <c:v>-1.086004961994866</c:v>
                </c:pt>
                <c:pt idx="209">
                  <c:v>-1.3687512316833148</c:v>
                </c:pt>
                <c:pt idx="210">
                  <c:v>2.7706136504505161</c:v>
                </c:pt>
                <c:pt idx="211">
                  <c:v>1.1451366335595463</c:v>
                </c:pt>
                <c:pt idx="212">
                  <c:v>1.321115785542049</c:v>
                </c:pt>
                <c:pt idx="213">
                  <c:v>-1.2639258503743078</c:v>
                </c:pt>
                <c:pt idx="214">
                  <c:v>0.68503083400427289</c:v>
                </c:pt>
                <c:pt idx="215">
                  <c:v>-1.419560524425026</c:v>
                </c:pt>
                <c:pt idx="216">
                  <c:v>3.066550655155003</c:v>
                </c:pt>
                <c:pt idx="217">
                  <c:v>0.36411385218708453</c:v>
                </c:pt>
                <c:pt idx="218">
                  <c:v>1.3265856704613281</c:v>
                </c:pt>
                <c:pt idx="219">
                  <c:v>0.73472181266689063</c:v>
                </c:pt>
                <c:pt idx="220">
                  <c:v>0.33038698004482037</c:v>
                </c:pt>
                <c:pt idx="221">
                  <c:v>-0.24778264171574763</c:v>
                </c:pt>
                <c:pt idx="222">
                  <c:v>-0.9628992255529577</c:v>
                </c:pt>
                <c:pt idx="223">
                  <c:v>-0.16766434918083001</c:v>
                </c:pt>
                <c:pt idx="224">
                  <c:v>-0.42841270192812902</c:v>
                </c:pt>
                <c:pt idx="225">
                  <c:v>-0.93355391623626882</c:v>
                </c:pt>
                <c:pt idx="226">
                  <c:v>-0.36083608943499063</c:v>
                </c:pt>
                <c:pt idx="227">
                  <c:v>-1.430742301092873</c:v>
                </c:pt>
                <c:pt idx="228">
                  <c:v>-0.95559365577611288</c:v>
                </c:pt>
                <c:pt idx="229">
                  <c:v>1.6759869041742599</c:v>
                </c:pt>
                <c:pt idx="230">
                  <c:v>0.15920183353432221</c:v>
                </c:pt>
                <c:pt idx="231">
                  <c:v>-0.41008565107163092</c:v>
                </c:pt>
                <c:pt idx="232">
                  <c:v>0.43138440661286664</c:v>
                </c:pt>
                <c:pt idx="233">
                  <c:v>-0.6026842038440694</c:v>
                </c:pt>
                <c:pt idx="234">
                  <c:v>1.6447384074076794</c:v>
                </c:pt>
                <c:pt idx="235">
                  <c:v>0.58151269261772709</c:v>
                </c:pt>
                <c:pt idx="236">
                  <c:v>-0.45864487302791312</c:v>
                </c:pt>
                <c:pt idx="237">
                  <c:v>-1.3755620304185641</c:v>
                </c:pt>
                <c:pt idx="238">
                  <c:v>-0.58849525447268269</c:v>
                </c:pt>
                <c:pt idx="239">
                  <c:v>9.9337831489068579E-2</c:v>
                </c:pt>
                <c:pt idx="240">
                  <c:v>1.6710689620230652</c:v>
                </c:pt>
                <c:pt idx="241">
                  <c:v>-0.66237479555790135</c:v>
                </c:pt>
                <c:pt idx="242">
                  <c:v>-1.2250033803455678</c:v>
                </c:pt>
                <c:pt idx="243">
                  <c:v>-0.82231506619691919</c:v>
                </c:pt>
                <c:pt idx="244">
                  <c:v>-1.9279150540246762E-2</c:v>
                </c:pt>
                <c:pt idx="245">
                  <c:v>-0.50745328563767955</c:v>
                </c:pt>
                <c:pt idx="246">
                  <c:v>7.9124005614715498E-2</c:v>
                </c:pt>
                <c:pt idx="247">
                  <c:v>0.68515784296927595</c:v>
                </c:pt>
                <c:pt idx="248">
                  <c:v>1.2025329675461061</c:v>
                </c:pt>
                <c:pt idx="249">
                  <c:v>-0.16072650910547648</c:v>
                </c:pt>
                <c:pt idx="250">
                  <c:v>-1.7156258749521658</c:v>
                </c:pt>
                <c:pt idx="251">
                  <c:v>0.65262699715998207</c:v>
                </c:pt>
                <c:pt idx="252">
                  <c:v>1.2471091213975423</c:v>
                </c:pt>
                <c:pt idx="253">
                  <c:v>1.2837497595678544</c:v>
                </c:pt>
                <c:pt idx="254">
                  <c:v>0.92916357008536277</c:v>
                </c:pt>
                <c:pt idx="255">
                  <c:v>-0.57224334525684095</c:v>
                </c:pt>
                <c:pt idx="256">
                  <c:v>1.1024635729621883</c:v>
                </c:pt>
                <c:pt idx="257">
                  <c:v>-1.213097559667081</c:v>
                </c:pt>
                <c:pt idx="258">
                  <c:v>0.53153854953135482</c:v>
                </c:pt>
                <c:pt idx="259">
                  <c:v>-0.27148885033918341</c:v>
                </c:pt>
                <c:pt idx="260">
                  <c:v>-1.574774194022122</c:v>
                </c:pt>
                <c:pt idx="261">
                  <c:v>-0.5529791748890025</c:v>
                </c:pt>
                <c:pt idx="262">
                  <c:v>2.1973921700119536</c:v>
                </c:pt>
                <c:pt idx="263">
                  <c:v>-0.32737392623760925</c:v>
                </c:pt>
                <c:pt idx="264">
                  <c:v>1.9656021752091684</c:v>
                </c:pt>
                <c:pt idx="265">
                  <c:v>-0.5760752520165584</c:v>
                </c:pt>
                <c:pt idx="266">
                  <c:v>6.7853349650518298E-3</c:v>
                </c:pt>
                <c:pt idx="267">
                  <c:v>1.0929102234039205</c:v>
                </c:pt>
                <c:pt idx="268">
                  <c:v>-0.45902792147639537</c:v>
                </c:pt>
                <c:pt idx="269">
                  <c:v>-0.41971610928853414</c:v>
                </c:pt>
                <c:pt idx="270">
                  <c:v>0.80147139174596971</c:v>
                </c:pt>
                <c:pt idx="271">
                  <c:v>0.82805318685711671</c:v>
                </c:pt>
                <c:pt idx="272">
                  <c:v>1.1343404982398064</c:v>
                </c:pt>
                <c:pt idx="273">
                  <c:v>1.0922837098748479</c:v>
                </c:pt>
                <c:pt idx="274">
                  <c:v>0.16249591451687212</c:v>
                </c:pt>
                <c:pt idx="275">
                  <c:v>-0.70608013182938756</c:v>
                </c:pt>
                <c:pt idx="276">
                  <c:v>-0.39813848312705913</c:v>
                </c:pt>
                <c:pt idx="277">
                  <c:v>-0.22844069607095133</c:v>
                </c:pt>
                <c:pt idx="278">
                  <c:v>-1.058150879887226E-2</c:v>
                </c:pt>
                <c:pt idx="279">
                  <c:v>-0.26086342073345592</c:v>
                </c:pt>
                <c:pt idx="280">
                  <c:v>-0.54307197069137136</c:v>
                </c:pt>
                <c:pt idx="281">
                  <c:v>-0.54139560589169688</c:v>
                </c:pt>
                <c:pt idx="282">
                  <c:v>1.6238049811623045</c:v>
                </c:pt>
                <c:pt idx="283">
                  <c:v>-0.12548838601942913</c:v>
                </c:pt>
                <c:pt idx="284">
                  <c:v>0.76759667212530991</c:v>
                </c:pt>
                <c:pt idx="285">
                  <c:v>-0.26871084667005884</c:v>
                </c:pt>
                <c:pt idx="286">
                  <c:v>-0.50868222957322651</c:v>
                </c:pt>
                <c:pt idx="287">
                  <c:v>0.28547296262657101</c:v>
                </c:pt>
                <c:pt idx="288">
                  <c:v>0.90279242010950422</c:v>
                </c:pt>
                <c:pt idx="289">
                  <c:v>-0.93368657391364984</c:v>
                </c:pt>
                <c:pt idx="290">
                  <c:v>3.1709954107045215</c:v>
                </c:pt>
                <c:pt idx="291">
                  <c:v>-0.51117193658880322</c:v>
                </c:pt>
                <c:pt idx="292">
                  <c:v>2.3782875659122942</c:v>
                </c:pt>
                <c:pt idx="293">
                  <c:v>-0.18077583951579823</c:v>
                </c:pt>
                <c:pt idx="294">
                  <c:v>1.6883024468069341</c:v>
                </c:pt>
                <c:pt idx="295">
                  <c:v>-1.3081109579032135E-3</c:v>
                </c:pt>
                <c:pt idx="296">
                  <c:v>-1.678102749637838</c:v>
                </c:pt>
                <c:pt idx="297">
                  <c:v>0.13090602036372673</c:v>
                </c:pt>
                <c:pt idx="298">
                  <c:v>-0.63180626317751953</c:v>
                </c:pt>
                <c:pt idx="299">
                  <c:v>-0.62354704854457532</c:v>
                </c:pt>
                <c:pt idx="300">
                  <c:v>-0.28242517924421018</c:v>
                </c:pt>
                <c:pt idx="301">
                  <c:v>-2.7944882487355542E-2</c:v>
                </c:pt>
                <c:pt idx="302">
                  <c:v>2.3165715348755542</c:v>
                </c:pt>
                <c:pt idx="303">
                  <c:v>0.16021704462346834</c:v>
                </c:pt>
                <c:pt idx="304">
                  <c:v>8.4472995218549729E-2</c:v>
                </c:pt>
                <c:pt idx="305">
                  <c:v>-0.37664326736255466</c:v>
                </c:pt>
                <c:pt idx="306">
                  <c:v>0.15495397968588406</c:v>
                </c:pt>
                <c:pt idx="307">
                  <c:v>-1.1282613666196952</c:v>
                </c:pt>
                <c:pt idx="308">
                  <c:v>0.90542592632031138</c:v>
                </c:pt>
                <c:pt idx="309">
                  <c:v>-1.2314257303885048</c:v>
                </c:pt>
                <c:pt idx="310">
                  <c:v>-2.6483760223312249E-2</c:v>
                </c:pt>
                <c:pt idx="311">
                  <c:v>-5.9781680956659186E-2</c:v>
                </c:pt>
                <c:pt idx="312">
                  <c:v>-8.7966549604448468E-2</c:v>
                </c:pt>
                <c:pt idx="313">
                  <c:v>-0.32148104886208156</c:v>
                </c:pt>
                <c:pt idx="314">
                  <c:v>-0.66368070684655667</c:v>
                </c:pt>
                <c:pt idx="315">
                  <c:v>1.6779321689853679</c:v>
                </c:pt>
                <c:pt idx="316">
                  <c:v>0.52522469972568031</c:v>
                </c:pt>
                <c:pt idx="317">
                  <c:v>0.37208124083567895</c:v>
                </c:pt>
                <c:pt idx="318">
                  <c:v>2.3839522744586263</c:v>
                </c:pt>
                <c:pt idx="319">
                  <c:v>2.736982312682458</c:v>
                </c:pt>
                <c:pt idx="320">
                  <c:v>-1.385096118191957</c:v>
                </c:pt>
                <c:pt idx="321">
                  <c:v>-0.50905145201770352</c:v>
                </c:pt>
                <c:pt idx="322">
                  <c:v>4.4012069369440639E-2</c:v>
                </c:pt>
                <c:pt idx="323">
                  <c:v>3.6554308074562396</c:v>
                </c:pt>
                <c:pt idx="324">
                  <c:v>-0.33689034623101771</c:v>
                </c:pt>
                <c:pt idx="325">
                  <c:v>-0.6928110592910145</c:v>
                </c:pt>
                <c:pt idx="326">
                  <c:v>-0.74328414419594702</c:v>
                </c:pt>
                <c:pt idx="327">
                  <c:v>-1.0387754237028324</c:v>
                </c:pt>
                <c:pt idx="328">
                  <c:v>-0.91541798348216963</c:v>
                </c:pt>
                <c:pt idx="329">
                  <c:v>1.6406033159664404</c:v>
                </c:pt>
                <c:pt idx="330">
                  <c:v>0.74775740004677071</c:v>
                </c:pt>
                <c:pt idx="331">
                  <c:v>0.4741081386245562</c:v>
                </c:pt>
                <c:pt idx="332">
                  <c:v>-0.48929586859510593</c:v>
                </c:pt>
                <c:pt idx="333">
                  <c:v>-0.243734645063929</c:v>
                </c:pt>
                <c:pt idx="334">
                  <c:v>-0.36518858991339059</c:v>
                </c:pt>
                <c:pt idx="335">
                  <c:v>-4.1310494173967177E-2</c:v>
                </c:pt>
                <c:pt idx="336">
                  <c:v>-0.12231863281978922</c:v>
                </c:pt>
                <c:pt idx="337">
                  <c:v>-1.4301824874869373</c:v>
                </c:pt>
                <c:pt idx="338">
                  <c:v>-0.38011092591784668</c:v>
                </c:pt>
                <c:pt idx="339">
                  <c:v>0.87328456347026517</c:v>
                </c:pt>
                <c:pt idx="340">
                  <c:v>-0.76885926289704565</c:v>
                </c:pt>
                <c:pt idx="341">
                  <c:v>0.6363402568791432</c:v>
                </c:pt>
                <c:pt idx="342">
                  <c:v>-0.47868039134944834</c:v>
                </c:pt>
                <c:pt idx="343">
                  <c:v>-1.185349201743181E-2</c:v>
                </c:pt>
                <c:pt idx="344">
                  <c:v>0.73312095129454424</c:v>
                </c:pt>
                <c:pt idx="345">
                  <c:v>-1.0080167513700113</c:v>
                </c:pt>
                <c:pt idx="346">
                  <c:v>0.58515927935852574</c:v>
                </c:pt>
                <c:pt idx="347">
                  <c:v>0.85900709034229639</c:v>
                </c:pt>
                <c:pt idx="348">
                  <c:v>-1.21258603676451</c:v>
                </c:pt>
                <c:pt idx="349">
                  <c:v>-0.35717234441708251</c:v>
                </c:pt>
                <c:pt idx="350">
                  <c:v>0.18125668640088469</c:v>
                </c:pt>
                <c:pt idx="351">
                  <c:v>0.18866021876582087</c:v>
                </c:pt>
                <c:pt idx="352">
                  <c:v>-0.92352111324355457</c:v>
                </c:pt>
                <c:pt idx="353">
                  <c:v>-1.3127815445946116</c:v>
                </c:pt>
                <c:pt idx="354">
                  <c:v>-0.51893704509125538</c:v>
                </c:pt>
                <c:pt idx="355">
                  <c:v>4.5420106346344289</c:v>
                </c:pt>
                <c:pt idx="356">
                  <c:v>-1.3916245866830781</c:v>
                </c:pt>
                <c:pt idx="357">
                  <c:v>-0.47241999576878002</c:v>
                </c:pt>
                <c:pt idx="358">
                  <c:v>-0.46280463327686361</c:v>
                </c:pt>
                <c:pt idx="359">
                  <c:v>-0.92742946959703632</c:v>
                </c:pt>
                <c:pt idx="360">
                  <c:v>-1.0476982074474273</c:v>
                </c:pt>
                <c:pt idx="361">
                  <c:v>-0.87284608079032189</c:v>
                </c:pt>
                <c:pt idx="362">
                  <c:v>-0.23318548025005417</c:v>
                </c:pt>
                <c:pt idx="363">
                  <c:v>-0.47712974219195103</c:v>
                </c:pt>
                <c:pt idx="364">
                  <c:v>2.4744902714388801</c:v>
                </c:pt>
                <c:pt idx="365">
                  <c:v>-0.93754765262379358</c:v>
                </c:pt>
                <c:pt idx="366">
                  <c:v>-1.1179781930361152</c:v>
                </c:pt>
                <c:pt idx="367">
                  <c:v>-0.81130381875995039</c:v>
                </c:pt>
                <c:pt idx="368">
                  <c:v>-1.0891190997976501</c:v>
                </c:pt>
                <c:pt idx="369">
                  <c:v>-8.7630790970291861E-2</c:v>
                </c:pt>
                <c:pt idx="370">
                  <c:v>5.8322213831928496E-2</c:v>
                </c:pt>
                <c:pt idx="371">
                  <c:v>-0.254162867456112</c:v>
                </c:pt>
                <c:pt idx="372">
                  <c:v>-0.47307171782331425</c:v>
                </c:pt>
                <c:pt idx="373">
                  <c:v>1.1273653368094776</c:v>
                </c:pt>
                <c:pt idx="374">
                  <c:v>2.0189067865910837</c:v>
                </c:pt>
                <c:pt idx="375">
                  <c:v>4.3938218550296816E-2</c:v>
                </c:pt>
                <c:pt idx="376">
                  <c:v>0.20890030337723237</c:v>
                </c:pt>
                <c:pt idx="377">
                  <c:v>-1.2261654566416846</c:v>
                </c:pt>
                <c:pt idx="378">
                  <c:v>7.1703530945745218E-3</c:v>
                </c:pt>
                <c:pt idx="379">
                  <c:v>-0.17585349828961294</c:v>
                </c:pt>
                <c:pt idx="380">
                  <c:v>-7.6968991647325249E-2</c:v>
                </c:pt>
                <c:pt idx="381">
                  <c:v>-0.16717187376009074</c:v>
                </c:pt>
                <c:pt idx="382">
                  <c:v>1.9344980349075398</c:v>
                </c:pt>
                <c:pt idx="383">
                  <c:v>-0.52627078743206335</c:v>
                </c:pt>
                <c:pt idx="384">
                  <c:v>2.8719199985628334</c:v>
                </c:pt>
                <c:pt idx="385">
                  <c:v>1.2744494416544743</c:v>
                </c:pt>
                <c:pt idx="386">
                  <c:v>0.45031964127886709</c:v>
                </c:pt>
                <c:pt idx="387">
                  <c:v>0.83774605535397728</c:v>
                </c:pt>
                <c:pt idx="388">
                  <c:v>-0.56017122833632327</c:v>
                </c:pt>
                <c:pt idx="389">
                  <c:v>-0.20580372654341425</c:v>
                </c:pt>
                <c:pt idx="390">
                  <c:v>-0.4093887004176231</c:v>
                </c:pt>
                <c:pt idx="391">
                  <c:v>-0.85167009832074003</c:v>
                </c:pt>
                <c:pt idx="392">
                  <c:v>6.3783119564253796E-2</c:v>
                </c:pt>
                <c:pt idx="393">
                  <c:v>1.3119540026534844</c:v>
                </c:pt>
                <c:pt idx="394">
                  <c:v>-0.50900776605482712</c:v>
                </c:pt>
                <c:pt idx="395">
                  <c:v>-1.0938155422422269</c:v>
                </c:pt>
                <c:pt idx="396">
                  <c:v>-0.30285659666388443</c:v>
                </c:pt>
                <c:pt idx="397">
                  <c:v>9.2129943407545836E-2</c:v>
                </c:pt>
                <c:pt idx="398">
                  <c:v>3.4730129502961414E-2</c:v>
                </c:pt>
                <c:pt idx="399">
                  <c:v>2.6670631504467045E-2</c:v>
                </c:pt>
                <c:pt idx="400">
                  <c:v>0.50490463279257924</c:v>
                </c:pt>
                <c:pt idx="401">
                  <c:v>-0.80284234235595164</c:v>
                </c:pt>
                <c:pt idx="402">
                  <c:v>-0.75979444022240739</c:v>
                </c:pt>
                <c:pt idx="403">
                  <c:v>1.1458902393432393</c:v>
                </c:pt>
                <c:pt idx="404">
                  <c:v>1.8099555065284625</c:v>
                </c:pt>
                <c:pt idx="405">
                  <c:v>-0.38325627112751248</c:v>
                </c:pt>
                <c:pt idx="406">
                  <c:v>1.3588572427245933</c:v>
                </c:pt>
                <c:pt idx="407">
                  <c:v>0.14504721390757017</c:v>
                </c:pt>
                <c:pt idx="408">
                  <c:v>-1.2167945377563738</c:v>
                </c:pt>
                <c:pt idx="409">
                  <c:v>-0.58105041254161638</c:v>
                </c:pt>
                <c:pt idx="410">
                  <c:v>-1.1016656475939064</c:v>
                </c:pt>
                <c:pt idx="411">
                  <c:v>0.35478311516231709</c:v>
                </c:pt>
                <c:pt idx="412">
                  <c:v>0.48098525290857114</c:v>
                </c:pt>
                <c:pt idx="413">
                  <c:v>-0.841668938428493</c:v>
                </c:pt>
                <c:pt idx="414">
                  <c:v>1.1603051457551072</c:v>
                </c:pt>
                <c:pt idx="415">
                  <c:v>0.37639522076066662</c:v>
                </c:pt>
                <c:pt idx="416">
                  <c:v>-0.8615214993145065</c:v>
                </c:pt>
                <c:pt idx="417">
                  <c:v>-0.369522293468389</c:v>
                </c:pt>
                <c:pt idx="418">
                  <c:v>0.22989321581557787</c:v>
                </c:pt>
                <c:pt idx="419">
                  <c:v>-0.45365550312130498</c:v>
                </c:pt>
                <c:pt idx="420">
                  <c:v>0.56836609401500537</c:v>
                </c:pt>
                <c:pt idx="421">
                  <c:v>0.53926190390879514</c:v>
                </c:pt>
                <c:pt idx="422">
                  <c:v>0.21426414667132146</c:v>
                </c:pt>
                <c:pt idx="423">
                  <c:v>-0.23619443197691475</c:v>
                </c:pt>
                <c:pt idx="424">
                  <c:v>1.7822723667473646</c:v>
                </c:pt>
                <c:pt idx="425">
                  <c:v>-0.46962160169469852</c:v>
                </c:pt>
                <c:pt idx="426">
                  <c:v>-0.59508919904926605</c:v>
                </c:pt>
                <c:pt idx="427">
                  <c:v>-0.24231495863764888</c:v>
                </c:pt>
                <c:pt idx="428">
                  <c:v>-0.31820730452529394</c:v>
                </c:pt>
                <c:pt idx="429">
                  <c:v>0.14669723342441901</c:v>
                </c:pt>
                <c:pt idx="430">
                  <c:v>0.29084862883792018</c:v>
                </c:pt>
                <c:pt idx="431">
                  <c:v>-1.8105736565374897</c:v>
                </c:pt>
                <c:pt idx="432">
                  <c:v>-0.51000552276509503</c:v>
                </c:pt>
                <c:pt idx="433">
                  <c:v>-0.36359303136802151</c:v>
                </c:pt>
                <c:pt idx="434">
                  <c:v>-1.0190409646743268E-2</c:v>
                </c:pt>
                <c:pt idx="435">
                  <c:v>0.41905116915590557</c:v>
                </c:pt>
                <c:pt idx="436">
                  <c:v>-0.26659626824644672</c:v>
                </c:pt>
                <c:pt idx="437">
                  <c:v>-0.86980701913600267</c:v>
                </c:pt>
                <c:pt idx="438">
                  <c:v>0.5527395056454697</c:v>
                </c:pt>
                <c:pt idx="439">
                  <c:v>-0.11915358727918486</c:v>
                </c:pt>
                <c:pt idx="440">
                  <c:v>-1.069512013711543</c:v>
                </c:pt>
                <c:pt idx="441">
                  <c:v>0.59630350962093603</c:v>
                </c:pt>
                <c:pt idx="442">
                  <c:v>0.72638677408089403</c:v>
                </c:pt>
                <c:pt idx="443">
                  <c:v>0.3837888541294463</c:v>
                </c:pt>
                <c:pt idx="444">
                  <c:v>-1.0466299351154824</c:v>
                </c:pt>
                <c:pt idx="445">
                  <c:v>-0.38364586282090335</c:v>
                </c:pt>
                <c:pt idx="446">
                  <c:v>-1.2031645375239213</c:v>
                </c:pt>
                <c:pt idx="447">
                  <c:v>-0.99344503364644132</c:v>
                </c:pt>
                <c:pt idx="448">
                  <c:v>0.2368093443159609</c:v>
                </c:pt>
                <c:pt idx="449">
                  <c:v>1.4826349567495032</c:v>
                </c:pt>
                <c:pt idx="450">
                  <c:v>-0.65951104239074065</c:v>
                </c:pt>
                <c:pt idx="451">
                  <c:v>1.4870509881502407</c:v>
                </c:pt>
                <c:pt idx="452">
                  <c:v>0.31186082520563763</c:v>
                </c:pt>
                <c:pt idx="453">
                  <c:v>0.62329266407681838</c:v>
                </c:pt>
                <c:pt idx="454">
                  <c:v>-1.1440972147201467</c:v>
                </c:pt>
                <c:pt idx="455">
                  <c:v>0.34169507644799668</c:v>
                </c:pt>
                <c:pt idx="456">
                  <c:v>0.75889862210907311</c:v>
                </c:pt>
                <c:pt idx="457">
                  <c:v>-0.71984903717774884</c:v>
                </c:pt>
                <c:pt idx="458">
                  <c:v>1.0445955408431387</c:v>
                </c:pt>
                <c:pt idx="459">
                  <c:v>2.1621575282809884</c:v>
                </c:pt>
                <c:pt idx="460">
                  <c:v>-0.70316224869415189</c:v>
                </c:pt>
                <c:pt idx="461">
                  <c:v>0.59397256849704416</c:v>
                </c:pt>
                <c:pt idx="462">
                  <c:v>1.0778663926728442</c:v>
                </c:pt>
                <c:pt idx="463">
                  <c:v>-1.7051987941835023</c:v>
                </c:pt>
                <c:pt idx="464">
                  <c:v>0.53747471168284711</c:v>
                </c:pt>
                <c:pt idx="465">
                  <c:v>2.1757968012125715</c:v>
                </c:pt>
                <c:pt idx="466">
                  <c:v>-0.41466420584807911</c:v>
                </c:pt>
                <c:pt idx="467">
                  <c:v>1.2990655600870258</c:v>
                </c:pt>
                <c:pt idx="468">
                  <c:v>-0.45135847257501743</c:v>
                </c:pt>
                <c:pt idx="469">
                  <c:v>-0.94126125249302073</c:v>
                </c:pt>
                <c:pt idx="470">
                  <c:v>-0.11785590857981521</c:v>
                </c:pt>
                <c:pt idx="471">
                  <c:v>-0.47574153436344069</c:v>
                </c:pt>
                <c:pt idx="472">
                  <c:v>-1.6144771107129035</c:v>
                </c:pt>
                <c:pt idx="473">
                  <c:v>-4.40204388935517E-2</c:v>
                </c:pt>
                <c:pt idx="474">
                  <c:v>0.57955737073595481</c:v>
                </c:pt>
                <c:pt idx="475">
                  <c:v>0.52316082190177349</c:v>
                </c:pt>
                <c:pt idx="476">
                  <c:v>-0.37424979503414491</c:v>
                </c:pt>
                <c:pt idx="477">
                  <c:v>-0.63347737085176925</c:v>
                </c:pt>
                <c:pt idx="478">
                  <c:v>0.91240976432993615</c:v>
                </c:pt>
                <c:pt idx="479">
                  <c:v>-0.55764933450344811</c:v>
                </c:pt>
                <c:pt idx="480">
                  <c:v>0.23060284906708153</c:v>
                </c:pt>
                <c:pt idx="481">
                  <c:v>-0.61467558272258815</c:v>
                </c:pt>
                <c:pt idx="482">
                  <c:v>-1.2729761457108479</c:v>
                </c:pt>
                <c:pt idx="483">
                  <c:v>0.72181877407130468</c:v>
                </c:pt>
                <c:pt idx="484">
                  <c:v>-0.11626372748399072</c:v>
                </c:pt>
                <c:pt idx="485">
                  <c:v>-0.20419025290945664</c:v>
                </c:pt>
                <c:pt idx="486">
                  <c:v>-0.58374107348397386</c:v>
                </c:pt>
                <c:pt idx="487">
                  <c:v>1.2245616828952046</c:v>
                </c:pt>
                <c:pt idx="488">
                  <c:v>4.8567578059047441E-2</c:v>
                </c:pt>
                <c:pt idx="489">
                  <c:v>-0.91031764426609862</c:v>
                </c:pt>
                <c:pt idx="490">
                  <c:v>1.0940441536636658</c:v>
                </c:pt>
                <c:pt idx="491">
                  <c:v>0.19591784418719302</c:v>
                </c:pt>
                <c:pt idx="492">
                  <c:v>-0.19927062222882547</c:v>
                </c:pt>
                <c:pt idx="493">
                  <c:v>-0.48352976472531567</c:v>
                </c:pt>
                <c:pt idx="494">
                  <c:v>-1.215911576230353</c:v>
                </c:pt>
                <c:pt idx="495">
                  <c:v>1.5780597891639818</c:v>
                </c:pt>
                <c:pt idx="496">
                  <c:v>1.7534045630789719</c:v>
                </c:pt>
                <c:pt idx="497">
                  <c:v>-0.5296397658392169</c:v>
                </c:pt>
                <c:pt idx="498">
                  <c:v>0.73306165053336991</c:v>
                </c:pt>
                <c:pt idx="499">
                  <c:v>-0.58831219053724537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3-4F88-A6D5-5410F3D4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4775"/>
        <c:axId val="6626823"/>
      </c:scatterChart>
      <c:valAx>
        <c:axId val="662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6823"/>
        <c:crosses val="autoZero"/>
        <c:crossBetween val="midCat"/>
      </c:valAx>
      <c:valAx>
        <c:axId val="662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4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Transform - Profit to Unit Profit</a:t>
            </a:r>
          </a:p>
        </c:rich>
      </c:tx>
      <c:layout>
        <c:manualLayout>
          <c:xMode val="edge"/>
          <c:yMode val="edge"/>
          <c:x val="0.29906233595800524"/>
          <c:y val="3.273809523809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'Transformation (Ln)'!$J$1</c:f>
              <c:strCache>
                <c:ptCount val="1"/>
                <c:pt idx="0">
                  <c:v>LN Transform - Unit 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196325459317586"/>
                  <c:y val="-0.128955599300087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'Transformation (Ln)'!$I$2:$I$501</c:f>
              <c:numCache>
                <c:formatCode>General</c:formatCode>
                <c:ptCount val="500"/>
                <c:pt idx="0">
                  <c:v>6.4313310819334788</c:v>
                </c:pt>
                <c:pt idx="1">
                  <c:v>8.2738469327845081</c:v>
                </c:pt>
                <c:pt idx="2">
                  <c:v>6.9847163201182658</c:v>
                </c:pt>
                <c:pt idx="3">
                  <c:v>6.9828627514689421</c:v>
                </c:pt>
                <c:pt idx="4">
                  <c:v>6.5510803350434044</c:v>
                </c:pt>
                <c:pt idx="5">
                  <c:v>8.0709060887878188</c:v>
                </c:pt>
                <c:pt idx="6">
                  <c:v>6.7080840838530698</c:v>
                </c:pt>
                <c:pt idx="7">
                  <c:v>6.6846117276679271</c:v>
                </c:pt>
                <c:pt idx="8">
                  <c:v>7.2298387781512501</c:v>
                </c:pt>
                <c:pt idx="9">
                  <c:v>4.8598124043616719</c:v>
                </c:pt>
                <c:pt idx="10">
                  <c:v>5.4806389233419912</c:v>
                </c:pt>
                <c:pt idx="11">
                  <c:v>6.508769136971682</c:v>
                </c:pt>
                <c:pt idx="12">
                  <c:v>8.0320353143988239</c:v>
                </c:pt>
                <c:pt idx="13">
                  <c:v>6.7405193596062229</c:v>
                </c:pt>
                <c:pt idx="14">
                  <c:v>7.0492548412558369</c:v>
                </c:pt>
                <c:pt idx="15">
                  <c:v>5.7430031878094825</c:v>
                </c:pt>
                <c:pt idx="16">
                  <c:v>7.4265490723973047</c:v>
                </c:pt>
                <c:pt idx="17">
                  <c:v>6.3868793193626452</c:v>
                </c:pt>
                <c:pt idx="18">
                  <c:v>7.1853870155804165</c:v>
                </c:pt>
                <c:pt idx="19">
                  <c:v>5.4595855141441589</c:v>
                </c:pt>
                <c:pt idx="20">
                  <c:v>7.5027382107548508</c:v>
                </c:pt>
                <c:pt idx="21">
                  <c:v>4.7095302013123339</c:v>
                </c:pt>
                <c:pt idx="22">
                  <c:v>6.4738906963522744</c:v>
                </c:pt>
                <c:pt idx="23">
                  <c:v>6.4361503683694279</c:v>
                </c:pt>
                <c:pt idx="24">
                  <c:v>7.1701195434496281</c:v>
                </c:pt>
                <c:pt idx="25">
                  <c:v>6.2766434893416445</c:v>
                </c:pt>
                <c:pt idx="26">
                  <c:v>6.5944134597497781</c:v>
                </c:pt>
                <c:pt idx="27">
                  <c:v>7.2513449833722143</c:v>
                </c:pt>
                <c:pt idx="28">
                  <c:v>9.0010997258309651</c:v>
                </c:pt>
                <c:pt idx="29">
                  <c:v>8.3123805967867508</c:v>
                </c:pt>
                <c:pt idx="30">
                  <c:v>7.1546153569136628</c:v>
                </c:pt>
                <c:pt idx="31">
                  <c:v>7.6732231211217083</c:v>
                </c:pt>
                <c:pt idx="32">
                  <c:v>5.598421958998375</c:v>
                </c:pt>
                <c:pt idx="33">
                  <c:v>3.6888794541139363</c:v>
                </c:pt>
                <c:pt idx="34">
                  <c:v>6.3716118472318568</c:v>
                </c:pt>
                <c:pt idx="35">
                  <c:v>6.4068799860693142</c:v>
                </c:pt>
                <c:pt idx="36">
                  <c:v>6.3456363608285962</c:v>
                </c:pt>
                <c:pt idx="37">
                  <c:v>7.368970402194793</c:v>
                </c:pt>
                <c:pt idx="38">
                  <c:v>8.9703049529917553</c:v>
                </c:pt>
                <c:pt idx="39">
                  <c:v>6.5861716548546747</c:v>
                </c:pt>
                <c:pt idx="40">
                  <c:v>8.7371316117814981</c:v>
                </c:pt>
                <c:pt idx="41">
                  <c:v>7.301147805856032</c:v>
                </c:pt>
                <c:pt idx="42">
                  <c:v>7.6167758086983728</c:v>
                </c:pt>
                <c:pt idx="43">
                  <c:v>7.5395588293010301</c:v>
                </c:pt>
                <c:pt idx="44">
                  <c:v>8.9058511812080212</c:v>
                </c:pt>
                <c:pt idx="45">
                  <c:v>7.5569505720128998</c:v>
                </c:pt>
                <c:pt idx="46">
                  <c:v>7.160069207596127</c:v>
                </c:pt>
                <c:pt idx="47">
                  <c:v>7.9543722725318666</c:v>
                </c:pt>
                <c:pt idx="48">
                  <c:v>7.9024874371628551</c:v>
                </c:pt>
                <c:pt idx="49">
                  <c:v>4.0775374439057197</c:v>
                </c:pt>
                <c:pt idx="50">
                  <c:v>5.1929568508902104</c:v>
                </c:pt>
                <c:pt idx="51">
                  <c:v>4.7621739347977563</c:v>
                </c:pt>
                <c:pt idx="52">
                  <c:v>10.064755700132251</c:v>
                </c:pt>
                <c:pt idx="53">
                  <c:v>7.1959372264755688</c:v>
                </c:pt>
                <c:pt idx="54">
                  <c:v>7.4922030426187414</c:v>
                </c:pt>
                <c:pt idx="55">
                  <c:v>4.7874917427820458</c:v>
                </c:pt>
                <c:pt idx="56">
                  <c:v>6.3279367837291947</c:v>
                </c:pt>
                <c:pt idx="57">
                  <c:v>6.0958245624322247</c:v>
                </c:pt>
                <c:pt idx="58">
                  <c:v>6.6592939196836376</c:v>
                </c:pt>
                <c:pt idx="59">
                  <c:v>7.4383835300443071</c:v>
                </c:pt>
                <c:pt idx="60">
                  <c:v>6.6644090203504076</c:v>
                </c:pt>
                <c:pt idx="61">
                  <c:v>8.7132532743207047</c:v>
                </c:pt>
                <c:pt idx="62">
                  <c:v>7.2640301428995295</c:v>
                </c:pt>
                <c:pt idx="63">
                  <c:v>7.1388669999455239</c:v>
                </c:pt>
                <c:pt idx="64">
                  <c:v>4.3820266346738812</c:v>
                </c:pt>
                <c:pt idx="65">
                  <c:v>6.9782137426306985</c:v>
                </c:pt>
                <c:pt idx="66">
                  <c:v>6.5072777123850116</c:v>
                </c:pt>
                <c:pt idx="67">
                  <c:v>7.9182646860952737</c:v>
                </c:pt>
                <c:pt idx="68">
                  <c:v>8.237479288613633</c:v>
                </c:pt>
                <c:pt idx="69">
                  <c:v>8.0986428437594178</c:v>
                </c:pt>
                <c:pt idx="70">
                  <c:v>5.9814142112544806</c:v>
                </c:pt>
                <c:pt idx="71">
                  <c:v>8.7824762689245386</c:v>
                </c:pt>
                <c:pt idx="72">
                  <c:v>9.1482521796627605</c:v>
                </c:pt>
                <c:pt idx="73">
                  <c:v>5.4467373716663099</c:v>
                </c:pt>
                <c:pt idx="74">
                  <c:v>6.8276292345028518</c:v>
                </c:pt>
                <c:pt idx="75">
                  <c:v>7.7406644019172415</c:v>
                </c:pt>
                <c:pt idx="76">
                  <c:v>7.0121152943063798</c:v>
                </c:pt>
                <c:pt idx="77">
                  <c:v>7.0527210492323231</c:v>
                </c:pt>
                <c:pt idx="78">
                  <c:v>7.8808043446749014</c:v>
                </c:pt>
                <c:pt idx="79">
                  <c:v>7.2211050981824956</c:v>
                </c:pt>
                <c:pt idx="80">
                  <c:v>7.0422861719397432</c:v>
                </c:pt>
                <c:pt idx="81">
                  <c:v>5.3375380797013179</c:v>
                </c:pt>
                <c:pt idx="82">
                  <c:v>10.463160481696102</c:v>
                </c:pt>
                <c:pt idx="83">
                  <c:v>8.2448593959112557</c:v>
                </c:pt>
                <c:pt idx="84">
                  <c:v>7.3752557780097545</c:v>
                </c:pt>
                <c:pt idx="85">
                  <c:v>5.4293456289544411</c:v>
                </c:pt>
                <c:pt idx="86">
                  <c:v>5.934894195619588</c:v>
                </c:pt>
                <c:pt idx="87">
                  <c:v>5.1704839950381514</c:v>
                </c:pt>
                <c:pt idx="88">
                  <c:v>6.3801225368997647</c:v>
                </c:pt>
                <c:pt idx="89">
                  <c:v>8.4801141831748161</c:v>
                </c:pt>
                <c:pt idx="90">
                  <c:v>5.4680601411351315</c:v>
                </c:pt>
                <c:pt idx="91">
                  <c:v>5.6594822157596214</c:v>
                </c:pt>
                <c:pt idx="92">
                  <c:v>5.8081424899804439</c:v>
                </c:pt>
                <c:pt idx="93">
                  <c:v>6.6437897331476723</c:v>
                </c:pt>
                <c:pt idx="94">
                  <c:v>7.4610655143542832</c:v>
                </c:pt>
                <c:pt idx="95">
                  <c:v>8.1803208747736846</c:v>
                </c:pt>
                <c:pt idx="96">
                  <c:v>7.7066129139641966</c:v>
                </c:pt>
                <c:pt idx="97">
                  <c:v>5.8171111599632042</c:v>
                </c:pt>
                <c:pt idx="98">
                  <c:v>4.9698132995760007</c:v>
                </c:pt>
                <c:pt idx="99">
                  <c:v>6.8875525716646173</c:v>
                </c:pt>
                <c:pt idx="100">
                  <c:v>2.8903717578961645</c:v>
                </c:pt>
                <c:pt idx="101">
                  <c:v>6.9847163201182658</c:v>
                </c:pt>
                <c:pt idx="102">
                  <c:v>8.1886891244442008</c:v>
                </c:pt>
                <c:pt idx="103">
                  <c:v>7.8720739798668733</c:v>
                </c:pt>
                <c:pt idx="104">
                  <c:v>7.773173680482536</c:v>
                </c:pt>
                <c:pt idx="105">
                  <c:v>6.061456918928017</c:v>
                </c:pt>
                <c:pt idx="106">
                  <c:v>5.0625950330269669</c:v>
                </c:pt>
                <c:pt idx="107">
                  <c:v>5.1059454739005803</c:v>
                </c:pt>
                <c:pt idx="108">
                  <c:v>6.5820251388928259</c:v>
                </c:pt>
                <c:pt idx="109">
                  <c:v>6.4002574453088208</c:v>
                </c:pt>
                <c:pt idx="110">
                  <c:v>7.5453897496118234</c:v>
                </c:pt>
                <c:pt idx="111">
                  <c:v>5.598421958998375</c:v>
                </c:pt>
                <c:pt idx="112">
                  <c:v>6.1737861039019366</c:v>
                </c:pt>
                <c:pt idx="113">
                  <c:v>6.7334018918373593</c:v>
                </c:pt>
                <c:pt idx="114">
                  <c:v>7.5299433706015888</c:v>
                </c:pt>
                <c:pt idx="115">
                  <c:v>6.0402547112774139</c:v>
                </c:pt>
                <c:pt idx="116">
                  <c:v>7.6088706291912596</c:v>
                </c:pt>
                <c:pt idx="117">
                  <c:v>4.9767337424205742</c:v>
                </c:pt>
                <c:pt idx="118">
                  <c:v>7.0210839642891401</c:v>
                </c:pt>
                <c:pt idx="119">
                  <c:v>6.7615727688040552</c:v>
                </c:pt>
                <c:pt idx="120">
                  <c:v>8.0965129175015935</c:v>
                </c:pt>
                <c:pt idx="121">
                  <c:v>8.2187871556014809</c:v>
                </c:pt>
                <c:pt idx="122">
                  <c:v>5.6524891802686508</c:v>
                </c:pt>
                <c:pt idx="123">
                  <c:v>7.4354380198145504</c:v>
                </c:pt>
                <c:pt idx="124">
                  <c:v>5.9080829381689313</c:v>
                </c:pt>
                <c:pt idx="125">
                  <c:v>6.9874902470009905</c:v>
                </c:pt>
                <c:pt idx="126">
                  <c:v>7.0335064842876971</c:v>
                </c:pt>
                <c:pt idx="127">
                  <c:v>6.9275579062783166</c:v>
                </c:pt>
                <c:pt idx="128">
                  <c:v>7.6053923648149349</c:v>
                </c:pt>
                <c:pt idx="129">
                  <c:v>8.9951649903111495</c:v>
                </c:pt>
                <c:pt idx="130">
                  <c:v>4.9416424226093039</c:v>
                </c:pt>
                <c:pt idx="131">
                  <c:v>7.1276936993473985</c:v>
                </c:pt>
                <c:pt idx="132">
                  <c:v>7.3777589082278725</c:v>
                </c:pt>
                <c:pt idx="133">
                  <c:v>6.7499311937885702</c:v>
                </c:pt>
                <c:pt idx="134">
                  <c:v>8.1605182474775049</c:v>
                </c:pt>
                <c:pt idx="135">
                  <c:v>6.444131256700441</c:v>
                </c:pt>
                <c:pt idx="136">
                  <c:v>8.2230905511615333</c:v>
                </c:pt>
                <c:pt idx="137">
                  <c:v>7.5953872788539725</c:v>
                </c:pt>
                <c:pt idx="138">
                  <c:v>6.0753460310886842</c:v>
                </c:pt>
                <c:pt idx="139">
                  <c:v>7.0228680860826413</c:v>
                </c:pt>
                <c:pt idx="140">
                  <c:v>7.6732231211217083</c:v>
                </c:pt>
                <c:pt idx="141">
                  <c:v>6.253828811575473</c:v>
                </c:pt>
                <c:pt idx="142">
                  <c:v>5.1929568508902104</c:v>
                </c:pt>
                <c:pt idx="143">
                  <c:v>5.6698809229805196</c:v>
                </c:pt>
                <c:pt idx="144">
                  <c:v>6.1047932324149849</c:v>
                </c:pt>
                <c:pt idx="145">
                  <c:v>7.5632005923580712</c:v>
                </c:pt>
                <c:pt idx="146">
                  <c:v>6.5792512120101012</c:v>
                </c:pt>
                <c:pt idx="147">
                  <c:v>8.6697425898765221</c:v>
                </c:pt>
                <c:pt idx="148">
                  <c:v>7.5983993293239642</c:v>
                </c:pt>
                <c:pt idx="149">
                  <c:v>6.6280413761795334</c:v>
                </c:pt>
                <c:pt idx="150">
                  <c:v>7.6984827878809465</c:v>
                </c:pt>
                <c:pt idx="151">
                  <c:v>9.1736763876045906</c:v>
                </c:pt>
                <c:pt idx="152">
                  <c:v>5.9322451874480109</c:v>
                </c:pt>
                <c:pt idx="153">
                  <c:v>6.9431224228194282</c:v>
                </c:pt>
                <c:pt idx="154">
                  <c:v>6.0867747269123065</c:v>
                </c:pt>
                <c:pt idx="155">
                  <c:v>6.0730445341004051</c:v>
                </c:pt>
                <c:pt idx="156">
                  <c:v>5.2882670306945352</c:v>
                </c:pt>
                <c:pt idx="157">
                  <c:v>6.3969296552161463</c:v>
                </c:pt>
                <c:pt idx="158">
                  <c:v>5.0434251169192468</c:v>
                </c:pt>
                <c:pt idx="159">
                  <c:v>5.0814043649844631</c:v>
                </c:pt>
                <c:pt idx="160">
                  <c:v>6.4876840184846101</c:v>
                </c:pt>
                <c:pt idx="161">
                  <c:v>6.8824374709978473</c:v>
                </c:pt>
                <c:pt idx="162">
                  <c:v>4.6051701859880918</c:v>
                </c:pt>
                <c:pt idx="163">
                  <c:v>6.4769723628896827</c:v>
                </c:pt>
                <c:pt idx="164">
                  <c:v>6.3561076606958915</c:v>
                </c:pt>
                <c:pt idx="165">
                  <c:v>6.3767269478986268</c:v>
                </c:pt>
                <c:pt idx="166">
                  <c:v>7.122866658599083</c:v>
                </c:pt>
                <c:pt idx="167">
                  <c:v>6.9847163201182658</c:v>
                </c:pt>
                <c:pt idx="168">
                  <c:v>7.9373746961632952</c:v>
                </c:pt>
                <c:pt idx="169">
                  <c:v>8.4446224985814027</c:v>
                </c:pt>
                <c:pt idx="170">
                  <c:v>7.2470805845857562</c:v>
                </c:pt>
                <c:pt idx="171">
                  <c:v>7.4477512800479078</c:v>
                </c:pt>
                <c:pt idx="172">
                  <c:v>9.2251304574488184</c:v>
                </c:pt>
                <c:pt idx="173">
                  <c:v>5.916202062607435</c:v>
                </c:pt>
                <c:pt idx="174">
                  <c:v>7.914252278742441</c:v>
                </c:pt>
                <c:pt idx="175">
                  <c:v>6.4457198193855785</c:v>
                </c:pt>
                <c:pt idx="176">
                  <c:v>7.3349818788718144</c:v>
                </c:pt>
                <c:pt idx="177">
                  <c:v>8.4763711968959825</c:v>
                </c:pt>
                <c:pt idx="178">
                  <c:v>5.9814142112544806</c:v>
                </c:pt>
                <c:pt idx="179">
                  <c:v>7.4871736942137392</c:v>
                </c:pt>
                <c:pt idx="180">
                  <c:v>8.2011116444427579</c:v>
                </c:pt>
                <c:pt idx="181">
                  <c:v>6.8956826977478682</c:v>
                </c:pt>
                <c:pt idx="182">
                  <c:v>6.6644090203504076</c:v>
                </c:pt>
                <c:pt idx="183">
                  <c:v>7.0475172213572961</c:v>
                </c:pt>
                <c:pt idx="184">
                  <c:v>4.5951198501345898</c:v>
                </c:pt>
                <c:pt idx="185">
                  <c:v>7.5796788230904557</c:v>
                </c:pt>
                <c:pt idx="186">
                  <c:v>7.191429330036379</c:v>
                </c:pt>
                <c:pt idx="187">
                  <c:v>5.3327187932653688</c:v>
                </c:pt>
                <c:pt idx="188">
                  <c:v>5.6698809229805196</c:v>
                </c:pt>
                <c:pt idx="189">
                  <c:v>4.8828019225863706</c:v>
                </c:pt>
                <c:pt idx="190">
                  <c:v>5.2781146592305168</c:v>
                </c:pt>
                <c:pt idx="191">
                  <c:v>7.8965527016430404</c:v>
                </c:pt>
                <c:pt idx="192">
                  <c:v>6.0038870671065387</c:v>
                </c:pt>
                <c:pt idx="193">
                  <c:v>5.6629604801359461</c:v>
                </c:pt>
                <c:pt idx="194">
                  <c:v>6.8946700394334819</c:v>
                </c:pt>
                <c:pt idx="195">
                  <c:v>8.2500977525728452</c:v>
                </c:pt>
                <c:pt idx="196">
                  <c:v>5.0875963352323836</c:v>
                </c:pt>
                <c:pt idx="197">
                  <c:v>7.2470805845857562</c:v>
                </c:pt>
                <c:pt idx="198">
                  <c:v>6.828712071641684</c:v>
                </c:pt>
                <c:pt idx="199">
                  <c:v>6.6592939196836376</c:v>
                </c:pt>
                <c:pt idx="200">
                  <c:v>7.2861917147023822</c:v>
                </c:pt>
                <c:pt idx="201">
                  <c:v>5.9107966440405271</c:v>
                </c:pt>
                <c:pt idx="202">
                  <c:v>6.1633148040346413</c:v>
                </c:pt>
                <c:pt idx="203">
                  <c:v>6.2576675878826391</c:v>
                </c:pt>
                <c:pt idx="204">
                  <c:v>6.4361503683694279</c:v>
                </c:pt>
                <c:pt idx="205">
                  <c:v>7.0975488506147926</c:v>
                </c:pt>
                <c:pt idx="206">
                  <c:v>6.4785096422085688</c:v>
                </c:pt>
                <c:pt idx="207">
                  <c:v>7.4702241358999659</c:v>
                </c:pt>
                <c:pt idx="208">
                  <c:v>7.0800264999225906</c:v>
                </c:pt>
                <c:pt idx="209">
                  <c:v>5.4424177105217932</c:v>
                </c:pt>
                <c:pt idx="210">
                  <c:v>7.5283317667072467</c:v>
                </c:pt>
                <c:pt idx="211">
                  <c:v>6.654152520183219</c:v>
                </c:pt>
                <c:pt idx="212">
                  <c:v>7.1853870155804165</c:v>
                </c:pt>
                <c:pt idx="213">
                  <c:v>5.575949103146316</c:v>
                </c:pt>
                <c:pt idx="214">
                  <c:v>9.0795480817261591</c:v>
                </c:pt>
                <c:pt idx="215">
                  <c:v>4.8828019225863706</c:v>
                </c:pt>
                <c:pt idx="216">
                  <c:v>7.6088706291912596</c:v>
                </c:pt>
                <c:pt idx="217">
                  <c:v>6.4769723628896827</c:v>
                </c:pt>
                <c:pt idx="218">
                  <c:v>8.6326624412223509</c:v>
                </c:pt>
                <c:pt idx="219">
                  <c:v>7.6553906448261522</c:v>
                </c:pt>
                <c:pt idx="220">
                  <c:v>6.3243589623813108</c:v>
                </c:pt>
                <c:pt idx="221">
                  <c:v>5.3565862746720123</c:v>
                </c:pt>
                <c:pt idx="222">
                  <c:v>6.061456918928017</c:v>
                </c:pt>
                <c:pt idx="223">
                  <c:v>7.2848209125686036</c:v>
                </c:pt>
                <c:pt idx="224">
                  <c:v>4.219507705176107</c:v>
                </c:pt>
                <c:pt idx="225">
                  <c:v>7.0647590277918022</c:v>
                </c:pt>
                <c:pt idx="226">
                  <c:v>6.9334230257307148</c:v>
                </c:pt>
                <c:pt idx="227">
                  <c:v>6.7298240704894754</c:v>
                </c:pt>
                <c:pt idx="228">
                  <c:v>5.6937321388026998</c:v>
                </c:pt>
                <c:pt idx="229">
                  <c:v>9.5699709437405485</c:v>
                </c:pt>
                <c:pt idx="230">
                  <c:v>8.174702882469461</c:v>
                </c:pt>
                <c:pt idx="231">
                  <c:v>8.0507033814702993</c:v>
                </c:pt>
                <c:pt idx="232">
                  <c:v>7.9200831990532343</c:v>
                </c:pt>
                <c:pt idx="233">
                  <c:v>7.1098794630722715</c:v>
                </c:pt>
                <c:pt idx="234">
                  <c:v>5.8971538676367405</c:v>
                </c:pt>
                <c:pt idx="235">
                  <c:v>6.4876840184846101</c:v>
                </c:pt>
                <c:pt idx="236">
                  <c:v>5.8406416573733981</c:v>
                </c:pt>
                <c:pt idx="237">
                  <c:v>5.5333894887275203</c:v>
                </c:pt>
                <c:pt idx="238">
                  <c:v>6.7298240704894754</c:v>
                </c:pt>
                <c:pt idx="239">
                  <c:v>7.4265490723973047</c:v>
                </c:pt>
                <c:pt idx="240">
                  <c:v>8.0372200311330122</c:v>
                </c:pt>
                <c:pt idx="241">
                  <c:v>7.4271441334086159</c:v>
                </c:pt>
                <c:pt idx="242">
                  <c:v>6.7334018918373593</c:v>
                </c:pt>
                <c:pt idx="243">
                  <c:v>5.6204008657171496</c:v>
                </c:pt>
                <c:pt idx="244">
                  <c:v>5.6058020662959978</c:v>
                </c:pt>
                <c:pt idx="245">
                  <c:v>7.2078598714324755</c:v>
                </c:pt>
                <c:pt idx="246">
                  <c:v>6.866933284461882</c:v>
                </c:pt>
                <c:pt idx="247">
                  <c:v>6.4892049313253173</c:v>
                </c:pt>
                <c:pt idx="248">
                  <c:v>6.674561391814426</c:v>
                </c:pt>
                <c:pt idx="249">
                  <c:v>5.9661467391236922</c:v>
                </c:pt>
                <c:pt idx="250">
                  <c:v>5.4806389233419912</c:v>
                </c:pt>
                <c:pt idx="251">
                  <c:v>6.0980742821662401</c:v>
                </c:pt>
                <c:pt idx="252">
                  <c:v>6.752270376141742</c:v>
                </c:pt>
                <c:pt idx="253">
                  <c:v>6.5279579176225502</c:v>
                </c:pt>
                <c:pt idx="254">
                  <c:v>7.6058900010531216</c:v>
                </c:pt>
                <c:pt idx="255">
                  <c:v>7.6708948313621175</c:v>
                </c:pt>
                <c:pt idx="256">
                  <c:v>6.3243589623813108</c:v>
                </c:pt>
                <c:pt idx="257">
                  <c:v>7.2283884515736041</c:v>
                </c:pt>
                <c:pt idx="258">
                  <c:v>7.90100705199242</c:v>
                </c:pt>
                <c:pt idx="259">
                  <c:v>6.7238324408212087</c:v>
                </c:pt>
                <c:pt idx="260">
                  <c:v>5.1704839950381514</c:v>
                </c:pt>
                <c:pt idx="261">
                  <c:v>6.9157234486313142</c:v>
                </c:pt>
                <c:pt idx="262">
                  <c:v>6.828712071641684</c:v>
                </c:pt>
                <c:pt idx="263">
                  <c:v>8.5993260209547593</c:v>
                </c:pt>
                <c:pt idx="264">
                  <c:v>7.305188215393037</c:v>
                </c:pt>
                <c:pt idx="265">
                  <c:v>6.0402547112774139</c:v>
                </c:pt>
                <c:pt idx="266">
                  <c:v>8.942983665985647</c:v>
                </c:pt>
                <c:pt idx="267">
                  <c:v>8.7850806365398384</c:v>
                </c:pt>
                <c:pt idx="268">
                  <c:v>7.4747721823978699</c:v>
                </c:pt>
                <c:pt idx="269">
                  <c:v>8.0646364757742219</c:v>
                </c:pt>
                <c:pt idx="270">
                  <c:v>8.9199880709685235</c:v>
                </c:pt>
                <c:pt idx="271">
                  <c:v>7.6396422878580132</c:v>
                </c:pt>
                <c:pt idx="272">
                  <c:v>7.237778191923443</c:v>
                </c:pt>
                <c:pt idx="273">
                  <c:v>7.2541778464565176</c:v>
                </c:pt>
                <c:pt idx="274">
                  <c:v>6.2383246250395077</c:v>
                </c:pt>
                <c:pt idx="275">
                  <c:v>6.0112671744041615</c:v>
                </c:pt>
                <c:pt idx="276">
                  <c:v>6.5567783561580422</c:v>
                </c:pt>
                <c:pt idx="277">
                  <c:v>5.6869753563398202</c:v>
                </c:pt>
                <c:pt idx="278">
                  <c:v>7.8387375595992816</c:v>
                </c:pt>
                <c:pt idx="279">
                  <c:v>6.6012301187288767</c:v>
                </c:pt>
                <c:pt idx="280">
                  <c:v>6.3767269478986268</c:v>
                </c:pt>
                <c:pt idx="281">
                  <c:v>7.2298387781512501</c:v>
                </c:pt>
                <c:pt idx="282">
                  <c:v>8.354203562921775</c:v>
                </c:pt>
                <c:pt idx="283">
                  <c:v>8.1707514237575349</c:v>
                </c:pt>
                <c:pt idx="284">
                  <c:v>7.3658128372094724</c:v>
                </c:pt>
                <c:pt idx="285">
                  <c:v>6.6080006252960866</c:v>
                </c:pt>
                <c:pt idx="286">
                  <c:v>7.1483457439000677</c:v>
                </c:pt>
                <c:pt idx="287">
                  <c:v>6.0402547112774139</c:v>
                </c:pt>
                <c:pt idx="288">
                  <c:v>8.2687318321177372</c:v>
                </c:pt>
                <c:pt idx="289">
                  <c:v>7.0094089327086371</c:v>
                </c:pt>
                <c:pt idx="290">
                  <c:v>5.7365722974791922</c:v>
                </c:pt>
                <c:pt idx="291">
                  <c:v>6.6066501861982152</c:v>
                </c:pt>
                <c:pt idx="292">
                  <c:v>7.7647205447714773</c:v>
                </c:pt>
                <c:pt idx="293">
                  <c:v>6.4457198193855785</c:v>
                </c:pt>
                <c:pt idx="294">
                  <c:v>8.8410143104838923</c:v>
                </c:pt>
                <c:pt idx="295">
                  <c:v>6.9107507879619359</c:v>
                </c:pt>
                <c:pt idx="296">
                  <c:v>6.8351845861473013</c:v>
                </c:pt>
                <c:pt idx="297">
                  <c:v>6.4134589571673573</c:v>
                </c:pt>
                <c:pt idx="298">
                  <c:v>8.9190518039302908</c:v>
                </c:pt>
                <c:pt idx="299">
                  <c:v>5.0998664278241987</c:v>
                </c:pt>
                <c:pt idx="300">
                  <c:v>4.9972122737641147</c:v>
                </c:pt>
                <c:pt idx="301">
                  <c:v>9.2039198041732604</c:v>
                </c:pt>
                <c:pt idx="302">
                  <c:v>7.5600804650218274</c:v>
                </c:pt>
                <c:pt idx="303">
                  <c:v>7.3251489579555749</c:v>
                </c:pt>
                <c:pt idx="304">
                  <c:v>8.2519247138013565</c:v>
                </c:pt>
                <c:pt idx="305">
                  <c:v>4.3567088266895917</c:v>
                </c:pt>
                <c:pt idx="306">
                  <c:v>6.8276292345028518</c:v>
                </c:pt>
                <c:pt idx="307">
                  <c:v>6.061456918928017</c:v>
                </c:pt>
                <c:pt idx="308">
                  <c:v>8.4342462705953114</c:v>
                </c:pt>
                <c:pt idx="309">
                  <c:v>7.4265490723973047</c:v>
                </c:pt>
                <c:pt idx="310">
                  <c:v>6.5352412710136587</c:v>
                </c:pt>
                <c:pt idx="311">
                  <c:v>8.1461295100254052</c:v>
                </c:pt>
                <c:pt idx="312">
                  <c:v>8.5265492863402628</c:v>
                </c:pt>
                <c:pt idx="313">
                  <c:v>6.6970342476664841</c:v>
                </c:pt>
                <c:pt idx="314">
                  <c:v>5.6629604801359461</c:v>
                </c:pt>
                <c:pt idx="315">
                  <c:v>7.8485434824566793</c:v>
                </c:pt>
                <c:pt idx="316">
                  <c:v>6.2499752422594828</c:v>
                </c:pt>
                <c:pt idx="317">
                  <c:v>6.1737861039019366</c:v>
                </c:pt>
                <c:pt idx="318">
                  <c:v>7.506591780070841</c:v>
                </c:pt>
                <c:pt idx="319">
                  <c:v>8.1980892489561157</c:v>
                </c:pt>
                <c:pt idx="320">
                  <c:v>4.3820266346738812</c:v>
                </c:pt>
                <c:pt idx="321">
                  <c:v>7.9021175462764477</c:v>
                </c:pt>
                <c:pt idx="322">
                  <c:v>8.1886891244442008</c:v>
                </c:pt>
                <c:pt idx="323">
                  <c:v>8.4487001949709377</c:v>
                </c:pt>
                <c:pt idx="324">
                  <c:v>6.0354814325247563</c:v>
                </c:pt>
                <c:pt idx="325">
                  <c:v>7.9550742732626958</c:v>
                </c:pt>
                <c:pt idx="326">
                  <c:v>5.1647859739235145</c:v>
                </c:pt>
                <c:pt idx="327">
                  <c:v>7.965545573129992</c:v>
                </c:pt>
                <c:pt idx="328">
                  <c:v>5.2417470150596426</c:v>
                </c:pt>
                <c:pt idx="329">
                  <c:v>9.0027010071979383</c:v>
                </c:pt>
                <c:pt idx="330">
                  <c:v>7.4730690880321973</c:v>
                </c:pt>
                <c:pt idx="331">
                  <c:v>5.8522024797744745</c:v>
                </c:pt>
                <c:pt idx="332">
                  <c:v>6.4967749901858625</c:v>
                </c:pt>
                <c:pt idx="333">
                  <c:v>6.3080984415095305</c:v>
                </c:pt>
                <c:pt idx="334">
                  <c:v>5.8171111599632042</c:v>
                </c:pt>
                <c:pt idx="335">
                  <c:v>8.421562960400987</c:v>
                </c:pt>
                <c:pt idx="336">
                  <c:v>6.828712071641684</c:v>
                </c:pt>
                <c:pt idx="337">
                  <c:v>6.1290502100605453</c:v>
                </c:pt>
                <c:pt idx="338">
                  <c:v>4.5849674786705723</c:v>
                </c:pt>
                <c:pt idx="339">
                  <c:v>7.8095413246534102</c:v>
                </c:pt>
                <c:pt idx="340">
                  <c:v>6.7250336421668431</c:v>
                </c:pt>
                <c:pt idx="341">
                  <c:v>8.4595640785796018</c:v>
                </c:pt>
                <c:pt idx="342">
                  <c:v>7.6453976994286332</c:v>
                </c:pt>
                <c:pt idx="343">
                  <c:v>7.6338535596817678</c:v>
                </c:pt>
                <c:pt idx="344">
                  <c:v>8.0986428437594178</c:v>
                </c:pt>
                <c:pt idx="345">
                  <c:v>6.2344107257183712</c:v>
                </c:pt>
                <c:pt idx="346">
                  <c:v>8.6810112766456324</c:v>
                </c:pt>
                <c:pt idx="347">
                  <c:v>6.3699009828282271</c:v>
                </c:pt>
                <c:pt idx="348">
                  <c:v>5.0498560072495371</c:v>
                </c:pt>
                <c:pt idx="349">
                  <c:v>6.4167322825123261</c:v>
                </c:pt>
                <c:pt idx="350">
                  <c:v>7.1372784372603855</c:v>
                </c:pt>
                <c:pt idx="351">
                  <c:v>7.6265702062906602</c:v>
                </c:pt>
                <c:pt idx="352">
                  <c:v>4.7874917427820458</c:v>
                </c:pt>
                <c:pt idx="353">
                  <c:v>6.6846117276679271</c:v>
                </c:pt>
                <c:pt idx="354">
                  <c:v>7.1340937211928663</c:v>
                </c:pt>
                <c:pt idx="355">
                  <c:v>7.2889276945212567</c:v>
                </c:pt>
                <c:pt idx="356">
                  <c:v>5.6937321388026998</c:v>
                </c:pt>
                <c:pt idx="357">
                  <c:v>6.7799219074722519</c:v>
                </c:pt>
                <c:pt idx="358">
                  <c:v>7.1623974973557178</c:v>
                </c:pt>
                <c:pt idx="359">
                  <c:v>6.4361503683694279</c:v>
                </c:pt>
                <c:pt idx="360">
                  <c:v>7.1292975489293733</c:v>
                </c:pt>
                <c:pt idx="361">
                  <c:v>6.3261494731550991</c:v>
                </c:pt>
                <c:pt idx="362">
                  <c:v>7.0457765768795113</c:v>
                </c:pt>
                <c:pt idx="363">
                  <c:v>8.1338808879492071</c:v>
                </c:pt>
                <c:pt idx="364">
                  <c:v>8.5181926917493218</c:v>
                </c:pt>
                <c:pt idx="365">
                  <c:v>6.0038870671065387</c:v>
                </c:pt>
                <c:pt idx="366">
                  <c:v>7.0175061429412562</c:v>
                </c:pt>
                <c:pt idx="367">
                  <c:v>5.780743515792329</c:v>
                </c:pt>
                <c:pt idx="368">
                  <c:v>3.8286413964890951</c:v>
                </c:pt>
                <c:pt idx="369">
                  <c:v>6.8405465292886873</c:v>
                </c:pt>
                <c:pt idx="370">
                  <c:v>7.2584121505953068</c:v>
                </c:pt>
                <c:pt idx="371">
                  <c:v>6.739336627357174</c:v>
                </c:pt>
                <c:pt idx="372">
                  <c:v>5.5012582105447274</c:v>
                </c:pt>
                <c:pt idx="373">
                  <c:v>7.2189097076190603</c:v>
                </c:pt>
                <c:pt idx="374">
                  <c:v>9.025936648977904</c:v>
                </c:pt>
                <c:pt idx="375">
                  <c:v>7.2071188562077557</c:v>
                </c:pt>
                <c:pt idx="376">
                  <c:v>5.730099782973574</c:v>
                </c:pt>
                <c:pt idx="377">
                  <c:v>3.1354942159291497</c:v>
                </c:pt>
                <c:pt idx="378">
                  <c:v>7.1701195434496281</c:v>
                </c:pt>
                <c:pt idx="379">
                  <c:v>7.0335064842876971</c:v>
                </c:pt>
                <c:pt idx="380">
                  <c:v>4.9416424226093039</c:v>
                </c:pt>
                <c:pt idx="381">
                  <c:v>6.8997231072848724</c:v>
                </c:pt>
                <c:pt idx="382">
                  <c:v>8.7954308050400183</c:v>
                </c:pt>
                <c:pt idx="383">
                  <c:v>5.8861040314501558</c:v>
                </c:pt>
                <c:pt idx="384">
                  <c:v>8.8942588250027033</c:v>
                </c:pt>
                <c:pt idx="385">
                  <c:v>8.479698986988657</c:v>
                </c:pt>
                <c:pt idx="386">
                  <c:v>5.2882670306945352</c:v>
                </c:pt>
                <c:pt idx="387">
                  <c:v>7.1929342212157996</c:v>
                </c:pt>
                <c:pt idx="388">
                  <c:v>4.0253516907351496</c:v>
                </c:pt>
                <c:pt idx="389">
                  <c:v>6.5453496603344199</c:v>
                </c:pt>
                <c:pt idx="390">
                  <c:v>5.6903594543240601</c:v>
                </c:pt>
                <c:pt idx="391">
                  <c:v>7.2276624987286544</c:v>
                </c:pt>
                <c:pt idx="392">
                  <c:v>5.4293456289544411</c:v>
                </c:pt>
                <c:pt idx="393">
                  <c:v>8.7343991500636946</c:v>
                </c:pt>
                <c:pt idx="394">
                  <c:v>6.4216222678065176</c:v>
                </c:pt>
                <c:pt idx="395">
                  <c:v>7.5027382107548508</c:v>
                </c:pt>
                <c:pt idx="396">
                  <c:v>6.0354814325247563</c:v>
                </c:pt>
                <c:pt idx="397">
                  <c:v>6.1527326947041043</c:v>
                </c:pt>
                <c:pt idx="398">
                  <c:v>6.9431224228194282</c:v>
                </c:pt>
                <c:pt idx="399">
                  <c:v>7.187657164114956</c:v>
                </c:pt>
                <c:pt idx="400">
                  <c:v>7.5517122153513103</c:v>
                </c:pt>
                <c:pt idx="401">
                  <c:v>5.6419070709381138</c:v>
                </c:pt>
                <c:pt idx="402">
                  <c:v>6.0088131854425946</c:v>
                </c:pt>
                <c:pt idx="403">
                  <c:v>7.0647590277918022</c:v>
                </c:pt>
                <c:pt idx="404">
                  <c:v>7.1899221707458079</c:v>
                </c:pt>
                <c:pt idx="405">
                  <c:v>4.6051701859880918</c:v>
                </c:pt>
                <c:pt idx="406">
                  <c:v>9.7038163574070602</c:v>
                </c:pt>
                <c:pt idx="407">
                  <c:v>7.9120568881790057</c:v>
                </c:pt>
                <c:pt idx="408">
                  <c:v>6.3279367837291947</c:v>
                </c:pt>
                <c:pt idx="409">
                  <c:v>6.7405193596062229</c:v>
                </c:pt>
                <c:pt idx="410">
                  <c:v>7.2298387781512501</c:v>
                </c:pt>
                <c:pt idx="411">
                  <c:v>7.3395376954076745</c:v>
                </c:pt>
                <c:pt idx="412">
                  <c:v>7.9690117811064782</c:v>
                </c:pt>
                <c:pt idx="413">
                  <c:v>7.542213463193403</c:v>
                </c:pt>
                <c:pt idx="414">
                  <c:v>7.7579062083517467</c:v>
                </c:pt>
                <c:pt idx="415">
                  <c:v>6.2363695902037044</c:v>
                </c:pt>
                <c:pt idx="416">
                  <c:v>7.2399325913204695</c:v>
                </c:pt>
                <c:pt idx="417">
                  <c:v>7.2298387781512501</c:v>
                </c:pt>
                <c:pt idx="418">
                  <c:v>7.5908521236885811</c:v>
                </c:pt>
                <c:pt idx="419">
                  <c:v>7.410347097821024</c:v>
                </c:pt>
                <c:pt idx="420">
                  <c:v>5.4806389233419912</c:v>
                </c:pt>
                <c:pt idx="421">
                  <c:v>7.9942949864159774</c:v>
                </c:pt>
                <c:pt idx="422">
                  <c:v>6.0402547112774139</c:v>
                </c:pt>
                <c:pt idx="423">
                  <c:v>6.3716118472318568</c:v>
                </c:pt>
                <c:pt idx="424">
                  <c:v>8.5895138529958643</c:v>
                </c:pt>
                <c:pt idx="425">
                  <c:v>5.8861040314501558</c:v>
                </c:pt>
                <c:pt idx="426">
                  <c:v>6.7730803756555353</c:v>
                </c:pt>
                <c:pt idx="427">
                  <c:v>6.956545443151569</c:v>
                </c:pt>
                <c:pt idx="428">
                  <c:v>5.0689042022202315</c:v>
                </c:pt>
                <c:pt idx="429">
                  <c:v>7.7832240163360371</c:v>
                </c:pt>
                <c:pt idx="430">
                  <c:v>8.0573774885579912</c:v>
                </c:pt>
                <c:pt idx="431">
                  <c:v>5.4806389233419912</c:v>
                </c:pt>
                <c:pt idx="432">
                  <c:v>5.4424177105217932</c:v>
                </c:pt>
                <c:pt idx="433">
                  <c:v>7.255591274253665</c:v>
                </c:pt>
                <c:pt idx="434">
                  <c:v>7.007600613951853</c:v>
                </c:pt>
                <c:pt idx="435">
                  <c:v>8.1684864171266813</c:v>
                </c:pt>
                <c:pt idx="436">
                  <c:v>8.1062129026199621</c:v>
                </c:pt>
                <c:pt idx="437">
                  <c:v>8.1684864171266813</c:v>
                </c:pt>
                <c:pt idx="438">
                  <c:v>10.414753079530504</c:v>
                </c:pt>
                <c:pt idx="439">
                  <c:v>7.5553819442402732</c:v>
                </c:pt>
                <c:pt idx="440">
                  <c:v>6.8511849274937431</c:v>
                </c:pt>
                <c:pt idx="441">
                  <c:v>9.3136187214296839</c:v>
                </c:pt>
                <c:pt idx="442">
                  <c:v>6.6320017773956303</c:v>
                </c:pt>
                <c:pt idx="443">
                  <c:v>7.2520539518528144</c:v>
                </c:pt>
                <c:pt idx="444">
                  <c:v>5.8171111599632042</c:v>
                </c:pt>
                <c:pt idx="445">
                  <c:v>8.9538985352604588</c:v>
                </c:pt>
                <c:pt idx="446">
                  <c:v>6.5250296578434623</c:v>
                </c:pt>
                <c:pt idx="447">
                  <c:v>6.0354814325247563</c:v>
                </c:pt>
                <c:pt idx="448">
                  <c:v>7.2442275156033498</c:v>
                </c:pt>
                <c:pt idx="449">
                  <c:v>7.7213486126179491</c:v>
                </c:pt>
                <c:pt idx="450">
                  <c:v>5.7960577507653719</c:v>
                </c:pt>
                <c:pt idx="451">
                  <c:v>7.0900768357760917</c:v>
                </c:pt>
                <c:pt idx="452">
                  <c:v>7.9902381857203633</c:v>
                </c:pt>
                <c:pt idx="453">
                  <c:v>9.2222689428414562</c:v>
                </c:pt>
                <c:pt idx="454">
                  <c:v>6.6120410348330916</c:v>
                </c:pt>
                <c:pt idx="455">
                  <c:v>7.8570938649024926</c:v>
                </c:pt>
                <c:pt idx="456">
                  <c:v>8.1161184316093653</c:v>
                </c:pt>
                <c:pt idx="457">
                  <c:v>4.6539603501575231</c:v>
                </c:pt>
                <c:pt idx="458">
                  <c:v>7.2786289423206822</c:v>
                </c:pt>
                <c:pt idx="459">
                  <c:v>8.3260326859550791</c:v>
                </c:pt>
                <c:pt idx="460">
                  <c:v>4.9698132995760007</c:v>
                </c:pt>
                <c:pt idx="461">
                  <c:v>7.4787348255678747</c:v>
                </c:pt>
                <c:pt idx="462">
                  <c:v>6.9275579062783166</c:v>
                </c:pt>
                <c:pt idx="463">
                  <c:v>6.131226489483141</c:v>
                </c:pt>
                <c:pt idx="464">
                  <c:v>6.4982821494764336</c:v>
                </c:pt>
                <c:pt idx="465">
                  <c:v>9.4077968163544075</c:v>
                </c:pt>
                <c:pt idx="466">
                  <c:v>6.4567696555721632</c:v>
                </c:pt>
                <c:pt idx="467">
                  <c:v>6.1136821798322316</c:v>
                </c:pt>
                <c:pt idx="468">
                  <c:v>7.2470805845857562</c:v>
                </c:pt>
                <c:pt idx="469">
                  <c:v>5.5294290875114234</c:v>
                </c:pt>
                <c:pt idx="470">
                  <c:v>8.1718820061278201</c:v>
                </c:pt>
                <c:pt idx="471">
                  <c:v>6.0637852086876078</c:v>
                </c:pt>
                <c:pt idx="472">
                  <c:v>5.6058020662959978</c:v>
                </c:pt>
                <c:pt idx="473">
                  <c:v>7.8567067930958405</c:v>
                </c:pt>
                <c:pt idx="474">
                  <c:v>7.7354333524996886</c:v>
                </c:pt>
                <c:pt idx="475">
                  <c:v>8.0786882292298721</c:v>
                </c:pt>
                <c:pt idx="476">
                  <c:v>5.2149357576089859</c:v>
                </c:pt>
                <c:pt idx="477">
                  <c:v>3.7376696182833684</c:v>
                </c:pt>
                <c:pt idx="478">
                  <c:v>7.4181808227267876</c:v>
                </c:pt>
                <c:pt idx="479">
                  <c:v>7.1163941440934648</c:v>
                </c:pt>
                <c:pt idx="480">
                  <c:v>7.6009024595420822</c:v>
                </c:pt>
                <c:pt idx="481">
                  <c:v>7.4395593091333199</c:v>
                </c:pt>
                <c:pt idx="482">
                  <c:v>6.1420374055873559</c:v>
                </c:pt>
                <c:pt idx="483">
                  <c:v>6.0544393462693709</c:v>
                </c:pt>
                <c:pt idx="484">
                  <c:v>8.3645081037505893</c:v>
                </c:pt>
                <c:pt idx="485">
                  <c:v>4.8121843553724171</c:v>
                </c:pt>
                <c:pt idx="486">
                  <c:v>6.6280413761795334</c:v>
                </c:pt>
                <c:pt idx="487">
                  <c:v>6.7190131543852596</c:v>
                </c:pt>
                <c:pt idx="488">
                  <c:v>5.857933154483459</c:v>
                </c:pt>
                <c:pt idx="489">
                  <c:v>6.6554403503676474</c:v>
                </c:pt>
                <c:pt idx="490">
                  <c:v>7.5517122153513103</c:v>
                </c:pt>
                <c:pt idx="491">
                  <c:v>5.8861040314501558</c:v>
                </c:pt>
                <c:pt idx="492">
                  <c:v>9.3345913343140392</c:v>
                </c:pt>
                <c:pt idx="493">
                  <c:v>7.1372784372603855</c:v>
                </c:pt>
                <c:pt idx="494">
                  <c:v>5.5294290875114234</c:v>
                </c:pt>
                <c:pt idx="495">
                  <c:v>7.6088706291912596</c:v>
                </c:pt>
                <c:pt idx="496">
                  <c:v>7.3664451483275988</c:v>
                </c:pt>
                <c:pt idx="497">
                  <c:v>7.4336665401661683</c:v>
                </c:pt>
                <c:pt idx="498">
                  <c:v>7.9543722725318666</c:v>
                </c:pt>
                <c:pt idx="499">
                  <c:v>7.7836405962212529</c:v>
                </c:pt>
              </c:numCache>
            </c:numRef>
          </c:xVal>
          <c:yVal>
            <c:numRef>
              <c:f>'Transformation (Ln)'!$J$2:$J$501</c:f>
              <c:numCache>
                <c:formatCode>General</c:formatCode>
                <c:ptCount val="500"/>
                <c:pt idx="0">
                  <c:v>4.2341065045972597</c:v>
                </c:pt>
                <c:pt idx="1">
                  <c:v>3.8918202981106265</c:v>
                </c:pt>
                <c:pt idx="2">
                  <c:v>4.499809670330265</c:v>
                </c:pt>
                <c:pt idx="3">
                  <c:v>3.8918202981106265</c:v>
                </c:pt>
                <c:pt idx="4">
                  <c:v>3.912023005428146</c:v>
                </c:pt>
                <c:pt idx="5">
                  <c:v>4.3820266346738812</c:v>
                </c:pt>
                <c:pt idx="6">
                  <c:v>4.1431347263915326</c:v>
                </c:pt>
                <c:pt idx="7">
                  <c:v>3.6888794541139363</c:v>
                </c:pt>
                <c:pt idx="8">
                  <c:v>4.7449321283632502</c:v>
                </c:pt>
                <c:pt idx="9">
                  <c:v>3.7612001156935624</c:v>
                </c:pt>
                <c:pt idx="10">
                  <c:v>3.8712010109078911</c:v>
                </c:pt>
                <c:pt idx="11">
                  <c:v>4.1108738641733114</c:v>
                </c:pt>
                <c:pt idx="12">
                  <c:v>3.9889840465642745</c:v>
                </c:pt>
                <c:pt idx="13">
                  <c:v>4.5432947822700038</c:v>
                </c:pt>
                <c:pt idx="14">
                  <c:v>3.4657359027997265</c:v>
                </c:pt>
                <c:pt idx="15">
                  <c:v>3.1780538303479458</c:v>
                </c:pt>
                <c:pt idx="16">
                  <c:v>3.7376696182833684</c:v>
                </c:pt>
                <c:pt idx="17">
                  <c:v>4.1896547420264252</c:v>
                </c:pt>
                <c:pt idx="18">
                  <c:v>3.4965075614664802</c:v>
                </c:pt>
                <c:pt idx="19">
                  <c:v>3.8501476017100584</c:v>
                </c:pt>
                <c:pt idx="20">
                  <c:v>3.8918202981106265</c:v>
                </c:pt>
                <c:pt idx="21">
                  <c:v>3.6109179126442243</c:v>
                </c:pt>
                <c:pt idx="22">
                  <c:v>3.5835189384561099</c:v>
                </c:pt>
                <c:pt idx="23">
                  <c:v>3.9512437185814275</c:v>
                </c:pt>
                <c:pt idx="24">
                  <c:v>3.912023005428146</c:v>
                </c:pt>
                <c:pt idx="25">
                  <c:v>3.3322045101752038</c:v>
                </c:pt>
                <c:pt idx="26">
                  <c:v>3.7612001156935624</c:v>
                </c:pt>
                <c:pt idx="27">
                  <c:v>4.5432947822700038</c:v>
                </c:pt>
                <c:pt idx="28">
                  <c:v>3.8712010109078911</c:v>
                </c:pt>
                <c:pt idx="29">
                  <c:v>3.7376696182833684</c:v>
                </c:pt>
                <c:pt idx="30">
                  <c:v>4.1588830833596715</c:v>
                </c:pt>
                <c:pt idx="31">
                  <c:v>4.4543472962535073</c:v>
                </c:pt>
                <c:pt idx="32">
                  <c:v>3.2958368660043291</c:v>
                </c:pt>
                <c:pt idx="33">
                  <c:v>3.6888794541139363</c:v>
                </c:pt>
                <c:pt idx="34">
                  <c:v>3.8066624897703196</c:v>
                </c:pt>
                <c:pt idx="35">
                  <c:v>4.6151205168412597</c:v>
                </c:pt>
                <c:pt idx="36">
                  <c:v>3.4011973816621555</c:v>
                </c:pt>
                <c:pt idx="37">
                  <c:v>4.8040210447332568</c:v>
                </c:pt>
                <c:pt idx="38">
                  <c:v>4.0430512678345503</c:v>
                </c:pt>
                <c:pt idx="39">
                  <c:v>3.2188758248682006</c:v>
                </c:pt>
                <c:pt idx="40">
                  <c:v>4.4886363697321396</c:v>
                </c:pt>
                <c:pt idx="41">
                  <c:v>3.2580965380214821</c:v>
                </c:pt>
                <c:pt idx="42">
                  <c:v>4.8441870864585912</c:v>
                </c:pt>
                <c:pt idx="43">
                  <c:v>4.5951198501345898</c:v>
                </c:pt>
                <c:pt idx="44">
                  <c:v>4.8283137373023015</c:v>
                </c:pt>
                <c:pt idx="45">
                  <c:v>4.0604430105464191</c:v>
                </c:pt>
                <c:pt idx="46">
                  <c:v>3.6635616461296463</c:v>
                </c:pt>
                <c:pt idx="47">
                  <c:v>4.4886363697321396</c:v>
                </c:pt>
                <c:pt idx="48">
                  <c:v>3.2580965380214821</c:v>
                </c:pt>
                <c:pt idx="49">
                  <c:v>4.0775374439057197</c:v>
                </c:pt>
                <c:pt idx="50">
                  <c:v>2.8903717578961645</c:v>
                </c:pt>
                <c:pt idx="51">
                  <c:v>2.1972245773362196</c:v>
                </c:pt>
                <c:pt idx="52">
                  <c:v>4.5432947822700038</c:v>
                </c:pt>
                <c:pt idx="53">
                  <c:v>4.0604430105464191</c:v>
                </c:pt>
                <c:pt idx="54">
                  <c:v>4.2341065045972597</c:v>
                </c:pt>
                <c:pt idx="55">
                  <c:v>2.4849066497880004</c:v>
                </c:pt>
                <c:pt idx="56">
                  <c:v>2.9957322735539909</c:v>
                </c:pt>
                <c:pt idx="57">
                  <c:v>3.6109179126442243</c:v>
                </c:pt>
                <c:pt idx="58">
                  <c:v>4.0943445622221004</c:v>
                </c:pt>
                <c:pt idx="59">
                  <c:v>3.5263605246161616</c:v>
                </c:pt>
                <c:pt idx="60">
                  <c:v>4.5849674786705723</c:v>
                </c:pt>
                <c:pt idx="61">
                  <c:v>4.3694478524670215</c:v>
                </c:pt>
                <c:pt idx="62">
                  <c:v>3.7376696182833684</c:v>
                </c:pt>
                <c:pt idx="63">
                  <c:v>4.6539603501575231</c:v>
                </c:pt>
                <c:pt idx="64">
                  <c:v>2.9957322735539909</c:v>
                </c:pt>
                <c:pt idx="65">
                  <c:v>3.6109179126442243</c:v>
                </c:pt>
                <c:pt idx="66">
                  <c:v>4.2046926193909657</c:v>
                </c:pt>
                <c:pt idx="67">
                  <c:v>4.2046926193909657</c:v>
                </c:pt>
                <c:pt idx="68">
                  <c:v>4.499809670330265</c:v>
                </c:pt>
                <c:pt idx="69">
                  <c:v>4.2484952420493594</c:v>
                </c:pt>
                <c:pt idx="70">
                  <c:v>3.784189633918261</c:v>
                </c:pt>
                <c:pt idx="71">
                  <c:v>4.8121843553724171</c:v>
                </c:pt>
                <c:pt idx="72">
                  <c:v>4.8441870864585912</c:v>
                </c:pt>
                <c:pt idx="73">
                  <c:v>4.0604430105464191</c:v>
                </c:pt>
                <c:pt idx="74">
                  <c:v>4.2626798770413155</c:v>
                </c:pt>
                <c:pt idx="75">
                  <c:v>3.8286413964890951</c:v>
                </c:pt>
                <c:pt idx="76">
                  <c:v>3.6109179126442243</c:v>
                </c:pt>
                <c:pt idx="77">
                  <c:v>4.219507705176107</c:v>
                </c:pt>
                <c:pt idx="78">
                  <c:v>4.836281906951478</c:v>
                </c:pt>
                <c:pt idx="79">
                  <c:v>4.0430512678345503</c:v>
                </c:pt>
                <c:pt idx="80">
                  <c:v>4.6443908991413725</c:v>
                </c:pt>
                <c:pt idx="81">
                  <c:v>3.9512437185814275</c:v>
                </c:pt>
                <c:pt idx="82">
                  <c:v>3.7612001156935624</c:v>
                </c:pt>
                <c:pt idx="83">
                  <c:v>4.7184988712950942</c:v>
                </c:pt>
                <c:pt idx="84">
                  <c:v>4.0430512678345503</c:v>
                </c:pt>
                <c:pt idx="85">
                  <c:v>4.0430512678345503</c:v>
                </c:pt>
                <c:pt idx="86">
                  <c:v>3.7376696182833684</c:v>
                </c:pt>
                <c:pt idx="87">
                  <c:v>3.784189633918261</c:v>
                </c:pt>
                <c:pt idx="88">
                  <c:v>4.0775374439057197</c:v>
                </c:pt>
                <c:pt idx="89">
                  <c:v>4.1896547420264252</c:v>
                </c:pt>
                <c:pt idx="90">
                  <c:v>4.3694478524670215</c:v>
                </c:pt>
                <c:pt idx="91">
                  <c:v>3.713572066704308</c:v>
                </c:pt>
                <c:pt idx="92">
                  <c:v>3.6109179126442243</c:v>
                </c:pt>
                <c:pt idx="93">
                  <c:v>3.8712010109078911</c:v>
                </c:pt>
                <c:pt idx="94">
                  <c:v>3.8501476017100584</c:v>
                </c:pt>
                <c:pt idx="95">
                  <c:v>4.6539603501575231</c:v>
                </c:pt>
                <c:pt idx="96">
                  <c:v>4.0430512678345503</c:v>
                </c:pt>
                <c:pt idx="97">
                  <c:v>4.0253516907351496</c:v>
                </c:pt>
                <c:pt idx="98">
                  <c:v>3.5835189384561099</c:v>
                </c:pt>
                <c:pt idx="99">
                  <c:v>3.8918202981106265</c:v>
                </c:pt>
                <c:pt idx="100">
                  <c:v>2.1972245773362196</c:v>
                </c:pt>
                <c:pt idx="101">
                  <c:v>4.2766661190160553</c:v>
                </c:pt>
                <c:pt idx="102">
                  <c:v>4.6051701859880918</c:v>
                </c:pt>
                <c:pt idx="103">
                  <c:v>4.1108738641733114</c:v>
                </c:pt>
                <c:pt idx="104">
                  <c:v>4.2766661190160553</c:v>
                </c:pt>
                <c:pt idx="105">
                  <c:v>3.6635616461296463</c:v>
                </c:pt>
                <c:pt idx="106">
                  <c:v>4.3694478524670215</c:v>
                </c:pt>
                <c:pt idx="107">
                  <c:v>3.4965075614664802</c:v>
                </c:pt>
                <c:pt idx="108">
                  <c:v>3.6375861597263857</c:v>
                </c:pt>
                <c:pt idx="109">
                  <c:v>3.7612001156935624</c:v>
                </c:pt>
                <c:pt idx="110">
                  <c:v>4.4543472962535073</c:v>
                </c:pt>
                <c:pt idx="111">
                  <c:v>3.9889840465642745</c:v>
                </c:pt>
                <c:pt idx="112">
                  <c:v>3.6888794541139363</c:v>
                </c:pt>
                <c:pt idx="113">
                  <c:v>3.4011973816621555</c:v>
                </c:pt>
                <c:pt idx="114">
                  <c:v>4.3944491546724391</c:v>
                </c:pt>
                <c:pt idx="115">
                  <c:v>4.2484952420493594</c:v>
                </c:pt>
                <c:pt idx="116">
                  <c:v>3.3322045101752038</c:v>
                </c:pt>
                <c:pt idx="117">
                  <c:v>3.3672958299864741</c:v>
                </c:pt>
                <c:pt idx="118">
                  <c:v>4.0253516907351496</c:v>
                </c:pt>
                <c:pt idx="119">
                  <c:v>3.5835189384561099</c:v>
                </c:pt>
                <c:pt idx="120">
                  <c:v>4.2046926193909657</c:v>
                </c:pt>
                <c:pt idx="121">
                  <c:v>3.5553480614894135</c:v>
                </c:pt>
                <c:pt idx="122">
                  <c:v>2.9444389791664403</c:v>
                </c:pt>
                <c:pt idx="123">
                  <c:v>4.7273878187123408</c:v>
                </c:pt>
                <c:pt idx="124">
                  <c:v>3.1354942159291497</c:v>
                </c:pt>
                <c:pt idx="125">
                  <c:v>4.0430512678345503</c:v>
                </c:pt>
                <c:pt idx="126">
                  <c:v>3.7376696182833684</c:v>
                </c:pt>
                <c:pt idx="127">
                  <c:v>3.5263605246161616</c:v>
                </c:pt>
                <c:pt idx="128">
                  <c:v>3.8918202981106265</c:v>
                </c:pt>
                <c:pt idx="129">
                  <c:v>4.0253516907351496</c:v>
                </c:pt>
                <c:pt idx="130">
                  <c:v>4.2484952420493594</c:v>
                </c:pt>
                <c:pt idx="131">
                  <c:v>4.4886363697321396</c:v>
                </c:pt>
                <c:pt idx="132">
                  <c:v>3.6888794541139363</c:v>
                </c:pt>
                <c:pt idx="133">
                  <c:v>4.1108738641733114</c:v>
                </c:pt>
                <c:pt idx="134">
                  <c:v>4.2484952420493594</c:v>
                </c:pt>
                <c:pt idx="135">
                  <c:v>3.6109179126442243</c:v>
                </c:pt>
                <c:pt idx="136">
                  <c:v>3.9889840465642745</c:v>
                </c:pt>
                <c:pt idx="137">
                  <c:v>3.6635616461296463</c:v>
                </c:pt>
                <c:pt idx="138">
                  <c:v>2.7080502011022101</c:v>
                </c:pt>
                <c:pt idx="139">
                  <c:v>3.9318256327243257</c:v>
                </c:pt>
                <c:pt idx="140">
                  <c:v>3.7612001156935624</c:v>
                </c:pt>
                <c:pt idx="141">
                  <c:v>4.8675344504555822</c:v>
                </c:pt>
                <c:pt idx="142">
                  <c:v>3.8066624897703196</c:v>
                </c:pt>
                <c:pt idx="143">
                  <c:v>4.0604430105464191</c:v>
                </c:pt>
                <c:pt idx="144">
                  <c:v>4.1588830833596715</c:v>
                </c:pt>
                <c:pt idx="145">
                  <c:v>4.6728288344619058</c:v>
                </c:pt>
                <c:pt idx="146">
                  <c:v>4.0943445622221004</c:v>
                </c:pt>
                <c:pt idx="147">
                  <c:v>3.9512437185814275</c:v>
                </c:pt>
                <c:pt idx="148">
                  <c:v>3.5553480614894135</c:v>
                </c:pt>
                <c:pt idx="149">
                  <c:v>5.2417470150596426</c:v>
                </c:pt>
                <c:pt idx="150">
                  <c:v>3.5553480614894135</c:v>
                </c:pt>
                <c:pt idx="151">
                  <c:v>3.6888794541139363</c:v>
                </c:pt>
                <c:pt idx="152">
                  <c:v>3.3672958299864741</c:v>
                </c:pt>
                <c:pt idx="153">
                  <c:v>3.6109179126442243</c:v>
                </c:pt>
                <c:pt idx="154">
                  <c:v>3.6888794541139363</c:v>
                </c:pt>
                <c:pt idx="155">
                  <c:v>3.4339872044851463</c:v>
                </c:pt>
                <c:pt idx="156">
                  <c:v>4.5951198501345898</c:v>
                </c:pt>
                <c:pt idx="157">
                  <c:v>3.912023005428146</c:v>
                </c:pt>
                <c:pt idx="158">
                  <c:v>3.4339872044851463</c:v>
                </c:pt>
                <c:pt idx="159">
                  <c:v>3.1354942159291497</c:v>
                </c:pt>
                <c:pt idx="160">
                  <c:v>4.290459441148391</c:v>
                </c:pt>
                <c:pt idx="161">
                  <c:v>4.1743872698956368</c:v>
                </c:pt>
                <c:pt idx="162">
                  <c:v>2.9957322735539909</c:v>
                </c:pt>
                <c:pt idx="163">
                  <c:v>3.912023005428146</c:v>
                </c:pt>
                <c:pt idx="164">
                  <c:v>3.4657359027997265</c:v>
                </c:pt>
                <c:pt idx="165">
                  <c:v>3.3322045101752038</c:v>
                </c:pt>
                <c:pt idx="166">
                  <c:v>4.1271343850450917</c:v>
                </c:pt>
                <c:pt idx="167">
                  <c:v>4.499809670330265</c:v>
                </c:pt>
                <c:pt idx="168">
                  <c:v>3.912023005428146</c:v>
                </c:pt>
                <c:pt idx="169">
                  <c:v>5.0106352940962555</c:v>
                </c:pt>
                <c:pt idx="170">
                  <c:v>4.3567088266895917</c:v>
                </c:pt>
                <c:pt idx="171">
                  <c:v>4.8828019225863706</c:v>
                </c:pt>
                <c:pt idx="172">
                  <c:v>3.9318256327243257</c:v>
                </c:pt>
                <c:pt idx="173">
                  <c:v>3.970291913552122</c:v>
                </c:pt>
                <c:pt idx="174">
                  <c:v>4.0430512678345503</c:v>
                </c:pt>
                <c:pt idx="175">
                  <c:v>3.8066624897703196</c:v>
                </c:pt>
                <c:pt idx="176">
                  <c:v>4.290459441148391</c:v>
                </c:pt>
                <c:pt idx="177">
                  <c:v>3.912023005428146</c:v>
                </c:pt>
                <c:pt idx="178">
                  <c:v>3.5835189384561099</c:v>
                </c:pt>
                <c:pt idx="179">
                  <c:v>3.5553480614894135</c:v>
                </c:pt>
                <c:pt idx="180">
                  <c:v>3.8066624897703196</c:v>
                </c:pt>
                <c:pt idx="181">
                  <c:v>3.6375861597263857</c:v>
                </c:pt>
                <c:pt idx="182">
                  <c:v>3.8918202981106265</c:v>
                </c:pt>
                <c:pt idx="183">
                  <c:v>3.8286413964890951</c:v>
                </c:pt>
                <c:pt idx="184">
                  <c:v>3.4965075614664802</c:v>
                </c:pt>
                <c:pt idx="185">
                  <c:v>4.4886363697321396</c:v>
                </c:pt>
                <c:pt idx="186">
                  <c:v>4.4188406077965983</c:v>
                </c:pt>
                <c:pt idx="187">
                  <c:v>4.2341065045972597</c:v>
                </c:pt>
                <c:pt idx="188">
                  <c:v>4.0604430105464191</c:v>
                </c:pt>
                <c:pt idx="189">
                  <c:v>2.4849066497880004</c:v>
                </c:pt>
                <c:pt idx="190">
                  <c:v>3.8918202981106265</c:v>
                </c:pt>
                <c:pt idx="191">
                  <c:v>3.8712010109078911</c:v>
                </c:pt>
                <c:pt idx="192">
                  <c:v>4.3944491546724391</c:v>
                </c:pt>
                <c:pt idx="193">
                  <c:v>3.5835189384561099</c:v>
                </c:pt>
                <c:pt idx="194">
                  <c:v>3.8501476017100584</c:v>
                </c:pt>
                <c:pt idx="195">
                  <c:v>4.7535901911063645</c:v>
                </c:pt>
                <c:pt idx="196">
                  <c:v>3.9889840465642745</c:v>
                </c:pt>
                <c:pt idx="197">
                  <c:v>4.3567088266895917</c:v>
                </c:pt>
                <c:pt idx="198">
                  <c:v>3.784189633918261</c:v>
                </c:pt>
                <c:pt idx="199">
                  <c:v>3.4011973816621555</c:v>
                </c:pt>
                <c:pt idx="200">
                  <c:v>2.9957322735539909</c:v>
                </c:pt>
                <c:pt idx="201">
                  <c:v>3.713572066704308</c:v>
                </c:pt>
                <c:pt idx="202">
                  <c:v>2.9444389791664403</c:v>
                </c:pt>
                <c:pt idx="203">
                  <c:v>4.0604430105464191</c:v>
                </c:pt>
                <c:pt idx="204">
                  <c:v>3.9512437185814275</c:v>
                </c:pt>
                <c:pt idx="205">
                  <c:v>3.4339872044851463</c:v>
                </c:pt>
                <c:pt idx="206">
                  <c:v>4.5325994931532563</c:v>
                </c:pt>
                <c:pt idx="207">
                  <c:v>4.1743872698956368</c:v>
                </c:pt>
                <c:pt idx="208">
                  <c:v>3.5835189384561099</c:v>
                </c:pt>
                <c:pt idx="209">
                  <c:v>3.044522437723423</c:v>
                </c:pt>
                <c:pt idx="210">
                  <c:v>4.8202815656050371</c:v>
                </c:pt>
                <c:pt idx="211">
                  <c:v>4.5747109785033828</c:v>
                </c:pt>
                <c:pt idx="212">
                  <c:v>4.7004803657924166</c:v>
                </c:pt>
                <c:pt idx="213">
                  <c:v>3.1780538303479458</c:v>
                </c:pt>
                <c:pt idx="214">
                  <c:v>4.4067192472642533</c:v>
                </c:pt>
                <c:pt idx="215">
                  <c:v>3.0910424533583161</c:v>
                </c:pt>
                <c:pt idx="216">
                  <c:v>5.1239639794032588</c:v>
                </c:pt>
                <c:pt idx="217">
                  <c:v>4.1743872698956368</c:v>
                </c:pt>
                <c:pt idx="218">
                  <c:v>4.5217885770490405</c:v>
                </c:pt>
                <c:pt idx="219">
                  <c:v>4.4773368144782069</c:v>
                </c:pt>
                <c:pt idx="220">
                  <c:v>4.1271343850450917</c:v>
                </c:pt>
                <c:pt idx="221">
                  <c:v>3.970291913552122</c:v>
                </c:pt>
                <c:pt idx="222">
                  <c:v>3.6635616461296463</c:v>
                </c:pt>
                <c:pt idx="223">
                  <c:v>3.9889840465642745</c:v>
                </c:pt>
                <c:pt idx="224">
                  <c:v>3.5263605246161616</c:v>
                </c:pt>
                <c:pt idx="225">
                  <c:v>3.6635616461296463</c:v>
                </c:pt>
                <c:pt idx="226">
                  <c:v>3.9889840465642745</c:v>
                </c:pt>
                <c:pt idx="227">
                  <c:v>3.2958368660043291</c:v>
                </c:pt>
                <c:pt idx="228">
                  <c:v>3.4965075614664802</c:v>
                </c:pt>
                <c:pt idx="229">
                  <c:v>4.2766661190160553</c:v>
                </c:pt>
                <c:pt idx="230">
                  <c:v>3.912023005428146</c:v>
                </c:pt>
                <c:pt idx="231">
                  <c:v>3.8918202981106265</c:v>
                </c:pt>
                <c:pt idx="232">
                  <c:v>4.4543472962535073</c:v>
                </c:pt>
                <c:pt idx="233">
                  <c:v>3.5263605246161616</c:v>
                </c:pt>
                <c:pt idx="234">
                  <c:v>4.5108595065168497</c:v>
                </c:pt>
                <c:pt idx="235">
                  <c:v>4.290459441148391</c:v>
                </c:pt>
                <c:pt idx="236">
                  <c:v>3.7612001156935624</c:v>
                </c:pt>
                <c:pt idx="237">
                  <c:v>3.1354942159291497</c:v>
                </c:pt>
                <c:pt idx="238">
                  <c:v>3.4339872044851463</c:v>
                </c:pt>
                <c:pt idx="239">
                  <c:v>4.0943445622221004</c:v>
                </c:pt>
                <c:pt idx="240">
                  <c:v>4.7791234931115296</c:v>
                </c:pt>
                <c:pt idx="241">
                  <c:v>3.713572066704308</c:v>
                </c:pt>
                <c:pt idx="242">
                  <c:v>3.1780538303479458</c:v>
                </c:pt>
                <c:pt idx="243">
                  <c:v>3.8286413964890951</c:v>
                </c:pt>
                <c:pt idx="244">
                  <c:v>4.219507705176107</c:v>
                </c:pt>
                <c:pt idx="245">
                  <c:v>3.912023005428146</c:v>
                </c:pt>
                <c:pt idx="246">
                  <c:v>4.1588830833596715</c:v>
                </c:pt>
                <c:pt idx="247">
                  <c:v>4.5432947822700038</c:v>
                </c:pt>
                <c:pt idx="248">
                  <c:v>4.4773368144782069</c:v>
                </c:pt>
                <c:pt idx="249">
                  <c:v>3.6635616461296463</c:v>
                </c:pt>
                <c:pt idx="250">
                  <c:v>2.7080502011022101</c:v>
                </c:pt>
                <c:pt idx="251">
                  <c:v>4.4886363697321396</c:v>
                </c:pt>
                <c:pt idx="252">
                  <c:v>4.6728288344619058</c:v>
                </c:pt>
                <c:pt idx="253">
                  <c:v>4.7361984483944957</c:v>
                </c:pt>
                <c:pt idx="254">
                  <c:v>4.2046926193909657</c:v>
                </c:pt>
                <c:pt idx="255">
                  <c:v>3.6635616461296463</c:v>
                </c:pt>
                <c:pt idx="256">
                  <c:v>4.5325994931532563</c:v>
                </c:pt>
                <c:pt idx="257">
                  <c:v>3.2580965380214821</c:v>
                </c:pt>
                <c:pt idx="258">
                  <c:v>4.0943445622221004</c:v>
                </c:pt>
                <c:pt idx="259">
                  <c:v>3.9512437185814275</c:v>
                </c:pt>
                <c:pt idx="260">
                  <c:v>2.7725887222397811</c:v>
                </c:pt>
                <c:pt idx="261">
                  <c:v>4.0253516907351496</c:v>
                </c:pt>
                <c:pt idx="262">
                  <c:v>4.8828019225863706</c:v>
                </c:pt>
                <c:pt idx="263">
                  <c:v>4.0775374439057197</c:v>
                </c:pt>
                <c:pt idx="264">
                  <c:v>4.8202815656050371</c:v>
                </c:pt>
                <c:pt idx="265">
                  <c:v>3.7376696182833684</c:v>
                </c:pt>
                <c:pt idx="266">
                  <c:v>3.7612001156935624</c:v>
                </c:pt>
                <c:pt idx="267">
                  <c:v>4.4543472962535073</c:v>
                </c:pt>
                <c:pt idx="268">
                  <c:v>3.7612001156935624</c:v>
                </c:pt>
                <c:pt idx="269">
                  <c:v>4.0943445622221004</c:v>
                </c:pt>
                <c:pt idx="270">
                  <c:v>4.4773368144782069</c:v>
                </c:pt>
                <c:pt idx="271">
                  <c:v>4.5951198501345898</c:v>
                </c:pt>
                <c:pt idx="272">
                  <c:v>4.6728288344619058</c:v>
                </c:pt>
                <c:pt idx="273">
                  <c:v>4.6151205168412597</c:v>
                </c:pt>
                <c:pt idx="274">
                  <c:v>4.1588830833596715</c:v>
                </c:pt>
                <c:pt idx="275">
                  <c:v>3.9318256327243257</c:v>
                </c:pt>
                <c:pt idx="276">
                  <c:v>3.784189633918261</c:v>
                </c:pt>
                <c:pt idx="277">
                  <c:v>4.0775374439057197</c:v>
                </c:pt>
                <c:pt idx="278">
                  <c:v>4.0775374439057197</c:v>
                </c:pt>
                <c:pt idx="279">
                  <c:v>3.8286413964890951</c:v>
                </c:pt>
                <c:pt idx="280">
                  <c:v>3.7376696182833684</c:v>
                </c:pt>
                <c:pt idx="281">
                  <c:v>3.8286413964890951</c:v>
                </c:pt>
                <c:pt idx="282">
                  <c:v>4.7706846244656651</c:v>
                </c:pt>
                <c:pt idx="283">
                  <c:v>4.219507705176107</c:v>
                </c:pt>
                <c:pt idx="284">
                  <c:v>4.5325994931532563</c:v>
                </c:pt>
                <c:pt idx="285">
                  <c:v>3.6635616461296463</c:v>
                </c:pt>
                <c:pt idx="286">
                  <c:v>3.970291913552122</c:v>
                </c:pt>
                <c:pt idx="287">
                  <c:v>4.2484952420493594</c:v>
                </c:pt>
                <c:pt idx="288">
                  <c:v>4.6051701859880918</c:v>
                </c:pt>
                <c:pt idx="289">
                  <c:v>3.2958368660043291</c:v>
                </c:pt>
                <c:pt idx="290">
                  <c:v>5.0434251169192468</c:v>
                </c:pt>
                <c:pt idx="291">
                  <c:v>3.6109179126442243</c:v>
                </c:pt>
                <c:pt idx="292">
                  <c:v>4.8202815656050371</c:v>
                </c:pt>
                <c:pt idx="293">
                  <c:v>3.8066624897703196</c:v>
                </c:pt>
                <c:pt idx="294">
                  <c:v>4.6821312271242199</c:v>
                </c:pt>
                <c:pt idx="295">
                  <c:v>4.0775374439057197</c:v>
                </c:pt>
                <c:pt idx="296">
                  <c:v>2.7080502011022101</c:v>
                </c:pt>
                <c:pt idx="297">
                  <c:v>4.1108738641733114</c:v>
                </c:pt>
                <c:pt idx="298">
                  <c:v>3.970291913552122</c:v>
                </c:pt>
                <c:pt idx="299">
                  <c:v>3.713572066704308</c:v>
                </c:pt>
                <c:pt idx="300">
                  <c:v>3.6109179126442243</c:v>
                </c:pt>
                <c:pt idx="301">
                  <c:v>3.9889840465642745</c:v>
                </c:pt>
                <c:pt idx="302">
                  <c:v>4.8520302639196169</c:v>
                </c:pt>
                <c:pt idx="303">
                  <c:v>4.1896547420264252</c:v>
                </c:pt>
                <c:pt idx="304">
                  <c:v>4.1743872698956368</c:v>
                </c:pt>
                <c:pt idx="305">
                  <c:v>3.6635616461296463</c:v>
                </c:pt>
                <c:pt idx="306">
                  <c:v>4.2626798770413155</c:v>
                </c:pt>
                <c:pt idx="307">
                  <c:v>3.4965075614664802</c:v>
                </c:pt>
                <c:pt idx="308">
                  <c:v>4.3567088266895917</c:v>
                </c:pt>
                <c:pt idx="309">
                  <c:v>3.4011973816621555</c:v>
                </c:pt>
                <c:pt idx="310">
                  <c:v>3.970291913552122</c:v>
                </c:pt>
                <c:pt idx="311">
                  <c:v>3.8286413964890951</c:v>
                </c:pt>
                <c:pt idx="312">
                  <c:v>3.8918202981106265</c:v>
                </c:pt>
                <c:pt idx="313">
                  <c:v>3.9889840465642745</c:v>
                </c:pt>
                <c:pt idx="314">
                  <c:v>3.8712010109078911</c:v>
                </c:pt>
                <c:pt idx="315">
                  <c:v>4.8040210447332568</c:v>
                </c:pt>
                <c:pt idx="316">
                  <c:v>4.3040650932041702</c:v>
                </c:pt>
                <c:pt idx="317">
                  <c:v>4.0943445622221004</c:v>
                </c:pt>
                <c:pt idx="318">
                  <c:v>4.8675344504555822</c:v>
                </c:pt>
                <c:pt idx="319">
                  <c:v>5.0625950330269669</c:v>
                </c:pt>
                <c:pt idx="320">
                  <c:v>2.9957322735539909</c:v>
                </c:pt>
                <c:pt idx="321">
                  <c:v>3.9318256327243257</c:v>
                </c:pt>
                <c:pt idx="322">
                  <c:v>3.8066624897703196</c:v>
                </c:pt>
                <c:pt idx="323">
                  <c:v>5.0814043649844631</c:v>
                </c:pt>
                <c:pt idx="324">
                  <c:v>3.6375861597263857</c:v>
                </c:pt>
                <c:pt idx="325">
                  <c:v>3.912023005428146</c:v>
                </c:pt>
                <c:pt idx="326">
                  <c:v>3.5553480614894135</c:v>
                </c:pt>
                <c:pt idx="327">
                  <c:v>3.1780538303479458</c:v>
                </c:pt>
                <c:pt idx="328">
                  <c:v>3.2958368660043291</c:v>
                </c:pt>
                <c:pt idx="329">
                  <c:v>4.8283137373023015</c:v>
                </c:pt>
                <c:pt idx="330">
                  <c:v>4.3820266346738812</c:v>
                </c:pt>
                <c:pt idx="331">
                  <c:v>4.0604430105464191</c:v>
                </c:pt>
                <c:pt idx="332">
                  <c:v>3.9318256327243257</c:v>
                </c:pt>
                <c:pt idx="333">
                  <c:v>4.1108738641733114</c:v>
                </c:pt>
                <c:pt idx="334">
                  <c:v>3.8712010109078911</c:v>
                </c:pt>
                <c:pt idx="335">
                  <c:v>4.2626798770413155</c:v>
                </c:pt>
                <c:pt idx="336">
                  <c:v>4.1896547420264252</c:v>
                </c:pt>
                <c:pt idx="337">
                  <c:v>3.2958368660043291</c:v>
                </c:pt>
                <c:pt idx="338">
                  <c:v>3.8918202981106265</c:v>
                </c:pt>
                <c:pt idx="339">
                  <c:v>4.3438054218536841</c:v>
                </c:pt>
                <c:pt idx="340">
                  <c:v>3.8918202981106265</c:v>
                </c:pt>
                <c:pt idx="341">
                  <c:v>4.3820266346738812</c:v>
                </c:pt>
                <c:pt idx="342">
                  <c:v>3.9318256327243257</c:v>
                </c:pt>
                <c:pt idx="343">
                  <c:v>3.970291913552122</c:v>
                </c:pt>
                <c:pt idx="344">
                  <c:v>4.5432947822700038</c:v>
                </c:pt>
                <c:pt idx="345">
                  <c:v>3.5263605246161616</c:v>
                </c:pt>
                <c:pt idx="346">
                  <c:v>4.1271343850450917</c:v>
                </c:pt>
                <c:pt idx="347">
                  <c:v>4.290459441148391</c:v>
                </c:pt>
                <c:pt idx="348">
                  <c:v>3.2580965380214821</c:v>
                </c:pt>
                <c:pt idx="349">
                  <c:v>3.9318256327243257</c:v>
                </c:pt>
                <c:pt idx="350">
                  <c:v>4.3040650932041702</c:v>
                </c:pt>
                <c:pt idx="351">
                  <c:v>4.3307333402863311</c:v>
                </c:pt>
                <c:pt idx="352">
                  <c:v>3.6888794541139363</c:v>
                </c:pt>
                <c:pt idx="353">
                  <c:v>3.4657359027997265</c:v>
                </c:pt>
                <c:pt idx="354">
                  <c:v>3.6375861597263857</c:v>
                </c:pt>
                <c:pt idx="355">
                  <c:v>5.2094861528414214</c:v>
                </c:pt>
                <c:pt idx="356">
                  <c:v>3.2958368660043291</c:v>
                </c:pt>
                <c:pt idx="357">
                  <c:v>4.0073331852324712</c:v>
                </c:pt>
                <c:pt idx="358">
                  <c:v>3.7612001156935624</c:v>
                </c:pt>
                <c:pt idx="359">
                  <c:v>3.6635616461296463</c:v>
                </c:pt>
                <c:pt idx="360">
                  <c:v>3.1780538303479458</c:v>
                </c:pt>
                <c:pt idx="361">
                  <c:v>3.7612001156935624</c:v>
                </c:pt>
                <c:pt idx="362">
                  <c:v>3.713572066704308</c:v>
                </c:pt>
                <c:pt idx="363">
                  <c:v>3.8712010109078911</c:v>
                </c:pt>
                <c:pt idx="364">
                  <c:v>4.962844630259907</c:v>
                </c:pt>
                <c:pt idx="365">
                  <c:v>3.2958368660043291</c:v>
                </c:pt>
                <c:pt idx="366">
                  <c:v>3.5835189384561099</c:v>
                </c:pt>
                <c:pt idx="367">
                  <c:v>3.5835189384561099</c:v>
                </c:pt>
                <c:pt idx="368">
                  <c:v>3.1354942159291497</c:v>
                </c:pt>
                <c:pt idx="369">
                  <c:v>4.0073331852324712</c:v>
                </c:pt>
                <c:pt idx="370">
                  <c:v>4.2626798770413155</c:v>
                </c:pt>
                <c:pt idx="371">
                  <c:v>4.1743872698956368</c:v>
                </c:pt>
                <c:pt idx="372">
                  <c:v>3.8918202981106265</c:v>
                </c:pt>
                <c:pt idx="373">
                  <c:v>4.5108595065168497</c:v>
                </c:pt>
                <c:pt idx="374">
                  <c:v>4.836281906951478</c:v>
                </c:pt>
                <c:pt idx="375">
                  <c:v>4.2626798770413155</c:v>
                </c:pt>
                <c:pt idx="376">
                  <c:v>4.3438054218536841</c:v>
                </c:pt>
                <c:pt idx="377">
                  <c:v>3.1354942159291497</c:v>
                </c:pt>
                <c:pt idx="378">
                  <c:v>4.1743872698956368</c:v>
                </c:pt>
                <c:pt idx="379">
                  <c:v>3.9889840465642745</c:v>
                </c:pt>
                <c:pt idx="380">
                  <c:v>4.2484952420493594</c:v>
                </c:pt>
                <c:pt idx="381">
                  <c:v>4.1271343850450917</c:v>
                </c:pt>
                <c:pt idx="382">
                  <c:v>4.8441870864585912</c:v>
                </c:pt>
                <c:pt idx="383">
                  <c:v>3.6888794541139363</c:v>
                </c:pt>
                <c:pt idx="384">
                  <c:v>5.0875963352323836</c:v>
                </c:pt>
                <c:pt idx="385">
                  <c:v>4.7184988712950942</c:v>
                </c:pt>
                <c:pt idx="386">
                  <c:v>4.1896547420264252</c:v>
                </c:pt>
                <c:pt idx="387">
                  <c:v>4.5538768916005408</c:v>
                </c:pt>
                <c:pt idx="388">
                  <c:v>4.0253516907351496</c:v>
                </c:pt>
                <c:pt idx="389">
                  <c:v>4.0604430105464191</c:v>
                </c:pt>
                <c:pt idx="390">
                  <c:v>3.6109179126442243</c:v>
                </c:pt>
                <c:pt idx="391">
                  <c:v>3.2958368660043291</c:v>
                </c:pt>
                <c:pt idx="392">
                  <c:v>4.0430512678345503</c:v>
                </c:pt>
                <c:pt idx="393">
                  <c:v>4.6913478822291435</c:v>
                </c:pt>
                <c:pt idx="394">
                  <c:v>3.713572066704308</c:v>
                </c:pt>
                <c:pt idx="395">
                  <c:v>3.6109179126442243</c:v>
                </c:pt>
                <c:pt idx="396">
                  <c:v>3.6375861597263857</c:v>
                </c:pt>
                <c:pt idx="397">
                  <c:v>3.8501476017100584</c:v>
                </c:pt>
                <c:pt idx="398">
                  <c:v>4.3040650932041702</c:v>
                </c:pt>
                <c:pt idx="399">
                  <c:v>4.1431347263915326</c:v>
                </c:pt>
                <c:pt idx="400">
                  <c:v>4.219507705176107</c:v>
                </c:pt>
                <c:pt idx="401">
                  <c:v>3.8501476017100584</c:v>
                </c:pt>
                <c:pt idx="402">
                  <c:v>3.6109179126442243</c:v>
                </c:pt>
                <c:pt idx="403">
                  <c:v>4.3567088266895917</c:v>
                </c:pt>
                <c:pt idx="404">
                  <c:v>4.6249728132842707</c:v>
                </c:pt>
                <c:pt idx="405">
                  <c:v>3.912023005428146</c:v>
                </c:pt>
                <c:pt idx="406">
                  <c:v>4.5108595065168497</c:v>
                </c:pt>
                <c:pt idx="407">
                  <c:v>4.2484952420493594</c:v>
                </c:pt>
                <c:pt idx="408">
                  <c:v>2.9957322735539909</c:v>
                </c:pt>
                <c:pt idx="409">
                  <c:v>3.8501476017100584</c:v>
                </c:pt>
                <c:pt idx="410">
                  <c:v>3.1354942159291497</c:v>
                </c:pt>
                <c:pt idx="411">
                  <c:v>4.3438054218536841</c:v>
                </c:pt>
                <c:pt idx="412">
                  <c:v>4.4426512564903167</c:v>
                </c:pt>
                <c:pt idx="413">
                  <c:v>3.713572066704308</c:v>
                </c:pt>
                <c:pt idx="414">
                  <c:v>4.499809670330265</c:v>
                </c:pt>
                <c:pt idx="415">
                  <c:v>4.290459441148391</c:v>
                </c:pt>
                <c:pt idx="416">
                  <c:v>3.713572066704308</c:v>
                </c:pt>
                <c:pt idx="417">
                  <c:v>4.0943445622221004</c:v>
                </c:pt>
                <c:pt idx="418">
                  <c:v>4.1896547420264252</c:v>
                </c:pt>
                <c:pt idx="419">
                  <c:v>4.0430512678345503</c:v>
                </c:pt>
                <c:pt idx="420">
                  <c:v>4.3820266346738812</c:v>
                </c:pt>
                <c:pt idx="421">
                  <c:v>4.3567088266895917</c:v>
                </c:pt>
                <c:pt idx="422">
                  <c:v>4.2484952420493594</c:v>
                </c:pt>
                <c:pt idx="423">
                  <c:v>4.1743872698956368</c:v>
                </c:pt>
                <c:pt idx="424">
                  <c:v>4.8283137373023015</c:v>
                </c:pt>
                <c:pt idx="425">
                  <c:v>3.6888794541139363</c:v>
                </c:pt>
                <c:pt idx="426">
                  <c:v>3.8286413964890951</c:v>
                </c:pt>
                <c:pt idx="427">
                  <c:v>3.912023005428146</c:v>
                </c:pt>
                <c:pt idx="428">
                  <c:v>3.970291913552122</c:v>
                </c:pt>
                <c:pt idx="429">
                  <c:v>4.3174881135363101</c:v>
                </c:pt>
                <c:pt idx="430">
                  <c:v>4.3438054218536841</c:v>
                </c:pt>
                <c:pt idx="431">
                  <c:v>2.3025850929940459</c:v>
                </c:pt>
                <c:pt idx="432">
                  <c:v>3.4965075614664802</c:v>
                </c:pt>
                <c:pt idx="433">
                  <c:v>4.0775374439057197</c:v>
                </c:pt>
                <c:pt idx="434">
                  <c:v>4.1743872698956368</c:v>
                </c:pt>
                <c:pt idx="435">
                  <c:v>4.4308167988433134</c:v>
                </c:pt>
                <c:pt idx="436">
                  <c:v>4.1743872698956368</c:v>
                </c:pt>
                <c:pt idx="437">
                  <c:v>3.5835189384561099</c:v>
                </c:pt>
                <c:pt idx="438">
                  <c:v>4.4308167988433134</c:v>
                </c:pt>
                <c:pt idx="439">
                  <c:v>3.6635616461296463</c:v>
                </c:pt>
                <c:pt idx="440">
                  <c:v>3.5553480614894135</c:v>
                </c:pt>
                <c:pt idx="441">
                  <c:v>4.4308167988433134</c:v>
                </c:pt>
                <c:pt idx="442">
                  <c:v>4.2341065045972597</c:v>
                </c:pt>
                <c:pt idx="443">
                  <c:v>4.4188406077965983</c:v>
                </c:pt>
                <c:pt idx="444">
                  <c:v>3.3322045101752038</c:v>
                </c:pt>
                <c:pt idx="445">
                  <c:v>3.970291913552122</c:v>
                </c:pt>
                <c:pt idx="446">
                  <c:v>3.0910424533583161</c:v>
                </c:pt>
                <c:pt idx="447">
                  <c:v>3.6375861597263857</c:v>
                </c:pt>
                <c:pt idx="448">
                  <c:v>4.2484952420493594</c:v>
                </c:pt>
                <c:pt idx="449">
                  <c:v>4.5432947822700038</c:v>
                </c:pt>
                <c:pt idx="450">
                  <c:v>3.8501476017100584</c:v>
                </c:pt>
                <c:pt idx="451">
                  <c:v>4.7874917427820458</c:v>
                </c:pt>
                <c:pt idx="452">
                  <c:v>4.2766661190160553</c:v>
                </c:pt>
                <c:pt idx="453">
                  <c:v>4.5217885770490405</c:v>
                </c:pt>
                <c:pt idx="454">
                  <c:v>3.4339872044851463</c:v>
                </c:pt>
                <c:pt idx="455">
                  <c:v>4.3307333402863311</c:v>
                </c:pt>
                <c:pt idx="456">
                  <c:v>4.5325994931532563</c:v>
                </c:pt>
                <c:pt idx="457">
                  <c:v>3.5553480614894135</c:v>
                </c:pt>
                <c:pt idx="458">
                  <c:v>4.1431347263915326</c:v>
                </c:pt>
                <c:pt idx="459">
                  <c:v>4.7706846244656651</c:v>
                </c:pt>
                <c:pt idx="460">
                  <c:v>3.5835189384561099</c:v>
                </c:pt>
                <c:pt idx="461">
                  <c:v>4.0775374439057197</c:v>
                </c:pt>
                <c:pt idx="462">
                  <c:v>4.6249728132842707</c:v>
                </c:pt>
                <c:pt idx="463">
                  <c:v>2.9957322735539909</c:v>
                </c:pt>
                <c:pt idx="464">
                  <c:v>4.4188406077965983</c:v>
                </c:pt>
                <c:pt idx="465">
                  <c:v>4.8751973232011512</c:v>
                </c:pt>
                <c:pt idx="466">
                  <c:v>3.8918202981106265</c:v>
                </c:pt>
                <c:pt idx="467">
                  <c:v>4.7273878187123408</c:v>
                </c:pt>
                <c:pt idx="468">
                  <c:v>3.9889840465642745</c:v>
                </c:pt>
                <c:pt idx="469">
                  <c:v>3.7376696182833684</c:v>
                </c:pt>
                <c:pt idx="470">
                  <c:v>4.0775374439057197</c:v>
                </c:pt>
                <c:pt idx="471">
                  <c:v>3.7612001156935624</c:v>
                </c:pt>
                <c:pt idx="472">
                  <c:v>2.8332133440562162</c:v>
                </c:pt>
                <c:pt idx="473">
                  <c:v>4.1431347263915326</c:v>
                </c:pt>
                <c:pt idx="474">
                  <c:v>3.9512437185814275</c:v>
                </c:pt>
                <c:pt idx="475">
                  <c:v>4.3174881135363101</c:v>
                </c:pt>
                <c:pt idx="476">
                  <c:v>3.8286413964890951</c:v>
                </c:pt>
                <c:pt idx="477">
                  <c:v>3.7376696182833684</c:v>
                </c:pt>
                <c:pt idx="478">
                  <c:v>4.5849674786705723</c:v>
                </c:pt>
                <c:pt idx="479">
                  <c:v>3.784189633918261</c:v>
                </c:pt>
                <c:pt idx="480">
                  <c:v>4.3820266346738812</c:v>
                </c:pt>
                <c:pt idx="481">
                  <c:v>3.6109179126442243</c:v>
                </c:pt>
                <c:pt idx="482">
                  <c:v>3.4339872044851463</c:v>
                </c:pt>
                <c:pt idx="483">
                  <c:v>4.2626798770413155</c:v>
                </c:pt>
                <c:pt idx="484">
                  <c:v>4.0604430105464191</c:v>
                </c:pt>
                <c:pt idx="485">
                  <c:v>3.713572066704308</c:v>
                </c:pt>
                <c:pt idx="486">
                  <c:v>3.9889840465642745</c:v>
                </c:pt>
                <c:pt idx="487">
                  <c:v>4.5217885770490405</c:v>
                </c:pt>
                <c:pt idx="488">
                  <c:v>4.2484952420493594</c:v>
                </c:pt>
                <c:pt idx="489">
                  <c:v>3.6109179126442243</c:v>
                </c:pt>
                <c:pt idx="490">
                  <c:v>4.219507705176107</c:v>
                </c:pt>
                <c:pt idx="491">
                  <c:v>4.0943445622221004</c:v>
                </c:pt>
                <c:pt idx="492">
                  <c:v>4.2046926193909657</c:v>
                </c:pt>
                <c:pt idx="493">
                  <c:v>3.6109179126442243</c:v>
                </c:pt>
                <c:pt idx="494">
                  <c:v>3.3322045101752038</c:v>
                </c:pt>
                <c:pt idx="495">
                  <c:v>4.7184988712950942</c:v>
                </c:pt>
                <c:pt idx="496">
                  <c:v>4.7273878187123408</c:v>
                </c:pt>
                <c:pt idx="497">
                  <c:v>3.5835189384561099</c:v>
                </c:pt>
                <c:pt idx="498">
                  <c:v>4.4886363697321396</c:v>
                </c:pt>
                <c:pt idx="499">
                  <c:v>3.8918202981106265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7-418E-B679-ACA94D5C2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13127"/>
        <c:axId val="78215687"/>
      </c:scatterChart>
      <c:valAx>
        <c:axId val="78213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5687"/>
        <c:crosses val="autoZero"/>
        <c:crossBetween val="midCat"/>
      </c:valAx>
      <c:valAx>
        <c:axId val="78215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3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'Transformation (Ln)'!$H$1</c:f>
              <c:strCache>
                <c:ptCount val="1"/>
                <c:pt idx="0">
                  <c:v>Unit 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11264216972878"/>
                  <c:y val="-0.23266951006124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'Transformation (Ln)'!$B$2:$B$501</c:f>
              <c:numCache>
                <c:formatCode>0.00</c:formatCode>
                <c:ptCount val="500"/>
                <c:pt idx="0">
                  <c:v>621</c:v>
                </c:pt>
                <c:pt idx="1">
                  <c:v>3920</c:v>
                </c:pt>
                <c:pt idx="2">
                  <c:v>1080</c:v>
                </c:pt>
                <c:pt idx="3">
                  <c:v>1078</c:v>
                </c:pt>
                <c:pt idx="4">
                  <c:v>700</c:v>
                </c:pt>
                <c:pt idx="5">
                  <c:v>3200</c:v>
                </c:pt>
                <c:pt idx="6">
                  <c:v>819</c:v>
                </c:pt>
                <c:pt idx="7">
                  <c:v>800</c:v>
                </c:pt>
                <c:pt idx="8">
                  <c:v>1380</c:v>
                </c:pt>
                <c:pt idx="9">
                  <c:v>129</c:v>
                </c:pt>
                <c:pt idx="10">
                  <c:v>240</c:v>
                </c:pt>
                <c:pt idx="11">
                  <c:v>671</c:v>
                </c:pt>
                <c:pt idx="12">
                  <c:v>3078</c:v>
                </c:pt>
                <c:pt idx="13">
                  <c:v>846</c:v>
                </c:pt>
                <c:pt idx="14">
                  <c:v>1152</c:v>
                </c:pt>
                <c:pt idx="15">
                  <c:v>312</c:v>
                </c:pt>
                <c:pt idx="16">
                  <c:v>1680</c:v>
                </c:pt>
                <c:pt idx="17">
                  <c:v>594</c:v>
                </c:pt>
                <c:pt idx="18">
                  <c:v>1320</c:v>
                </c:pt>
                <c:pt idx="19">
                  <c:v>235</c:v>
                </c:pt>
                <c:pt idx="20">
                  <c:v>1813</c:v>
                </c:pt>
                <c:pt idx="21">
                  <c:v>111</c:v>
                </c:pt>
                <c:pt idx="22">
                  <c:v>648</c:v>
                </c:pt>
                <c:pt idx="23">
                  <c:v>624</c:v>
                </c:pt>
                <c:pt idx="24">
                  <c:v>1300</c:v>
                </c:pt>
                <c:pt idx="25">
                  <c:v>532</c:v>
                </c:pt>
                <c:pt idx="26">
                  <c:v>731</c:v>
                </c:pt>
                <c:pt idx="27">
                  <c:v>1410</c:v>
                </c:pt>
                <c:pt idx="28">
                  <c:v>8112</c:v>
                </c:pt>
                <c:pt idx="29">
                  <c:v>4074</c:v>
                </c:pt>
                <c:pt idx="30">
                  <c:v>1280</c:v>
                </c:pt>
                <c:pt idx="31">
                  <c:v>2150</c:v>
                </c:pt>
                <c:pt idx="32">
                  <c:v>270</c:v>
                </c:pt>
                <c:pt idx="33">
                  <c:v>40</c:v>
                </c:pt>
                <c:pt idx="34">
                  <c:v>585</c:v>
                </c:pt>
                <c:pt idx="35">
                  <c:v>606</c:v>
                </c:pt>
                <c:pt idx="36">
                  <c:v>570</c:v>
                </c:pt>
                <c:pt idx="37">
                  <c:v>1586</c:v>
                </c:pt>
                <c:pt idx="38">
                  <c:v>7866</c:v>
                </c:pt>
                <c:pt idx="39">
                  <c:v>725</c:v>
                </c:pt>
                <c:pt idx="40">
                  <c:v>6230</c:v>
                </c:pt>
                <c:pt idx="41">
                  <c:v>1482</c:v>
                </c:pt>
                <c:pt idx="42">
                  <c:v>2032</c:v>
                </c:pt>
                <c:pt idx="43">
                  <c:v>1881</c:v>
                </c:pt>
                <c:pt idx="44">
                  <c:v>7375</c:v>
                </c:pt>
                <c:pt idx="45">
                  <c:v>1914</c:v>
                </c:pt>
                <c:pt idx="46">
                  <c:v>1287</c:v>
                </c:pt>
                <c:pt idx="47">
                  <c:v>2848</c:v>
                </c:pt>
                <c:pt idx="48">
                  <c:v>2704</c:v>
                </c:pt>
                <c:pt idx="49">
                  <c:v>59</c:v>
                </c:pt>
                <c:pt idx="50">
                  <c:v>180</c:v>
                </c:pt>
                <c:pt idx="51">
                  <c:v>117</c:v>
                </c:pt>
                <c:pt idx="52">
                  <c:v>23500</c:v>
                </c:pt>
                <c:pt idx="53">
                  <c:v>1334</c:v>
                </c:pt>
                <c:pt idx="54">
                  <c:v>1794</c:v>
                </c:pt>
                <c:pt idx="55">
                  <c:v>120</c:v>
                </c:pt>
                <c:pt idx="56">
                  <c:v>560</c:v>
                </c:pt>
                <c:pt idx="57">
                  <c:v>444</c:v>
                </c:pt>
                <c:pt idx="58">
                  <c:v>780</c:v>
                </c:pt>
                <c:pt idx="59">
                  <c:v>1700</c:v>
                </c:pt>
                <c:pt idx="60">
                  <c:v>784</c:v>
                </c:pt>
                <c:pt idx="61">
                  <c:v>6083</c:v>
                </c:pt>
                <c:pt idx="62">
                  <c:v>1428</c:v>
                </c:pt>
                <c:pt idx="63">
                  <c:v>1260</c:v>
                </c:pt>
                <c:pt idx="64">
                  <c:v>80</c:v>
                </c:pt>
                <c:pt idx="65">
                  <c:v>1073</c:v>
                </c:pt>
                <c:pt idx="66">
                  <c:v>670</c:v>
                </c:pt>
                <c:pt idx="67">
                  <c:v>2747</c:v>
                </c:pt>
                <c:pt idx="68">
                  <c:v>3780</c:v>
                </c:pt>
                <c:pt idx="69">
                  <c:v>3290</c:v>
                </c:pt>
                <c:pt idx="70">
                  <c:v>396</c:v>
                </c:pt>
                <c:pt idx="71">
                  <c:v>6519</c:v>
                </c:pt>
                <c:pt idx="72">
                  <c:v>9398</c:v>
                </c:pt>
                <c:pt idx="73">
                  <c:v>232</c:v>
                </c:pt>
                <c:pt idx="74">
                  <c:v>923</c:v>
                </c:pt>
                <c:pt idx="75">
                  <c:v>2300</c:v>
                </c:pt>
                <c:pt idx="76">
                  <c:v>1110</c:v>
                </c:pt>
                <c:pt idx="77">
                  <c:v>1156</c:v>
                </c:pt>
                <c:pt idx="78">
                  <c:v>2646</c:v>
                </c:pt>
                <c:pt idx="79">
                  <c:v>1368</c:v>
                </c:pt>
                <c:pt idx="80">
                  <c:v>1144</c:v>
                </c:pt>
                <c:pt idx="81">
                  <c:v>208</c:v>
                </c:pt>
                <c:pt idx="82">
                  <c:v>35002</c:v>
                </c:pt>
                <c:pt idx="83">
                  <c:v>3808</c:v>
                </c:pt>
                <c:pt idx="84">
                  <c:v>1596</c:v>
                </c:pt>
                <c:pt idx="85">
                  <c:v>228</c:v>
                </c:pt>
                <c:pt idx="86">
                  <c:v>378</c:v>
                </c:pt>
                <c:pt idx="87">
                  <c:v>176</c:v>
                </c:pt>
                <c:pt idx="88">
                  <c:v>590</c:v>
                </c:pt>
                <c:pt idx="89">
                  <c:v>4818</c:v>
                </c:pt>
                <c:pt idx="90">
                  <c:v>237</c:v>
                </c:pt>
                <c:pt idx="91">
                  <c:v>287</c:v>
                </c:pt>
                <c:pt idx="92">
                  <c:v>333</c:v>
                </c:pt>
                <c:pt idx="93">
                  <c:v>768</c:v>
                </c:pt>
                <c:pt idx="94">
                  <c:v>1739</c:v>
                </c:pt>
                <c:pt idx="95">
                  <c:v>3570</c:v>
                </c:pt>
                <c:pt idx="96">
                  <c:v>2223</c:v>
                </c:pt>
                <c:pt idx="97">
                  <c:v>336</c:v>
                </c:pt>
                <c:pt idx="98">
                  <c:v>144</c:v>
                </c:pt>
                <c:pt idx="99">
                  <c:v>980</c:v>
                </c:pt>
                <c:pt idx="100">
                  <c:v>18</c:v>
                </c:pt>
                <c:pt idx="101">
                  <c:v>1080</c:v>
                </c:pt>
                <c:pt idx="102">
                  <c:v>3600</c:v>
                </c:pt>
                <c:pt idx="103">
                  <c:v>2623</c:v>
                </c:pt>
                <c:pt idx="104">
                  <c:v>2376</c:v>
                </c:pt>
                <c:pt idx="105">
                  <c:v>429</c:v>
                </c:pt>
                <c:pt idx="106">
                  <c:v>158</c:v>
                </c:pt>
                <c:pt idx="107">
                  <c:v>165</c:v>
                </c:pt>
                <c:pt idx="108">
                  <c:v>722</c:v>
                </c:pt>
                <c:pt idx="109">
                  <c:v>602</c:v>
                </c:pt>
                <c:pt idx="110">
                  <c:v>1892</c:v>
                </c:pt>
                <c:pt idx="111">
                  <c:v>270</c:v>
                </c:pt>
                <c:pt idx="112">
                  <c:v>480</c:v>
                </c:pt>
                <c:pt idx="113">
                  <c:v>840</c:v>
                </c:pt>
                <c:pt idx="114">
                  <c:v>1863</c:v>
                </c:pt>
                <c:pt idx="115">
                  <c:v>420</c:v>
                </c:pt>
                <c:pt idx="116">
                  <c:v>2016</c:v>
                </c:pt>
                <c:pt idx="117">
                  <c:v>145</c:v>
                </c:pt>
                <c:pt idx="118">
                  <c:v>1120</c:v>
                </c:pt>
                <c:pt idx="119">
                  <c:v>864</c:v>
                </c:pt>
                <c:pt idx="120">
                  <c:v>3283</c:v>
                </c:pt>
                <c:pt idx="121">
                  <c:v>3710</c:v>
                </c:pt>
                <c:pt idx="122">
                  <c:v>285</c:v>
                </c:pt>
                <c:pt idx="123">
                  <c:v>1695</c:v>
                </c:pt>
                <c:pt idx="124">
                  <c:v>368</c:v>
                </c:pt>
                <c:pt idx="125">
                  <c:v>1083</c:v>
                </c:pt>
                <c:pt idx="126">
                  <c:v>1134</c:v>
                </c:pt>
                <c:pt idx="127">
                  <c:v>1020</c:v>
                </c:pt>
                <c:pt idx="128">
                  <c:v>2009</c:v>
                </c:pt>
                <c:pt idx="129">
                  <c:v>8064</c:v>
                </c:pt>
                <c:pt idx="130">
                  <c:v>140</c:v>
                </c:pt>
                <c:pt idx="131">
                  <c:v>1246</c:v>
                </c:pt>
                <c:pt idx="132">
                  <c:v>1600</c:v>
                </c:pt>
                <c:pt idx="133">
                  <c:v>854</c:v>
                </c:pt>
                <c:pt idx="134">
                  <c:v>3500</c:v>
                </c:pt>
                <c:pt idx="135">
                  <c:v>629</c:v>
                </c:pt>
                <c:pt idx="136">
                  <c:v>3726</c:v>
                </c:pt>
                <c:pt idx="137">
                  <c:v>1989</c:v>
                </c:pt>
                <c:pt idx="138">
                  <c:v>435</c:v>
                </c:pt>
                <c:pt idx="139">
                  <c:v>1122</c:v>
                </c:pt>
                <c:pt idx="140">
                  <c:v>2150</c:v>
                </c:pt>
                <c:pt idx="141">
                  <c:v>520</c:v>
                </c:pt>
                <c:pt idx="142">
                  <c:v>180</c:v>
                </c:pt>
                <c:pt idx="143">
                  <c:v>290</c:v>
                </c:pt>
                <c:pt idx="144">
                  <c:v>448</c:v>
                </c:pt>
                <c:pt idx="145">
                  <c:v>1926</c:v>
                </c:pt>
                <c:pt idx="146">
                  <c:v>720</c:v>
                </c:pt>
                <c:pt idx="147">
                  <c:v>5824</c:v>
                </c:pt>
                <c:pt idx="148">
                  <c:v>1995</c:v>
                </c:pt>
                <c:pt idx="149">
                  <c:v>756</c:v>
                </c:pt>
                <c:pt idx="150">
                  <c:v>2205</c:v>
                </c:pt>
                <c:pt idx="151">
                  <c:v>9640</c:v>
                </c:pt>
                <c:pt idx="152">
                  <c:v>377</c:v>
                </c:pt>
                <c:pt idx="153">
                  <c:v>1036</c:v>
                </c:pt>
                <c:pt idx="154">
                  <c:v>440</c:v>
                </c:pt>
                <c:pt idx="155">
                  <c:v>434</c:v>
                </c:pt>
                <c:pt idx="156">
                  <c:v>198</c:v>
                </c:pt>
                <c:pt idx="157">
                  <c:v>600</c:v>
                </c:pt>
                <c:pt idx="158">
                  <c:v>155</c:v>
                </c:pt>
                <c:pt idx="159">
                  <c:v>161</c:v>
                </c:pt>
                <c:pt idx="160">
                  <c:v>657</c:v>
                </c:pt>
                <c:pt idx="161">
                  <c:v>975</c:v>
                </c:pt>
                <c:pt idx="162">
                  <c:v>100</c:v>
                </c:pt>
                <c:pt idx="163">
                  <c:v>650</c:v>
                </c:pt>
                <c:pt idx="164">
                  <c:v>576</c:v>
                </c:pt>
                <c:pt idx="165">
                  <c:v>588</c:v>
                </c:pt>
                <c:pt idx="166">
                  <c:v>1240</c:v>
                </c:pt>
                <c:pt idx="167">
                  <c:v>1080</c:v>
                </c:pt>
                <c:pt idx="168">
                  <c:v>2800</c:v>
                </c:pt>
                <c:pt idx="169">
                  <c:v>4650</c:v>
                </c:pt>
                <c:pt idx="170">
                  <c:v>1404</c:v>
                </c:pt>
                <c:pt idx="171">
                  <c:v>1716</c:v>
                </c:pt>
                <c:pt idx="172">
                  <c:v>10149</c:v>
                </c:pt>
                <c:pt idx="173">
                  <c:v>371</c:v>
                </c:pt>
                <c:pt idx="174">
                  <c:v>2736</c:v>
                </c:pt>
                <c:pt idx="175">
                  <c:v>630</c:v>
                </c:pt>
                <c:pt idx="176">
                  <c:v>1533</c:v>
                </c:pt>
                <c:pt idx="177">
                  <c:v>4800</c:v>
                </c:pt>
                <c:pt idx="178">
                  <c:v>396</c:v>
                </c:pt>
                <c:pt idx="179">
                  <c:v>1785</c:v>
                </c:pt>
                <c:pt idx="180">
                  <c:v>3645</c:v>
                </c:pt>
                <c:pt idx="181">
                  <c:v>988</c:v>
                </c:pt>
                <c:pt idx="182">
                  <c:v>784</c:v>
                </c:pt>
                <c:pt idx="183">
                  <c:v>1150</c:v>
                </c:pt>
                <c:pt idx="184">
                  <c:v>99</c:v>
                </c:pt>
                <c:pt idx="185">
                  <c:v>1958</c:v>
                </c:pt>
                <c:pt idx="186">
                  <c:v>1328</c:v>
                </c:pt>
                <c:pt idx="187">
                  <c:v>207</c:v>
                </c:pt>
                <c:pt idx="188">
                  <c:v>290</c:v>
                </c:pt>
                <c:pt idx="189">
                  <c:v>132</c:v>
                </c:pt>
                <c:pt idx="190">
                  <c:v>196</c:v>
                </c:pt>
                <c:pt idx="191">
                  <c:v>2688</c:v>
                </c:pt>
                <c:pt idx="192">
                  <c:v>405</c:v>
                </c:pt>
                <c:pt idx="193">
                  <c:v>288</c:v>
                </c:pt>
                <c:pt idx="194">
                  <c:v>987</c:v>
                </c:pt>
                <c:pt idx="195">
                  <c:v>3828</c:v>
                </c:pt>
                <c:pt idx="196">
                  <c:v>162</c:v>
                </c:pt>
                <c:pt idx="197">
                  <c:v>1404</c:v>
                </c:pt>
                <c:pt idx="198">
                  <c:v>924</c:v>
                </c:pt>
                <c:pt idx="199">
                  <c:v>780</c:v>
                </c:pt>
                <c:pt idx="200">
                  <c:v>1460</c:v>
                </c:pt>
                <c:pt idx="201">
                  <c:v>369</c:v>
                </c:pt>
                <c:pt idx="202">
                  <c:v>475</c:v>
                </c:pt>
                <c:pt idx="203">
                  <c:v>522</c:v>
                </c:pt>
                <c:pt idx="204">
                  <c:v>624</c:v>
                </c:pt>
                <c:pt idx="205">
                  <c:v>1209</c:v>
                </c:pt>
                <c:pt idx="206">
                  <c:v>651</c:v>
                </c:pt>
                <c:pt idx="207">
                  <c:v>1755</c:v>
                </c:pt>
                <c:pt idx="208">
                  <c:v>1188</c:v>
                </c:pt>
                <c:pt idx="209">
                  <c:v>231</c:v>
                </c:pt>
                <c:pt idx="210">
                  <c:v>1860</c:v>
                </c:pt>
                <c:pt idx="211">
                  <c:v>776</c:v>
                </c:pt>
                <c:pt idx="212">
                  <c:v>1320</c:v>
                </c:pt>
                <c:pt idx="213">
                  <c:v>264</c:v>
                </c:pt>
                <c:pt idx="214">
                  <c:v>8774</c:v>
                </c:pt>
                <c:pt idx="215">
                  <c:v>132</c:v>
                </c:pt>
                <c:pt idx="216">
                  <c:v>2016</c:v>
                </c:pt>
                <c:pt idx="217">
                  <c:v>650</c:v>
                </c:pt>
                <c:pt idx="218">
                  <c:v>5612</c:v>
                </c:pt>
                <c:pt idx="219">
                  <c:v>2112</c:v>
                </c:pt>
                <c:pt idx="220">
                  <c:v>558</c:v>
                </c:pt>
                <c:pt idx="221">
                  <c:v>212</c:v>
                </c:pt>
                <c:pt idx="222">
                  <c:v>429</c:v>
                </c:pt>
                <c:pt idx="223">
                  <c:v>1458</c:v>
                </c:pt>
                <c:pt idx="224">
                  <c:v>68</c:v>
                </c:pt>
                <c:pt idx="225">
                  <c:v>1170</c:v>
                </c:pt>
                <c:pt idx="226">
                  <c:v>1026</c:v>
                </c:pt>
                <c:pt idx="227">
                  <c:v>837</c:v>
                </c:pt>
                <c:pt idx="228">
                  <c:v>297</c:v>
                </c:pt>
                <c:pt idx="229">
                  <c:v>14328</c:v>
                </c:pt>
                <c:pt idx="230">
                  <c:v>3550</c:v>
                </c:pt>
                <c:pt idx="231">
                  <c:v>3136</c:v>
                </c:pt>
                <c:pt idx="232">
                  <c:v>2752</c:v>
                </c:pt>
                <c:pt idx="233">
                  <c:v>1224</c:v>
                </c:pt>
                <c:pt idx="234">
                  <c:v>364</c:v>
                </c:pt>
                <c:pt idx="235">
                  <c:v>657</c:v>
                </c:pt>
                <c:pt idx="236">
                  <c:v>344</c:v>
                </c:pt>
                <c:pt idx="237">
                  <c:v>253</c:v>
                </c:pt>
                <c:pt idx="238">
                  <c:v>837</c:v>
                </c:pt>
                <c:pt idx="239">
                  <c:v>1680</c:v>
                </c:pt>
                <c:pt idx="240">
                  <c:v>3094</c:v>
                </c:pt>
                <c:pt idx="241">
                  <c:v>1681</c:v>
                </c:pt>
                <c:pt idx="242">
                  <c:v>840</c:v>
                </c:pt>
                <c:pt idx="243">
                  <c:v>276</c:v>
                </c:pt>
                <c:pt idx="244">
                  <c:v>272</c:v>
                </c:pt>
                <c:pt idx="245">
                  <c:v>1350</c:v>
                </c:pt>
                <c:pt idx="246">
                  <c:v>960</c:v>
                </c:pt>
                <c:pt idx="247">
                  <c:v>658</c:v>
                </c:pt>
                <c:pt idx="248">
                  <c:v>792</c:v>
                </c:pt>
                <c:pt idx="249">
                  <c:v>390</c:v>
                </c:pt>
                <c:pt idx="250">
                  <c:v>240</c:v>
                </c:pt>
                <c:pt idx="251">
                  <c:v>445</c:v>
                </c:pt>
                <c:pt idx="252">
                  <c:v>856</c:v>
                </c:pt>
                <c:pt idx="253">
                  <c:v>684</c:v>
                </c:pt>
                <c:pt idx="254">
                  <c:v>2010</c:v>
                </c:pt>
                <c:pt idx="255">
                  <c:v>2145</c:v>
                </c:pt>
                <c:pt idx="256">
                  <c:v>558</c:v>
                </c:pt>
                <c:pt idx="257">
                  <c:v>1378</c:v>
                </c:pt>
                <c:pt idx="258">
                  <c:v>2700</c:v>
                </c:pt>
                <c:pt idx="259">
                  <c:v>832</c:v>
                </c:pt>
                <c:pt idx="260">
                  <c:v>176</c:v>
                </c:pt>
                <c:pt idx="261">
                  <c:v>1008</c:v>
                </c:pt>
                <c:pt idx="262">
                  <c:v>924</c:v>
                </c:pt>
                <c:pt idx="263">
                  <c:v>5428</c:v>
                </c:pt>
                <c:pt idx="264">
                  <c:v>1488</c:v>
                </c:pt>
                <c:pt idx="265">
                  <c:v>420</c:v>
                </c:pt>
                <c:pt idx="266">
                  <c:v>7654</c:v>
                </c:pt>
                <c:pt idx="267">
                  <c:v>6536</c:v>
                </c:pt>
                <c:pt idx="268">
                  <c:v>1763</c:v>
                </c:pt>
                <c:pt idx="269">
                  <c:v>3180</c:v>
                </c:pt>
                <c:pt idx="270">
                  <c:v>7480</c:v>
                </c:pt>
                <c:pt idx="271">
                  <c:v>2079</c:v>
                </c:pt>
                <c:pt idx="272">
                  <c:v>1391</c:v>
                </c:pt>
                <c:pt idx="273">
                  <c:v>1414</c:v>
                </c:pt>
                <c:pt idx="274">
                  <c:v>512</c:v>
                </c:pt>
                <c:pt idx="275">
                  <c:v>408</c:v>
                </c:pt>
                <c:pt idx="276">
                  <c:v>704</c:v>
                </c:pt>
                <c:pt idx="277">
                  <c:v>295</c:v>
                </c:pt>
                <c:pt idx="278">
                  <c:v>2537</c:v>
                </c:pt>
                <c:pt idx="279">
                  <c:v>736</c:v>
                </c:pt>
                <c:pt idx="280">
                  <c:v>588</c:v>
                </c:pt>
                <c:pt idx="281">
                  <c:v>1380</c:v>
                </c:pt>
                <c:pt idx="282">
                  <c:v>4248</c:v>
                </c:pt>
                <c:pt idx="283">
                  <c:v>3536</c:v>
                </c:pt>
                <c:pt idx="284">
                  <c:v>1581</c:v>
                </c:pt>
                <c:pt idx="285">
                  <c:v>741</c:v>
                </c:pt>
                <c:pt idx="286">
                  <c:v>1272</c:v>
                </c:pt>
                <c:pt idx="287">
                  <c:v>420</c:v>
                </c:pt>
                <c:pt idx="288">
                  <c:v>3900</c:v>
                </c:pt>
                <c:pt idx="289">
                  <c:v>1107</c:v>
                </c:pt>
                <c:pt idx="290">
                  <c:v>310</c:v>
                </c:pt>
                <c:pt idx="291">
                  <c:v>740</c:v>
                </c:pt>
                <c:pt idx="292">
                  <c:v>2356</c:v>
                </c:pt>
                <c:pt idx="293">
                  <c:v>630</c:v>
                </c:pt>
                <c:pt idx="294">
                  <c:v>6912</c:v>
                </c:pt>
                <c:pt idx="295">
                  <c:v>1003</c:v>
                </c:pt>
                <c:pt idx="296">
                  <c:v>930</c:v>
                </c:pt>
                <c:pt idx="297">
                  <c:v>610</c:v>
                </c:pt>
                <c:pt idx="298">
                  <c:v>7473</c:v>
                </c:pt>
                <c:pt idx="299">
                  <c:v>164</c:v>
                </c:pt>
                <c:pt idx="300">
                  <c:v>148</c:v>
                </c:pt>
                <c:pt idx="301">
                  <c:v>9936</c:v>
                </c:pt>
                <c:pt idx="302">
                  <c:v>1920</c:v>
                </c:pt>
                <c:pt idx="303">
                  <c:v>1518</c:v>
                </c:pt>
                <c:pt idx="304">
                  <c:v>3835</c:v>
                </c:pt>
                <c:pt idx="305">
                  <c:v>78</c:v>
                </c:pt>
                <c:pt idx="306">
                  <c:v>923</c:v>
                </c:pt>
                <c:pt idx="307">
                  <c:v>429</c:v>
                </c:pt>
                <c:pt idx="308">
                  <c:v>4602</c:v>
                </c:pt>
                <c:pt idx="309">
                  <c:v>1680</c:v>
                </c:pt>
                <c:pt idx="310">
                  <c:v>689</c:v>
                </c:pt>
                <c:pt idx="311">
                  <c:v>3450</c:v>
                </c:pt>
                <c:pt idx="312">
                  <c:v>5047</c:v>
                </c:pt>
                <c:pt idx="313">
                  <c:v>810</c:v>
                </c:pt>
                <c:pt idx="314">
                  <c:v>288</c:v>
                </c:pt>
                <c:pt idx="315">
                  <c:v>2562</c:v>
                </c:pt>
                <c:pt idx="316">
                  <c:v>518</c:v>
                </c:pt>
                <c:pt idx="317">
                  <c:v>480</c:v>
                </c:pt>
                <c:pt idx="318">
                  <c:v>1820</c:v>
                </c:pt>
                <c:pt idx="319">
                  <c:v>3634</c:v>
                </c:pt>
                <c:pt idx="320">
                  <c:v>80</c:v>
                </c:pt>
                <c:pt idx="321">
                  <c:v>2703</c:v>
                </c:pt>
                <c:pt idx="322">
                  <c:v>3600</c:v>
                </c:pt>
                <c:pt idx="323">
                  <c:v>4669</c:v>
                </c:pt>
                <c:pt idx="324">
                  <c:v>418</c:v>
                </c:pt>
                <c:pt idx="325">
                  <c:v>2850</c:v>
                </c:pt>
                <c:pt idx="326">
                  <c:v>175</c:v>
                </c:pt>
                <c:pt idx="327">
                  <c:v>2880</c:v>
                </c:pt>
                <c:pt idx="328">
                  <c:v>189</c:v>
                </c:pt>
                <c:pt idx="329">
                  <c:v>8125</c:v>
                </c:pt>
                <c:pt idx="330">
                  <c:v>1760</c:v>
                </c:pt>
                <c:pt idx="331">
                  <c:v>348</c:v>
                </c:pt>
                <c:pt idx="332">
                  <c:v>663</c:v>
                </c:pt>
                <c:pt idx="333">
                  <c:v>549</c:v>
                </c:pt>
                <c:pt idx="334">
                  <c:v>336</c:v>
                </c:pt>
                <c:pt idx="335">
                  <c:v>4544</c:v>
                </c:pt>
                <c:pt idx="336">
                  <c:v>924</c:v>
                </c:pt>
                <c:pt idx="337">
                  <c:v>459</c:v>
                </c:pt>
                <c:pt idx="338">
                  <c:v>98</c:v>
                </c:pt>
                <c:pt idx="339">
                  <c:v>2464</c:v>
                </c:pt>
                <c:pt idx="340">
                  <c:v>833</c:v>
                </c:pt>
                <c:pt idx="341">
                  <c:v>4720</c:v>
                </c:pt>
                <c:pt idx="342">
                  <c:v>2091</c:v>
                </c:pt>
                <c:pt idx="343">
                  <c:v>2067</c:v>
                </c:pt>
                <c:pt idx="344">
                  <c:v>3290</c:v>
                </c:pt>
                <c:pt idx="345">
                  <c:v>510</c:v>
                </c:pt>
                <c:pt idx="346">
                  <c:v>5890</c:v>
                </c:pt>
                <c:pt idx="347">
                  <c:v>584</c:v>
                </c:pt>
                <c:pt idx="348">
                  <c:v>156</c:v>
                </c:pt>
                <c:pt idx="349">
                  <c:v>612</c:v>
                </c:pt>
                <c:pt idx="350">
                  <c:v>1258</c:v>
                </c:pt>
                <c:pt idx="351">
                  <c:v>2052</c:v>
                </c:pt>
                <c:pt idx="352">
                  <c:v>120</c:v>
                </c:pt>
                <c:pt idx="353">
                  <c:v>800</c:v>
                </c:pt>
                <c:pt idx="354">
                  <c:v>1254</c:v>
                </c:pt>
                <c:pt idx="355">
                  <c:v>1464</c:v>
                </c:pt>
                <c:pt idx="356">
                  <c:v>297</c:v>
                </c:pt>
                <c:pt idx="357">
                  <c:v>880</c:v>
                </c:pt>
                <c:pt idx="358">
                  <c:v>1290</c:v>
                </c:pt>
                <c:pt idx="359">
                  <c:v>624</c:v>
                </c:pt>
                <c:pt idx="360">
                  <c:v>1248</c:v>
                </c:pt>
                <c:pt idx="361">
                  <c:v>559</c:v>
                </c:pt>
                <c:pt idx="362">
                  <c:v>1148</c:v>
                </c:pt>
                <c:pt idx="363">
                  <c:v>3408</c:v>
                </c:pt>
                <c:pt idx="364">
                  <c:v>5005</c:v>
                </c:pt>
                <c:pt idx="365">
                  <c:v>405</c:v>
                </c:pt>
                <c:pt idx="366">
                  <c:v>1116</c:v>
                </c:pt>
                <c:pt idx="367">
                  <c:v>324</c:v>
                </c:pt>
                <c:pt idx="368">
                  <c:v>46</c:v>
                </c:pt>
                <c:pt idx="369">
                  <c:v>935</c:v>
                </c:pt>
                <c:pt idx="370">
                  <c:v>1420</c:v>
                </c:pt>
                <c:pt idx="371">
                  <c:v>845</c:v>
                </c:pt>
                <c:pt idx="372">
                  <c:v>245</c:v>
                </c:pt>
                <c:pt idx="373">
                  <c:v>1365</c:v>
                </c:pt>
                <c:pt idx="374">
                  <c:v>8316</c:v>
                </c:pt>
                <c:pt idx="375">
                  <c:v>1349</c:v>
                </c:pt>
                <c:pt idx="376">
                  <c:v>308</c:v>
                </c:pt>
                <c:pt idx="377">
                  <c:v>23</c:v>
                </c:pt>
                <c:pt idx="378">
                  <c:v>1300</c:v>
                </c:pt>
                <c:pt idx="379">
                  <c:v>1134</c:v>
                </c:pt>
                <c:pt idx="380">
                  <c:v>140</c:v>
                </c:pt>
                <c:pt idx="381">
                  <c:v>992</c:v>
                </c:pt>
                <c:pt idx="382">
                  <c:v>6604</c:v>
                </c:pt>
                <c:pt idx="383">
                  <c:v>360</c:v>
                </c:pt>
                <c:pt idx="384">
                  <c:v>7290</c:v>
                </c:pt>
                <c:pt idx="385">
                  <c:v>4816</c:v>
                </c:pt>
                <c:pt idx="386">
                  <c:v>198</c:v>
                </c:pt>
                <c:pt idx="387">
                  <c:v>1330</c:v>
                </c:pt>
                <c:pt idx="388">
                  <c:v>56</c:v>
                </c:pt>
                <c:pt idx="389">
                  <c:v>696</c:v>
                </c:pt>
                <c:pt idx="390">
                  <c:v>296</c:v>
                </c:pt>
                <c:pt idx="391">
                  <c:v>1377</c:v>
                </c:pt>
                <c:pt idx="392">
                  <c:v>228</c:v>
                </c:pt>
                <c:pt idx="393">
                  <c:v>6213</c:v>
                </c:pt>
                <c:pt idx="394">
                  <c:v>615</c:v>
                </c:pt>
                <c:pt idx="395">
                  <c:v>1813</c:v>
                </c:pt>
                <c:pt idx="396">
                  <c:v>418</c:v>
                </c:pt>
                <c:pt idx="397">
                  <c:v>470</c:v>
                </c:pt>
                <c:pt idx="398">
                  <c:v>1036</c:v>
                </c:pt>
                <c:pt idx="399">
                  <c:v>1323</c:v>
                </c:pt>
                <c:pt idx="400">
                  <c:v>1904</c:v>
                </c:pt>
                <c:pt idx="401">
                  <c:v>282</c:v>
                </c:pt>
                <c:pt idx="402">
                  <c:v>407</c:v>
                </c:pt>
                <c:pt idx="403">
                  <c:v>1170</c:v>
                </c:pt>
                <c:pt idx="404">
                  <c:v>1326</c:v>
                </c:pt>
                <c:pt idx="405">
                  <c:v>100</c:v>
                </c:pt>
                <c:pt idx="406">
                  <c:v>16380</c:v>
                </c:pt>
                <c:pt idx="407">
                  <c:v>2730</c:v>
                </c:pt>
                <c:pt idx="408">
                  <c:v>560</c:v>
                </c:pt>
                <c:pt idx="409">
                  <c:v>846</c:v>
                </c:pt>
                <c:pt idx="410">
                  <c:v>1380</c:v>
                </c:pt>
                <c:pt idx="411">
                  <c:v>1540</c:v>
                </c:pt>
                <c:pt idx="412">
                  <c:v>2890</c:v>
                </c:pt>
                <c:pt idx="413">
                  <c:v>1886</c:v>
                </c:pt>
                <c:pt idx="414">
                  <c:v>2340</c:v>
                </c:pt>
                <c:pt idx="415">
                  <c:v>511</c:v>
                </c:pt>
                <c:pt idx="416">
                  <c:v>1394</c:v>
                </c:pt>
                <c:pt idx="417">
                  <c:v>1380</c:v>
                </c:pt>
                <c:pt idx="418">
                  <c:v>1980</c:v>
                </c:pt>
                <c:pt idx="419">
                  <c:v>1653</c:v>
                </c:pt>
                <c:pt idx="420">
                  <c:v>240</c:v>
                </c:pt>
                <c:pt idx="421">
                  <c:v>2964</c:v>
                </c:pt>
                <c:pt idx="422">
                  <c:v>420</c:v>
                </c:pt>
                <c:pt idx="423">
                  <c:v>585</c:v>
                </c:pt>
                <c:pt idx="424">
                  <c:v>5375</c:v>
                </c:pt>
                <c:pt idx="425">
                  <c:v>360</c:v>
                </c:pt>
                <c:pt idx="426">
                  <c:v>874</c:v>
                </c:pt>
                <c:pt idx="427">
                  <c:v>1050</c:v>
                </c:pt>
                <c:pt idx="428">
                  <c:v>159</c:v>
                </c:pt>
                <c:pt idx="429">
                  <c:v>2400</c:v>
                </c:pt>
                <c:pt idx="430">
                  <c:v>3157</c:v>
                </c:pt>
                <c:pt idx="431">
                  <c:v>240</c:v>
                </c:pt>
                <c:pt idx="432">
                  <c:v>231</c:v>
                </c:pt>
                <c:pt idx="433">
                  <c:v>1416</c:v>
                </c:pt>
                <c:pt idx="434">
                  <c:v>1105</c:v>
                </c:pt>
                <c:pt idx="435">
                  <c:v>3528</c:v>
                </c:pt>
                <c:pt idx="436">
                  <c:v>3315</c:v>
                </c:pt>
                <c:pt idx="437">
                  <c:v>3528</c:v>
                </c:pt>
                <c:pt idx="438">
                  <c:v>33348</c:v>
                </c:pt>
                <c:pt idx="439">
                  <c:v>1911</c:v>
                </c:pt>
                <c:pt idx="440">
                  <c:v>945</c:v>
                </c:pt>
                <c:pt idx="441">
                  <c:v>11088</c:v>
                </c:pt>
                <c:pt idx="442">
                  <c:v>759</c:v>
                </c:pt>
                <c:pt idx="443">
                  <c:v>1411</c:v>
                </c:pt>
                <c:pt idx="444">
                  <c:v>336</c:v>
                </c:pt>
                <c:pt idx="445">
                  <c:v>7738</c:v>
                </c:pt>
                <c:pt idx="446">
                  <c:v>682</c:v>
                </c:pt>
                <c:pt idx="447">
                  <c:v>418</c:v>
                </c:pt>
                <c:pt idx="448">
                  <c:v>1400</c:v>
                </c:pt>
                <c:pt idx="449">
                  <c:v>2256</c:v>
                </c:pt>
                <c:pt idx="450">
                  <c:v>329</c:v>
                </c:pt>
                <c:pt idx="451">
                  <c:v>1200</c:v>
                </c:pt>
                <c:pt idx="452">
                  <c:v>2952</c:v>
                </c:pt>
                <c:pt idx="453">
                  <c:v>10120</c:v>
                </c:pt>
                <c:pt idx="454">
                  <c:v>744</c:v>
                </c:pt>
                <c:pt idx="455">
                  <c:v>2584</c:v>
                </c:pt>
                <c:pt idx="456">
                  <c:v>3348</c:v>
                </c:pt>
                <c:pt idx="457">
                  <c:v>105</c:v>
                </c:pt>
                <c:pt idx="458">
                  <c:v>1449</c:v>
                </c:pt>
                <c:pt idx="459">
                  <c:v>4130</c:v>
                </c:pt>
                <c:pt idx="460">
                  <c:v>144</c:v>
                </c:pt>
                <c:pt idx="461">
                  <c:v>1770</c:v>
                </c:pt>
                <c:pt idx="462">
                  <c:v>1020</c:v>
                </c:pt>
                <c:pt idx="463">
                  <c:v>460</c:v>
                </c:pt>
                <c:pt idx="464">
                  <c:v>664</c:v>
                </c:pt>
                <c:pt idx="465">
                  <c:v>12183</c:v>
                </c:pt>
                <c:pt idx="466">
                  <c:v>637</c:v>
                </c:pt>
                <c:pt idx="467">
                  <c:v>452</c:v>
                </c:pt>
                <c:pt idx="468">
                  <c:v>1404</c:v>
                </c:pt>
                <c:pt idx="469">
                  <c:v>252</c:v>
                </c:pt>
                <c:pt idx="470">
                  <c:v>3540</c:v>
                </c:pt>
                <c:pt idx="471">
                  <c:v>430</c:v>
                </c:pt>
                <c:pt idx="472">
                  <c:v>272</c:v>
                </c:pt>
                <c:pt idx="473">
                  <c:v>2583</c:v>
                </c:pt>
                <c:pt idx="474">
                  <c:v>2288</c:v>
                </c:pt>
                <c:pt idx="475">
                  <c:v>3225</c:v>
                </c:pt>
                <c:pt idx="476">
                  <c:v>184</c:v>
                </c:pt>
                <c:pt idx="477">
                  <c:v>42</c:v>
                </c:pt>
                <c:pt idx="478">
                  <c:v>1666</c:v>
                </c:pt>
                <c:pt idx="479">
                  <c:v>1232</c:v>
                </c:pt>
                <c:pt idx="480">
                  <c:v>2000</c:v>
                </c:pt>
                <c:pt idx="481">
                  <c:v>1702</c:v>
                </c:pt>
                <c:pt idx="482">
                  <c:v>465</c:v>
                </c:pt>
                <c:pt idx="483">
                  <c:v>426</c:v>
                </c:pt>
                <c:pt idx="484">
                  <c:v>4292</c:v>
                </c:pt>
                <c:pt idx="485">
                  <c:v>123</c:v>
                </c:pt>
                <c:pt idx="486">
                  <c:v>756</c:v>
                </c:pt>
                <c:pt idx="487">
                  <c:v>828</c:v>
                </c:pt>
                <c:pt idx="488">
                  <c:v>350</c:v>
                </c:pt>
                <c:pt idx="489">
                  <c:v>777</c:v>
                </c:pt>
                <c:pt idx="490">
                  <c:v>1904</c:v>
                </c:pt>
                <c:pt idx="491">
                  <c:v>360</c:v>
                </c:pt>
                <c:pt idx="492">
                  <c:v>11323</c:v>
                </c:pt>
                <c:pt idx="493">
                  <c:v>1258</c:v>
                </c:pt>
                <c:pt idx="494">
                  <c:v>252</c:v>
                </c:pt>
                <c:pt idx="495">
                  <c:v>2016</c:v>
                </c:pt>
                <c:pt idx="496">
                  <c:v>1582</c:v>
                </c:pt>
                <c:pt idx="497">
                  <c:v>1692</c:v>
                </c:pt>
                <c:pt idx="498">
                  <c:v>2848</c:v>
                </c:pt>
                <c:pt idx="499">
                  <c:v>2401</c:v>
                </c:pt>
              </c:numCache>
            </c:numRef>
          </c:xVal>
          <c:yVal>
            <c:numRef>
              <c:f>'Transformation (Ln)'!$H$2:$H$501</c:f>
              <c:numCache>
                <c:formatCode>0.00</c:formatCode>
                <c:ptCount val="500"/>
                <c:pt idx="0">
                  <c:v>69</c:v>
                </c:pt>
                <c:pt idx="1">
                  <c:v>49</c:v>
                </c:pt>
                <c:pt idx="2">
                  <c:v>90</c:v>
                </c:pt>
                <c:pt idx="3">
                  <c:v>49</c:v>
                </c:pt>
                <c:pt idx="4">
                  <c:v>50</c:v>
                </c:pt>
                <c:pt idx="5">
                  <c:v>80</c:v>
                </c:pt>
                <c:pt idx="6">
                  <c:v>63</c:v>
                </c:pt>
                <c:pt idx="7">
                  <c:v>40</c:v>
                </c:pt>
                <c:pt idx="8">
                  <c:v>115</c:v>
                </c:pt>
                <c:pt idx="9">
                  <c:v>43</c:v>
                </c:pt>
                <c:pt idx="10">
                  <c:v>48</c:v>
                </c:pt>
                <c:pt idx="11">
                  <c:v>61</c:v>
                </c:pt>
                <c:pt idx="12">
                  <c:v>54</c:v>
                </c:pt>
                <c:pt idx="13">
                  <c:v>94</c:v>
                </c:pt>
                <c:pt idx="14">
                  <c:v>32</c:v>
                </c:pt>
                <c:pt idx="15">
                  <c:v>24</c:v>
                </c:pt>
                <c:pt idx="16">
                  <c:v>42</c:v>
                </c:pt>
                <c:pt idx="17">
                  <c:v>66</c:v>
                </c:pt>
                <c:pt idx="18">
                  <c:v>33</c:v>
                </c:pt>
                <c:pt idx="19">
                  <c:v>47</c:v>
                </c:pt>
                <c:pt idx="20">
                  <c:v>49</c:v>
                </c:pt>
                <c:pt idx="21">
                  <c:v>37</c:v>
                </c:pt>
                <c:pt idx="22">
                  <c:v>36</c:v>
                </c:pt>
                <c:pt idx="23">
                  <c:v>52</c:v>
                </c:pt>
                <c:pt idx="24">
                  <c:v>50</c:v>
                </c:pt>
                <c:pt idx="25">
                  <c:v>28</c:v>
                </c:pt>
                <c:pt idx="26">
                  <c:v>43</c:v>
                </c:pt>
                <c:pt idx="27">
                  <c:v>94</c:v>
                </c:pt>
                <c:pt idx="28">
                  <c:v>48</c:v>
                </c:pt>
                <c:pt idx="29">
                  <c:v>42</c:v>
                </c:pt>
                <c:pt idx="30">
                  <c:v>64</c:v>
                </c:pt>
                <c:pt idx="31">
                  <c:v>86</c:v>
                </c:pt>
                <c:pt idx="32">
                  <c:v>27</c:v>
                </c:pt>
                <c:pt idx="33">
                  <c:v>40</c:v>
                </c:pt>
                <c:pt idx="34">
                  <c:v>45</c:v>
                </c:pt>
                <c:pt idx="35">
                  <c:v>101</c:v>
                </c:pt>
                <c:pt idx="36">
                  <c:v>30</c:v>
                </c:pt>
                <c:pt idx="37">
                  <c:v>122</c:v>
                </c:pt>
                <c:pt idx="38">
                  <c:v>57</c:v>
                </c:pt>
                <c:pt idx="39">
                  <c:v>25</c:v>
                </c:pt>
                <c:pt idx="40">
                  <c:v>89</c:v>
                </c:pt>
                <c:pt idx="41">
                  <c:v>26</c:v>
                </c:pt>
                <c:pt idx="42">
                  <c:v>127</c:v>
                </c:pt>
                <c:pt idx="43">
                  <c:v>99</c:v>
                </c:pt>
                <c:pt idx="44">
                  <c:v>125</c:v>
                </c:pt>
                <c:pt idx="45">
                  <c:v>58</c:v>
                </c:pt>
                <c:pt idx="46">
                  <c:v>39</c:v>
                </c:pt>
                <c:pt idx="47">
                  <c:v>89</c:v>
                </c:pt>
                <c:pt idx="48">
                  <c:v>26</c:v>
                </c:pt>
                <c:pt idx="49">
                  <c:v>59</c:v>
                </c:pt>
                <c:pt idx="50">
                  <c:v>18</c:v>
                </c:pt>
                <c:pt idx="51">
                  <c:v>9</c:v>
                </c:pt>
                <c:pt idx="52">
                  <c:v>94</c:v>
                </c:pt>
                <c:pt idx="53">
                  <c:v>58</c:v>
                </c:pt>
                <c:pt idx="54">
                  <c:v>69</c:v>
                </c:pt>
                <c:pt idx="55">
                  <c:v>12</c:v>
                </c:pt>
                <c:pt idx="56">
                  <c:v>20</c:v>
                </c:pt>
                <c:pt idx="57">
                  <c:v>37</c:v>
                </c:pt>
                <c:pt idx="58">
                  <c:v>60</c:v>
                </c:pt>
                <c:pt idx="59">
                  <c:v>34</c:v>
                </c:pt>
                <c:pt idx="60">
                  <c:v>98</c:v>
                </c:pt>
                <c:pt idx="61">
                  <c:v>79</c:v>
                </c:pt>
                <c:pt idx="62">
                  <c:v>42</c:v>
                </c:pt>
                <c:pt idx="63">
                  <c:v>105</c:v>
                </c:pt>
                <c:pt idx="64">
                  <c:v>20</c:v>
                </c:pt>
                <c:pt idx="65">
                  <c:v>37</c:v>
                </c:pt>
                <c:pt idx="66">
                  <c:v>67</c:v>
                </c:pt>
                <c:pt idx="67">
                  <c:v>67</c:v>
                </c:pt>
                <c:pt idx="68">
                  <c:v>90</c:v>
                </c:pt>
                <c:pt idx="69">
                  <c:v>70</c:v>
                </c:pt>
                <c:pt idx="70">
                  <c:v>44</c:v>
                </c:pt>
                <c:pt idx="71">
                  <c:v>123</c:v>
                </c:pt>
                <c:pt idx="72">
                  <c:v>127</c:v>
                </c:pt>
                <c:pt idx="73">
                  <c:v>58</c:v>
                </c:pt>
                <c:pt idx="74">
                  <c:v>71</c:v>
                </c:pt>
                <c:pt idx="75">
                  <c:v>46</c:v>
                </c:pt>
                <c:pt idx="76">
                  <c:v>37</c:v>
                </c:pt>
                <c:pt idx="77">
                  <c:v>68</c:v>
                </c:pt>
                <c:pt idx="78">
                  <c:v>126</c:v>
                </c:pt>
                <c:pt idx="79">
                  <c:v>57</c:v>
                </c:pt>
                <c:pt idx="80">
                  <c:v>104</c:v>
                </c:pt>
                <c:pt idx="81">
                  <c:v>52</c:v>
                </c:pt>
                <c:pt idx="82">
                  <c:v>43</c:v>
                </c:pt>
                <c:pt idx="83">
                  <c:v>112</c:v>
                </c:pt>
                <c:pt idx="84">
                  <c:v>57</c:v>
                </c:pt>
                <c:pt idx="85">
                  <c:v>57</c:v>
                </c:pt>
                <c:pt idx="86">
                  <c:v>42</c:v>
                </c:pt>
                <c:pt idx="87">
                  <c:v>44</c:v>
                </c:pt>
                <c:pt idx="88">
                  <c:v>59</c:v>
                </c:pt>
                <c:pt idx="89">
                  <c:v>66</c:v>
                </c:pt>
                <c:pt idx="90">
                  <c:v>79</c:v>
                </c:pt>
                <c:pt idx="91">
                  <c:v>41</c:v>
                </c:pt>
                <c:pt idx="92">
                  <c:v>37</c:v>
                </c:pt>
                <c:pt idx="93">
                  <c:v>48</c:v>
                </c:pt>
                <c:pt idx="94">
                  <c:v>47</c:v>
                </c:pt>
                <c:pt idx="95">
                  <c:v>105</c:v>
                </c:pt>
                <c:pt idx="96">
                  <c:v>57</c:v>
                </c:pt>
                <c:pt idx="97">
                  <c:v>56</c:v>
                </c:pt>
                <c:pt idx="98">
                  <c:v>36</c:v>
                </c:pt>
                <c:pt idx="99">
                  <c:v>49</c:v>
                </c:pt>
                <c:pt idx="100">
                  <c:v>9</c:v>
                </c:pt>
                <c:pt idx="101">
                  <c:v>72</c:v>
                </c:pt>
                <c:pt idx="102">
                  <c:v>100</c:v>
                </c:pt>
                <c:pt idx="103">
                  <c:v>61</c:v>
                </c:pt>
                <c:pt idx="104">
                  <c:v>72</c:v>
                </c:pt>
                <c:pt idx="105">
                  <c:v>39</c:v>
                </c:pt>
                <c:pt idx="106">
                  <c:v>79</c:v>
                </c:pt>
                <c:pt idx="107">
                  <c:v>33</c:v>
                </c:pt>
                <c:pt idx="108">
                  <c:v>38</c:v>
                </c:pt>
                <c:pt idx="109">
                  <c:v>43</c:v>
                </c:pt>
                <c:pt idx="110">
                  <c:v>86</c:v>
                </c:pt>
                <c:pt idx="111">
                  <c:v>54</c:v>
                </c:pt>
                <c:pt idx="112">
                  <c:v>40</c:v>
                </c:pt>
                <c:pt idx="113">
                  <c:v>30</c:v>
                </c:pt>
                <c:pt idx="114">
                  <c:v>81</c:v>
                </c:pt>
                <c:pt idx="115">
                  <c:v>70</c:v>
                </c:pt>
                <c:pt idx="116">
                  <c:v>28</c:v>
                </c:pt>
                <c:pt idx="117">
                  <c:v>29</c:v>
                </c:pt>
                <c:pt idx="118">
                  <c:v>56</c:v>
                </c:pt>
                <c:pt idx="119">
                  <c:v>36</c:v>
                </c:pt>
                <c:pt idx="120">
                  <c:v>67</c:v>
                </c:pt>
                <c:pt idx="121">
                  <c:v>35</c:v>
                </c:pt>
                <c:pt idx="122">
                  <c:v>19</c:v>
                </c:pt>
                <c:pt idx="123">
                  <c:v>113</c:v>
                </c:pt>
                <c:pt idx="124">
                  <c:v>23</c:v>
                </c:pt>
                <c:pt idx="125">
                  <c:v>57</c:v>
                </c:pt>
                <c:pt idx="126">
                  <c:v>42</c:v>
                </c:pt>
                <c:pt idx="127">
                  <c:v>34</c:v>
                </c:pt>
                <c:pt idx="128">
                  <c:v>49</c:v>
                </c:pt>
                <c:pt idx="129">
                  <c:v>56</c:v>
                </c:pt>
                <c:pt idx="130">
                  <c:v>70</c:v>
                </c:pt>
                <c:pt idx="131">
                  <c:v>89</c:v>
                </c:pt>
                <c:pt idx="132">
                  <c:v>40</c:v>
                </c:pt>
                <c:pt idx="133">
                  <c:v>61</c:v>
                </c:pt>
                <c:pt idx="134">
                  <c:v>70</c:v>
                </c:pt>
                <c:pt idx="135">
                  <c:v>37</c:v>
                </c:pt>
                <c:pt idx="136">
                  <c:v>54</c:v>
                </c:pt>
                <c:pt idx="137">
                  <c:v>39</c:v>
                </c:pt>
                <c:pt idx="138">
                  <c:v>15</c:v>
                </c:pt>
                <c:pt idx="139">
                  <c:v>51</c:v>
                </c:pt>
                <c:pt idx="140">
                  <c:v>43</c:v>
                </c:pt>
                <c:pt idx="141">
                  <c:v>130</c:v>
                </c:pt>
                <c:pt idx="142">
                  <c:v>45</c:v>
                </c:pt>
                <c:pt idx="143">
                  <c:v>58</c:v>
                </c:pt>
                <c:pt idx="144">
                  <c:v>64</c:v>
                </c:pt>
                <c:pt idx="145">
                  <c:v>107</c:v>
                </c:pt>
                <c:pt idx="146">
                  <c:v>60</c:v>
                </c:pt>
                <c:pt idx="147">
                  <c:v>52</c:v>
                </c:pt>
                <c:pt idx="148">
                  <c:v>35</c:v>
                </c:pt>
                <c:pt idx="149">
                  <c:v>189</c:v>
                </c:pt>
                <c:pt idx="150">
                  <c:v>35</c:v>
                </c:pt>
                <c:pt idx="151">
                  <c:v>40</c:v>
                </c:pt>
                <c:pt idx="152">
                  <c:v>29</c:v>
                </c:pt>
                <c:pt idx="153">
                  <c:v>37</c:v>
                </c:pt>
                <c:pt idx="154">
                  <c:v>40</c:v>
                </c:pt>
                <c:pt idx="155">
                  <c:v>31</c:v>
                </c:pt>
                <c:pt idx="156">
                  <c:v>99</c:v>
                </c:pt>
                <c:pt idx="157">
                  <c:v>50</c:v>
                </c:pt>
                <c:pt idx="158">
                  <c:v>31</c:v>
                </c:pt>
                <c:pt idx="159">
                  <c:v>23</c:v>
                </c:pt>
                <c:pt idx="160">
                  <c:v>73</c:v>
                </c:pt>
                <c:pt idx="161">
                  <c:v>65</c:v>
                </c:pt>
                <c:pt idx="162">
                  <c:v>20</c:v>
                </c:pt>
                <c:pt idx="163">
                  <c:v>50</c:v>
                </c:pt>
                <c:pt idx="164">
                  <c:v>32</c:v>
                </c:pt>
                <c:pt idx="165">
                  <c:v>28</c:v>
                </c:pt>
                <c:pt idx="166">
                  <c:v>62</c:v>
                </c:pt>
                <c:pt idx="167">
                  <c:v>90</c:v>
                </c:pt>
                <c:pt idx="168">
                  <c:v>50</c:v>
                </c:pt>
                <c:pt idx="169">
                  <c:v>150</c:v>
                </c:pt>
                <c:pt idx="170">
                  <c:v>78</c:v>
                </c:pt>
                <c:pt idx="171">
                  <c:v>132</c:v>
                </c:pt>
                <c:pt idx="172">
                  <c:v>51</c:v>
                </c:pt>
                <c:pt idx="173">
                  <c:v>53</c:v>
                </c:pt>
                <c:pt idx="174">
                  <c:v>57</c:v>
                </c:pt>
                <c:pt idx="175">
                  <c:v>45</c:v>
                </c:pt>
                <c:pt idx="176">
                  <c:v>73</c:v>
                </c:pt>
                <c:pt idx="177">
                  <c:v>50</c:v>
                </c:pt>
                <c:pt idx="178">
                  <c:v>36</c:v>
                </c:pt>
                <c:pt idx="179">
                  <c:v>35</c:v>
                </c:pt>
                <c:pt idx="180">
                  <c:v>45</c:v>
                </c:pt>
                <c:pt idx="181">
                  <c:v>38</c:v>
                </c:pt>
                <c:pt idx="182">
                  <c:v>49</c:v>
                </c:pt>
                <c:pt idx="183">
                  <c:v>46</c:v>
                </c:pt>
                <c:pt idx="184">
                  <c:v>33</c:v>
                </c:pt>
                <c:pt idx="185">
                  <c:v>89</c:v>
                </c:pt>
                <c:pt idx="186">
                  <c:v>83</c:v>
                </c:pt>
                <c:pt idx="187">
                  <c:v>69</c:v>
                </c:pt>
                <c:pt idx="188">
                  <c:v>58</c:v>
                </c:pt>
                <c:pt idx="189">
                  <c:v>12</c:v>
                </c:pt>
                <c:pt idx="190">
                  <c:v>49</c:v>
                </c:pt>
                <c:pt idx="191">
                  <c:v>48</c:v>
                </c:pt>
                <c:pt idx="192">
                  <c:v>81</c:v>
                </c:pt>
                <c:pt idx="193">
                  <c:v>36</c:v>
                </c:pt>
                <c:pt idx="194">
                  <c:v>47</c:v>
                </c:pt>
                <c:pt idx="195">
                  <c:v>116</c:v>
                </c:pt>
                <c:pt idx="196">
                  <c:v>54</c:v>
                </c:pt>
                <c:pt idx="197">
                  <c:v>78</c:v>
                </c:pt>
                <c:pt idx="198">
                  <c:v>44</c:v>
                </c:pt>
                <c:pt idx="199">
                  <c:v>30</c:v>
                </c:pt>
                <c:pt idx="200">
                  <c:v>20</c:v>
                </c:pt>
                <c:pt idx="201">
                  <c:v>41</c:v>
                </c:pt>
                <c:pt idx="202">
                  <c:v>19</c:v>
                </c:pt>
                <c:pt idx="203">
                  <c:v>58</c:v>
                </c:pt>
                <c:pt idx="204">
                  <c:v>52</c:v>
                </c:pt>
                <c:pt idx="205">
                  <c:v>31</c:v>
                </c:pt>
                <c:pt idx="206">
                  <c:v>93</c:v>
                </c:pt>
                <c:pt idx="207">
                  <c:v>65</c:v>
                </c:pt>
                <c:pt idx="208">
                  <c:v>36</c:v>
                </c:pt>
                <c:pt idx="209">
                  <c:v>21</c:v>
                </c:pt>
                <c:pt idx="210">
                  <c:v>124</c:v>
                </c:pt>
                <c:pt idx="211">
                  <c:v>97</c:v>
                </c:pt>
                <c:pt idx="212">
                  <c:v>110</c:v>
                </c:pt>
                <c:pt idx="213">
                  <c:v>24</c:v>
                </c:pt>
                <c:pt idx="214">
                  <c:v>82</c:v>
                </c:pt>
                <c:pt idx="215">
                  <c:v>22</c:v>
                </c:pt>
                <c:pt idx="216">
                  <c:v>168</c:v>
                </c:pt>
                <c:pt idx="217">
                  <c:v>65</c:v>
                </c:pt>
                <c:pt idx="218">
                  <c:v>92</c:v>
                </c:pt>
                <c:pt idx="219">
                  <c:v>88</c:v>
                </c:pt>
                <c:pt idx="220">
                  <c:v>62</c:v>
                </c:pt>
                <c:pt idx="221">
                  <c:v>53</c:v>
                </c:pt>
                <c:pt idx="222">
                  <c:v>39</c:v>
                </c:pt>
                <c:pt idx="223">
                  <c:v>54</c:v>
                </c:pt>
                <c:pt idx="224">
                  <c:v>34</c:v>
                </c:pt>
                <c:pt idx="225">
                  <c:v>39</c:v>
                </c:pt>
                <c:pt idx="226">
                  <c:v>54</c:v>
                </c:pt>
                <c:pt idx="227">
                  <c:v>27</c:v>
                </c:pt>
                <c:pt idx="228">
                  <c:v>33</c:v>
                </c:pt>
                <c:pt idx="229">
                  <c:v>72</c:v>
                </c:pt>
                <c:pt idx="230">
                  <c:v>50</c:v>
                </c:pt>
                <c:pt idx="231">
                  <c:v>49</c:v>
                </c:pt>
                <c:pt idx="232">
                  <c:v>86</c:v>
                </c:pt>
                <c:pt idx="233">
                  <c:v>34</c:v>
                </c:pt>
                <c:pt idx="234">
                  <c:v>91</c:v>
                </c:pt>
                <c:pt idx="235">
                  <c:v>73</c:v>
                </c:pt>
                <c:pt idx="236">
                  <c:v>43</c:v>
                </c:pt>
                <c:pt idx="237">
                  <c:v>23</c:v>
                </c:pt>
                <c:pt idx="238">
                  <c:v>31</c:v>
                </c:pt>
                <c:pt idx="239">
                  <c:v>60</c:v>
                </c:pt>
                <c:pt idx="240">
                  <c:v>119</c:v>
                </c:pt>
                <c:pt idx="241">
                  <c:v>41</c:v>
                </c:pt>
                <c:pt idx="242">
                  <c:v>24</c:v>
                </c:pt>
                <c:pt idx="243">
                  <c:v>46</c:v>
                </c:pt>
                <c:pt idx="244">
                  <c:v>68</c:v>
                </c:pt>
                <c:pt idx="245">
                  <c:v>50</c:v>
                </c:pt>
                <c:pt idx="246">
                  <c:v>64</c:v>
                </c:pt>
                <c:pt idx="247">
                  <c:v>94</c:v>
                </c:pt>
                <c:pt idx="248">
                  <c:v>88</c:v>
                </c:pt>
                <c:pt idx="249">
                  <c:v>39</c:v>
                </c:pt>
                <c:pt idx="250">
                  <c:v>15</c:v>
                </c:pt>
                <c:pt idx="251">
                  <c:v>89</c:v>
                </c:pt>
                <c:pt idx="252">
                  <c:v>107</c:v>
                </c:pt>
                <c:pt idx="253">
                  <c:v>114</c:v>
                </c:pt>
                <c:pt idx="254">
                  <c:v>67</c:v>
                </c:pt>
                <c:pt idx="255">
                  <c:v>39</c:v>
                </c:pt>
                <c:pt idx="256">
                  <c:v>93</c:v>
                </c:pt>
                <c:pt idx="257">
                  <c:v>26</c:v>
                </c:pt>
                <c:pt idx="258">
                  <c:v>60</c:v>
                </c:pt>
                <c:pt idx="259">
                  <c:v>52</c:v>
                </c:pt>
                <c:pt idx="260">
                  <c:v>16</c:v>
                </c:pt>
                <c:pt idx="261">
                  <c:v>56</c:v>
                </c:pt>
                <c:pt idx="262">
                  <c:v>132</c:v>
                </c:pt>
                <c:pt idx="263">
                  <c:v>59</c:v>
                </c:pt>
                <c:pt idx="264">
                  <c:v>124</c:v>
                </c:pt>
                <c:pt idx="265">
                  <c:v>42</c:v>
                </c:pt>
                <c:pt idx="266">
                  <c:v>43</c:v>
                </c:pt>
                <c:pt idx="267">
                  <c:v>86</c:v>
                </c:pt>
                <c:pt idx="268">
                  <c:v>43</c:v>
                </c:pt>
                <c:pt idx="269">
                  <c:v>60</c:v>
                </c:pt>
                <c:pt idx="270">
                  <c:v>88</c:v>
                </c:pt>
                <c:pt idx="271">
                  <c:v>99</c:v>
                </c:pt>
                <c:pt idx="272">
                  <c:v>107</c:v>
                </c:pt>
                <c:pt idx="273">
                  <c:v>101</c:v>
                </c:pt>
                <c:pt idx="274">
                  <c:v>64</c:v>
                </c:pt>
                <c:pt idx="275">
                  <c:v>51</c:v>
                </c:pt>
                <c:pt idx="276">
                  <c:v>44</c:v>
                </c:pt>
                <c:pt idx="277">
                  <c:v>59</c:v>
                </c:pt>
                <c:pt idx="278">
                  <c:v>59</c:v>
                </c:pt>
                <c:pt idx="279">
                  <c:v>46</c:v>
                </c:pt>
                <c:pt idx="280">
                  <c:v>42</c:v>
                </c:pt>
                <c:pt idx="281">
                  <c:v>46</c:v>
                </c:pt>
                <c:pt idx="282">
                  <c:v>118</c:v>
                </c:pt>
                <c:pt idx="283">
                  <c:v>68</c:v>
                </c:pt>
                <c:pt idx="284">
                  <c:v>93</c:v>
                </c:pt>
                <c:pt idx="285">
                  <c:v>39</c:v>
                </c:pt>
                <c:pt idx="286">
                  <c:v>53</c:v>
                </c:pt>
                <c:pt idx="287">
                  <c:v>70</c:v>
                </c:pt>
                <c:pt idx="288">
                  <c:v>100</c:v>
                </c:pt>
                <c:pt idx="289">
                  <c:v>27</c:v>
                </c:pt>
                <c:pt idx="290">
                  <c:v>155</c:v>
                </c:pt>
                <c:pt idx="291">
                  <c:v>37</c:v>
                </c:pt>
                <c:pt idx="292">
                  <c:v>124</c:v>
                </c:pt>
                <c:pt idx="293">
                  <c:v>45</c:v>
                </c:pt>
                <c:pt idx="294">
                  <c:v>108</c:v>
                </c:pt>
                <c:pt idx="295">
                  <c:v>59</c:v>
                </c:pt>
                <c:pt idx="296">
                  <c:v>15</c:v>
                </c:pt>
                <c:pt idx="297">
                  <c:v>61</c:v>
                </c:pt>
                <c:pt idx="298">
                  <c:v>53</c:v>
                </c:pt>
                <c:pt idx="299">
                  <c:v>41</c:v>
                </c:pt>
                <c:pt idx="300">
                  <c:v>37</c:v>
                </c:pt>
                <c:pt idx="301">
                  <c:v>54</c:v>
                </c:pt>
                <c:pt idx="302">
                  <c:v>128</c:v>
                </c:pt>
                <c:pt idx="303">
                  <c:v>66</c:v>
                </c:pt>
                <c:pt idx="304">
                  <c:v>65</c:v>
                </c:pt>
                <c:pt idx="305">
                  <c:v>39</c:v>
                </c:pt>
                <c:pt idx="306">
                  <c:v>71</c:v>
                </c:pt>
                <c:pt idx="307">
                  <c:v>33</c:v>
                </c:pt>
                <c:pt idx="308">
                  <c:v>78</c:v>
                </c:pt>
                <c:pt idx="309">
                  <c:v>30</c:v>
                </c:pt>
                <c:pt idx="310">
                  <c:v>53</c:v>
                </c:pt>
                <c:pt idx="311">
                  <c:v>46</c:v>
                </c:pt>
                <c:pt idx="312">
                  <c:v>49</c:v>
                </c:pt>
                <c:pt idx="313">
                  <c:v>54</c:v>
                </c:pt>
                <c:pt idx="314">
                  <c:v>48</c:v>
                </c:pt>
                <c:pt idx="315">
                  <c:v>122</c:v>
                </c:pt>
                <c:pt idx="316">
                  <c:v>74</c:v>
                </c:pt>
                <c:pt idx="317">
                  <c:v>60</c:v>
                </c:pt>
                <c:pt idx="318">
                  <c:v>130</c:v>
                </c:pt>
                <c:pt idx="319">
                  <c:v>158</c:v>
                </c:pt>
                <c:pt idx="320">
                  <c:v>20</c:v>
                </c:pt>
                <c:pt idx="321">
                  <c:v>51</c:v>
                </c:pt>
                <c:pt idx="322">
                  <c:v>45</c:v>
                </c:pt>
                <c:pt idx="323">
                  <c:v>161</c:v>
                </c:pt>
                <c:pt idx="324">
                  <c:v>38</c:v>
                </c:pt>
                <c:pt idx="325">
                  <c:v>50</c:v>
                </c:pt>
                <c:pt idx="326">
                  <c:v>35</c:v>
                </c:pt>
                <c:pt idx="327">
                  <c:v>24</c:v>
                </c:pt>
                <c:pt idx="328">
                  <c:v>27</c:v>
                </c:pt>
                <c:pt idx="329">
                  <c:v>125</c:v>
                </c:pt>
                <c:pt idx="330">
                  <c:v>80</c:v>
                </c:pt>
                <c:pt idx="331">
                  <c:v>58</c:v>
                </c:pt>
                <c:pt idx="332">
                  <c:v>51</c:v>
                </c:pt>
                <c:pt idx="333">
                  <c:v>61</c:v>
                </c:pt>
                <c:pt idx="334">
                  <c:v>48</c:v>
                </c:pt>
                <c:pt idx="335">
                  <c:v>71</c:v>
                </c:pt>
                <c:pt idx="336">
                  <c:v>66</c:v>
                </c:pt>
                <c:pt idx="337">
                  <c:v>27</c:v>
                </c:pt>
                <c:pt idx="338">
                  <c:v>49</c:v>
                </c:pt>
                <c:pt idx="339">
                  <c:v>77</c:v>
                </c:pt>
                <c:pt idx="340">
                  <c:v>49</c:v>
                </c:pt>
                <c:pt idx="341">
                  <c:v>80</c:v>
                </c:pt>
                <c:pt idx="342">
                  <c:v>51</c:v>
                </c:pt>
                <c:pt idx="343">
                  <c:v>53</c:v>
                </c:pt>
                <c:pt idx="344">
                  <c:v>94</c:v>
                </c:pt>
                <c:pt idx="345">
                  <c:v>34</c:v>
                </c:pt>
                <c:pt idx="346">
                  <c:v>62</c:v>
                </c:pt>
                <c:pt idx="347">
                  <c:v>73</c:v>
                </c:pt>
                <c:pt idx="348">
                  <c:v>26</c:v>
                </c:pt>
                <c:pt idx="349">
                  <c:v>51</c:v>
                </c:pt>
                <c:pt idx="350">
                  <c:v>74</c:v>
                </c:pt>
                <c:pt idx="351">
                  <c:v>76</c:v>
                </c:pt>
                <c:pt idx="352">
                  <c:v>40</c:v>
                </c:pt>
                <c:pt idx="353">
                  <c:v>32</c:v>
                </c:pt>
                <c:pt idx="354">
                  <c:v>38</c:v>
                </c:pt>
                <c:pt idx="355">
                  <c:v>183</c:v>
                </c:pt>
                <c:pt idx="356">
                  <c:v>27</c:v>
                </c:pt>
                <c:pt idx="357">
                  <c:v>55</c:v>
                </c:pt>
                <c:pt idx="358">
                  <c:v>43</c:v>
                </c:pt>
                <c:pt idx="359">
                  <c:v>39</c:v>
                </c:pt>
                <c:pt idx="360">
                  <c:v>24</c:v>
                </c:pt>
                <c:pt idx="361">
                  <c:v>43</c:v>
                </c:pt>
                <c:pt idx="362">
                  <c:v>41</c:v>
                </c:pt>
                <c:pt idx="363">
                  <c:v>48</c:v>
                </c:pt>
                <c:pt idx="364">
                  <c:v>143</c:v>
                </c:pt>
                <c:pt idx="365">
                  <c:v>27</c:v>
                </c:pt>
                <c:pt idx="366">
                  <c:v>36</c:v>
                </c:pt>
                <c:pt idx="367">
                  <c:v>36</c:v>
                </c:pt>
                <c:pt idx="368">
                  <c:v>23</c:v>
                </c:pt>
                <c:pt idx="369">
                  <c:v>55</c:v>
                </c:pt>
                <c:pt idx="370">
                  <c:v>71</c:v>
                </c:pt>
                <c:pt idx="371">
                  <c:v>65</c:v>
                </c:pt>
                <c:pt idx="372">
                  <c:v>49</c:v>
                </c:pt>
                <c:pt idx="373">
                  <c:v>91</c:v>
                </c:pt>
                <c:pt idx="374">
                  <c:v>126</c:v>
                </c:pt>
                <c:pt idx="375">
                  <c:v>71</c:v>
                </c:pt>
                <c:pt idx="376">
                  <c:v>77</c:v>
                </c:pt>
                <c:pt idx="377">
                  <c:v>23</c:v>
                </c:pt>
                <c:pt idx="378">
                  <c:v>65</c:v>
                </c:pt>
                <c:pt idx="379">
                  <c:v>54</c:v>
                </c:pt>
                <c:pt idx="380">
                  <c:v>70</c:v>
                </c:pt>
                <c:pt idx="381">
                  <c:v>62</c:v>
                </c:pt>
                <c:pt idx="382">
                  <c:v>127</c:v>
                </c:pt>
                <c:pt idx="383">
                  <c:v>40</c:v>
                </c:pt>
                <c:pt idx="384">
                  <c:v>162</c:v>
                </c:pt>
                <c:pt idx="385">
                  <c:v>112</c:v>
                </c:pt>
                <c:pt idx="386">
                  <c:v>66</c:v>
                </c:pt>
                <c:pt idx="387">
                  <c:v>95</c:v>
                </c:pt>
                <c:pt idx="388">
                  <c:v>56</c:v>
                </c:pt>
                <c:pt idx="389">
                  <c:v>58</c:v>
                </c:pt>
                <c:pt idx="390">
                  <c:v>37</c:v>
                </c:pt>
                <c:pt idx="391">
                  <c:v>27</c:v>
                </c:pt>
                <c:pt idx="392">
                  <c:v>57</c:v>
                </c:pt>
                <c:pt idx="393">
                  <c:v>109</c:v>
                </c:pt>
                <c:pt idx="394">
                  <c:v>41</c:v>
                </c:pt>
                <c:pt idx="395">
                  <c:v>37</c:v>
                </c:pt>
                <c:pt idx="396">
                  <c:v>38</c:v>
                </c:pt>
                <c:pt idx="397">
                  <c:v>47</c:v>
                </c:pt>
                <c:pt idx="398">
                  <c:v>74</c:v>
                </c:pt>
                <c:pt idx="399">
                  <c:v>63</c:v>
                </c:pt>
                <c:pt idx="400">
                  <c:v>68</c:v>
                </c:pt>
                <c:pt idx="401">
                  <c:v>47</c:v>
                </c:pt>
                <c:pt idx="402">
                  <c:v>37</c:v>
                </c:pt>
                <c:pt idx="403">
                  <c:v>78</c:v>
                </c:pt>
                <c:pt idx="404">
                  <c:v>102</c:v>
                </c:pt>
                <c:pt idx="405">
                  <c:v>50</c:v>
                </c:pt>
                <c:pt idx="406">
                  <c:v>91</c:v>
                </c:pt>
                <c:pt idx="407">
                  <c:v>70</c:v>
                </c:pt>
                <c:pt idx="408">
                  <c:v>20</c:v>
                </c:pt>
                <c:pt idx="409">
                  <c:v>47</c:v>
                </c:pt>
                <c:pt idx="410">
                  <c:v>23</c:v>
                </c:pt>
                <c:pt idx="411">
                  <c:v>77</c:v>
                </c:pt>
                <c:pt idx="412">
                  <c:v>85</c:v>
                </c:pt>
                <c:pt idx="413">
                  <c:v>41</c:v>
                </c:pt>
                <c:pt idx="414">
                  <c:v>90</c:v>
                </c:pt>
                <c:pt idx="415">
                  <c:v>73</c:v>
                </c:pt>
                <c:pt idx="416">
                  <c:v>41</c:v>
                </c:pt>
                <c:pt idx="417">
                  <c:v>60</c:v>
                </c:pt>
                <c:pt idx="418">
                  <c:v>66</c:v>
                </c:pt>
                <c:pt idx="419">
                  <c:v>57</c:v>
                </c:pt>
                <c:pt idx="420">
                  <c:v>80</c:v>
                </c:pt>
                <c:pt idx="421">
                  <c:v>78</c:v>
                </c:pt>
                <c:pt idx="422">
                  <c:v>70</c:v>
                </c:pt>
                <c:pt idx="423">
                  <c:v>65</c:v>
                </c:pt>
                <c:pt idx="424">
                  <c:v>125</c:v>
                </c:pt>
                <c:pt idx="425">
                  <c:v>40</c:v>
                </c:pt>
                <c:pt idx="426">
                  <c:v>46</c:v>
                </c:pt>
                <c:pt idx="427">
                  <c:v>50</c:v>
                </c:pt>
                <c:pt idx="428">
                  <c:v>53</c:v>
                </c:pt>
                <c:pt idx="429">
                  <c:v>75</c:v>
                </c:pt>
                <c:pt idx="430">
                  <c:v>77</c:v>
                </c:pt>
                <c:pt idx="431">
                  <c:v>10</c:v>
                </c:pt>
                <c:pt idx="432">
                  <c:v>33</c:v>
                </c:pt>
                <c:pt idx="433">
                  <c:v>59</c:v>
                </c:pt>
                <c:pt idx="434">
                  <c:v>65</c:v>
                </c:pt>
                <c:pt idx="435">
                  <c:v>84</c:v>
                </c:pt>
                <c:pt idx="436">
                  <c:v>65</c:v>
                </c:pt>
                <c:pt idx="437">
                  <c:v>36</c:v>
                </c:pt>
                <c:pt idx="438">
                  <c:v>84</c:v>
                </c:pt>
                <c:pt idx="439">
                  <c:v>39</c:v>
                </c:pt>
                <c:pt idx="440">
                  <c:v>35</c:v>
                </c:pt>
                <c:pt idx="441">
                  <c:v>84</c:v>
                </c:pt>
                <c:pt idx="442">
                  <c:v>69</c:v>
                </c:pt>
                <c:pt idx="443">
                  <c:v>83</c:v>
                </c:pt>
                <c:pt idx="444">
                  <c:v>28</c:v>
                </c:pt>
                <c:pt idx="445">
                  <c:v>53</c:v>
                </c:pt>
                <c:pt idx="446">
                  <c:v>22</c:v>
                </c:pt>
                <c:pt idx="447">
                  <c:v>38</c:v>
                </c:pt>
                <c:pt idx="448">
                  <c:v>70</c:v>
                </c:pt>
                <c:pt idx="449">
                  <c:v>94</c:v>
                </c:pt>
                <c:pt idx="450">
                  <c:v>47</c:v>
                </c:pt>
                <c:pt idx="451">
                  <c:v>120</c:v>
                </c:pt>
                <c:pt idx="452">
                  <c:v>72</c:v>
                </c:pt>
                <c:pt idx="453">
                  <c:v>92</c:v>
                </c:pt>
                <c:pt idx="454">
                  <c:v>31</c:v>
                </c:pt>
                <c:pt idx="455">
                  <c:v>76</c:v>
                </c:pt>
                <c:pt idx="456">
                  <c:v>93</c:v>
                </c:pt>
                <c:pt idx="457">
                  <c:v>35</c:v>
                </c:pt>
                <c:pt idx="458">
                  <c:v>63</c:v>
                </c:pt>
                <c:pt idx="459">
                  <c:v>118</c:v>
                </c:pt>
                <c:pt idx="460">
                  <c:v>36</c:v>
                </c:pt>
                <c:pt idx="461">
                  <c:v>59</c:v>
                </c:pt>
                <c:pt idx="462">
                  <c:v>102</c:v>
                </c:pt>
                <c:pt idx="463">
                  <c:v>20</c:v>
                </c:pt>
                <c:pt idx="464">
                  <c:v>83</c:v>
                </c:pt>
                <c:pt idx="465">
                  <c:v>131</c:v>
                </c:pt>
                <c:pt idx="466">
                  <c:v>49</c:v>
                </c:pt>
                <c:pt idx="467">
                  <c:v>113</c:v>
                </c:pt>
                <c:pt idx="468">
                  <c:v>54</c:v>
                </c:pt>
                <c:pt idx="469">
                  <c:v>42</c:v>
                </c:pt>
                <c:pt idx="470">
                  <c:v>59</c:v>
                </c:pt>
                <c:pt idx="471">
                  <c:v>43</c:v>
                </c:pt>
                <c:pt idx="472">
                  <c:v>17</c:v>
                </c:pt>
                <c:pt idx="473">
                  <c:v>63</c:v>
                </c:pt>
                <c:pt idx="474">
                  <c:v>52</c:v>
                </c:pt>
                <c:pt idx="475">
                  <c:v>75</c:v>
                </c:pt>
                <c:pt idx="476">
                  <c:v>46</c:v>
                </c:pt>
                <c:pt idx="477">
                  <c:v>42</c:v>
                </c:pt>
                <c:pt idx="478">
                  <c:v>98</c:v>
                </c:pt>
                <c:pt idx="479">
                  <c:v>44</c:v>
                </c:pt>
                <c:pt idx="480">
                  <c:v>80</c:v>
                </c:pt>
                <c:pt idx="481">
                  <c:v>37</c:v>
                </c:pt>
                <c:pt idx="482">
                  <c:v>31</c:v>
                </c:pt>
                <c:pt idx="483">
                  <c:v>71</c:v>
                </c:pt>
                <c:pt idx="484">
                  <c:v>58</c:v>
                </c:pt>
                <c:pt idx="485">
                  <c:v>41</c:v>
                </c:pt>
                <c:pt idx="486">
                  <c:v>54</c:v>
                </c:pt>
                <c:pt idx="487">
                  <c:v>92</c:v>
                </c:pt>
                <c:pt idx="488">
                  <c:v>70</c:v>
                </c:pt>
                <c:pt idx="489">
                  <c:v>37</c:v>
                </c:pt>
                <c:pt idx="490">
                  <c:v>68</c:v>
                </c:pt>
                <c:pt idx="491">
                  <c:v>60</c:v>
                </c:pt>
                <c:pt idx="492">
                  <c:v>67</c:v>
                </c:pt>
                <c:pt idx="493">
                  <c:v>37</c:v>
                </c:pt>
                <c:pt idx="494">
                  <c:v>28</c:v>
                </c:pt>
                <c:pt idx="495">
                  <c:v>112</c:v>
                </c:pt>
                <c:pt idx="496">
                  <c:v>113</c:v>
                </c:pt>
                <c:pt idx="497">
                  <c:v>36</c:v>
                </c:pt>
                <c:pt idx="498">
                  <c:v>89</c:v>
                </c:pt>
                <c:pt idx="49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6-4DD4-B47A-4F136CB2F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75303"/>
        <c:axId val="72407047"/>
      </c:scatterChart>
      <c:valAx>
        <c:axId val="72375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7047"/>
        <c:crosses val="autoZero"/>
        <c:crossBetween val="midCat"/>
      </c:valAx>
      <c:valAx>
        <c:axId val="72407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5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Unit Cost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Cost</a:t>
          </a:r>
        </a:p>
      </cx:txPr>
    </cx:title>
    <cx:plotArea>
      <cx:plotAreaRegion>
        <cx:series layoutId="clusteredColumn" uniqueId="{DFE54C7D-D60A-410A-9DB0-E0792913F0E7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Quantity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Quantity</a:t>
          </a:r>
        </a:p>
      </cx:txPr>
    </cx:title>
    <cx:plotArea>
      <cx:plotAreaRegion>
        <cx:series layoutId="clusteredColumn" uniqueId="{B01DA6DA-EACA-4E42-A5FE-7682160C386F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Unit Profit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Profit</a:t>
          </a:r>
        </a:p>
      </cx:txPr>
    </cx:title>
    <cx:plotArea>
      <cx:plotAreaRegion>
        <cx:series layoutId="clusteredColumn" uniqueId="{F009648C-4655-4BE2-8345-25D3881453AB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Sales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Sales</a:t>
          </a:r>
        </a:p>
      </cx:txPr>
    </cx:title>
    <cx:plotArea>
      <cx:plotAreaRegion>
        <cx:series layoutId="clusteredColumn" uniqueId="{DA7A772E-1FC7-4A07-87BA-E40E7371EF4B}">
          <cx:tx>
            <cx:txData>
              <cx:f>_xlchart.v1.3</cx:f>
              <cx:v>Sales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D2035A86-167C-4B3E-AAFF-D559728CA688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Price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Price</a:t>
          </a:r>
        </a:p>
      </cx:txPr>
    </cx:title>
    <cx:plotArea>
      <cx:plotAreaRegion>
        <cx:series layoutId="clusteredColumn" uniqueId="{0EB55E1F-BAE3-493B-9938-97E84BDDB56B}">
          <cx:tx>
            <cx:txData>
              <cx:f>_xlchart.v1.9</cx:f>
              <cx:v>Price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D2F1AFB4-B284-4A10-B9EE-0FFBD4A5435B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Cost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Cost</a:t>
          </a:r>
        </a:p>
      </cx:txPr>
    </cx:title>
    <cx:plotArea>
      <cx:plotAreaRegion>
        <cx:series layoutId="clusteredColumn" uniqueId="{5F08B522-70F2-4E32-B281-5819EEE68FA5}">
          <cx:dataId val="0"/>
          <cx:layoutPr>
            <cx:binning intervalClosed="r"/>
          </cx:layoutPr>
          <cx:axisId val="1"/>
        </cx:series>
        <cx:series layoutId="paretoLine" ownerIdx="0" uniqueId="{F30C3CB0-C96E-4EBB-B888-568230BE2C66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Profit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Profit</a:t>
          </a:r>
        </a:p>
      </cx:txPr>
    </cx:title>
    <cx:plotArea>
      <cx:plotAreaRegion>
        <cx:series layoutId="clusteredColumn" uniqueId="{184A27EE-4F78-4A15-8E48-7FE58E54F134}">
          <cx:dataId val="0"/>
          <cx:layoutPr>
            <cx:binning intervalClosed="r"/>
          </cx:layoutPr>
          <cx:axisId val="1"/>
        </cx:series>
        <cx:series layoutId="paretoLine" ownerIdx="0" uniqueId="{FA5D7FA1-D496-463C-BECE-9007E3AFCB9D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Quantity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Quantity</a:t>
          </a:r>
        </a:p>
      </cx:txPr>
    </cx:title>
    <cx:plotArea>
      <cx:plotAreaRegion>
        <cx:series layoutId="clusteredColumn" uniqueId="{7A0E202A-AFF2-4AC1-AA5C-250549F577E1}">
          <cx:dataId val="0"/>
          <cx:layoutPr>
            <cx:binning intervalClosed="r"/>
          </cx:layoutPr>
          <cx:axisId val="1"/>
        </cx:series>
        <cx:series layoutId="paretoLine" ownerIdx="0" uniqueId="{59EA253C-55F4-4683-BECD-B80A00352B78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Unit Profit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Profit</a:t>
          </a:r>
        </a:p>
      </cx:txPr>
    </cx:title>
    <cx:plotArea>
      <cx:plotAreaRegion>
        <cx:series layoutId="clusteredColumn" uniqueId="{E9A9D395-4633-4D3F-86B8-3F2871703823}">
          <cx:dataId val="0"/>
          <cx:layoutPr>
            <cx:binning intervalClosed="r"/>
          </cx:layoutPr>
          <cx:axisId val="1"/>
        </cx:series>
        <cx:series layoutId="paretoLine" ownerIdx="0" uniqueId="{DC733BB0-A8C0-41B6-A9E8-F39FBC2F13DE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Unit Cost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Cost</a:t>
          </a:r>
        </a:p>
      </cx:txPr>
    </cx:title>
    <cx:plotArea>
      <cx:plotAreaRegion>
        <cx:series layoutId="clusteredColumn" uniqueId="{F0080408-FD49-4AA9-805D-A382A0F36063}">
          <cx:dataId val="0"/>
          <cx:layoutPr>
            <cx:binning intervalClosed="r"/>
          </cx:layoutPr>
          <cx:axisId val="1"/>
        </cx:series>
        <cx:series layoutId="paretoLine" ownerIdx="0" uniqueId="{06EBF731-400F-452F-8C85-B873567735DE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88F77143-0331-4359-BC89-6BF95D7EC8EA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Unit Cost - Mean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Cost - Mean</a:t>
          </a:r>
        </a:p>
      </cx:txPr>
    </cx:title>
    <cx:plotArea>
      <cx:plotAreaRegion>
        <cx:series layoutId="clusteredColumn" uniqueId="{637A86FA-A8B8-42B0-A517-8F15DD1E7DC5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Unit Cost - Median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Cost - Median</a:t>
          </a:r>
        </a:p>
      </cx:txPr>
    </cx:title>
    <cx:plotArea>
      <cx:plotAreaRegion>
        <cx:series layoutId="clusteredColumn" uniqueId="{637A86FA-A8B8-42B0-A517-8F15DD1E7DC5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Unit Price - Mean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Price - Mean</a:t>
          </a:r>
        </a:p>
      </cx:txPr>
    </cx:title>
    <cx:plotArea>
      <cx:plotAreaRegion>
        <cx:series layoutId="clusteredColumn" uniqueId="{637A86FA-A8B8-42B0-A517-8F15DD1E7DC5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Unit Price - Median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Price - Median</a:t>
          </a:r>
        </a:p>
      </cx:txPr>
    </cx:title>
    <cx:plotArea>
      <cx:plotAreaRegion>
        <cx:series layoutId="clusteredColumn" uniqueId="{637A86FA-A8B8-42B0-A517-8F15DD1E7DC5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txData>
          <cx:v>LN(Profit)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LN(Profit)</a:t>
          </a:r>
        </a:p>
      </cx:txPr>
    </cx:title>
    <cx:plotArea>
      <cx:plotAreaRegion>
        <cx:series layoutId="clusteredColumn" uniqueId="{A51AFD0F-4DD6-4A71-94FD-47FE6E3647AC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LN(Unit Profit)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LN(Unit Profit)</a:t>
          </a:r>
        </a:p>
      </cx:txPr>
    </cx:title>
    <cx:plotArea>
      <cx:plotAreaRegion>
        <cx:series layoutId="clusteredColumn" uniqueId="{A51AFD0F-4DD6-4A71-94FD-47FE6E3647AC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Profit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Profit</a:t>
          </a:r>
        </a:p>
      </cx:txPr>
    </cx:title>
    <cx:plotArea>
      <cx:plotAreaRegion>
        <cx:series layoutId="clusteredColumn" uniqueId="{AECBC509-76E1-4EAD-AA2B-F94D4F804053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Unit Profit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Unit Profit</a:t>
          </a:r>
        </a:p>
      </cx:txPr>
    </cx:title>
    <cx:plotArea>
      <cx:plotAreaRegion>
        <cx:series layoutId="clusteredColumn" uniqueId="{AECBC509-76E1-4EAD-AA2B-F94D4F804053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7" Type="http://schemas.microsoft.com/office/2014/relationships/chartEx" Target="../charts/chartEx10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microsoft.com/office/2014/relationships/chartEx" Target="../charts/chartEx9.xml"/><Relationship Id="rId5" Type="http://schemas.microsoft.com/office/2014/relationships/chartEx" Target="../charts/chartEx8.xml"/><Relationship Id="rId4" Type="http://schemas.microsoft.com/office/2014/relationships/chartEx" Target="../charts/chartEx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13.xml"/><Relationship Id="rId2" Type="http://schemas.microsoft.com/office/2014/relationships/chartEx" Target="../charts/chartEx12.xml"/><Relationship Id="rId1" Type="http://schemas.openxmlformats.org/officeDocument/2006/relationships/chart" Target="../charts/chart5.xml"/><Relationship Id="rId6" Type="http://schemas.openxmlformats.org/officeDocument/2006/relationships/chart" Target="../charts/chart6.xml"/><Relationship Id="rId5" Type="http://schemas.microsoft.com/office/2014/relationships/chartEx" Target="../charts/chartEx15.xml"/><Relationship Id="rId4" Type="http://schemas.microsoft.com/office/2014/relationships/chartEx" Target="../charts/chartEx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17.xml"/><Relationship Id="rId1" Type="http://schemas.microsoft.com/office/2014/relationships/chartEx" Target="../charts/chartEx16.xml"/><Relationship Id="rId6" Type="http://schemas.openxmlformats.org/officeDocument/2006/relationships/chart" Target="../charts/chart8.xml"/><Relationship Id="rId5" Type="http://schemas.microsoft.com/office/2014/relationships/chartEx" Target="../charts/chartEx19.xml"/><Relationship Id="rId4" Type="http://schemas.microsoft.com/office/2014/relationships/chartEx" Target="../charts/chartEx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390525</xdr:colOff>
      <xdr:row>16</xdr:row>
      <xdr:rowOff>95250</xdr:rowOff>
    </xdr:from>
    <xdr:to>
      <xdr:col>25</xdr:col>
      <xdr:colOff>457200</xdr:colOff>
      <xdr:row>29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ED548AE2-B7BB-418D-98FB-738BC76E14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6775" y="3143250"/>
              <a:ext cx="4943475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371475</xdr:colOff>
      <xdr:row>4</xdr:row>
      <xdr:rowOff>19050</xdr:rowOff>
    </xdr:from>
    <xdr:to>
      <xdr:col>25</xdr:col>
      <xdr:colOff>0</xdr:colOff>
      <xdr:row>15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>
              <a:extLst>
                <a:ext uri="{FF2B5EF4-FFF2-40B4-BE49-F238E27FC236}">
                  <a16:creationId xmlns:a16="http://schemas.microsoft.com/office/drawing/2014/main" id="{94C7EB9F-9CD1-4AD0-ADF7-D2B3827DDCF8}"/>
                </a:ext>
                <a:ext uri="{147F2762-F138-4A5C-976F-8EAC2B608ADB}">
                  <a16:predDERef xmlns:a16="http://schemas.microsoft.com/office/drawing/2014/main" pred="{ED548AE2-B7BB-418D-98FB-738BC76E14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77725" y="781050"/>
              <a:ext cx="4505325" cy="219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5">
              <a:extLst>
                <a:ext uri="{FF2B5EF4-FFF2-40B4-BE49-F238E27FC236}">
                  <a16:creationId xmlns:a16="http://schemas.microsoft.com/office/drawing/2014/main" id="{DF44D2D5-454A-44BB-880D-252E1BE8B68C}"/>
                </a:ext>
                <a:ext uri="{147F2762-F138-4A5C-976F-8EAC2B608ADB}">
                  <a16:predDERef xmlns:a16="http://schemas.microsoft.com/office/drawing/2014/main" pred="{94C7EB9F-9CD1-4AD0-ADF7-D2B3827DDC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9050" y="762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276225</xdr:colOff>
      <xdr:row>30</xdr:row>
      <xdr:rowOff>28575</xdr:rowOff>
    </xdr:from>
    <xdr:to>
      <xdr:col>21</xdr:col>
      <xdr:colOff>371475</xdr:colOff>
      <xdr:row>51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6C1F92-5FAB-49E9-87AA-2DFE59CECC9F}"/>
            </a:ext>
            <a:ext uri="{147F2762-F138-4A5C-976F-8EAC2B608ADB}">
              <a16:predDERef xmlns:a16="http://schemas.microsoft.com/office/drawing/2014/main" pred="{DF44D2D5-454A-44BB-880D-252E1BE8B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438150</xdr:colOff>
      <xdr:row>19</xdr:row>
      <xdr:rowOff>66675</xdr:rowOff>
    </xdr:from>
    <xdr:to>
      <xdr:col>17</xdr:col>
      <xdr:colOff>133350</xdr:colOff>
      <xdr:row>33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6BDEA22-7279-8C76-5112-11DCC1FB88BA}"/>
            </a:ext>
            <a:ext uri="{147F2762-F138-4A5C-976F-8EAC2B608ADB}">
              <a16:predDERef xmlns:a16="http://schemas.microsoft.com/office/drawing/2014/main" pred="{2A6C1F92-5FAB-49E9-87AA-2DFE59CEC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476250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5B8FF-82C5-4EDC-919A-3E60B0809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3</xdr:row>
      <xdr:rowOff>114300</xdr:rowOff>
    </xdr:from>
    <xdr:to>
      <xdr:col>11</xdr:col>
      <xdr:colOff>438150</xdr:colOff>
      <xdr:row>21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69B885-E4CA-C6A8-6AF3-E47491003E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685800"/>
              <a:ext cx="6762750" cy="3343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9525</xdr:colOff>
      <xdr:row>3</xdr:row>
      <xdr:rowOff>104775</xdr:rowOff>
    </xdr:from>
    <xdr:to>
      <xdr:col>22</xdr:col>
      <xdr:colOff>485775</xdr:colOff>
      <xdr:row>21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0A6E252-2ACD-EB77-7AA2-DA7BE2574A83}"/>
                </a:ext>
                <a:ext uri="{147F2762-F138-4A5C-976F-8EAC2B608ADB}">
                  <a16:predDERef xmlns:a16="http://schemas.microsoft.com/office/drawing/2014/main" pred="{D369B885-E4CA-C6A8-6AF3-E47491003E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4725" y="676275"/>
              <a:ext cx="6572250" cy="333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66675</xdr:colOff>
      <xdr:row>3</xdr:row>
      <xdr:rowOff>95250</xdr:rowOff>
    </xdr:from>
    <xdr:to>
      <xdr:col>33</xdr:col>
      <xdr:colOff>219075</xdr:colOff>
      <xdr:row>20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4272AEF-D3DC-F6CB-DDB9-94D4A7929E4C}"/>
                </a:ext>
                <a:ext uri="{147F2762-F138-4A5C-976F-8EAC2B608ADB}">
                  <a16:predDERef xmlns:a16="http://schemas.microsoft.com/office/drawing/2014/main" pred="{F0A6E252-2ACD-EB77-7AA2-DA7BE2574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7475" y="666750"/>
              <a:ext cx="6248400" cy="3324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352425</xdr:colOff>
      <xdr:row>22</xdr:row>
      <xdr:rowOff>0</xdr:rowOff>
    </xdr:from>
    <xdr:to>
      <xdr:col>11</xdr:col>
      <xdr:colOff>295275</xdr:colOff>
      <xdr:row>37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90765BE-77E9-5E6A-2D1C-90E641D8AA8E}"/>
                </a:ext>
                <a:ext uri="{147F2762-F138-4A5C-976F-8EAC2B608ADB}">
                  <a16:predDERef xmlns:a16="http://schemas.microsoft.com/office/drawing/2014/main" pred="{A4272AEF-D3DC-F6CB-DDB9-94D4A7929E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25" y="4191000"/>
              <a:ext cx="6648450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600075</xdr:colOff>
      <xdr:row>21</xdr:row>
      <xdr:rowOff>66675</xdr:rowOff>
    </xdr:from>
    <xdr:to>
      <xdr:col>24</xdr:col>
      <xdr:colOff>371475</xdr:colOff>
      <xdr:row>38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36E8BCF-D686-D2CF-DD4D-2AD7CF318F85}"/>
                </a:ext>
                <a:ext uri="{147F2762-F138-4A5C-976F-8EAC2B608ADB}">
                  <a16:predDERef xmlns:a16="http://schemas.microsoft.com/office/drawing/2014/main" pred="{290765BE-77E9-5E6A-2D1C-90E641D8AA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5675" y="4067175"/>
              <a:ext cx="7696200" cy="321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19050</xdr:colOff>
      <xdr:row>38</xdr:row>
      <xdr:rowOff>123825</xdr:rowOff>
    </xdr:from>
    <xdr:to>
      <xdr:col>24</xdr:col>
      <xdr:colOff>361950</xdr:colOff>
      <xdr:row>57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986B847-394D-8E3F-B563-8DD3015F57A5}"/>
                </a:ext>
                <a:ext uri="{147F2762-F138-4A5C-976F-8EAC2B608ADB}">
                  <a16:predDERef xmlns:a16="http://schemas.microsoft.com/office/drawing/2014/main" pred="{136E8BCF-D686-D2CF-DD4D-2AD7CF318F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4250" y="7362825"/>
              <a:ext cx="7658100" cy="361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333375</xdr:colOff>
      <xdr:row>38</xdr:row>
      <xdr:rowOff>114300</xdr:rowOff>
    </xdr:from>
    <xdr:to>
      <xdr:col>11</xdr:col>
      <xdr:colOff>257175</xdr:colOff>
      <xdr:row>57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986E621-C491-D28A-C03A-DBA40F1C65B0}"/>
                </a:ext>
                <a:ext uri="{147F2762-F138-4A5C-976F-8EAC2B608ADB}">
                  <a16:predDERef xmlns:a16="http://schemas.microsoft.com/office/drawing/2014/main" pred="{F986B847-394D-8E3F-B563-8DD3015F57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75" y="7353300"/>
              <a:ext cx="6629400" cy="358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0</xdr:row>
      <xdr:rowOff>476250</xdr:rowOff>
    </xdr:from>
    <xdr:to>
      <xdr:col>28</xdr:col>
      <xdr:colOff>142875</xdr:colOff>
      <xdr:row>21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C38D53-EFD5-2046-E990-F7A6156A5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23</xdr:col>
      <xdr:colOff>495300</xdr:colOff>
      <xdr:row>23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1A88B3B4-53E6-4850-A1BD-5ACAEB4BDA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1350" y="762000"/>
              <a:ext cx="8420100" cy="398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581025</xdr:colOff>
      <xdr:row>16</xdr:row>
      <xdr:rowOff>0</xdr:rowOff>
    </xdr:from>
    <xdr:to>
      <xdr:col>37</xdr:col>
      <xdr:colOff>276225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1B2D8-DF7C-3206-D8AB-DE5B0E007994}"/>
            </a:ext>
            <a:ext uri="{147F2762-F138-4A5C-976F-8EAC2B608ADB}">
              <a16:predDERef xmlns:a16="http://schemas.microsoft.com/office/drawing/2014/main" pred="{7246F116-D9D7-CC64-1810-EE73AEA87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133350</xdr:colOff>
      <xdr:row>1</xdr:row>
      <xdr:rowOff>19050</xdr:rowOff>
    </xdr:from>
    <xdr:to>
      <xdr:col>21</xdr:col>
      <xdr:colOff>438150</xdr:colOff>
      <xdr:row>15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7">
              <a:extLst>
                <a:ext uri="{FF2B5EF4-FFF2-40B4-BE49-F238E27FC236}">
                  <a16:creationId xmlns:a16="http://schemas.microsoft.com/office/drawing/2014/main" id="{748317D4-B42C-4A1F-AB15-620E69C79EC1}"/>
                </a:ext>
                <a:ext uri="{147F2762-F138-4A5C-976F-8EAC2B608ADB}">
                  <a16:predDERef xmlns:a16="http://schemas.microsoft.com/office/drawing/2014/main" pred="{8351B2D8-DF7C-3206-D8AB-DE5B0E0079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8950" y="781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9525</xdr:colOff>
      <xdr:row>16</xdr:row>
      <xdr:rowOff>95250</xdr:rowOff>
    </xdr:from>
    <xdr:to>
      <xdr:col>21</xdr:col>
      <xdr:colOff>314325</xdr:colOff>
      <xdr:row>30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7">
              <a:extLst>
                <a:ext uri="{FF2B5EF4-FFF2-40B4-BE49-F238E27FC236}">
                  <a16:creationId xmlns:a16="http://schemas.microsoft.com/office/drawing/2014/main" id="{4A5C329A-92EC-4E35-ACA4-DE082E60130F}"/>
                </a:ext>
                <a:ext uri="{147F2762-F138-4A5C-976F-8EAC2B608ADB}">
                  <a16:predDERef xmlns:a16="http://schemas.microsoft.com/office/drawing/2014/main" pred="{748317D4-B42C-4A1F-AB15-620E69C79E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125" y="3714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47625</xdr:colOff>
      <xdr:row>1</xdr:row>
      <xdr:rowOff>28575</xdr:rowOff>
    </xdr:from>
    <xdr:to>
      <xdr:col>29</xdr:col>
      <xdr:colOff>352425</xdr:colOff>
      <xdr:row>15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7">
              <a:extLst>
                <a:ext uri="{FF2B5EF4-FFF2-40B4-BE49-F238E27FC236}">
                  <a16:creationId xmlns:a16="http://schemas.microsoft.com/office/drawing/2014/main" id="{47949F91-12D1-4AC9-8C76-7D847E95FDDA}"/>
                </a:ext>
                <a:ext uri="{147F2762-F138-4A5C-976F-8EAC2B608ADB}">
                  <a16:predDERef xmlns:a16="http://schemas.microsoft.com/office/drawing/2014/main" pred="{4A5C329A-92EC-4E35-ACA4-DE082E6013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0025" y="790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600075</xdr:colOff>
      <xdr:row>16</xdr:row>
      <xdr:rowOff>38100</xdr:rowOff>
    </xdr:from>
    <xdr:to>
      <xdr:col>29</xdr:col>
      <xdr:colOff>295275</xdr:colOff>
      <xdr:row>30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7">
              <a:extLst>
                <a:ext uri="{FF2B5EF4-FFF2-40B4-BE49-F238E27FC236}">
                  <a16:creationId xmlns:a16="http://schemas.microsoft.com/office/drawing/2014/main" id="{2E839159-6996-4ACF-8364-203EF93C8F48}"/>
                </a:ext>
                <a:ext uri="{147F2762-F138-4A5C-976F-8EAC2B608ADB}">
                  <a16:predDERef xmlns:a16="http://schemas.microsoft.com/office/drawing/2014/main" pred="{47949F91-12D1-4AC9-8C76-7D847E95FD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82875" y="3657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561975</xdr:colOff>
      <xdr:row>1</xdr:row>
      <xdr:rowOff>28575</xdr:rowOff>
    </xdr:from>
    <xdr:to>
      <xdr:col>37</xdr:col>
      <xdr:colOff>257175</xdr:colOff>
      <xdr:row>15</xdr:row>
      <xdr:rowOff>104775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7A71B6-0F88-48D6-9E5B-27DA934A4AD4}"/>
            </a:ext>
            <a:ext uri="{147F2762-F138-4A5C-976F-8EAC2B608ADB}">
              <a16:predDERef xmlns:a16="http://schemas.microsoft.com/office/drawing/2014/main" pred="{2E839159-6996-4ACF-8364-203EF93C8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104775</xdr:colOff>
      <xdr:row>20</xdr:row>
      <xdr:rowOff>47625</xdr:rowOff>
    </xdr:from>
    <xdr:to>
      <xdr:col>22</xdr:col>
      <xdr:colOff>409575</xdr:colOff>
      <xdr:row>34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>
              <a:extLst>
                <a:ext uri="{FF2B5EF4-FFF2-40B4-BE49-F238E27FC236}">
                  <a16:creationId xmlns:a16="http://schemas.microsoft.com/office/drawing/2014/main" id="{9F7C7E5C-BF3F-46F5-99F0-907D0AEBC3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1775" y="4429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161925</xdr:colOff>
      <xdr:row>20</xdr:row>
      <xdr:rowOff>76200</xdr:rowOff>
    </xdr:from>
    <xdr:to>
      <xdr:col>30</xdr:col>
      <xdr:colOff>466725</xdr:colOff>
      <xdr:row>34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3">
              <a:extLst>
                <a:ext uri="{FF2B5EF4-FFF2-40B4-BE49-F238E27FC236}">
                  <a16:creationId xmlns:a16="http://schemas.microsoft.com/office/drawing/2014/main" id="{CE4ECF75-6FA6-4616-82B7-62B7C0663089}"/>
                </a:ext>
                <a:ext uri="{147F2762-F138-4A5C-976F-8EAC2B608ADB}">
                  <a16:predDERef xmlns:a16="http://schemas.microsoft.com/office/drawing/2014/main" pred="{9F7C7E5C-BF3F-46F5-99F0-907D0AEBC3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25725" y="4457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228600</xdr:colOff>
      <xdr:row>20</xdr:row>
      <xdr:rowOff>76200</xdr:rowOff>
    </xdr:from>
    <xdr:to>
      <xdr:col>38</xdr:col>
      <xdr:colOff>533400</xdr:colOff>
      <xdr:row>34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6ED0CC-8B8D-8AD2-F783-AFBE87958A2F}"/>
            </a:ext>
            <a:ext uri="{147F2762-F138-4A5C-976F-8EAC2B608ADB}">
              <a16:predDERef xmlns:a16="http://schemas.microsoft.com/office/drawing/2014/main" pred="{CE4ECF75-6FA6-4616-82B7-62B7C0663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4</xdr:row>
      <xdr:rowOff>95250</xdr:rowOff>
    </xdr:from>
    <xdr:to>
      <xdr:col>22</xdr:col>
      <xdr:colOff>381000</xdr:colOff>
      <xdr:row>18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0101410-2D58-F963-C79D-30570F193703}"/>
                </a:ext>
                <a:ext uri="{147F2762-F138-4A5C-976F-8EAC2B608ADB}">
                  <a16:predDERef xmlns:a16="http://schemas.microsoft.com/office/drawing/2014/main" pred="{976ED0CC-8B8D-8AD2-F783-AFBE87958A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63200" y="1428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180975</xdr:colOff>
      <xdr:row>4</xdr:row>
      <xdr:rowOff>66675</xdr:rowOff>
    </xdr:from>
    <xdr:to>
      <xdr:col>30</xdr:col>
      <xdr:colOff>485775</xdr:colOff>
      <xdr:row>18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8">
              <a:extLst>
                <a:ext uri="{FF2B5EF4-FFF2-40B4-BE49-F238E27FC236}">
                  <a16:creationId xmlns:a16="http://schemas.microsoft.com/office/drawing/2014/main" id="{E0C47BF4-014A-42C4-A066-DA0B64C7E328}"/>
                </a:ext>
                <a:ext uri="{147F2762-F138-4A5C-976F-8EAC2B608ADB}">
                  <a16:predDERef xmlns:a16="http://schemas.microsoft.com/office/drawing/2014/main" pred="{E0101410-2D58-F963-C79D-30570F1937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44775" y="14001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285750</xdr:colOff>
      <xdr:row>4</xdr:row>
      <xdr:rowOff>57150</xdr:rowOff>
    </xdr:from>
    <xdr:to>
      <xdr:col>38</xdr:col>
      <xdr:colOff>590550</xdr:colOff>
      <xdr:row>18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C70ED0-6279-055C-7273-3EB5657F7B53}"/>
            </a:ext>
            <a:ext uri="{147F2762-F138-4A5C-976F-8EAC2B608ADB}">
              <a16:predDERef xmlns:a16="http://schemas.microsoft.com/office/drawing/2014/main" pred="{E0C47BF4-014A-42C4-A066-DA0B64C7E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k Addison" id="{C6FAFBEF-11A5-4D90-912A-52A05C6E2011}" userId="00a911638b29a82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Addison" refreshedDate="45967.635829398147" createdVersion="8" refreshedVersion="8" minRefreshableVersion="3" recordCount="500" xr:uid="{242BF7C8-4743-4E2F-A490-088F2D049199}">
  <cacheSource type="worksheet">
    <worksheetSource ref="A5:A505" sheet="Label Encoding"/>
  </cacheSource>
  <cacheFields count="1">
    <cacheField name="Customer" numFmtId="0">
      <sharedItems count="39">
        <s v="StrategiTech"/>
        <s v="Monetiq"/>
        <s v="TrendBlend"/>
        <s v="Statistro"/>
        <s v="InnoAid"/>
        <s v="Insightify"/>
        <s v="Metrify"/>
        <s v="AdvisaLyn"/>
        <s v="InnovativeIQ"/>
        <s v="Intelli Scope"/>
        <s v="Digi Vantage"/>
        <s v="Knowalytics"/>
        <s v="Strategy Beacon"/>
        <s v="DataWise"/>
        <s v="Bridgix"/>
        <s v="Analytix Ridge"/>
        <s v="Mystiqo"/>
        <s v="Zephyrly"/>
        <s v="Insight Forge"/>
        <s v="Inceptiq"/>
        <s v="MindScape"/>
        <s v="Analytica"/>
        <s v="Strivet"/>
        <s v="Nexify"/>
        <s v="Folvio"/>
        <s v="Circuii"/>
        <s v="DataPulse"/>
        <s v="Logic Pulse"/>
        <s v="ConsultPeak"/>
        <s v="AnalyzePro"/>
        <s v="Quorify"/>
        <s v="Mind Spark"/>
        <s v="VisioVise"/>
        <s v="Zenith"/>
        <s v="Data Peak"/>
        <s v="VisioMorph"/>
        <s v="Trend Matrix"/>
        <s v="Info Nexus"/>
        <s v="TechVi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3"/>
  </r>
  <r>
    <x v="24"/>
  </r>
  <r>
    <x v="6"/>
  </r>
  <r>
    <x v="5"/>
  </r>
  <r>
    <x v="25"/>
  </r>
  <r>
    <x v="26"/>
  </r>
  <r>
    <x v="27"/>
  </r>
  <r>
    <x v="28"/>
  </r>
  <r>
    <x v="29"/>
  </r>
  <r>
    <x v="29"/>
  </r>
  <r>
    <x v="2"/>
  </r>
  <r>
    <x v="11"/>
  </r>
  <r>
    <x v="28"/>
  </r>
  <r>
    <x v="17"/>
  </r>
  <r>
    <x v="21"/>
  </r>
  <r>
    <x v="26"/>
  </r>
  <r>
    <x v="29"/>
  </r>
  <r>
    <x v="6"/>
  </r>
  <r>
    <x v="30"/>
  </r>
  <r>
    <x v="8"/>
  </r>
  <r>
    <x v="1"/>
  </r>
  <r>
    <x v="27"/>
  </r>
  <r>
    <x v="9"/>
  </r>
  <r>
    <x v="31"/>
  </r>
  <r>
    <x v="24"/>
  </r>
  <r>
    <x v="19"/>
  </r>
  <r>
    <x v="20"/>
  </r>
  <r>
    <x v="20"/>
  </r>
  <r>
    <x v="32"/>
  </r>
  <r>
    <x v="33"/>
  </r>
  <r>
    <x v="23"/>
  </r>
  <r>
    <x v="34"/>
  </r>
  <r>
    <x v="35"/>
  </r>
  <r>
    <x v="34"/>
  </r>
  <r>
    <x v="36"/>
  </r>
  <r>
    <x v="37"/>
  </r>
  <r>
    <x v="32"/>
  </r>
  <r>
    <x v="36"/>
  </r>
  <r>
    <x v="30"/>
  </r>
  <r>
    <x v="1"/>
  </r>
  <r>
    <x v="0"/>
  </r>
  <r>
    <x v="31"/>
  </r>
  <r>
    <x v="7"/>
  </r>
  <r>
    <x v="33"/>
  </r>
  <r>
    <x v="12"/>
  </r>
  <r>
    <x v="10"/>
  </r>
  <r>
    <x v="10"/>
  </r>
  <r>
    <x v="31"/>
  </r>
  <r>
    <x v="38"/>
  </r>
  <r>
    <x v="2"/>
  </r>
  <r>
    <x v="25"/>
  </r>
  <r>
    <x v="9"/>
  </r>
  <r>
    <x v="8"/>
  </r>
  <r>
    <x v="29"/>
  </r>
  <r>
    <x v="19"/>
  </r>
  <r>
    <x v="24"/>
  </r>
  <r>
    <x v="26"/>
  </r>
  <r>
    <x v="31"/>
  </r>
  <r>
    <x v="8"/>
  </r>
  <r>
    <x v="5"/>
  </r>
  <r>
    <x v="21"/>
  </r>
  <r>
    <x v="20"/>
  </r>
  <r>
    <x v="13"/>
  </r>
  <r>
    <x v="5"/>
  </r>
  <r>
    <x v="30"/>
  </r>
  <r>
    <x v="15"/>
  </r>
  <r>
    <x v="19"/>
  </r>
  <r>
    <x v="0"/>
  </r>
  <r>
    <x v="11"/>
  </r>
  <r>
    <x v="8"/>
  </r>
  <r>
    <x v="7"/>
  </r>
  <r>
    <x v="7"/>
  </r>
  <r>
    <x v="35"/>
  </r>
  <r>
    <x v="1"/>
  </r>
  <r>
    <x v="19"/>
  </r>
  <r>
    <x v="11"/>
  </r>
  <r>
    <x v="30"/>
  </r>
  <r>
    <x v="24"/>
  </r>
  <r>
    <x v="5"/>
  </r>
  <r>
    <x v="23"/>
  </r>
  <r>
    <x v="11"/>
  </r>
  <r>
    <x v="29"/>
  </r>
  <r>
    <x v="28"/>
  </r>
  <r>
    <x v="32"/>
  </r>
  <r>
    <x v="12"/>
  </r>
  <r>
    <x v="37"/>
  </r>
  <r>
    <x v="23"/>
  </r>
  <r>
    <x v="3"/>
  </r>
  <r>
    <x v="34"/>
  </r>
  <r>
    <x v="32"/>
  </r>
  <r>
    <x v="18"/>
  </r>
  <r>
    <x v="3"/>
  </r>
  <r>
    <x v="7"/>
  </r>
  <r>
    <x v="11"/>
  </r>
  <r>
    <x v="5"/>
  </r>
  <r>
    <x v="20"/>
  </r>
  <r>
    <x v="5"/>
  </r>
  <r>
    <x v="28"/>
  </r>
  <r>
    <x v="33"/>
  </r>
  <r>
    <x v="25"/>
  </r>
  <r>
    <x v="23"/>
  </r>
  <r>
    <x v="17"/>
  </r>
  <r>
    <x v="8"/>
  </r>
  <r>
    <x v="18"/>
  </r>
  <r>
    <x v="3"/>
  </r>
  <r>
    <x v="24"/>
  </r>
  <r>
    <x v="33"/>
  </r>
  <r>
    <x v="36"/>
  </r>
  <r>
    <x v="30"/>
  </r>
  <r>
    <x v="18"/>
  </r>
  <r>
    <x v="27"/>
  </r>
  <r>
    <x v="13"/>
  </r>
  <r>
    <x v="7"/>
  </r>
  <r>
    <x v="32"/>
  </r>
  <r>
    <x v="16"/>
  </r>
  <r>
    <x v="5"/>
  </r>
  <r>
    <x v="17"/>
  </r>
  <r>
    <x v="2"/>
  </r>
  <r>
    <x v="8"/>
  </r>
  <r>
    <x v="20"/>
  </r>
  <r>
    <x v="1"/>
  </r>
  <r>
    <x v="23"/>
  </r>
  <r>
    <x v="27"/>
  </r>
  <r>
    <x v="33"/>
  </r>
  <r>
    <x v="19"/>
  </r>
  <r>
    <x v="21"/>
  </r>
  <r>
    <x v="15"/>
  </r>
  <r>
    <x v="15"/>
  </r>
  <r>
    <x v="2"/>
  </r>
  <r>
    <x v="16"/>
  </r>
  <r>
    <x v="10"/>
  </r>
  <r>
    <x v="23"/>
  </r>
  <r>
    <x v="30"/>
  </r>
  <r>
    <x v="1"/>
  </r>
  <r>
    <x v="26"/>
  </r>
  <r>
    <x v="11"/>
  </r>
  <r>
    <x v="31"/>
  </r>
  <r>
    <x v="24"/>
  </r>
  <r>
    <x v="30"/>
  </r>
  <r>
    <x v="6"/>
  </r>
  <r>
    <x v="5"/>
  </r>
  <r>
    <x v="20"/>
  </r>
  <r>
    <x v="32"/>
  </r>
  <r>
    <x v="6"/>
  </r>
  <r>
    <x v="17"/>
  </r>
  <r>
    <x v="28"/>
  </r>
  <r>
    <x v="13"/>
  </r>
  <r>
    <x v="13"/>
  </r>
  <r>
    <x v="29"/>
  </r>
  <r>
    <x v="13"/>
  </r>
  <r>
    <x v="30"/>
  </r>
  <r>
    <x v="33"/>
  </r>
  <r>
    <x v="18"/>
  </r>
  <r>
    <x v="20"/>
  </r>
  <r>
    <x v="35"/>
  </r>
  <r>
    <x v="27"/>
  </r>
  <r>
    <x v="2"/>
  </r>
  <r>
    <x v="16"/>
  </r>
  <r>
    <x v="3"/>
  </r>
  <r>
    <x v="33"/>
  </r>
  <r>
    <x v="21"/>
  </r>
  <r>
    <x v="12"/>
  </r>
  <r>
    <x v="6"/>
  </r>
  <r>
    <x v="17"/>
  </r>
  <r>
    <x v="38"/>
  </r>
  <r>
    <x v="31"/>
  </r>
  <r>
    <x v="34"/>
  </r>
  <r>
    <x v="37"/>
  </r>
  <r>
    <x v="4"/>
  </r>
  <r>
    <x v="22"/>
  </r>
  <r>
    <x v="11"/>
  </r>
  <r>
    <x v="9"/>
  </r>
  <r>
    <x v="18"/>
  </r>
  <r>
    <x v="21"/>
  </r>
  <r>
    <x v="12"/>
  </r>
  <r>
    <x v="19"/>
  </r>
  <r>
    <x v="31"/>
  </r>
  <r>
    <x v="23"/>
  </r>
  <r>
    <x v="32"/>
  </r>
  <r>
    <x v="24"/>
  </r>
  <r>
    <x v="14"/>
  </r>
  <r>
    <x v="9"/>
  </r>
  <r>
    <x v="29"/>
  </r>
  <r>
    <x v="35"/>
  </r>
  <r>
    <x v="9"/>
  </r>
  <r>
    <x v="14"/>
  </r>
  <r>
    <x v="8"/>
  </r>
  <r>
    <x v="23"/>
  </r>
  <r>
    <x v="10"/>
  </r>
  <r>
    <x v="28"/>
  </r>
  <r>
    <x v="2"/>
  </r>
  <r>
    <x v="30"/>
  </r>
  <r>
    <x v="13"/>
  </r>
  <r>
    <x v="31"/>
  </r>
  <r>
    <x v="5"/>
  </r>
  <r>
    <x v="10"/>
  </r>
  <r>
    <x v="19"/>
  </r>
  <r>
    <x v="36"/>
  </r>
  <r>
    <x v="22"/>
  </r>
  <r>
    <x v="7"/>
  </r>
  <r>
    <x v="9"/>
  </r>
  <r>
    <x v="5"/>
  </r>
  <r>
    <x v="31"/>
  </r>
  <r>
    <x v="16"/>
  </r>
  <r>
    <x v="14"/>
  </r>
  <r>
    <x v="12"/>
  </r>
  <r>
    <x v="15"/>
  </r>
  <r>
    <x v="31"/>
  </r>
  <r>
    <x v="33"/>
  </r>
  <r>
    <x v="36"/>
  </r>
  <r>
    <x v="34"/>
  </r>
  <r>
    <x v="4"/>
  </r>
  <r>
    <x v="23"/>
  </r>
  <r>
    <x v="19"/>
  </r>
  <r>
    <x v="35"/>
  </r>
  <r>
    <x v="14"/>
  </r>
  <r>
    <x v="28"/>
  </r>
  <r>
    <x v="14"/>
  </r>
  <r>
    <x v="30"/>
  </r>
  <r>
    <x v="17"/>
  </r>
  <r>
    <x v="23"/>
  </r>
  <r>
    <x v="28"/>
  </r>
  <r>
    <x v="26"/>
  </r>
  <r>
    <x v="33"/>
  </r>
  <r>
    <x v="10"/>
  </r>
  <r>
    <x v="7"/>
  </r>
  <r>
    <x v="28"/>
  </r>
  <r>
    <x v="20"/>
  </r>
  <r>
    <x v="12"/>
  </r>
  <r>
    <x v="29"/>
  </r>
  <r>
    <x v="32"/>
  </r>
  <r>
    <x v="16"/>
  </r>
  <r>
    <x v="6"/>
  </r>
  <r>
    <x v="19"/>
  </r>
  <r>
    <x v="36"/>
  </r>
  <r>
    <x v="35"/>
  </r>
  <r>
    <x v="37"/>
  </r>
  <r>
    <x v="25"/>
  </r>
  <r>
    <x v="11"/>
  </r>
  <r>
    <x v="3"/>
  </r>
  <r>
    <x v="10"/>
  </r>
  <r>
    <x v="21"/>
  </r>
  <r>
    <x v="3"/>
  </r>
  <r>
    <x v="31"/>
  </r>
  <r>
    <x v="34"/>
  </r>
  <r>
    <x v="30"/>
  </r>
  <r>
    <x v="7"/>
  </r>
  <r>
    <x v="14"/>
  </r>
  <r>
    <x v="8"/>
  </r>
  <r>
    <x v="28"/>
  </r>
  <r>
    <x v="21"/>
  </r>
  <r>
    <x v="3"/>
  </r>
  <r>
    <x v="8"/>
  </r>
  <r>
    <x v="6"/>
  </r>
  <r>
    <x v="13"/>
  </r>
  <r>
    <x v="12"/>
  </r>
  <r>
    <x v="3"/>
  </r>
  <r>
    <x v="29"/>
  </r>
  <r>
    <x v="15"/>
  </r>
  <r>
    <x v="36"/>
  </r>
  <r>
    <x v="0"/>
  </r>
  <r>
    <x v="18"/>
  </r>
  <r>
    <x v="8"/>
  </r>
  <r>
    <x v="31"/>
  </r>
  <r>
    <x v="9"/>
  </r>
  <r>
    <x v="21"/>
  </r>
  <r>
    <x v="32"/>
  </r>
  <r>
    <x v="38"/>
  </r>
  <r>
    <x v="11"/>
  </r>
  <r>
    <x v="14"/>
  </r>
  <r>
    <x v="31"/>
  </r>
  <r>
    <x v="33"/>
  </r>
  <r>
    <x v="22"/>
  </r>
  <r>
    <x v="11"/>
  </r>
  <r>
    <x v="12"/>
  </r>
  <r>
    <x v="26"/>
  </r>
  <r>
    <x v="15"/>
  </r>
  <r>
    <x v="34"/>
  </r>
  <r>
    <x v="31"/>
  </r>
  <r>
    <x v="17"/>
  </r>
  <r>
    <x v="4"/>
  </r>
  <r>
    <x v="22"/>
  </r>
  <r>
    <x v="5"/>
  </r>
  <r>
    <x v="27"/>
  </r>
  <r>
    <x v="34"/>
  </r>
  <r>
    <x v="1"/>
  </r>
  <r>
    <x v="6"/>
  </r>
  <r>
    <x v="38"/>
  </r>
  <r>
    <x v="25"/>
  </r>
  <r>
    <x v="31"/>
  </r>
  <r>
    <x v="0"/>
  </r>
  <r>
    <x v="19"/>
  </r>
  <r>
    <x v="33"/>
  </r>
  <r>
    <x v="0"/>
  </r>
  <r>
    <x v="33"/>
  </r>
  <r>
    <x v="26"/>
  </r>
  <r>
    <x v="11"/>
  </r>
  <r>
    <x v="17"/>
  </r>
  <r>
    <x v="25"/>
  </r>
  <r>
    <x v="4"/>
  </r>
  <r>
    <x v="17"/>
  </r>
  <r>
    <x v="25"/>
  </r>
  <r>
    <x v="2"/>
  </r>
  <r>
    <x v="1"/>
  </r>
  <r>
    <x v="12"/>
  </r>
  <r>
    <x v="5"/>
  </r>
  <r>
    <x v="24"/>
  </r>
  <r>
    <x v="37"/>
  </r>
  <r>
    <x v="6"/>
  </r>
  <r>
    <x v="12"/>
  </r>
  <r>
    <x v="35"/>
  </r>
  <r>
    <x v="5"/>
  </r>
  <r>
    <x v="2"/>
  </r>
  <r>
    <x v="25"/>
  </r>
  <r>
    <x v="10"/>
  </r>
  <r>
    <x v="10"/>
  </r>
  <r>
    <x v="37"/>
  </r>
  <r>
    <x v="20"/>
  </r>
  <r>
    <x v="9"/>
  </r>
  <r>
    <x v="23"/>
  </r>
  <r>
    <x v="12"/>
  </r>
  <r>
    <x v="13"/>
  </r>
  <r>
    <x v="23"/>
  </r>
  <r>
    <x v="33"/>
  </r>
  <r>
    <x v="3"/>
  </r>
  <r>
    <x v="33"/>
  </r>
  <r>
    <x v="21"/>
  </r>
  <r>
    <x v="16"/>
  </r>
  <r>
    <x v="28"/>
  </r>
  <r>
    <x v="34"/>
  </r>
  <r>
    <x v="35"/>
  </r>
  <r>
    <x v="31"/>
  </r>
  <r>
    <x v="33"/>
  </r>
  <r>
    <x v="23"/>
  </r>
  <r>
    <x v="21"/>
  </r>
  <r>
    <x v="29"/>
  </r>
  <r>
    <x v="30"/>
  </r>
  <r>
    <x v="25"/>
  </r>
  <r>
    <x v="6"/>
  </r>
  <r>
    <x v="13"/>
  </r>
  <r>
    <x v="23"/>
  </r>
  <r>
    <x v="22"/>
  </r>
  <r>
    <x v="3"/>
  </r>
  <r>
    <x v="17"/>
  </r>
  <r>
    <x v="34"/>
  </r>
  <r>
    <x v="12"/>
  </r>
  <r>
    <x v="35"/>
  </r>
  <r>
    <x v="23"/>
  </r>
  <r>
    <x v="22"/>
  </r>
  <r>
    <x v="25"/>
  </r>
  <r>
    <x v="15"/>
  </r>
  <r>
    <x v="3"/>
  </r>
  <r>
    <x v="0"/>
  </r>
  <r>
    <x v="26"/>
  </r>
  <r>
    <x v="0"/>
  </r>
  <r>
    <x v="2"/>
  </r>
  <r>
    <x v="25"/>
  </r>
  <r>
    <x v="22"/>
  </r>
  <r>
    <x v="33"/>
  </r>
  <r>
    <x v="2"/>
  </r>
  <r>
    <x v="34"/>
  </r>
  <r>
    <x v="36"/>
  </r>
  <r>
    <x v="13"/>
  </r>
  <r>
    <x v="26"/>
  </r>
  <r>
    <x v="13"/>
  </r>
  <r>
    <x v="11"/>
  </r>
  <r>
    <x v="13"/>
  </r>
  <r>
    <x v="30"/>
  </r>
  <r>
    <x v="5"/>
  </r>
  <r>
    <x v="4"/>
  </r>
  <r>
    <x v="26"/>
  </r>
  <r>
    <x v="30"/>
  </r>
  <r>
    <x v="8"/>
  </r>
  <r>
    <x v="28"/>
  </r>
  <r>
    <x v="22"/>
  </r>
  <r>
    <x v="26"/>
  </r>
  <r>
    <x v="11"/>
  </r>
  <r>
    <x v="28"/>
  </r>
  <r>
    <x v="36"/>
  </r>
  <r>
    <x v="10"/>
  </r>
  <r>
    <x v="10"/>
  </r>
  <r>
    <x v="23"/>
  </r>
  <r>
    <x v="4"/>
  </r>
  <r>
    <x v="30"/>
  </r>
  <r>
    <x v="13"/>
  </r>
  <r>
    <x v="7"/>
  </r>
  <r>
    <x v="12"/>
  </r>
  <r>
    <x v="5"/>
  </r>
  <r>
    <x v="0"/>
  </r>
  <r>
    <x v="11"/>
  </r>
  <r>
    <x v="14"/>
  </r>
  <r>
    <x v="36"/>
  </r>
  <r>
    <x v="24"/>
  </r>
  <r>
    <x v="11"/>
  </r>
  <r>
    <x v="34"/>
  </r>
  <r>
    <x v="27"/>
  </r>
  <r>
    <x v="26"/>
  </r>
  <r>
    <x v="13"/>
  </r>
  <r>
    <x v="0"/>
  </r>
  <r>
    <x v="22"/>
  </r>
  <r>
    <x v="26"/>
  </r>
  <r>
    <x v="35"/>
  </r>
  <r>
    <x v="36"/>
  </r>
  <r>
    <x v="32"/>
  </r>
  <r>
    <x v="15"/>
  </r>
  <r>
    <x v="36"/>
  </r>
  <r>
    <x v="25"/>
  </r>
  <r>
    <x v="1"/>
  </r>
  <r>
    <x v="19"/>
  </r>
  <r>
    <x v="3"/>
  </r>
  <r>
    <x v="28"/>
  </r>
  <r>
    <x v="35"/>
  </r>
  <r>
    <x v="12"/>
  </r>
  <r>
    <x v="14"/>
  </r>
  <r>
    <x v="30"/>
  </r>
  <r>
    <x v="10"/>
  </r>
  <r>
    <x v="5"/>
  </r>
  <r>
    <x v="22"/>
  </r>
  <r>
    <x v="16"/>
  </r>
  <r>
    <x v="21"/>
  </r>
  <r>
    <x v="38"/>
  </r>
  <r>
    <x v="32"/>
  </r>
  <r>
    <x v="9"/>
  </r>
  <r>
    <x v="24"/>
  </r>
  <r>
    <x v="1"/>
  </r>
  <r>
    <x v="14"/>
  </r>
  <r>
    <x v="19"/>
  </r>
  <r>
    <x v="34"/>
  </r>
  <r>
    <x v="25"/>
  </r>
  <r>
    <x v="23"/>
  </r>
  <r>
    <x v="34"/>
  </r>
  <r>
    <x v="5"/>
  </r>
  <r>
    <x v="21"/>
  </r>
  <r>
    <x v="32"/>
  </r>
  <r>
    <x v="11"/>
  </r>
  <r>
    <x v="12"/>
  </r>
  <r>
    <x v="30"/>
  </r>
  <r>
    <x v="21"/>
  </r>
  <r>
    <x v="27"/>
  </r>
  <r>
    <x v="20"/>
  </r>
  <r>
    <x v="10"/>
  </r>
  <r>
    <x v="13"/>
  </r>
  <r>
    <x v="35"/>
  </r>
  <r>
    <x v="34"/>
  </r>
  <r>
    <x v="16"/>
  </r>
  <r>
    <x v="24"/>
  </r>
  <r>
    <x v="22"/>
  </r>
  <r>
    <x v="36"/>
  </r>
  <r>
    <x v="25"/>
  </r>
  <r>
    <x v="28"/>
  </r>
  <r>
    <x v="11"/>
  </r>
  <r>
    <x v="24"/>
  </r>
  <r>
    <x v="28"/>
  </r>
  <r>
    <x v="15"/>
  </r>
  <r>
    <x v="12"/>
  </r>
  <r>
    <x v="7"/>
  </r>
  <r>
    <x v="2"/>
  </r>
  <r>
    <x v="31"/>
  </r>
  <r>
    <x v="34"/>
  </r>
  <r>
    <x v="13"/>
  </r>
  <r>
    <x v="4"/>
  </r>
  <r>
    <x v="19"/>
  </r>
  <r>
    <x v="30"/>
  </r>
  <r>
    <x v="6"/>
  </r>
  <r>
    <x v="5"/>
  </r>
  <r>
    <x v="1"/>
  </r>
  <r>
    <x v="21"/>
  </r>
  <r>
    <x v="23"/>
  </r>
  <r>
    <x v="19"/>
  </r>
  <r>
    <x v="38"/>
  </r>
  <r>
    <x v="21"/>
  </r>
  <r>
    <x v="30"/>
  </r>
  <r>
    <x v="9"/>
  </r>
  <r>
    <x v="4"/>
  </r>
  <r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D269B-1669-4B3F-B843-43F2230CF5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3" firstHeaderRow="1" firstDataRow="1" firstDataCol="1"/>
  <pivotFields count="1">
    <pivotField axis="axisRow" showAll="0">
      <items count="40">
        <item x="7"/>
        <item x="21"/>
        <item x="15"/>
        <item x="29"/>
        <item x="14"/>
        <item x="25"/>
        <item x="28"/>
        <item x="34"/>
        <item x="26"/>
        <item x="13"/>
        <item x="10"/>
        <item x="24"/>
        <item x="19"/>
        <item x="37"/>
        <item x="4"/>
        <item x="8"/>
        <item x="18"/>
        <item x="5"/>
        <item x="9"/>
        <item x="11"/>
        <item x="27"/>
        <item x="6"/>
        <item x="31"/>
        <item x="20"/>
        <item x="1"/>
        <item x="16"/>
        <item x="23"/>
        <item x="30"/>
        <item x="3"/>
        <item x="0"/>
        <item x="12"/>
        <item x="22"/>
        <item x="38"/>
        <item x="36"/>
        <item x="2"/>
        <item x="35"/>
        <item x="32"/>
        <item x="33"/>
        <item x="17"/>
        <item t="default"/>
      </items>
    </pivotField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5-11-06T21:13:10.45" personId="{C6FAFBEF-11A5-4D90-912A-52A05C6E2011}" id="{B71F1416-424F-4EE8-95F3-3475C6209332}">
    <text>Still carries central tendency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workbookViewId="0">
      <selection activeCell="I3" sqref="I3"/>
    </sheetView>
  </sheetViews>
  <sheetFormatPr defaultRowHeight="15" x14ac:dyDescent="0.25"/>
  <cols>
    <col min="1" max="1" width="14" bestFit="1" customWidth="1"/>
    <col min="2" max="2" width="15.85546875" customWidth="1"/>
    <col min="3" max="3" width="11.42578125" bestFit="1" customWidth="1"/>
    <col min="4" max="7" width="9.28515625" bestFit="1" customWidth="1"/>
    <col min="8" max="8" width="17.85546875" bestFit="1" customWidth="1"/>
  </cols>
  <sheetData>
    <row r="1" spans="1:9" x14ac:dyDescent="0.25">
      <c r="E1" t="s">
        <v>0</v>
      </c>
      <c r="F1" t="s">
        <v>1</v>
      </c>
      <c r="G1" t="s">
        <v>2</v>
      </c>
    </row>
    <row r="2" spans="1:9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69</v>
      </c>
    </row>
    <row r="3" spans="1:9" x14ac:dyDescent="0.25">
      <c r="A3" t="s">
        <v>11</v>
      </c>
      <c r="B3" s="3">
        <f t="shared" ref="B3:B66" ca="1" si="0">DATE(RANDBETWEEN(2010, 2020),RANDBETWEEN(1,12),RANDBETWEEN(1,31))</f>
        <v>44051</v>
      </c>
      <c r="C3" s="1">
        <f t="shared" ref="C3:C66" ca="1" si="1">+E3*D3</f>
        <v>8158.5901955511399</v>
      </c>
      <c r="D3" s="1">
        <f t="shared" ref="D3:D66" ca="1" si="2">+F3+G3</f>
        <v>119.97926758163442</v>
      </c>
      <c r="E3" s="2">
        <f t="shared" ref="E3:E66" ca="1" si="3">INT(_xlfn.LOGNORM.INV(RAND(),3,1))</f>
        <v>68</v>
      </c>
      <c r="F3" s="1">
        <f t="shared" ref="F3:F66" ca="1" si="4">_xlfn.GAMMA.INV(RAND(),7,9)</f>
        <v>67.979267581634417</v>
      </c>
      <c r="G3" s="1">
        <f t="shared" ref="G3:G66" ca="1" si="5">+RANDBETWEEN(0.5*F3,1.5*F3)</f>
        <v>52</v>
      </c>
      <c r="H3" s="1"/>
      <c r="I3">
        <f ca="1">+LN(E3)</f>
        <v>4.219507705176107</v>
      </c>
    </row>
    <row r="4" spans="1:9" x14ac:dyDescent="0.25">
      <c r="A4" t="s">
        <v>12</v>
      </c>
      <c r="B4" s="3">
        <f t="shared" ca="1" si="0"/>
        <v>41330</v>
      </c>
      <c r="C4" s="1">
        <f t="shared" ca="1" si="1"/>
        <v>0</v>
      </c>
      <c r="D4" s="1">
        <f t="shared" ca="1" si="2"/>
        <v>201.91067551762262</v>
      </c>
      <c r="E4" s="2">
        <f t="shared" ca="1" si="3"/>
        <v>0</v>
      </c>
      <c r="F4" s="1">
        <f t="shared" ca="1" si="4"/>
        <v>87.910675517622636</v>
      </c>
      <c r="G4" s="1">
        <f t="shared" ca="1" si="5"/>
        <v>114</v>
      </c>
      <c r="H4" s="1"/>
      <c r="I4" t="e">
        <f t="shared" ref="I4:I67" ca="1" si="6">+LN(E4)</f>
        <v>#NUM!</v>
      </c>
    </row>
    <row r="5" spans="1:9" x14ac:dyDescent="0.25">
      <c r="A5" t="s">
        <v>13</v>
      </c>
      <c r="B5" s="3">
        <f t="shared" ca="1" si="0"/>
        <v>44093</v>
      </c>
      <c r="C5" s="1">
        <f t="shared" ca="1" si="1"/>
        <v>735.46845527989603</v>
      </c>
      <c r="D5" s="1">
        <f t="shared" ca="1" si="2"/>
        <v>147.09369105597921</v>
      </c>
      <c r="E5" s="2">
        <f t="shared" ca="1" si="3"/>
        <v>5</v>
      </c>
      <c r="F5" s="1">
        <f t="shared" ca="1" si="4"/>
        <v>67.093691055979207</v>
      </c>
      <c r="G5" s="1">
        <f t="shared" ca="1" si="5"/>
        <v>80</v>
      </c>
      <c r="H5" s="1"/>
      <c r="I5">
        <f t="shared" ca="1" si="6"/>
        <v>1.6094379124341003</v>
      </c>
    </row>
    <row r="6" spans="1:9" x14ac:dyDescent="0.25">
      <c r="A6" t="s">
        <v>14</v>
      </c>
      <c r="B6" s="3">
        <f t="shared" ca="1" si="0"/>
        <v>41136</v>
      </c>
      <c r="C6" s="1">
        <f t="shared" ca="1" si="1"/>
        <v>4568.9388005151304</v>
      </c>
      <c r="D6" s="1">
        <f t="shared" ca="1" si="2"/>
        <v>182.7575520206052</v>
      </c>
      <c r="E6" s="2">
        <f t="shared" ca="1" si="3"/>
        <v>25</v>
      </c>
      <c r="F6" s="1">
        <f t="shared" ca="1" si="4"/>
        <v>92.757552020605218</v>
      </c>
      <c r="G6" s="1">
        <f t="shared" ca="1" si="5"/>
        <v>90</v>
      </c>
      <c r="H6" s="1"/>
      <c r="I6">
        <f t="shared" ca="1" si="6"/>
        <v>3.2188758248682006</v>
      </c>
    </row>
    <row r="7" spans="1:9" x14ac:dyDescent="0.25">
      <c r="A7" t="s">
        <v>15</v>
      </c>
      <c r="B7" s="3">
        <f t="shared" ca="1" si="0"/>
        <v>40288</v>
      </c>
      <c r="C7" s="1">
        <f t="shared" ca="1" si="1"/>
        <v>9858.5898971945808</v>
      </c>
      <c r="D7" s="1">
        <f t="shared" ca="1" si="2"/>
        <v>67.990275153066079</v>
      </c>
      <c r="E7" s="2">
        <f t="shared" ca="1" si="3"/>
        <v>145</v>
      </c>
      <c r="F7" s="1">
        <f t="shared" ca="1" si="4"/>
        <v>36.990275153066079</v>
      </c>
      <c r="G7" s="1">
        <f t="shared" ca="1" si="5"/>
        <v>31</v>
      </c>
      <c r="H7" s="1"/>
      <c r="I7">
        <f t="shared" ca="1" si="6"/>
        <v>4.9767337424205742</v>
      </c>
    </row>
    <row r="8" spans="1:9" x14ac:dyDescent="0.25">
      <c r="A8" t="s">
        <v>16</v>
      </c>
      <c r="B8" s="3">
        <f t="shared" ca="1" si="0"/>
        <v>41873</v>
      </c>
      <c r="C8" s="1">
        <f t="shared" ca="1" si="1"/>
        <v>855.5099720439265</v>
      </c>
      <c r="D8" s="1">
        <f t="shared" ca="1" si="2"/>
        <v>71.292497670327208</v>
      </c>
      <c r="E8" s="2">
        <f t="shared" ca="1" si="3"/>
        <v>12</v>
      </c>
      <c r="F8" s="1">
        <f t="shared" ca="1" si="4"/>
        <v>47.292497670327208</v>
      </c>
      <c r="G8" s="1">
        <f t="shared" ca="1" si="5"/>
        <v>24</v>
      </c>
      <c r="H8" s="1"/>
      <c r="I8">
        <f t="shared" ca="1" si="6"/>
        <v>2.4849066497880004</v>
      </c>
    </row>
    <row r="9" spans="1:9" x14ac:dyDescent="0.25">
      <c r="A9" t="s">
        <v>17</v>
      </c>
      <c r="B9" s="3">
        <f t="shared" ca="1" si="0"/>
        <v>43873</v>
      </c>
      <c r="C9" s="1">
        <f t="shared" ca="1" si="1"/>
        <v>6479.289830380083</v>
      </c>
      <c r="D9" s="1">
        <f t="shared" ca="1" si="2"/>
        <v>209.00934936709945</v>
      </c>
      <c r="E9" s="2">
        <f t="shared" ca="1" si="3"/>
        <v>31</v>
      </c>
      <c r="F9" s="1">
        <f t="shared" ca="1" si="4"/>
        <v>102.00934936709943</v>
      </c>
      <c r="G9" s="1">
        <f t="shared" ca="1" si="5"/>
        <v>107</v>
      </c>
      <c r="H9" s="1"/>
      <c r="I9">
        <f t="shared" ca="1" si="6"/>
        <v>3.4339872044851463</v>
      </c>
    </row>
    <row r="10" spans="1:9" x14ac:dyDescent="0.25">
      <c r="A10" t="s">
        <v>14</v>
      </c>
      <c r="B10" s="3">
        <f t="shared" ca="1" si="0"/>
        <v>40858</v>
      </c>
      <c r="C10" s="1">
        <f t="shared" ca="1" si="1"/>
        <v>1287.5695730055561</v>
      </c>
      <c r="D10" s="1">
        <f t="shared" ca="1" si="2"/>
        <v>75.739386647385658</v>
      </c>
      <c r="E10" s="2">
        <f t="shared" ca="1" si="3"/>
        <v>17</v>
      </c>
      <c r="F10" s="1">
        <f t="shared" ca="1" si="4"/>
        <v>42.739386647385651</v>
      </c>
      <c r="G10" s="1">
        <f t="shared" ca="1" si="5"/>
        <v>33</v>
      </c>
      <c r="H10" s="1"/>
      <c r="I10">
        <f t="shared" ca="1" si="6"/>
        <v>2.8332133440562162</v>
      </c>
    </row>
    <row r="11" spans="1:9" x14ac:dyDescent="0.25">
      <c r="A11" t="s">
        <v>18</v>
      </c>
      <c r="B11" s="3">
        <f t="shared" ca="1" si="0"/>
        <v>43480</v>
      </c>
      <c r="C11" s="1">
        <f t="shared" ca="1" si="1"/>
        <v>296.73388961474268</v>
      </c>
      <c r="D11" s="1">
        <f t="shared" ca="1" si="2"/>
        <v>37.091736201842835</v>
      </c>
      <c r="E11" s="2">
        <f t="shared" ca="1" si="3"/>
        <v>8</v>
      </c>
      <c r="F11" s="1">
        <f t="shared" ca="1" si="4"/>
        <v>18.091736201842831</v>
      </c>
      <c r="G11" s="1">
        <f t="shared" ca="1" si="5"/>
        <v>19</v>
      </c>
      <c r="H11" s="1"/>
      <c r="I11">
        <f t="shared" ca="1" si="6"/>
        <v>2.0794415416798357</v>
      </c>
    </row>
    <row r="12" spans="1:9" x14ac:dyDescent="0.25">
      <c r="A12" t="s">
        <v>19</v>
      </c>
      <c r="B12" s="3">
        <f t="shared" ca="1" si="0"/>
        <v>43071</v>
      </c>
      <c r="C12" s="1">
        <f t="shared" ca="1" si="1"/>
        <v>546.71990511127524</v>
      </c>
      <c r="D12" s="1">
        <f t="shared" ca="1" si="2"/>
        <v>32.159994418310305</v>
      </c>
      <c r="E12" s="2">
        <f t="shared" ca="1" si="3"/>
        <v>17</v>
      </c>
      <c r="F12" s="1">
        <f t="shared" ca="1" si="4"/>
        <v>21.159994418310301</v>
      </c>
      <c r="G12" s="1">
        <f t="shared" ca="1" si="5"/>
        <v>11</v>
      </c>
      <c r="H12" s="1"/>
      <c r="I12">
        <f t="shared" ca="1" si="6"/>
        <v>2.8332133440562162</v>
      </c>
    </row>
    <row r="13" spans="1:9" x14ac:dyDescent="0.25">
      <c r="A13" t="s">
        <v>13</v>
      </c>
      <c r="B13" s="3">
        <f t="shared" ca="1" si="0"/>
        <v>42994</v>
      </c>
      <c r="C13" s="1">
        <f t="shared" ca="1" si="1"/>
        <v>655.68398761076719</v>
      </c>
      <c r="D13" s="1">
        <f t="shared" ca="1" si="2"/>
        <v>93.669141087252456</v>
      </c>
      <c r="E13" s="2">
        <f t="shared" ca="1" si="3"/>
        <v>7</v>
      </c>
      <c r="F13" s="1">
        <f t="shared" ca="1" si="4"/>
        <v>53.669141087252449</v>
      </c>
      <c r="G13" s="1">
        <f t="shared" ca="1" si="5"/>
        <v>40</v>
      </c>
      <c r="H13" s="1"/>
      <c r="I13">
        <f t="shared" ca="1" si="6"/>
        <v>1.9459101490553132</v>
      </c>
    </row>
    <row r="14" spans="1:9" x14ac:dyDescent="0.25">
      <c r="A14" t="s">
        <v>20</v>
      </c>
      <c r="B14" s="3">
        <f t="shared" ca="1" si="0"/>
        <v>42613</v>
      </c>
      <c r="C14" s="1">
        <f t="shared" ca="1" si="1"/>
        <v>6261.9049515541737</v>
      </c>
      <c r="D14" s="1">
        <f t="shared" ca="1" si="2"/>
        <v>84.620337183164509</v>
      </c>
      <c r="E14" s="2">
        <f t="shared" ca="1" si="3"/>
        <v>74</v>
      </c>
      <c r="F14" s="1">
        <f t="shared" ca="1" si="4"/>
        <v>35.620337183164516</v>
      </c>
      <c r="G14" s="1">
        <f t="shared" ca="1" si="5"/>
        <v>49</v>
      </c>
      <c r="H14" s="1"/>
      <c r="I14">
        <f t="shared" ca="1" si="6"/>
        <v>4.3040650932041702</v>
      </c>
    </row>
    <row r="15" spans="1:9" x14ac:dyDescent="0.25">
      <c r="A15" t="s">
        <v>21</v>
      </c>
      <c r="B15" s="3">
        <f t="shared" ca="1" si="0"/>
        <v>42049</v>
      </c>
      <c r="C15" s="1">
        <f t="shared" ca="1" si="1"/>
        <v>4207.8667072347489</v>
      </c>
      <c r="D15" s="1">
        <f t="shared" ca="1" si="2"/>
        <v>182.95072640151082</v>
      </c>
      <c r="E15" s="2">
        <f t="shared" ca="1" si="3"/>
        <v>23</v>
      </c>
      <c r="F15" s="1">
        <f t="shared" ca="1" si="4"/>
        <v>85.950726401510821</v>
      </c>
      <c r="G15" s="1">
        <f t="shared" ca="1" si="5"/>
        <v>97</v>
      </c>
      <c r="H15" s="1"/>
      <c r="I15">
        <f t="shared" ca="1" si="6"/>
        <v>3.1354942159291497</v>
      </c>
    </row>
    <row r="16" spans="1:9" x14ac:dyDescent="0.25">
      <c r="A16" t="s">
        <v>22</v>
      </c>
      <c r="B16" s="3">
        <f t="shared" ca="1" si="0"/>
        <v>43860</v>
      </c>
      <c r="C16" s="1">
        <f t="shared" ca="1" si="1"/>
        <v>3209.2836179186256</v>
      </c>
      <c r="D16" s="1">
        <f t="shared" ca="1" si="2"/>
        <v>91.693817654817877</v>
      </c>
      <c r="E16" s="2">
        <f t="shared" ca="1" si="3"/>
        <v>35</v>
      </c>
      <c r="F16" s="1">
        <f t="shared" ca="1" si="4"/>
        <v>58.693817654817884</v>
      </c>
      <c r="G16" s="1">
        <f t="shared" ca="1" si="5"/>
        <v>33</v>
      </c>
      <c r="H16" s="1"/>
      <c r="I16">
        <f t="shared" ca="1" si="6"/>
        <v>3.5553480614894135</v>
      </c>
    </row>
    <row r="17" spans="1:9" x14ac:dyDescent="0.25">
      <c r="A17" t="s">
        <v>23</v>
      </c>
      <c r="B17" s="3">
        <f t="shared" ca="1" si="0"/>
        <v>42928</v>
      </c>
      <c r="C17" s="1">
        <f t="shared" ca="1" si="1"/>
        <v>1408.4475108009922</v>
      </c>
      <c r="D17" s="1">
        <f t="shared" ca="1" si="2"/>
        <v>88.027969425062011</v>
      </c>
      <c r="E17" s="2">
        <f t="shared" ca="1" si="3"/>
        <v>16</v>
      </c>
      <c r="F17" s="1">
        <f t="shared" ca="1" si="4"/>
        <v>41.027969425062011</v>
      </c>
      <c r="G17" s="1">
        <f t="shared" ca="1" si="5"/>
        <v>47</v>
      </c>
      <c r="H17" s="1"/>
      <c r="I17">
        <f t="shared" ca="1" si="6"/>
        <v>2.7725887222397811</v>
      </c>
    </row>
    <row r="18" spans="1:9" x14ac:dyDescent="0.25">
      <c r="A18" t="s">
        <v>24</v>
      </c>
      <c r="B18" s="3">
        <f t="shared" ca="1" si="0"/>
        <v>44124</v>
      </c>
      <c r="C18" s="1">
        <f t="shared" ca="1" si="1"/>
        <v>1549.1300791877243</v>
      </c>
      <c r="D18" s="1">
        <f t="shared" ca="1" si="2"/>
        <v>119.16385224520957</v>
      </c>
      <c r="E18" s="2">
        <f t="shared" ca="1" si="3"/>
        <v>13</v>
      </c>
      <c r="F18" s="1">
        <f t="shared" ca="1" si="4"/>
        <v>49.163852245209561</v>
      </c>
      <c r="G18" s="1">
        <f t="shared" ca="1" si="5"/>
        <v>70</v>
      </c>
      <c r="H18" s="1"/>
      <c r="I18">
        <f t="shared" ca="1" si="6"/>
        <v>2.5649493574615367</v>
      </c>
    </row>
    <row r="19" spans="1:9" x14ac:dyDescent="0.25">
      <c r="A19" t="s">
        <v>19</v>
      </c>
      <c r="B19" s="3">
        <f t="shared" ca="1" si="0"/>
        <v>41334</v>
      </c>
      <c r="C19" s="1">
        <f t="shared" ca="1" si="1"/>
        <v>10079.738373747936</v>
      </c>
      <c r="D19" s="1">
        <f t="shared" ca="1" si="2"/>
        <v>86.151610032033645</v>
      </c>
      <c r="E19" s="2">
        <f t="shared" ca="1" si="3"/>
        <v>117</v>
      </c>
      <c r="F19" s="1">
        <f t="shared" ca="1" si="4"/>
        <v>37.151610032033645</v>
      </c>
      <c r="G19" s="1">
        <f t="shared" ca="1" si="5"/>
        <v>49</v>
      </c>
      <c r="H19" s="1"/>
      <c r="I19">
        <f t="shared" ca="1" si="6"/>
        <v>4.7621739347977563</v>
      </c>
    </row>
    <row r="20" spans="1:9" x14ac:dyDescent="0.25">
      <c r="A20" t="s">
        <v>25</v>
      </c>
      <c r="B20" s="3">
        <f t="shared" ca="1" si="0"/>
        <v>41238</v>
      </c>
      <c r="C20" s="1">
        <f t="shared" ca="1" si="1"/>
        <v>1157.2183809479563</v>
      </c>
      <c r="D20" s="1">
        <f t="shared" ca="1" si="2"/>
        <v>128.57982010532848</v>
      </c>
      <c r="E20" s="2">
        <f t="shared" ca="1" si="3"/>
        <v>9</v>
      </c>
      <c r="F20" s="1">
        <f t="shared" ca="1" si="4"/>
        <v>72.57982010532848</v>
      </c>
      <c r="G20" s="1">
        <f t="shared" ca="1" si="5"/>
        <v>56</v>
      </c>
      <c r="H20" s="1"/>
      <c r="I20">
        <f t="shared" ca="1" si="6"/>
        <v>2.1972245773362196</v>
      </c>
    </row>
    <row r="21" spans="1:9" x14ac:dyDescent="0.25">
      <c r="A21" t="s">
        <v>26</v>
      </c>
      <c r="B21" s="3">
        <f t="shared" ca="1" si="0"/>
        <v>42192</v>
      </c>
      <c r="C21" s="1">
        <f t="shared" ca="1" si="1"/>
        <v>4893.4317383883999</v>
      </c>
      <c r="D21" s="1">
        <f t="shared" ca="1" si="2"/>
        <v>212.75790166906089</v>
      </c>
      <c r="E21" s="2">
        <f t="shared" ca="1" si="3"/>
        <v>23</v>
      </c>
      <c r="F21" s="1">
        <f t="shared" ca="1" si="4"/>
        <v>122.75790166906089</v>
      </c>
      <c r="G21" s="1">
        <f t="shared" ca="1" si="5"/>
        <v>90</v>
      </c>
      <c r="H21" s="1"/>
      <c r="I21">
        <f t="shared" ca="1" si="6"/>
        <v>3.1354942159291497</v>
      </c>
    </row>
    <row r="22" spans="1:9" x14ac:dyDescent="0.25">
      <c r="A22" t="s">
        <v>26</v>
      </c>
      <c r="B22" s="3">
        <f t="shared" ca="1" si="0"/>
        <v>43699</v>
      </c>
      <c r="C22" s="1">
        <f t="shared" ca="1" si="1"/>
        <v>984.33564749417656</v>
      </c>
      <c r="D22" s="1">
        <f t="shared" ca="1" si="2"/>
        <v>54.685313749676475</v>
      </c>
      <c r="E22" s="2">
        <f t="shared" ca="1" si="3"/>
        <v>18</v>
      </c>
      <c r="F22" s="1">
        <f t="shared" ca="1" si="4"/>
        <v>28.685313749676475</v>
      </c>
      <c r="G22" s="1">
        <f t="shared" ca="1" si="5"/>
        <v>26</v>
      </c>
      <c r="H22" s="1"/>
      <c r="I22">
        <f t="shared" ca="1" si="6"/>
        <v>2.8903717578961645</v>
      </c>
    </row>
    <row r="23" spans="1:9" x14ac:dyDescent="0.25">
      <c r="A23" t="s">
        <v>21</v>
      </c>
      <c r="B23" s="3">
        <f t="shared" ca="1" si="0"/>
        <v>41823</v>
      </c>
      <c r="C23" s="1">
        <f t="shared" ca="1" si="1"/>
        <v>589.25653349125889</v>
      </c>
      <c r="D23" s="1">
        <f t="shared" ca="1" si="2"/>
        <v>84.17950478446555</v>
      </c>
      <c r="E23" s="2">
        <f t="shared" ca="1" si="3"/>
        <v>7</v>
      </c>
      <c r="F23" s="1">
        <f t="shared" ca="1" si="4"/>
        <v>38.17950478446555</v>
      </c>
      <c r="G23" s="1">
        <f t="shared" ca="1" si="5"/>
        <v>46</v>
      </c>
      <c r="H23" s="1"/>
      <c r="I23">
        <f t="shared" ca="1" si="6"/>
        <v>1.9459101490553132</v>
      </c>
    </row>
    <row r="24" spans="1:9" x14ac:dyDescent="0.25">
      <c r="A24" t="s">
        <v>27</v>
      </c>
      <c r="B24" s="3">
        <f t="shared" ca="1" si="0"/>
        <v>41512</v>
      </c>
      <c r="C24" s="1">
        <f t="shared" ca="1" si="1"/>
        <v>3599.2807272741111</v>
      </c>
      <c r="D24" s="1">
        <f t="shared" ca="1" si="2"/>
        <v>163.60366942155051</v>
      </c>
      <c r="E24" s="2">
        <f t="shared" ca="1" si="3"/>
        <v>22</v>
      </c>
      <c r="F24" s="1">
        <f t="shared" ca="1" si="4"/>
        <v>89.603669421550507</v>
      </c>
      <c r="G24" s="1">
        <f t="shared" ca="1" si="5"/>
        <v>74</v>
      </c>
      <c r="H24" s="1"/>
      <c r="I24">
        <f t="shared" ca="1" si="6"/>
        <v>3.0910424533583161</v>
      </c>
    </row>
    <row r="25" spans="1:9" x14ac:dyDescent="0.25">
      <c r="A25" t="s">
        <v>28</v>
      </c>
      <c r="B25" s="3">
        <f t="shared" ca="1" si="0"/>
        <v>42868</v>
      </c>
      <c r="C25" s="1">
        <f t="shared" ca="1" si="1"/>
        <v>2747.3649381209298</v>
      </c>
      <c r="D25" s="1">
        <f t="shared" ca="1" si="2"/>
        <v>68.684123453023247</v>
      </c>
      <c r="E25" s="2">
        <f t="shared" ca="1" si="3"/>
        <v>40</v>
      </c>
      <c r="F25" s="1">
        <f t="shared" ca="1" si="4"/>
        <v>31.684123453023243</v>
      </c>
      <c r="G25" s="1">
        <f t="shared" ca="1" si="5"/>
        <v>37</v>
      </c>
      <c r="H25" s="1"/>
      <c r="I25">
        <f t="shared" ca="1" si="6"/>
        <v>3.6888794541139363</v>
      </c>
    </row>
    <row r="26" spans="1:9" x14ac:dyDescent="0.25">
      <c r="A26" t="s">
        <v>29</v>
      </c>
      <c r="B26" s="3">
        <f t="shared" ca="1" si="0"/>
        <v>41340</v>
      </c>
      <c r="C26" s="1">
        <f t="shared" ca="1" si="1"/>
        <v>16535.650696537446</v>
      </c>
      <c r="D26" s="1">
        <f t="shared" ca="1" si="2"/>
        <v>172.24636142226507</v>
      </c>
      <c r="E26" s="2">
        <f t="shared" ca="1" si="3"/>
        <v>96</v>
      </c>
      <c r="F26" s="1">
        <f t="shared" ca="1" si="4"/>
        <v>69.246361422265082</v>
      </c>
      <c r="G26" s="1">
        <f t="shared" ca="1" si="5"/>
        <v>103</v>
      </c>
      <c r="H26" s="1"/>
      <c r="I26">
        <f t="shared" ca="1" si="6"/>
        <v>4.5643481914678361</v>
      </c>
    </row>
    <row r="27" spans="1:9" x14ac:dyDescent="0.25">
      <c r="A27" t="s">
        <v>28</v>
      </c>
      <c r="B27" s="3">
        <f t="shared" ca="1" si="0"/>
        <v>43562</v>
      </c>
      <c r="C27" s="1">
        <f t="shared" ca="1" si="1"/>
        <v>6545.8064985081537</v>
      </c>
      <c r="D27" s="1">
        <f t="shared" ca="1" si="2"/>
        <v>128.34914702957164</v>
      </c>
      <c r="E27" s="2">
        <f t="shared" ca="1" si="3"/>
        <v>51</v>
      </c>
      <c r="F27" s="1">
        <f t="shared" ca="1" si="4"/>
        <v>52.349147029571647</v>
      </c>
      <c r="G27" s="1">
        <f t="shared" ca="1" si="5"/>
        <v>76</v>
      </c>
      <c r="H27" s="1"/>
      <c r="I27">
        <f t="shared" ca="1" si="6"/>
        <v>3.9318256327243257</v>
      </c>
    </row>
    <row r="28" spans="1:9" x14ac:dyDescent="0.25">
      <c r="A28" t="s">
        <v>29</v>
      </c>
      <c r="B28" s="3">
        <f t="shared" ca="1" si="0"/>
        <v>41466</v>
      </c>
      <c r="C28" s="1">
        <f t="shared" ca="1" si="1"/>
        <v>3060.4715897877086</v>
      </c>
      <c r="D28" s="1">
        <f t="shared" ca="1" si="2"/>
        <v>153.02357948938544</v>
      </c>
      <c r="E28" s="2">
        <f t="shared" ca="1" si="3"/>
        <v>20</v>
      </c>
      <c r="F28" s="1">
        <f t="shared" ca="1" si="4"/>
        <v>62.023579489385426</v>
      </c>
      <c r="G28" s="1">
        <f t="shared" ca="1" si="5"/>
        <v>91</v>
      </c>
      <c r="H28" s="1"/>
      <c r="I28">
        <f t="shared" ca="1" si="6"/>
        <v>2.9957322735539909</v>
      </c>
    </row>
    <row r="29" spans="1:9" x14ac:dyDescent="0.25">
      <c r="A29" t="s">
        <v>28</v>
      </c>
      <c r="B29" s="3">
        <f t="shared" ca="1" si="0"/>
        <v>44059</v>
      </c>
      <c r="C29" s="1">
        <f t="shared" ca="1" si="1"/>
        <v>2107.7690391452638</v>
      </c>
      <c r="D29" s="1">
        <f t="shared" ca="1" si="2"/>
        <v>150.55493136751883</v>
      </c>
      <c r="E29" s="2">
        <f t="shared" ca="1" si="3"/>
        <v>14</v>
      </c>
      <c r="F29" s="1">
        <f t="shared" ca="1" si="4"/>
        <v>84.554931367518833</v>
      </c>
      <c r="G29" s="1">
        <f t="shared" ca="1" si="5"/>
        <v>66</v>
      </c>
      <c r="H29" s="1"/>
      <c r="I29">
        <f t="shared" ca="1" si="6"/>
        <v>2.6390573296152584</v>
      </c>
    </row>
    <row r="30" spans="1:9" x14ac:dyDescent="0.25">
      <c r="A30" t="s">
        <v>30</v>
      </c>
      <c r="B30" s="3">
        <f t="shared" ca="1" si="0"/>
        <v>42380</v>
      </c>
      <c r="C30" s="1">
        <f t="shared" ca="1" si="1"/>
        <v>9305.2434119446643</v>
      </c>
      <c r="D30" s="1">
        <f t="shared" ca="1" si="2"/>
        <v>265.86409748413325</v>
      </c>
      <c r="E30" s="2">
        <f t="shared" ca="1" si="3"/>
        <v>35</v>
      </c>
      <c r="F30" s="1">
        <f t="shared" ca="1" si="4"/>
        <v>108.86409748413327</v>
      </c>
      <c r="G30" s="1">
        <f t="shared" ca="1" si="5"/>
        <v>157</v>
      </c>
      <c r="H30" s="1"/>
      <c r="I30">
        <f t="shared" ca="1" si="6"/>
        <v>3.5553480614894135</v>
      </c>
    </row>
    <row r="31" spans="1:9" x14ac:dyDescent="0.25">
      <c r="A31" t="s">
        <v>31</v>
      </c>
      <c r="B31" s="3">
        <f t="shared" ca="1" si="0"/>
        <v>43091</v>
      </c>
      <c r="C31" s="1">
        <f t="shared" ca="1" si="1"/>
        <v>4727.1514098350044</v>
      </c>
      <c r="D31" s="1">
        <f t="shared" ca="1" si="2"/>
        <v>236.35757049175021</v>
      </c>
      <c r="E31" s="2">
        <f t="shared" ca="1" si="3"/>
        <v>20</v>
      </c>
      <c r="F31" s="1">
        <f t="shared" ca="1" si="4"/>
        <v>100.35757049175021</v>
      </c>
      <c r="G31" s="1">
        <f t="shared" ca="1" si="5"/>
        <v>136</v>
      </c>
      <c r="H31" s="1"/>
      <c r="I31">
        <f t="shared" ca="1" si="6"/>
        <v>2.9957322735539909</v>
      </c>
    </row>
    <row r="32" spans="1:9" x14ac:dyDescent="0.25">
      <c r="A32" t="s">
        <v>32</v>
      </c>
      <c r="B32" s="3">
        <f t="shared" ca="1" si="0"/>
        <v>42238</v>
      </c>
      <c r="C32" s="1">
        <f t="shared" ca="1" si="1"/>
        <v>4546.7838986085471</v>
      </c>
      <c r="D32" s="1">
        <f t="shared" ca="1" si="2"/>
        <v>89.152625462912695</v>
      </c>
      <c r="E32" s="2">
        <f t="shared" ca="1" si="3"/>
        <v>51</v>
      </c>
      <c r="F32" s="1">
        <f t="shared" ca="1" si="4"/>
        <v>36.152625462912695</v>
      </c>
      <c r="G32" s="1">
        <f t="shared" ca="1" si="5"/>
        <v>53</v>
      </c>
      <c r="H32" s="1"/>
      <c r="I32">
        <f t="shared" ca="1" si="6"/>
        <v>3.9318256327243257</v>
      </c>
    </row>
    <row r="33" spans="1:9" x14ac:dyDescent="0.25">
      <c r="A33" t="s">
        <v>24</v>
      </c>
      <c r="B33" s="3">
        <f t="shared" ca="1" si="0"/>
        <v>40232</v>
      </c>
      <c r="C33" s="1">
        <f t="shared" ca="1" si="1"/>
        <v>2344.6894319149883</v>
      </c>
      <c r="D33" s="1">
        <f t="shared" ca="1" si="2"/>
        <v>45.974302586568399</v>
      </c>
      <c r="E33" s="2">
        <f t="shared" ca="1" si="3"/>
        <v>51</v>
      </c>
      <c r="F33" s="1">
        <f t="shared" ca="1" si="4"/>
        <v>25.974302586568403</v>
      </c>
      <c r="G33" s="1">
        <f t="shared" ca="1" si="5"/>
        <v>20</v>
      </c>
      <c r="H33" s="1"/>
      <c r="I33">
        <f t="shared" ca="1" si="6"/>
        <v>3.9318256327243257</v>
      </c>
    </row>
    <row r="34" spans="1:9" x14ac:dyDescent="0.25">
      <c r="A34" t="s">
        <v>33</v>
      </c>
      <c r="B34" s="3">
        <f t="shared" ca="1" si="0"/>
        <v>43962</v>
      </c>
      <c r="C34" s="1">
        <f t="shared" ca="1" si="1"/>
        <v>2338.3834487827544</v>
      </c>
      <c r="D34" s="1">
        <f t="shared" ca="1" si="2"/>
        <v>116.91917243913772</v>
      </c>
      <c r="E34" s="2">
        <f t="shared" ca="1" si="3"/>
        <v>20</v>
      </c>
      <c r="F34" s="1">
        <f t="shared" ca="1" si="4"/>
        <v>63.919172439137732</v>
      </c>
      <c r="G34" s="1">
        <f t="shared" ca="1" si="5"/>
        <v>53</v>
      </c>
      <c r="H34" s="1"/>
      <c r="I34">
        <f t="shared" ca="1" si="6"/>
        <v>2.9957322735539909</v>
      </c>
    </row>
    <row r="35" spans="1:9" x14ac:dyDescent="0.25">
      <c r="A35" t="s">
        <v>34</v>
      </c>
      <c r="B35" s="3">
        <f t="shared" ca="1" si="0"/>
        <v>42262</v>
      </c>
      <c r="C35" s="1">
        <f t="shared" ca="1" si="1"/>
        <v>164.26768216179471</v>
      </c>
      <c r="D35" s="1">
        <f t="shared" ca="1" si="2"/>
        <v>82.133841080897355</v>
      </c>
      <c r="E35" s="2">
        <f t="shared" ca="1" si="3"/>
        <v>2</v>
      </c>
      <c r="F35" s="1">
        <f t="shared" ca="1" si="4"/>
        <v>35.133841080897355</v>
      </c>
      <c r="G35" s="1">
        <f t="shared" ca="1" si="5"/>
        <v>47</v>
      </c>
      <c r="H35" s="1"/>
      <c r="I35">
        <f t="shared" ca="1" si="6"/>
        <v>0.69314718055994529</v>
      </c>
    </row>
    <row r="36" spans="1:9" x14ac:dyDescent="0.25">
      <c r="A36" t="s">
        <v>35</v>
      </c>
      <c r="B36" s="3">
        <f t="shared" ca="1" si="0"/>
        <v>43870</v>
      </c>
      <c r="C36" s="1">
        <f t="shared" ca="1" si="1"/>
        <v>4972.3132562788896</v>
      </c>
      <c r="D36" s="1">
        <f t="shared" ca="1" si="2"/>
        <v>121.27593307997292</v>
      </c>
      <c r="E36" s="2">
        <f t="shared" ca="1" si="3"/>
        <v>41</v>
      </c>
      <c r="F36" s="1">
        <f t="shared" ca="1" si="4"/>
        <v>49.275933079972916</v>
      </c>
      <c r="G36" s="1">
        <f t="shared" ca="1" si="5"/>
        <v>72</v>
      </c>
      <c r="H36" s="1"/>
      <c r="I36">
        <f t="shared" ca="1" si="6"/>
        <v>3.713572066704308</v>
      </c>
    </row>
    <row r="37" spans="1:9" x14ac:dyDescent="0.25">
      <c r="A37" t="s">
        <v>28</v>
      </c>
      <c r="B37" s="3">
        <f t="shared" ca="1" si="0"/>
        <v>40882</v>
      </c>
      <c r="C37" s="1">
        <f t="shared" ca="1" si="1"/>
        <v>13008.453612177282</v>
      </c>
      <c r="D37" s="1">
        <f t="shared" ca="1" si="2"/>
        <v>175.78991367807137</v>
      </c>
      <c r="E37" s="2">
        <f t="shared" ca="1" si="3"/>
        <v>74</v>
      </c>
      <c r="F37" s="1">
        <f t="shared" ca="1" si="4"/>
        <v>82.789913678071372</v>
      </c>
      <c r="G37" s="1">
        <f t="shared" ca="1" si="5"/>
        <v>93</v>
      </c>
      <c r="H37" s="1"/>
      <c r="I37">
        <f t="shared" ca="1" si="6"/>
        <v>4.3040650932041702</v>
      </c>
    </row>
    <row r="38" spans="1:9" x14ac:dyDescent="0.25">
      <c r="A38" t="s">
        <v>31</v>
      </c>
      <c r="B38" s="3">
        <f t="shared" ca="1" si="0"/>
        <v>43963</v>
      </c>
      <c r="C38" s="1">
        <f t="shared" ca="1" si="1"/>
        <v>884.69671838533407</v>
      </c>
      <c r="D38" s="1">
        <f t="shared" ca="1" si="2"/>
        <v>68.053593721948772</v>
      </c>
      <c r="E38" s="2">
        <f t="shared" ca="1" si="3"/>
        <v>13</v>
      </c>
      <c r="F38" s="1">
        <f t="shared" ca="1" si="4"/>
        <v>35.053593721948772</v>
      </c>
      <c r="G38" s="1">
        <f t="shared" ca="1" si="5"/>
        <v>33</v>
      </c>
      <c r="H38" s="1"/>
      <c r="I38">
        <f t="shared" ca="1" si="6"/>
        <v>2.5649493574615367</v>
      </c>
    </row>
    <row r="39" spans="1:9" x14ac:dyDescent="0.25">
      <c r="A39" t="s">
        <v>27</v>
      </c>
      <c r="B39" s="3">
        <f t="shared" ca="1" si="0"/>
        <v>42807</v>
      </c>
      <c r="C39" s="1">
        <f t="shared" ca="1" si="1"/>
        <v>2060.7571640456899</v>
      </c>
      <c r="D39" s="1">
        <f t="shared" ca="1" si="2"/>
        <v>171.72976367047414</v>
      </c>
      <c r="E39" s="2">
        <f t="shared" ca="1" si="3"/>
        <v>12</v>
      </c>
      <c r="F39" s="1">
        <f t="shared" ca="1" si="4"/>
        <v>88.729763670474128</v>
      </c>
      <c r="G39" s="1">
        <f t="shared" ca="1" si="5"/>
        <v>83</v>
      </c>
      <c r="H39" s="1"/>
      <c r="I39">
        <f t="shared" ca="1" si="6"/>
        <v>2.4849066497880004</v>
      </c>
    </row>
    <row r="40" spans="1:9" x14ac:dyDescent="0.25">
      <c r="A40" t="s">
        <v>30</v>
      </c>
      <c r="B40" s="3">
        <f t="shared" ca="1" si="0"/>
        <v>42873</v>
      </c>
      <c r="C40" s="1">
        <f t="shared" ca="1" si="1"/>
        <v>1927.6831851376153</v>
      </c>
      <c r="D40" s="1">
        <f t="shared" ca="1" si="2"/>
        <v>60.240099535550478</v>
      </c>
      <c r="E40" s="2">
        <f t="shared" ca="1" si="3"/>
        <v>32</v>
      </c>
      <c r="F40" s="1">
        <f t="shared" ca="1" si="4"/>
        <v>38.240099535550478</v>
      </c>
      <c r="G40" s="1">
        <f t="shared" ca="1" si="5"/>
        <v>22</v>
      </c>
      <c r="H40" s="1"/>
      <c r="I40">
        <f t="shared" ca="1" si="6"/>
        <v>3.4657359027997265</v>
      </c>
    </row>
    <row r="41" spans="1:9" x14ac:dyDescent="0.25">
      <c r="A41" t="s">
        <v>29</v>
      </c>
      <c r="B41" s="3">
        <f t="shared" ca="1" si="0"/>
        <v>40518</v>
      </c>
      <c r="C41" s="1">
        <f t="shared" ca="1" si="1"/>
        <v>1479.0115030537547</v>
      </c>
      <c r="D41" s="1">
        <f t="shared" ca="1" si="2"/>
        <v>147.90115030537547</v>
      </c>
      <c r="E41" s="2">
        <f t="shared" ca="1" si="3"/>
        <v>10</v>
      </c>
      <c r="F41" s="1">
        <f t="shared" ca="1" si="4"/>
        <v>72.901150305375467</v>
      </c>
      <c r="G41" s="1">
        <f t="shared" ca="1" si="5"/>
        <v>75</v>
      </c>
      <c r="H41" s="1"/>
      <c r="I41">
        <f t="shared" ca="1" si="6"/>
        <v>2.3025850929940459</v>
      </c>
    </row>
    <row r="42" spans="1:9" x14ac:dyDescent="0.25">
      <c r="A42" t="s">
        <v>36</v>
      </c>
      <c r="B42" s="3">
        <f t="shared" ca="1" si="0"/>
        <v>40926</v>
      </c>
      <c r="C42" s="1">
        <f t="shared" ca="1" si="1"/>
        <v>1882.2941496949836</v>
      </c>
      <c r="D42" s="1">
        <f t="shared" ca="1" si="2"/>
        <v>144.7918576688449</v>
      </c>
      <c r="E42" s="2">
        <f t="shared" ca="1" si="3"/>
        <v>13</v>
      </c>
      <c r="F42" s="1">
        <f t="shared" ca="1" si="4"/>
        <v>70.791857668844912</v>
      </c>
      <c r="G42" s="1">
        <f t="shared" ca="1" si="5"/>
        <v>74</v>
      </c>
      <c r="H42" s="1"/>
      <c r="I42">
        <f t="shared" ca="1" si="6"/>
        <v>2.5649493574615367</v>
      </c>
    </row>
    <row r="43" spans="1:9" x14ac:dyDescent="0.25">
      <c r="A43" t="s">
        <v>31</v>
      </c>
      <c r="B43" s="3">
        <f t="shared" ca="1" si="0"/>
        <v>41731</v>
      </c>
      <c r="C43" s="1">
        <f t="shared" ca="1" si="1"/>
        <v>7077.3726686375921</v>
      </c>
      <c r="D43" s="1">
        <f t="shared" ca="1" si="2"/>
        <v>101.10532383767989</v>
      </c>
      <c r="E43" s="2">
        <f t="shared" ca="1" si="3"/>
        <v>70</v>
      </c>
      <c r="F43" s="1">
        <f t="shared" ca="1" si="4"/>
        <v>50.105323837679897</v>
      </c>
      <c r="G43" s="1">
        <f t="shared" ca="1" si="5"/>
        <v>51</v>
      </c>
      <c r="H43" s="1"/>
      <c r="I43">
        <f t="shared" ca="1" si="6"/>
        <v>4.2484952420493594</v>
      </c>
    </row>
    <row r="44" spans="1:9" x14ac:dyDescent="0.25">
      <c r="A44" t="s">
        <v>37</v>
      </c>
      <c r="B44" s="3">
        <f t="shared" ca="1" si="0"/>
        <v>42986</v>
      </c>
      <c r="C44" s="1">
        <f t="shared" ca="1" si="1"/>
        <v>1813.6795539771438</v>
      </c>
      <c r="D44" s="1">
        <f t="shared" ca="1" si="2"/>
        <v>75.569981415714324</v>
      </c>
      <c r="E44" s="2">
        <f t="shared" ca="1" si="3"/>
        <v>24</v>
      </c>
      <c r="F44" s="1">
        <f t="shared" ca="1" si="4"/>
        <v>35.569981415714324</v>
      </c>
      <c r="G44" s="1">
        <f t="shared" ca="1" si="5"/>
        <v>40</v>
      </c>
      <c r="H44" s="1"/>
      <c r="I44">
        <f t="shared" ca="1" si="6"/>
        <v>3.1780538303479458</v>
      </c>
    </row>
    <row r="45" spans="1:9" x14ac:dyDescent="0.25">
      <c r="A45" t="s">
        <v>37</v>
      </c>
      <c r="B45" s="3">
        <f t="shared" ca="1" si="0"/>
        <v>40938</v>
      </c>
      <c r="C45" s="1">
        <f t="shared" ca="1" si="1"/>
        <v>1049.7772500884269</v>
      </c>
      <c r="D45" s="1">
        <f t="shared" ca="1" si="2"/>
        <v>95.434295462584259</v>
      </c>
      <c r="E45" s="2">
        <f t="shared" ca="1" si="3"/>
        <v>11</v>
      </c>
      <c r="F45" s="1">
        <f t="shared" ca="1" si="4"/>
        <v>44.434295462584267</v>
      </c>
      <c r="G45" s="1">
        <f t="shared" ca="1" si="5"/>
        <v>51</v>
      </c>
      <c r="H45" s="1"/>
      <c r="I45">
        <f t="shared" ca="1" si="6"/>
        <v>2.3978952727983707</v>
      </c>
    </row>
    <row r="46" spans="1:9" x14ac:dyDescent="0.25">
      <c r="A46" t="s">
        <v>33</v>
      </c>
      <c r="B46" s="3">
        <f t="shared" ca="1" si="0"/>
        <v>41896</v>
      </c>
      <c r="C46" s="1">
        <f t="shared" ca="1" si="1"/>
        <v>1019.8370454544386</v>
      </c>
      <c r="D46" s="1">
        <f t="shared" ca="1" si="2"/>
        <v>92.712458677676238</v>
      </c>
      <c r="E46" s="2">
        <f t="shared" ca="1" si="3"/>
        <v>11</v>
      </c>
      <c r="F46" s="1">
        <f t="shared" ca="1" si="4"/>
        <v>44.712458677676246</v>
      </c>
      <c r="G46" s="1">
        <f t="shared" ca="1" si="5"/>
        <v>48</v>
      </c>
      <c r="H46" s="1"/>
      <c r="I46">
        <f t="shared" ca="1" si="6"/>
        <v>2.3978952727983707</v>
      </c>
    </row>
    <row r="47" spans="1:9" x14ac:dyDescent="0.25">
      <c r="A47" t="s">
        <v>28</v>
      </c>
      <c r="B47" s="3">
        <f t="shared" ca="1" si="0"/>
        <v>43766</v>
      </c>
      <c r="C47" s="1">
        <f t="shared" ca="1" si="1"/>
        <v>1765.8891087234297</v>
      </c>
      <c r="D47" s="1">
        <f t="shared" ca="1" si="2"/>
        <v>98.104950484634983</v>
      </c>
      <c r="E47" s="2">
        <f t="shared" ca="1" si="3"/>
        <v>18</v>
      </c>
      <c r="F47" s="1">
        <f t="shared" ca="1" si="4"/>
        <v>43.104950484634983</v>
      </c>
      <c r="G47" s="1">
        <f t="shared" ca="1" si="5"/>
        <v>55</v>
      </c>
      <c r="H47" s="1"/>
      <c r="I47">
        <f t="shared" ca="1" si="6"/>
        <v>2.8903717578961645</v>
      </c>
    </row>
    <row r="48" spans="1:9" x14ac:dyDescent="0.25">
      <c r="A48" t="s">
        <v>31</v>
      </c>
      <c r="B48" s="3">
        <f t="shared" ca="1" si="0"/>
        <v>40558</v>
      </c>
      <c r="C48" s="1">
        <f t="shared" ca="1" si="1"/>
        <v>182.60685541628354</v>
      </c>
      <c r="D48" s="1">
        <f t="shared" ca="1" si="2"/>
        <v>182.60685541628354</v>
      </c>
      <c r="E48" s="2">
        <f t="shared" ca="1" si="3"/>
        <v>1</v>
      </c>
      <c r="F48" s="1">
        <f t="shared" ca="1" si="4"/>
        <v>78.606855416283537</v>
      </c>
      <c r="G48" s="1">
        <f t="shared" ca="1" si="5"/>
        <v>104</v>
      </c>
      <c r="H48" s="1"/>
      <c r="I48">
        <f t="shared" ca="1" si="6"/>
        <v>0</v>
      </c>
    </row>
    <row r="49" spans="1:9" x14ac:dyDescent="0.25">
      <c r="A49" t="s">
        <v>22</v>
      </c>
      <c r="B49" s="3">
        <f t="shared" ca="1" si="0"/>
        <v>43075</v>
      </c>
      <c r="C49" s="1">
        <f t="shared" ca="1" si="1"/>
        <v>4629.3256850417174</v>
      </c>
      <c r="D49" s="1">
        <f t="shared" ca="1" si="2"/>
        <v>100.63751489221124</v>
      </c>
      <c r="E49" s="2">
        <f t="shared" ca="1" si="3"/>
        <v>46</v>
      </c>
      <c r="F49" s="1">
        <f t="shared" ca="1" si="4"/>
        <v>66.637514892211243</v>
      </c>
      <c r="G49" s="1">
        <f t="shared" ca="1" si="5"/>
        <v>34</v>
      </c>
      <c r="H49" s="1"/>
      <c r="I49">
        <f t="shared" ca="1" si="6"/>
        <v>3.8286413964890951</v>
      </c>
    </row>
    <row r="50" spans="1:9" x14ac:dyDescent="0.25">
      <c r="A50" t="s">
        <v>38</v>
      </c>
      <c r="B50" s="3">
        <f t="shared" ca="1" si="0"/>
        <v>40703</v>
      </c>
      <c r="C50" s="1">
        <f t="shared" ca="1" si="1"/>
        <v>13364.286090841952</v>
      </c>
      <c r="D50" s="1">
        <f t="shared" ca="1" si="2"/>
        <v>110.4486453788591</v>
      </c>
      <c r="E50" s="2">
        <f t="shared" ca="1" si="3"/>
        <v>121</v>
      </c>
      <c r="F50" s="1">
        <f t="shared" ca="1" si="4"/>
        <v>64.448645378859098</v>
      </c>
      <c r="G50" s="1">
        <f t="shared" ca="1" si="5"/>
        <v>46</v>
      </c>
      <c r="H50" s="1"/>
      <c r="I50">
        <f t="shared" ca="1" si="6"/>
        <v>4.7957905455967413</v>
      </c>
    </row>
    <row r="51" spans="1:9" x14ac:dyDescent="0.25">
      <c r="A51" t="s">
        <v>18</v>
      </c>
      <c r="B51" s="3">
        <f t="shared" ca="1" si="0"/>
        <v>41144</v>
      </c>
      <c r="C51" s="1">
        <f t="shared" ca="1" si="1"/>
        <v>1562.6254330328834</v>
      </c>
      <c r="D51" s="1">
        <f t="shared" ca="1" si="2"/>
        <v>97.664089564555212</v>
      </c>
      <c r="E51" s="2">
        <f t="shared" ca="1" si="3"/>
        <v>16</v>
      </c>
      <c r="F51" s="1">
        <f t="shared" ca="1" si="4"/>
        <v>58.664089564555212</v>
      </c>
      <c r="G51" s="1">
        <f t="shared" ca="1" si="5"/>
        <v>39</v>
      </c>
      <c r="H51" s="1"/>
      <c r="I51">
        <f t="shared" ca="1" si="6"/>
        <v>2.7725887222397811</v>
      </c>
    </row>
    <row r="52" spans="1:9" x14ac:dyDescent="0.25">
      <c r="A52" t="s">
        <v>30</v>
      </c>
      <c r="B52" s="3">
        <f t="shared" ca="1" si="0"/>
        <v>42049</v>
      </c>
      <c r="C52" s="1">
        <f t="shared" ca="1" si="1"/>
        <v>14294.959513035616</v>
      </c>
      <c r="D52" s="1">
        <f t="shared" ca="1" si="2"/>
        <v>213.35760467217338</v>
      </c>
      <c r="E52" s="2">
        <f t="shared" ca="1" si="3"/>
        <v>67</v>
      </c>
      <c r="F52" s="1">
        <f t="shared" ca="1" si="4"/>
        <v>108.35760467217338</v>
      </c>
      <c r="G52" s="1">
        <f t="shared" ca="1" si="5"/>
        <v>105</v>
      </c>
      <c r="H52" s="1"/>
      <c r="I52">
        <f t="shared" ca="1" si="6"/>
        <v>4.2046926193909657</v>
      </c>
    </row>
    <row r="53" spans="1:9" x14ac:dyDescent="0.25">
      <c r="A53" t="s">
        <v>29</v>
      </c>
      <c r="B53" s="3">
        <f t="shared" ca="1" si="0"/>
        <v>41524</v>
      </c>
      <c r="C53" s="1">
        <f t="shared" ca="1" si="1"/>
        <v>2268.5855061543812</v>
      </c>
      <c r="D53" s="1">
        <f t="shared" ca="1" si="2"/>
        <v>226.85855061543811</v>
      </c>
      <c r="E53" s="2">
        <f t="shared" ca="1" si="3"/>
        <v>10</v>
      </c>
      <c r="F53" s="1">
        <f t="shared" ca="1" si="4"/>
        <v>102.85855061543809</v>
      </c>
      <c r="G53" s="1">
        <f t="shared" ca="1" si="5"/>
        <v>124</v>
      </c>
      <c r="H53" s="1"/>
      <c r="I53">
        <f t="shared" ca="1" si="6"/>
        <v>2.3025850929940459</v>
      </c>
    </row>
    <row r="54" spans="1:9" x14ac:dyDescent="0.25">
      <c r="A54" t="s">
        <v>19</v>
      </c>
      <c r="B54" s="3">
        <f t="shared" ca="1" si="0"/>
        <v>43854</v>
      </c>
      <c r="C54" s="1">
        <f t="shared" ca="1" si="1"/>
        <v>1323.4324643258558</v>
      </c>
      <c r="D54" s="1">
        <f t="shared" ca="1" si="2"/>
        <v>77.848968489756217</v>
      </c>
      <c r="E54" s="2">
        <f t="shared" ca="1" si="3"/>
        <v>17</v>
      </c>
      <c r="F54" s="1">
        <f t="shared" ca="1" si="4"/>
        <v>46.848968489756217</v>
      </c>
      <c r="G54" s="1">
        <f t="shared" ca="1" si="5"/>
        <v>31</v>
      </c>
      <c r="H54" s="1"/>
      <c r="I54">
        <f t="shared" ca="1" si="6"/>
        <v>2.8332133440562162</v>
      </c>
    </row>
    <row r="55" spans="1:9" x14ac:dyDescent="0.25">
      <c r="A55" t="s">
        <v>27</v>
      </c>
      <c r="B55" s="3">
        <f t="shared" ca="1" si="0"/>
        <v>43819</v>
      </c>
      <c r="C55" s="1">
        <f t="shared" ca="1" si="1"/>
        <v>3235.5586416004694</v>
      </c>
      <c r="D55" s="1">
        <f t="shared" ca="1" si="2"/>
        <v>78.916064429279743</v>
      </c>
      <c r="E55" s="2">
        <f t="shared" ca="1" si="3"/>
        <v>41</v>
      </c>
      <c r="F55" s="1">
        <f t="shared" ca="1" si="4"/>
        <v>33.916064429279743</v>
      </c>
      <c r="G55" s="1">
        <f t="shared" ca="1" si="5"/>
        <v>45</v>
      </c>
      <c r="H55" s="1"/>
      <c r="I55">
        <f t="shared" ca="1" si="6"/>
        <v>3.713572066704308</v>
      </c>
    </row>
    <row r="56" spans="1:9" x14ac:dyDescent="0.25">
      <c r="A56" t="s">
        <v>30</v>
      </c>
      <c r="B56" s="3">
        <f t="shared" ca="1" si="0"/>
        <v>40828</v>
      </c>
      <c r="C56" s="1">
        <f t="shared" ca="1" si="1"/>
        <v>4344.0047380805599</v>
      </c>
      <c r="D56" s="1">
        <f t="shared" ca="1" si="2"/>
        <v>228.63182832002946</v>
      </c>
      <c r="E56" s="2">
        <f t="shared" ca="1" si="3"/>
        <v>19</v>
      </c>
      <c r="F56" s="1">
        <f t="shared" ca="1" si="4"/>
        <v>92.631828320029456</v>
      </c>
      <c r="G56" s="1">
        <f t="shared" ca="1" si="5"/>
        <v>136</v>
      </c>
      <c r="H56" s="1"/>
      <c r="I56">
        <f t="shared" ca="1" si="6"/>
        <v>2.9444389791664403</v>
      </c>
    </row>
    <row r="57" spans="1:9" x14ac:dyDescent="0.25">
      <c r="A57" t="s">
        <v>13</v>
      </c>
      <c r="B57" s="3">
        <f t="shared" ca="1" si="0"/>
        <v>40761</v>
      </c>
      <c r="C57" s="1">
        <f t="shared" ca="1" si="1"/>
        <v>2512.1677092688728</v>
      </c>
      <c r="D57" s="1">
        <f t="shared" ca="1" si="2"/>
        <v>83.738923642295759</v>
      </c>
      <c r="E57" s="2">
        <f t="shared" ca="1" si="3"/>
        <v>30</v>
      </c>
      <c r="F57" s="1">
        <f t="shared" ca="1" si="4"/>
        <v>51.738923642295759</v>
      </c>
      <c r="G57" s="1">
        <f t="shared" ca="1" si="5"/>
        <v>32</v>
      </c>
      <c r="H57" s="1"/>
      <c r="I57">
        <f t="shared" ca="1" si="6"/>
        <v>3.4011973816621555</v>
      </c>
    </row>
    <row r="58" spans="1:9" x14ac:dyDescent="0.25">
      <c r="A58" t="s">
        <v>39</v>
      </c>
      <c r="B58" s="3">
        <f t="shared" ca="1" si="0"/>
        <v>40595</v>
      </c>
      <c r="C58" s="1">
        <f t="shared" ca="1" si="1"/>
        <v>573.20984815269935</v>
      </c>
      <c r="D58" s="1">
        <f t="shared" ca="1" si="2"/>
        <v>95.534974692116549</v>
      </c>
      <c r="E58" s="2">
        <f t="shared" ca="1" si="3"/>
        <v>6</v>
      </c>
      <c r="F58" s="1">
        <f t="shared" ca="1" si="4"/>
        <v>42.534974692116549</v>
      </c>
      <c r="G58" s="1">
        <f t="shared" ca="1" si="5"/>
        <v>53</v>
      </c>
      <c r="H58" s="1"/>
      <c r="I58">
        <f t="shared" ca="1" si="6"/>
        <v>1.791759469228055</v>
      </c>
    </row>
    <row r="59" spans="1:9" x14ac:dyDescent="0.25">
      <c r="A59" t="s">
        <v>19</v>
      </c>
      <c r="B59" s="3">
        <f t="shared" ca="1" si="0"/>
        <v>43522</v>
      </c>
      <c r="C59" s="1">
        <f t="shared" ca="1" si="1"/>
        <v>2708.0775542659717</v>
      </c>
      <c r="D59" s="1">
        <f t="shared" ca="1" si="2"/>
        <v>150.4487530147762</v>
      </c>
      <c r="E59" s="2">
        <f t="shared" ca="1" si="3"/>
        <v>18</v>
      </c>
      <c r="F59" s="1">
        <f t="shared" ca="1" si="4"/>
        <v>87.448753014776202</v>
      </c>
      <c r="G59" s="1">
        <f t="shared" ca="1" si="5"/>
        <v>63</v>
      </c>
      <c r="H59" s="1"/>
      <c r="I59">
        <f t="shared" ca="1" si="6"/>
        <v>2.8903717578961645</v>
      </c>
    </row>
    <row r="60" spans="1:9" x14ac:dyDescent="0.25">
      <c r="A60" t="s">
        <v>40</v>
      </c>
      <c r="B60" s="3">
        <f t="shared" ca="1" si="0"/>
        <v>43321</v>
      </c>
      <c r="C60" s="1">
        <f t="shared" ca="1" si="1"/>
        <v>1608.4405584356455</v>
      </c>
      <c r="D60" s="1">
        <f t="shared" ca="1" si="2"/>
        <v>107.22937056237636</v>
      </c>
      <c r="E60" s="2">
        <f t="shared" ca="1" si="3"/>
        <v>15</v>
      </c>
      <c r="F60" s="1">
        <f t="shared" ca="1" si="4"/>
        <v>52.22937056237636</v>
      </c>
      <c r="G60" s="1">
        <f t="shared" ca="1" si="5"/>
        <v>55</v>
      </c>
      <c r="H60" s="1"/>
      <c r="I60">
        <f t="shared" ca="1" si="6"/>
        <v>2.7080502011022101</v>
      </c>
    </row>
    <row r="61" spans="1:9" x14ac:dyDescent="0.25">
      <c r="A61" t="s">
        <v>41</v>
      </c>
      <c r="B61" s="3">
        <f t="shared" ca="1" si="0"/>
        <v>41629</v>
      </c>
      <c r="C61" s="1">
        <f t="shared" ca="1" si="1"/>
        <v>4779.9397382374536</v>
      </c>
      <c r="D61" s="1">
        <f t="shared" ca="1" si="2"/>
        <v>183.84383608605592</v>
      </c>
      <c r="E61" s="2">
        <f t="shared" ca="1" si="3"/>
        <v>26</v>
      </c>
      <c r="F61" s="1">
        <f t="shared" ca="1" si="4"/>
        <v>87.843836086055916</v>
      </c>
      <c r="G61" s="1">
        <f t="shared" ca="1" si="5"/>
        <v>96</v>
      </c>
      <c r="H61" s="1"/>
      <c r="I61">
        <f t="shared" ca="1" si="6"/>
        <v>3.2580965380214821</v>
      </c>
    </row>
    <row r="62" spans="1:9" x14ac:dyDescent="0.25">
      <c r="A62" t="s">
        <v>17</v>
      </c>
      <c r="B62" s="3">
        <f t="shared" ca="1" si="0"/>
        <v>40200</v>
      </c>
      <c r="C62" s="1">
        <f t="shared" ca="1" si="1"/>
        <v>884.2811195582334</v>
      </c>
      <c r="D62" s="1">
        <f t="shared" ca="1" si="2"/>
        <v>58.95207463721556</v>
      </c>
      <c r="E62" s="2">
        <f t="shared" ca="1" si="3"/>
        <v>15</v>
      </c>
      <c r="F62" s="1">
        <f t="shared" ca="1" si="4"/>
        <v>24.95207463721556</v>
      </c>
      <c r="G62" s="1">
        <f t="shared" ca="1" si="5"/>
        <v>34</v>
      </c>
      <c r="H62" s="1"/>
      <c r="I62">
        <f t="shared" ca="1" si="6"/>
        <v>2.7080502011022101</v>
      </c>
    </row>
    <row r="63" spans="1:9" x14ac:dyDescent="0.25">
      <c r="A63" t="s">
        <v>20</v>
      </c>
      <c r="B63" s="3">
        <f t="shared" ca="1" si="0"/>
        <v>40446</v>
      </c>
      <c r="C63" s="1">
        <f t="shared" ca="1" si="1"/>
        <v>1091.3390535148772</v>
      </c>
      <c r="D63" s="1">
        <f t="shared" ca="1" si="2"/>
        <v>90.944921126239763</v>
      </c>
      <c r="E63" s="2">
        <f t="shared" ca="1" si="3"/>
        <v>12</v>
      </c>
      <c r="F63" s="1">
        <f t="shared" ca="1" si="4"/>
        <v>48.944921126239763</v>
      </c>
      <c r="G63" s="1">
        <f t="shared" ca="1" si="5"/>
        <v>42</v>
      </c>
      <c r="H63" s="1"/>
      <c r="I63">
        <f t="shared" ca="1" si="6"/>
        <v>2.4849066497880004</v>
      </c>
    </row>
    <row r="64" spans="1:9" x14ac:dyDescent="0.25">
      <c r="A64" t="s">
        <v>22</v>
      </c>
      <c r="B64" s="3">
        <f t="shared" ca="1" si="0"/>
        <v>40571</v>
      </c>
      <c r="C64" s="1">
        <f t="shared" ca="1" si="1"/>
        <v>147.12003518425837</v>
      </c>
      <c r="D64" s="1">
        <f t="shared" ca="1" si="2"/>
        <v>73.560017592129185</v>
      </c>
      <c r="E64" s="2">
        <f t="shared" ca="1" si="3"/>
        <v>2</v>
      </c>
      <c r="F64" s="1">
        <f t="shared" ca="1" si="4"/>
        <v>35.560017592129178</v>
      </c>
      <c r="G64" s="1">
        <f t="shared" ca="1" si="5"/>
        <v>38</v>
      </c>
      <c r="H64" s="1"/>
      <c r="I64">
        <f t="shared" ca="1" si="6"/>
        <v>0.69314718055994529</v>
      </c>
    </row>
    <row r="65" spans="1:9" x14ac:dyDescent="0.25">
      <c r="A65" t="s">
        <v>40</v>
      </c>
      <c r="B65" s="3">
        <f t="shared" ca="1" si="0"/>
        <v>40846</v>
      </c>
      <c r="C65" s="1">
        <f t="shared" ca="1" si="1"/>
        <v>2620.2425737685553</v>
      </c>
      <c r="D65" s="1">
        <f t="shared" ca="1" si="2"/>
        <v>97.046021250687232</v>
      </c>
      <c r="E65" s="2">
        <f t="shared" ca="1" si="3"/>
        <v>27</v>
      </c>
      <c r="F65" s="1">
        <f t="shared" ca="1" si="4"/>
        <v>47.04602125068724</v>
      </c>
      <c r="G65" s="1">
        <f t="shared" ca="1" si="5"/>
        <v>50</v>
      </c>
      <c r="H65" s="1"/>
      <c r="I65">
        <f t="shared" ca="1" si="6"/>
        <v>3.2958368660043291</v>
      </c>
    </row>
    <row r="66" spans="1:9" x14ac:dyDescent="0.25">
      <c r="A66" t="s">
        <v>42</v>
      </c>
      <c r="B66" s="3">
        <f t="shared" ca="1" si="0"/>
        <v>40394</v>
      </c>
      <c r="C66" s="1">
        <f t="shared" ca="1" si="1"/>
        <v>724.01809221273038</v>
      </c>
      <c r="D66" s="1">
        <f t="shared" ca="1" si="2"/>
        <v>65.819826564793672</v>
      </c>
      <c r="E66" s="2">
        <f t="shared" ca="1" si="3"/>
        <v>11</v>
      </c>
      <c r="F66" s="1">
        <f t="shared" ca="1" si="4"/>
        <v>32.819826564793672</v>
      </c>
      <c r="G66" s="1">
        <f t="shared" ca="1" si="5"/>
        <v>33</v>
      </c>
      <c r="H66" s="1"/>
      <c r="I66">
        <f t="shared" ca="1" si="6"/>
        <v>2.3978952727983707</v>
      </c>
    </row>
    <row r="67" spans="1:9" x14ac:dyDescent="0.25">
      <c r="A67" t="s">
        <v>12</v>
      </c>
      <c r="B67" s="3">
        <f t="shared" ref="B67:B130" ca="1" si="7">DATE(RANDBETWEEN(2010, 2020),RANDBETWEEN(1,12),RANDBETWEEN(1,31))</f>
        <v>43421</v>
      </c>
      <c r="C67" s="1">
        <f t="shared" ref="C67:C130" ca="1" si="8">+E67*D67</f>
        <v>3683.4513685308912</v>
      </c>
      <c r="D67" s="1">
        <f t="shared" ref="D67:D130" ca="1" si="9">+F67+G67</f>
        <v>94.44747098797157</v>
      </c>
      <c r="E67" s="2">
        <f t="shared" ref="E67:E130" ca="1" si="10">INT(_xlfn.LOGNORM.INV(RAND(),3,1))</f>
        <v>39</v>
      </c>
      <c r="F67" s="1">
        <f t="shared" ref="F67:F130" ca="1" si="11">_xlfn.GAMMA.INV(RAND(),7,9)</f>
        <v>40.447470987971577</v>
      </c>
      <c r="G67" s="1">
        <f t="shared" ref="G67:G130" ca="1" si="12">+RANDBETWEEN(0.5*F67,1.5*F67)</f>
        <v>54</v>
      </c>
      <c r="H67" s="1"/>
      <c r="I67">
        <f t="shared" ca="1" si="6"/>
        <v>3.6635616461296463</v>
      </c>
    </row>
    <row r="68" spans="1:9" x14ac:dyDescent="0.25">
      <c r="A68" t="s">
        <v>36</v>
      </c>
      <c r="B68" s="3">
        <f t="shared" ca="1" si="7"/>
        <v>41115</v>
      </c>
      <c r="C68" s="1">
        <f t="shared" ca="1" si="8"/>
        <v>321.99500457586771</v>
      </c>
      <c r="D68" s="1">
        <f t="shared" ca="1" si="9"/>
        <v>80.498751143966928</v>
      </c>
      <c r="E68" s="2">
        <f t="shared" ca="1" si="10"/>
        <v>4</v>
      </c>
      <c r="F68" s="1">
        <f t="shared" ca="1" si="11"/>
        <v>40.498751143966928</v>
      </c>
      <c r="G68" s="1">
        <f t="shared" ca="1" si="12"/>
        <v>40</v>
      </c>
      <c r="H68" s="1"/>
      <c r="I68">
        <f t="shared" ref="I68:I131" ca="1" si="13">+LN(E68)</f>
        <v>1.3862943611198906</v>
      </c>
    </row>
    <row r="69" spans="1:9" x14ac:dyDescent="0.25">
      <c r="A69" t="s">
        <v>21</v>
      </c>
      <c r="B69" s="3">
        <f t="shared" ca="1" si="7"/>
        <v>43286</v>
      </c>
      <c r="C69" s="1">
        <f t="shared" ca="1" si="8"/>
        <v>1126.9901272609534</v>
      </c>
      <c r="D69" s="1">
        <f t="shared" ca="1" si="9"/>
        <v>75.132675150730222</v>
      </c>
      <c r="E69" s="2">
        <f t="shared" ca="1" si="10"/>
        <v>15</v>
      </c>
      <c r="F69" s="1">
        <f t="shared" ca="1" si="11"/>
        <v>31.132675150730229</v>
      </c>
      <c r="G69" s="1">
        <f t="shared" ca="1" si="12"/>
        <v>44</v>
      </c>
      <c r="H69" s="1"/>
      <c r="I69">
        <f t="shared" ca="1" si="13"/>
        <v>2.7080502011022101</v>
      </c>
    </row>
    <row r="70" spans="1:9" x14ac:dyDescent="0.25">
      <c r="A70" t="s">
        <v>26</v>
      </c>
      <c r="B70" s="3">
        <f t="shared" ca="1" si="7"/>
        <v>41279</v>
      </c>
      <c r="C70" s="1">
        <f t="shared" ca="1" si="8"/>
        <v>843.19600217854986</v>
      </c>
      <c r="D70" s="1">
        <f t="shared" ca="1" si="9"/>
        <v>49.599764834032342</v>
      </c>
      <c r="E70" s="2">
        <f t="shared" ca="1" si="10"/>
        <v>17</v>
      </c>
      <c r="F70" s="1">
        <f t="shared" ca="1" si="11"/>
        <v>32.599764834032342</v>
      </c>
      <c r="G70" s="1">
        <f t="shared" ca="1" si="12"/>
        <v>17</v>
      </c>
      <c r="H70" s="1"/>
      <c r="I70">
        <f t="shared" ca="1" si="13"/>
        <v>2.8332133440562162</v>
      </c>
    </row>
    <row r="71" spans="1:9" x14ac:dyDescent="0.25">
      <c r="A71" t="s">
        <v>33</v>
      </c>
      <c r="B71" s="3">
        <f t="shared" ca="1" si="7"/>
        <v>43800</v>
      </c>
      <c r="C71" s="1">
        <f t="shared" ca="1" si="8"/>
        <v>3400.798726187159</v>
      </c>
      <c r="D71" s="1">
        <f t="shared" ca="1" si="9"/>
        <v>161.9427964851028</v>
      </c>
      <c r="E71" s="2">
        <f t="shared" ca="1" si="10"/>
        <v>21</v>
      </c>
      <c r="F71" s="1">
        <f t="shared" ca="1" si="11"/>
        <v>101.94279648510279</v>
      </c>
      <c r="G71" s="1">
        <f t="shared" ca="1" si="12"/>
        <v>60</v>
      </c>
      <c r="H71" s="1"/>
      <c r="I71">
        <f t="shared" ca="1" si="13"/>
        <v>3.044522437723423</v>
      </c>
    </row>
    <row r="72" spans="1:9" x14ac:dyDescent="0.25">
      <c r="A72" t="s">
        <v>38</v>
      </c>
      <c r="B72" s="3">
        <f t="shared" ca="1" si="7"/>
        <v>40686</v>
      </c>
      <c r="C72" s="1">
        <f t="shared" ca="1" si="8"/>
        <v>2053.942853606909</v>
      </c>
      <c r="D72" s="1">
        <f t="shared" ca="1" si="9"/>
        <v>171.16190446724241</v>
      </c>
      <c r="E72" s="2">
        <f t="shared" ca="1" si="10"/>
        <v>12</v>
      </c>
      <c r="F72" s="1">
        <f t="shared" ca="1" si="11"/>
        <v>92.161904467242408</v>
      </c>
      <c r="G72" s="1">
        <f t="shared" ca="1" si="12"/>
        <v>79</v>
      </c>
      <c r="H72" s="1"/>
      <c r="I72">
        <f t="shared" ca="1" si="13"/>
        <v>2.4849066497880004</v>
      </c>
    </row>
    <row r="73" spans="1:9" x14ac:dyDescent="0.25">
      <c r="A73" t="s">
        <v>24</v>
      </c>
      <c r="B73" s="3">
        <f t="shared" ca="1" si="7"/>
        <v>43364</v>
      </c>
      <c r="C73" s="1">
        <f t="shared" ca="1" si="8"/>
        <v>254.65978171934319</v>
      </c>
      <c r="D73" s="1">
        <f t="shared" ca="1" si="9"/>
        <v>84.886593906447729</v>
      </c>
      <c r="E73" s="2">
        <f t="shared" ca="1" si="10"/>
        <v>3</v>
      </c>
      <c r="F73" s="1">
        <f t="shared" ca="1" si="11"/>
        <v>54.886593906447736</v>
      </c>
      <c r="G73" s="1">
        <f t="shared" ca="1" si="12"/>
        <v>30</v>
      </c>
      <c r="H73" s="1"/>
      <c r="I73">
        <f t="shared" ca="1" si="13"/>
        <v>1.0986122886681098</v>
      </c>
    </row>
    <row r="74" spans="1:9" x14ac:dyDescent="0.25">
      <c r="A74" t="s">
        <v>43</v>
      </c>
      <c r="B74" s="3">
        <f t="shared" ca="1" si="7"/>
        <v>43353</v>
      </c>
      <c r="C74" s="1">
        <f t="shared" ca="1" si="8"/>
        <v>7289.5876814846251</v>
      </c>
      <c r="D74" s="1">
        <f t="shared" ca="1" si="9"/>
        <v>214.39963769072426</v>
      </c>
      <c r="E74" s="2">
        <f t="shared" ca="1" si="10"/>
        <v>34</v>
      </c>
      <c r="F74" s="1">
        <f t="shared" ca="1" si="11"/>
        <v>98.399637690724262</v>
      </c>
      <c r="G74" s="1">
        <f t="shared" ca="1" si="12"/>
        <v>116</v>
      </c>
      <c r="H74" s="1"/>
      <c r="I74">
        <f t="shared" ca="1" si="13"/>
        <v>3.5263605246161616</v>
      </c>
    </row>
    <row r="75" spans="1:9" x14ac:dyDescent="0.25">
      <c r="A75" t="s">
        <v>25</v>
      </c>
      <c r="B75" s="3">
        <f t="shared" ca="1" si="7"/>
        <v>43624</v>
      </c>
      <c r="C75" s="1">
        <f t="shared" ca="1" si="8"/>
        <v>1556.8247563759069</v>
      </c>
      <c r="D75" s="1">
        <f t="shared" ca="1" si="9"/>
        <v>74.13451220837652</v>
      </c>
      <c r="E75" s="2">
        <f t="shared" ca="1" si="10"/>
        <v>21</v>
      </c>
      <c r="F75" s="1">
        <f t="shared" ca="1" si="11"/>
        <v>46.134512208376513</v>
      </c>
      <c r="G75" s="1">
        <f t="shared" ca="1" si="12"/>
        <v>28</v>
      </c>
      <c r="H75" s="1"/>
      <c r="I75">
        <f t="shared" ca="1" si="13"/>
        <v>3.044522437723423</v>
      </c>
    </row>
    <row r="76" spans="1:9" x14ac:dyDescent="0.25">
      <c r="A76" t="s">
        <v>13</v>
      </c>
      <c r="B76" s="3">
        <f t="shared" ca="1" si="7"/>
        <v>41799</v>
      </c>
      <c r="C76" s="1">
        <f t="shared" ca="1" si="8"/>
        <v>4665.1842358918157</v>
      </c>
      <c r="D76" s="1">
        <f t="shared" ca="1" si="9"/>
        <v>113.78498136321502</v>
      </c>
      <c r="E76" s="2">
        <f t="shared" ca="1" si="10"/>
        <v>41</v>
      </c>
      <c r="F76" s="1">
        <f t="shared" ca="1" si="11"/>
        <v>60.784981363215024</v>
      </c>
      <c r="G76" s="1">
        <f t="shared" ca="1" si="12"/>
        <v>53</v>
      </c>
      <c r="H76" s="1"/>
      <c r="I76">
        <f t="shared" ca="1" si="13"/>
        <v>3.713572066704308</v>
      </c>
    </row>
    <row r="77" spans="1:9" x14ac:dyDescent="0.25">
      <c r="A77" t="s">
        <v>18</v>
      </c>
      <c r="B77" s="3">
        <f t="shared" ca="1" si="7"/>
        <v>42072</v>
      </c>
      <c r="C77" s="1">
        <f t="shared" ca="1" si="8"/>
        <v>19984.444318095673</v>
      </c>
      <c r="D77" s="1">
        <f t="shared" ca="1" si="9"/>
        <v>173.7777766790928</v>
      </c>
      <c r="E77" s="2">
        <f t="shared" ca="1" si="10"/>
        <v>115</v>
      </c>
      <c r="F77" s="1">
        <f t="shared" ca="1" si="11"/>
        <v>99.777776679092796</v>
      </c>
      <c r="G77" s="1">
        <f t="shared" ca="1" si="12"/>
        <v>74</v>
      </c>
      <c r="H77" s="1"/>
      <c r="I77">
        <f t="shared" ca="1" si="13"/>
        <v>4.7449321283632502</v>
      </c>
    </row>
    <row r="78" spans="1:9" x14ac:dyDescent="0.25">
      <c r="A78" t="s">
        <v>38</v>
      </c>
      <c r="B78" s="3">
        <f t="shared" ca="1" si="7"/>
        <v>44049</v>
      </c>
      <c r="C78" s="1">
        <f t="shared" ca="1" si="8"/>
        <v>989.07723546084344</v>
      </c>
      <c r="D78" s="1">
        <f t="shared" ca="1" si="9"/>
        <v>30.908663608151357</v>
      </c>
      <c r="E78" s="2">
        <f t="shared" ca="1" si="10"/>
        <v>32</v>
      </c>
      <c r="F78" s="1">
        <f t="shared" ca="1" si="11"/>
        <v>15.908663608151356</v>
      </c>
      <c r="G78" s="1">
        <f t="shared" ca="1" si="12"/>
        <v>15</v>
      </c>
      <c r="H78" s="1"/>
      <c r="I78">
        <f t="shared" ca="1" si="13"/>
        <v>3.4657359027997265</v>
      </c>
    </row>
    <row r="79" spans="1:9" x14ac:dyDescent="0.25">
      <c r="A79" t="s">
        <v>31</v>
      </c>
      <c r="B79" s="3">
        <f t="shared" ca="1" si="7"/>
        <v>41741</v>
      </c>
      <c r="C79" s="1">
        <f t="shared" ca="1" si="8"/>
        <v>10763.284099496328</v>
      </c>
      <c r="D79" s="1">
        <f t="shared" ca="1" si="9"/>
        <v>199.32007591659868</v>
      </c>
      <c r="E79" s="2">
        <f t="shared" ca="1" si="10"/>
        <v>54</v>
      </c>
      <c r="F79" s="1">
        <f t="shared" ca="1" si="11"/>
        <v>96.320075916598682</v>
      </c>
      <c r="G79" s="1">
        <f t="shared" ca="1" si="12"/>
        <v>103</v>
      </c>
      <c r="H79" s="1"/>
      <c r="I79">
        <f t="shared" ca="1" si="13"/>
        <v>3.9889840465642745</v>
      </c>
    </row>
    <row r="80" spans="1:9" x14ac:dyDescent="0.25">
      <c r="A80" t="s">
        <v>41</v>
      </c>
      <c r="B80" s="3">
        <f t="shared" ca="1" si="7"/>
        <v>40560</v>
      </c>
      <c r="C80" s="1">
        <f t="shared" ca="1" si="8"/>
        <v>2019.755869181346</v>
      </c>
      <c r="D80" s="1">
        <f t="shared" ca="1" si="9"/>
        <v>144.26827637009615</v>
      </c>
      <c r="E80" s="2">
        <f t="shared" ca="1" si="10"/>
        <v>14</v>
      </c>
      <c r="F80" s="1">
        <f t="shared" ca="1" si="11"/>
        <v>62.268276370096146</v>
      </c>
      <c r="G80" s="1">
        <f t="shared" ca="1" si="12"/>
        <v>82</v>
      </c>
      <c r="H80" s="1"/>
      <c r="I80">
        <f t="shared" ca="1" si="13"/>
        <v>2.6390573296152584</v>
      </c>
    </row>
    <row r="81" spans="1:9" x14ac:dyDescent="0.25">
      <c r="A81" t="s">
        <v>27</v>
      </c>
      <c r="B81" s="3">
        <f t="shared" ca="1" si="7"/>
        <v>42701</v>
      </c>
      <c r="C81" s="1">
        <f t="shared" ca="1" si="8"/>
        <v>2885.7607419123419</v>
      </c>
      <c r="D81" s="1">
        <f t="shared" ca="1" si="9"/>
        <v>125.46785834401486</v>
      </c>
      <c r="E81" s="2">
        <f t="shared" ca="1" si="10"/>
        <v>23</v>
      </c>
      <c r="F81" s="1">
        <f t="shared" ca="1" si="11"/>
        <v>60.467858344014857</v>
      </c>
      <c r="G81" s="1">
        <f t="shared" ca="1" si="12"/>
        <v>65</v>
      </c>
      <c r="H81" s="1"/>
      <c r="I81">
        <f t="shared" ca="1" si="13"/>
        <v>3.1354942159291497</v>
      </c>
    </row>
    <row r="82" spans="1:9" x14ac:dyDescent="0.25">
      <c r="A82" t="s">
        <v>33</v>
      </c>
      <c r="B82" s="3">
        <f t="shared" ca="1" si="7"/>
        <v>41872</v>
      </c>
      <c r="C82" s="1">
        <f t="shared" ca="1" si="8"/>
        <v>420.49186573735886</v>
      </c>
      <c r="D82" s="1">
        <f t="shared" ca="1" si="9"/>
        <v>60.070266533908409</v>
      </c>
      <c r="E82" s="2">
        <f t="shared" ca="1" si="10"/>
        <v>7</v>
      </c>
      <c r="F82" s="1">
        <f t="shared" ca="1" si="11"/>
        <v>28.070266533908413</v>
      </c>
      <c r="G82" s="1">
        <f t="shared" ca="1" si="12"/>
        <v>32</v>
      </c>
      <c r="H82" s="1"/>
      <c r="I82">
        <f t="shared" ca="1" si="13"/>
        <v>1.9459101490553132</v>
      </c>
    </row>
    <row r="83" spans="1:9" x14ac:dyDescent="0.25">
      <c r="A83" t="s">
        <v>21</v>
      </c>
      <c r="B83" s="3">
        <f t="shared" ca="1" si="7"/>
        <v>41236</v>
      </c>
      <c r="C83" s="1">
        <f t="shared" ca="1" si="8"/>
        <v>3757.9866567353392</v>
      </c>
      <c r="D83" s="1">
        <f t="shared" ca="1" si="9"/>
        <v>125.26622189117798</v>
      </c>
      <c r="E83" s="2">
        <f t="shared" ca="1" si="10"/>
        <v>30</v>
      </c>
      <c r="F83" s="1">
        <f t="shared" ca="1" si="11"/>
        <v>53.266221891177977</v>
      </c>
      <c r="G83" s="1">
        <f t="shared" ca="1" si="12"/>
        <v>72</v>
      </c>
      <c r="H83" s="1"/>
      <c r="I83">
        <f t="shared" ca="1" si="13"/>
        <v>3.4011973816621555</v>
      </c>
    </row>
    <row r="84" spans="1:9" x14ac:dyDescent="0.25">
      <c r="A84" t="s">
        <v>34</v>
      </c>
      <c r="B84" s="3">
        <f t="shared" ca="1" si="7"/>
        <v>44001</v>
      </c>
      <c r="C84" s="1">
        <f t="shared" ca="1" si="8"/>
        <v>7227.0629651706195</v>
      </c>
      <c r="D84" s="1">
        <f t="shared" ca="1" si="9"/>
        <v>109.50095401773666</v>
      </c>
      <c r="E84" s="2">
        <f t="shared" ca="1" si="10"/>
        <v>66</v>
      </c>
      <c r="F84" s="1">
        <f t="shared" ca="1" si="11"/>
        <v>57.500954017736653</v>
      </c>
      <c r="G84" s="1">
        <f t="shared" ca="1" si="12"/>
        <v>52</v>
      </c>
      <c r="H84" s="1"/>
      <c r="I84">
        <f t="shared" ca="1" si="13"/>
        <v>4.1896547420264252</v>
      </c>
    </row>
    <row r="85" spans="1:9" x14ac:dyDescent="0.25">
      <c r="A85" t="s">
        <v>28</v>
      </c>
      <c r="B85" s="3">
        <f t="shared" ca="1" si="7"/>
        <v>42031</v>
      </c>
      <c r="C85" s="1">
        <f t="shared" ca="1" si="8"/>
        <v>482.84719325209835</v>
      </c>
      <c r="D85" s="1">
        <f t="shared" ca="1" si="9"/>
        <v>120.71179831302459</v>
      </c>
      <c r="E85" s="2">
        <f t="shared" ca="1" si="10"/>
        <v>4</v>
      </c>
      <c r="F85" s="1">
        <f t="shared" ca="1" si="11"/>
        <v>50.71179831302458</v>
      </c>
      <c r="G85" s="1">
        <f t="shared" ca="1" si="12"/>
        <v>70</v>
      </c>
      <c r="H85" s="1"/>
      <c r="I85">
        <f t="shared" ca="1" si="13"/>
        <v>1.3862943611198906</v>
      </c>
    </row>
    <row r="86" spans="1:9" x14ac:dyDescent="0.25">
      <c r="A86" t="s">
        <v>16</v>
      </c>
      <c r="B86" s="3">
        <f t="shared" ca="1" si="7"/>
        <v>42685</v>
      </c>
      <c r="C86" s="1">
        <f t="shared" ca="1" si="8"/>
        <v>2160.171089364811</v>
      </c>
      <c r="D86" s="1">
        <f t="shared" ca="1" si="9"/>
        <v>120.00950496471172</v>
      </c>
      <c r="E86" s="2">
        <f t="shared" ca="1" si="10"/>
        <v>18</v>
      </c>
      <c r="F86" s="1">
        <f t="shared" ca="1" si="11"/>
        <v>48.009504964711724</v>
      </c>
      <c r="G86" s="1">
        <f t="shared" ca="1" si="12"/>
        <v>72</v>
      </c>
      <c r="H86" s="1"/>
      <c r="I86">
        <f t="shared" ca="1" si="13"/>
        <v>2.8903717578961645</v>
      </c>
    </row>
    <row r="87" spans="1:9" x14ac:dyDescent="0.25">
      <c r="A87" t="s">
        <v>15</v>
      </c>
      <c r="B87" s="3">
        <f t="shared" ca="1" si="7"/>
        <v>43895</v>
      </c>
      <c r="C87" s="1">
        <f t="shared" ca="1" si="8"/>
        <v>1115.4177108749234</v>
      </c>
      <c r="D87" s="1">
        <f t="shared" ca="1" si="9"/>
        <v>92.951475906243616</v>
      </c>
      <c r="E87" s="2">
        <f t="shared" ca="1" si="10"/>
        <v>12</v>
      </c>
      <c r="F87" s="1">
        <f t="shared" ca="1" si="11"/>
        <v>61.951475906243623</v>
      </c>
      <c r="G87" s="1">
        <f t="shared" ca="1" si="12"/>
        <v>31</v>
      </c>
      <c r="H87" s="1"/>
      <c r="I87">
        <f t="shared" ca="1" si="13"/>
        <v>2.4849066497880004</v>
      </c>
    </row>
    <row r="88" spans="1:9" x14ac:dyDescent="0.25">
      <c r="A88" t="s">
        <v>42</v>
      </c>
      <c r="B88" s="3">
        <f t="shared" ca="1" si="7"/>
        <v>43395</v>
      </c>
      <c r="C88" s="1">
        <f t="shared" ca="1" si="8"/>
        <v>4510.900358103866</v>
      </c>
      <c r="D88" s="1">
        <f t="shared" ca="1" si="9"/>
        <v>180.43601432415466</v>
      </c>
      <c r="E88" s="2">
        <f t="shared" ca="1" si="10"/>
        <v>25</v>
      </c>
      <c r="F88" s="1">
        <f t="shared" ca="1" si="11"/>
        <v>73.436014324154669</v>
      </c>
      <c r="G88" s="1">
        <f t="shared" ca="1" si="12"/>
        <v>107</v>
      </c>
      <c r="H88" s="1"/>
      <c r="I88">
        <f t="shared" ca="1" si="13"/>
        <v>3.2188758248682006</v>
      </c>
    </row>
    <row r="89" spans="1:9" x14ac:dyDescent="0.25">
      <c r="A89" t="s">
        <v>28</v>
      </c>
      <c r="B89" s="3">
        <f t="shared" ca="1" si="7"/>
        <v>41122</v>
      </c>
      <c r="C89" s="1">
        <f t="shared" ca="1" si="8"/>
        <v>1861.4233947362563</v>
      </c>
      <c r="D89" s="1">
        <f t="shared" ca="1" si="9"/>
        <v>232.67792434203204</v>
      </c>
      <c r="E89" s="2">
        <f t="shared" ca="1" si="10"/>
        <v>8</v>
      </c>
      <c r="F89" s="1">
        <f t="shared" ca="1" si="11"/>
        <v>106.67792434203204</v>
      </c>
      <c r="G89" s="1">
        <f t="shared" ca="1" si="12"/>
        <v>126</v>
      </c>
      <c r="H89" s="1"/>
      <c r="I89">
        <f t="shared" ca="1" si="13"/>
        <v>2.0794415416798357</v>
      </c>
    </row>
    <row r="90" spans="1:9" x14ac:dyDescent="0.25">
      <c r="A90" t="s">
        <v>28</v>
      </c>
      <c r="B90" s="3">
        <f t="shared" ca="1" si="7"/>
        <v>42750</v>
      </c>
      <c r="C90" s="1">
        <f t="shared" ca="1" si="8"/>
        <v>1795.8089501178681</v>
      </c>
      <c r="D90" s="1">
        <f t="shared" ca="1" si="9"/>
        <v>69.069575004533391</v>
      </c>
      <c r="E90" s="2">
        <f t="shared" ca="1" si="10"/>
        <v>26</v>
      </c>
      <c r="F90" s="1">
        <f t="shared" ca="1" si="11"/>
        <v>44.069575004533391</v>
      </c>
      <c r="G90" s="1">
        <f t="shared" ca="1" si="12"/>
        <v>25</v>
      </c>
      <c r="H90" s="1"/>
      <c r="I90">
        <f t="shared" ca="1" si="13"/>
        <v>3.2580965380214821</v>
      </c>
    </row>
    <row r="91" spans="1:9" x14ac:dyDescent="0.25">
      <c r="A91" t="s">
        <v>16</v>
      </c>
      <c r="B91" s="3">
        <f t="shared" ca="1" si="7"/>
        <v>42512</v>
      </c>
      <c r="C91" s="1">
        <f t="shared" ca="1" si="8"/>
        <v>552.70575295893457</v>
      </c>
      <c r="D91" s="1">
        <f t="shared" ca="1" si="9"/>
        <v>78.957964708419226</v>
      </c>
      <c r="E91" s="2">
        <f t="shared" ca="1" si="10"/>
        <v>7</v>
      </c>
      <c r="F91" s="1">
        <f t="shared" ca="1" si="11"/>
        <v>49.957964708419226</v>
      </c>
      <c r="G91" s="1">
        <f t="shared" ca="1" si="12"/>
        <v>29</v>
      </c>
      <c r="H91" s="1"/>
      <c r="I91">
        <f t="shared" ca="1" si="13"/>
        <v>1.9459101490553132</v>
      </c>
    </row>
    <row r="92" spans="1:9" x14ac:dyDescent="0.25">
      <c r="A92" t="s">
        <v>23</v>
      </c>
      <c r="B92" s="3">
        <f t="shared" ca="1" si="7"/>
        <v>42793</v>
      </c>
      <c r="C92" s="1">
        <f t="shared" ca="1" si="8"/>
        <v>5325.7627814639181</v>
      </c>
      <c r="D92" s="1">
        <f t="shared" ca="1" si="9"/>
        <v>197.25047338755252</v>
      </c>
      <c r="E92" s="2">
        <f t="shared" ca="1" si="10"/>
        <v>27</v>
      </c>
      <c r="F92" s="1">
        <f t="shared" ca="1" si="11"/>
        <v>96.250473387552518</v>
      </c>
      <c r="G92" s="1">
        <f t="shared" ca="1" si="12"/>
        <v>101</v>
      </c>
      <c r="H92" s="1"/>
      <c r="I92">
        <f t="shared" ca="1" si="13"/>
        <v>3.2958368660043291</v>
      </c>
    </row>
    <row r="93" spans="1:9" x14ac:dyDescent="0.25">
      <c r="A93" t="s">
        <v>44</v>
      </c>
      <c r="B93" s="3">
        <f t="shared" ca="1" si="7"/>
        <v>40426</v>
      </c>
      <c r="C93" s="1">
        <f t="shared" ca="1" si="8"/>
        <v>3343.8750133715312</v>
      </c>
      <c r="D93" s="1">
        <f t="shared" ca="1" si="9"/>
        <v>133.75500053486124</v>
      </c>
      <c r="E93" s="2">
        <f t="shared" ca="1" si="10"/>
        <v>25</v>
      </c>
      <c r="F93" s="1">
        <f t="shared" ca="1" si="11"/>
        <v>53.755000534861232</v>
      </c>
      <c r="G93" s="1">
        <f t="shared" ca="1" si="12"/>
        <v>80</v>
      </c>
      <c r="H93" s="1"/>
      <c r="I93">
        <f t="shared" ca="1" si="13"/>
        <v>3.2188758248682006</v>
      </c>
    </row>
    <row r="94" spans="1:9" x14ac:dyDescent="0.25">
      <c r="A94" t="s">
        <v>24</v>
      </c>
      <c r="B94" s="3">
        <f t="shared" ca="1" si="7"/>
        <v>43699</v>
      </c>
      <c r="C94" s="1">
        <f t="shared" ca="1" si="8"/>
        <v>851.79568745067286</v>
      </c>
      <c r="D94" s="1">
        <f t="shared" ca="1" si="9"/>
        <v>94.643965272296981</v>
      </c>
      <c r="E94" s="2">
        <f t="shared" ca="1" si="10"/>
        <v>9</v>
      </c>
      <c r="F94" s="1">
        <f t="shared" ca="1" si="11"/>
        <v>61.643965272296988</v>
      </c>
      <c r="G94" s="1">
        <f t="shared" ca="1" si="12"/>
        <v>33</v>
      </c>
      <c r="H94" s="1"/>
      <c r="I94">
        <f t="shared" ca="1" si="13"/>
        <v>2.1972245773362196</v>
      </c>
    </row>
    <row r="95" spans="1:9" x14ac:dyDescent="0.25">
      <c r="A95" t="s">
        <v>41</v>
      </c>
      <c r="B95" s="3">
        <f t="shared" ca="1" si="7"/>
        <v>43902</v>
      </c>
      <c r="C95" s="1">
        <f t="shared" ca="1" si="8"/>
        <v>1062.631858453497</v>
      </c>
      <c r="D95" s="1">
        <f t="shared" ca="1" si="9"/>
        <v>96.602896223045178</v>
      </c>
      <c r="E95" s="2">
        <f t="shared" ca="1" si="10"/>
        <v>11</v>
      </c>
      <c r="F95" s="1">
        <f t="shared" ca="1" si="11"/>
        <v>45.602896223045185</v>
      </c>
      <c r="G95" s="1">
        <f t="shared" ca="1" si="12"/>
        <v>51</v>
      </c>
      <c r="H95" s="1"/>
      <c r="I95">
        <f t="shared" ca="1" si="13"/>
        <v>2.3978952727983707</v>
      </c>
    </row>
    <row r="96" spans="1:9" x14ac:dyDescent="0.25">
      <c r="A96" t="s">
        <v>19</v>
      </c>
      <c r="B96" s="3">
        <f t="shared" ca="1" si="7"/>
        <v>41856</v>
      </c>
      <c r="C96" s="1">
        <f t="shared" ca="1" si="8"/>
        <v>8870.2761440219001</v>
      </c>
      <c r="D96" s="1">
        <f t="shared" ca="1" si="9"/>
        <v>140.79803403209365</v>
      </c>
      <c r="E96" s="2">
        <f t="shared" ca="1" si="10"/>
        <v>63</v>
      </c>
      <c r="F96" s="1">
        <f t="shared" ca="1" si="11"/>
        <v>78.798034032093639</v>
      </c>
      <c r="G96" s="1">
        <f t="shared" ca="1" si="12"/>
        <v>62</v>
      </c>
      <c r="H96" s="1"/>
      <c r="I96">
        <f t="shared" ca="1" si="13"/>
        <v>4.1431347263915326</v>
      </c>
    </row>
    <row r="97" spans="1:9" x14ac:dyDescent="0.25">
      <c r="A97" t="s">
        <v>25</v>
      </c>
      <c r="B97" s="3">
        <f t="shared" ca="1" si="7"/>
        <v>43391</v>
      </c>
      <c r="C97" s="1">
        <f t="shared" ca="1" si="8"/>
        <v>1533.5223496237561</v>
      </c>
      <c r="D97" s="1">
        <f t="shared" ca="1" si="9"/>
        <v>255.58705827062602</v>
      </c>
      <c r="E97" s="2">
        <f t="shared" ca="1" si="10"/>
        <v>6</v>
      </c>
      <c r="F97" s="1">
        <f t="shared" ca="1" si="11"/>
        <v>102.58705827062603</v>
      </c>
      <c r="G97" s="1">
        <f t="shared" ca="1" si="12"/>
        <v>153</v>
      </c>
      <c r="H97" s="1"/>
      <c r="I97">
        <f t="shared" ca="1" si="13"/>
        <v>1.791759469228055</v>
      </c>
    </row>
    <row r="98" spans="1:9" x14ac:dyDescent="0.25">
      <c r="A98" t="s">
        <v>34</v>
      </c>
      <c r="B98" s="3">
        <f t="shared" ca="1" si="7"/>
        <v>40948</v>
      </c>
      <c r="C98" s="1">
        <f t="shared" ca="1" si="8"/>
        <v>4549.2635473087639</v>
      </c>
      <c r="D98" s="1">
        <f t="shared" ca="1" si="9"/>
        <v>162.47369811817015</v>
      </c>
      <c r="E98" s="2">
        <f t="shared" ca="1" si="10"/>
        <v>28</v>
      </c>
      <c r="F98" s="1">
        <f t="shared" ca="1" si="11"/>
        <v>67.473698118170134</v>
      </c>
      <c r="G98" s="1">
        <f t="shared" ca="1" si="12"/>
        <v>95</v>
      </c>
      <c r="H98" s="1"/>
      <c r="I98">
        <f t="shared" ca="1" si="13"/>
        <v>3.3322045101752038</v>
      </c>
    </row>
    <row r="99" spans="1:9" x14ac:dyDescent="0.25">
      <c r="A99" t="s">
        <v>17</v>
      </c>
      <c r="B99" s="3">
        <f t="shared" ca="1" si="7"/>
        <v>43526</v>
      </c>
      <c r="C99" s="1">
        <f t="shared" ca="1" si="8"/>
        <v>3637.5559700714266</v>
      </c>
      <c r="D99" s="1">
        <f t="shared" ca="1" si="9"/>
        <v>165.34345318506485</v>
      </c>
      <c r="E99" s="2">
        <f t="shared" ca="1" si="10"/>
        <v>22</v>
      </c>
      <c r="F99" s="1">
        <f t="shared" ca="1" si="11"/>
        <v>78.343453185064845</v>
      </c>
      <c r="G99" s="1">
        <f t="shared" ca="1" si="12"/>
        <v>87</v>
      </c>
      <c r="H99" s="1"/>
      <c r="I99">
        <f t="shared" ca="1" si="13"/>
        <v>3.0910424533583161</v>
      </c>
    </row>
    <row r="100" spans="1:9" x14ac:dyDescent="0.25">
      <c r="A100" t="s">
        <v>32</v>
      </c>
      <c r="B100" s="3">
        <f t="shared" ca="1" si="7"/>
        <v>40736</v>
      </c>
      <c r="C100" s="1">
        <f t="shared" ca="1" si="8"/>
        <v>1511.5858070805</v>
      </c>
      <c r="D100" s="1">
        <f t="shared" ca="1" si="9"/>
        <v>116.27583131388461</v>
      </c>
      <c r="E100" s="2">
        <f t="shared" ca="1" si="10"/>
        <v>13</v>
      </c>
      <c r="F100" s="1">
        <f t="shared" ca="1" si="11"/>
        <v>56.275831313884609</v>
      </c>
      <c r="G100" s="1">
        <f t="shared" ca="1" si="12"/>
        <v>60</v>
      </c>
      <c r="H100" s="1"/>
      <c r="I100">
        <f t="shared" ca="1" si="13"/>
        <v>2.5649493574615367</v>
      </c>
    </row>
    <row r="101" spans="1:9" x14ac:dyDescent="0.25">
      <c r="A101" t="s">
        <v>43</v>
      </c>
      <c r="B101" s="3">
        <f t="shared" ca="1" si="7"/>
        <v>41091</v>
      </c>
      <c r="C101" s="1">
        <f t="shared" ca="1" si="8"/>
        <v>309.22729171302069</v>
      </c>
      <c r="D101" s="1">
        <f t="shared" ca="1" si="9"/>
        <v>77.306822928255173</v>
      </c>
      <c r="E101" s="2">
        <f t="shared" ca="1" si="10"/>
        <v>4</v>
      </c>
      <c r="F101" s="1">
        <f t="shared" ca="1" si="11"/>
        <v>50.306822928255173</v>
      </c>
      <c r="G101" s="1">
        <f t="shared" ca="1" si="12"/>
        <v>27</v>
      </c>
      <c r="H101" s="1"/>
      <c r="I101">
        <f t="shared" ca="1" si="13"/>
        <v>1.3862943611198906</v>
      </c>
    </row>
    <row r="102" spans="1:9" x14ac:dyDescent="0.25">
      <c r="A102" t="s">
        <v>24</v>
      </c>
      <c r="B102" s="3">
        <f t="shared" ca="1" si="7"/>
        <v>43376</v>
      </c>
      <c r="C102" s="1">
        <f t="shared" ca="1" si="8"/>
        <v>8492.2048005231172</v>
      </c>
      <c r="D102" s="1">
        <f t="shared" ca="1" si="9"/>
        <v>123.07543189163938</v>
      </c>
      <c r="E102" s="2">
        <f t="shared" ca="1" si="10"/>
        <v>69</v>
      </c>
      <c r="F102" s="1">
        <f t="shared" ca="1" si="11"/>
        <v>73.075431891639383</v>
      </c>
      <c r="G102" s="1">
        <f t="shared" ca="1" si="12"/>
        <v>50</v>
      </c>
      <c r="H102" s="1"/>
      <c r="I102">
        <f t="shared" ca="1" si="13"/>
        <v>4.2341065045972597</v>
      </c>
    </row>
    <row r="103" spans="1:9" x14ac:dyDescent="0.25">
      <c r="A103" t="s">
        <v>14</v>
      </c>
      <c r="B103" s="3">
        <f t="shared" ca="1" si="7"/>
        <v>40604</v>
      </c>
      <c r="C103" s="1">
        <f t="shared" ca="1" si="8"/>
        <v>16772.483767401347</v>
      </c>
      <c r="D103" s="1">
        <f t="shared" ca="1" si="9"/>
        <v>109.62407691111991</v>
      </c>
      <c r="E103" s="2">
        <f t="shared" ca="1" si="10"/>
        <v>153</v>
      </c>
      <c r="F103" s="1">
        <f t="shared" ca="1" si="11"/>
        <v>48.624076911119921</v>
      </c>
      <c r="G103" s="1">
        <f t="shared" ca="1" si="12"/>
        <v>61</v>
      </c>
      <c r="H103" s="1"/>
      <c r="I103">
        <f t="shared" ca="1" si="13"/>
        <v>5.0304379213924353</v>
      </c>
    </row>
    <row r="104" spans="1:9" x14ac:dyDescent="0.25">
      <c r="A104" t="s">
        <v>29</v>
      </c>
      <c r="B104" s="3">
        <f t="shared" ca="1" si="7"/>
        <v>41944</v>
      </c>
      <c r="C104" s="1">
        <f t="shared" ca="1" si="8"/>
        <v>452.77408072166321</v>
      </c>
      <c r="D104" s="1">
        <f t="shared" ca="1" si="9"/>
        <v>50.30823119129591</v>
      </c>
      <c r="E104" s="2">
        <f t="shared" ca="1" si="10"/>
        <v>9</v>
      </c>
      <c r="F104" s="1">
        <f t="shared" ca="1" si="11"/>
        <v>33.30823119129591</v>
      </c>
      <c r="G104" s="1">
        <f t="shared" ca="1" si="12"/>
        <v>17</v>
      </c>
      <c r="H104" s="1"/>
      <c r="I104">
        <f t="shared" ca="1" si="13"/>
        <v>2.1972245773362196</v>
      </c>
    </row>
    <row r="105" spans="1:9" x14ac:dyDescent="0.25">
      <c r="A105" t="s">
        <v>41</v>
      </c>
      <c r="B105" s="3">
        <f t="shared" ca="1" si="7"/>
        <v>42920</v>
      </c>
      <c r="C105" s="1">
        <f t="shared" ca="1" si="8"/>
        <v>326.71817754272553</v>
      </c>
      <c r="D105" s="1">
        <f t="shared" ca="1" si="9"/>
        <v>108.90605918090851</v>
      </c>
      <c r="E105" s="2">
        <f t="shared" ca="1" si="10"/>
        <v>3</v>
      </c>
      <c r="F105" s="1">
        <f t="shared" ca="1" si="11"/>
        <v>64.906059180908514</v>
      </c>
      <c r="G105" s="1">
        <f t="shared" ca="1" si="12"/>
        <v>44</v>
      </c>
      <c r="H105" s="1"/>
      <c r="I105">
        <f t="shared" ca="1" si="13"/>
        <v>1.0986122886681098</v>
      </c>
    </row>
    <row r="106" spans="1:9" x14ac:dyDescent="0.25">
      <c r="A106" t="s">
        <v>43</v>
      </c>
      <c r="B106" s="3">
        <f t="shared" ca="1" si="7"/>
        <v>43637</v>
      </c>
      <c r="C106" s="1">
        <f t="shared" ca="1" si="8"/>
        <v>1074.1575989369751</v>
      </c>
      <c r="D106" s="1">
        <f t="shared" ca="1" si="9"/>
        <v>153.45108556242502</v>
      </c>
      <c r="E106" s="2">
        <f t="shared" ca="1" si="10"/>
        <v>7</v>
      </c>
      <c r="F106" s="1">
        <f t="shared" ca="1" si="11"/>
        <v>67.451085562425007</v>
      </c>
      <c r="G106" s="1">
        <f t="shared" ca="1" si="12"/>
        <v>86</v>
      </c>
      <c r="H106" s="1"/>
      <c r="I106">
        <f t="shared" ca="1" si="13"/>
        <v>1.9459101490553132</v>
      </c>
    </row>
    <row r="107" spans="1:9" x14ac:dyDescent="0.25">
      <c r="A107" t="s">
        <v>26</v>
      </c>
      <c r="B107" s="3">
        <f t="shared" ca="1" si="7"/>
        <v>41671</v>
      </c>
      <c r="C107" s="1">
        <f t="shared" ca="1" si="8"/>
        <v>2931.2049439186808</v>
      </c>
      <c r="D107" s="1">
        <f t="shared" ca="1" si="9"/>
        <v>73.28012359796702</v>
      </c>
      <c r="E107" s="2">
        <f t="shared" ca="1" si="10"/>
        <v>40</v>
      </c>
      <c r="F107" s="1">
        <f t="shared" ca="1" si="11"/>
        <v>45.280123597967027</v>
      </c>
      <c r="G107" s="1">
        <f t="shared" ca="1" si="12"/>
        <v>28</v>
      </c>
      <c r="H107" s="1"/>
      <c r="I107">
        <f t="shared" ca="1" si="13"/>
        <v>3.6888794541139363</v>
      </c>
    </row>
    <row r="108" spans="1:9" x14ac:dyDescent="0.25">
      <c r="A108" t="s">
        <v>29</v>
      </c>
      <c r="B108" s="3">
        <f t="shared" ca="1" si="7"/>
        <v>43890</v>
      </c>
      <c r="C108" s="1">
        <f t="shared" ca="1" si="8"/>
        <v>388.54090389136815</v>
      </c>
      <c r="D108" s="1">
        <f t="shared" ca="1" si="9"/>
        <v>77.708180778273629</v>
      </c>
      <c r="E108" s="2">
        <f t="shared" ca="1" si="10"/>
        <v>5</v>
      </c>
      <c r="F108" s="1">
        <f t="shared" ca="1" si="11"/>
        <v>39.708180778273622</v>
      </c>
      <c r="G108" s="1">
        <f t="shared" ca="1" si="12"/>
        <v>38</v>
      </c>
      <c r="H108" s="1"/>
      <c r="I108">
        <f t="shared" ca="1" si="13"/>
        <v>1.6094379124341003</v>
      </c>
    </row>
    <row r="109" spans="1:9" x14ac:dyDescent="0.25">
      <c r="A109" t="s">
        <v>45</v>
      </c>
      <c r="B109" s="3">
        <f t="shared" ca="1" si="7"/>
        <v>43396</v>
      </c>
      <c r="C109" s="1">
        <f t="shared" ca="1" si="8"/>
        <v>834.59704181430516</v>
      </c>
      <c r="D109" s="1">
        <f t="shared" ca="1" si="9"/>
        <v>75.87245834675501</v>
      </c>
      <c r="E109" s="2">
        <f t="shared" ca="1" si="10"/>
        <v>11</v>
      </c>
      <c r="F109" s="1">
        <f t="shared" ca="1" si="11"/>
        <v>38.87245834675501</v>
      </c>
      <c r="G109" s="1">
        <f t="shared" ca="1" si="12"/>
        <v>37</v>
      </c>
      <c r="H109" s="1"/>
      <c r="I109">
        <f t="shared" ca="1" si="13"/>
        <v>2.3978952727983707</v>
      </c>
    </row>
    <row r="110" spans="1:9" x14ac:dyDescent="0.25">
      <c r="A110" t="s">
        <v>28</v>
      </c>
      <c r="B110" s="3">
        <f t="shared" ca="1" si="7"/>
        <v>43794</v>
      </c>
      <c r="C110" s="1">
        <f t="shared" ca="1" si="8"/>
        <v>3557.377087438917</v>
      </c>
      <c r="D110" s="1">
        <f t="shared" ca="1" si="9"/>
        <v>98.816030206636583</v>
      </c>
      <c r="E110" s="2">
        <f t="shared" ca="1" si="10"/>
        <v>36</v>
      </c>
      <c r="F110" s="1">
        <f t="shared" ca="1" si="11"/>
        <v>58.816030206636576</v>
      </c>
      <c r="G110" s="1">
        <f t="shared" ca="1" si="12"/>
        <v>40</v>
      </c>
      <c r="H110" s="1"/>
      <c r="I110">
        <f t="shared" ca="1" si="13"/>
        <v>3.5835189384561099</v>
      </c>
    </row>
    <row r="111" spans="1:9" x14ac:dyDescent="0.25">
      <c r="A111" t="s">
        <v>40</v>
      </c>
      <c r="B111" s="3">
        <f t="shared" ca="1" si="7"/>
        <v>40963</v>
      </c>
      <c r="C111" s="1">
        <f t="shared" ca="1" si="8"/>
        <v>180.91838543078376</v>
      </c>
      <c r="D111" s="1">
        <f t="shared" ca="1" si="9"/>
        <v>45.229596357695939</v>
      </c>
      <c r="E111" s="2">
        <f t="shared" ca="1" si="10"/>
        <v>4</v>
      </c>
      <c r="F111" s="1">
        <f t="shared" ca="1" si="11"/>
        <v>28.229596357695943</v>
      </c>
      <c r="G111" s="1">
        <f t="shared" ca="1" si="12"/>
        <v>17</v>
      </c>
      <c r="H111" s="1"/>
      <c r="I111">
        <f t="shared" ca="1" si="13"/>
        <v>1.3862943611198906</v>
      </c>
    </row>
    <row r="112" spans="1:9" x14ac:dyDescent="0.25">
      <c r="A112" t="s">
        <v>37</v>
      </c>
      <c r="B112" s="3">
        <f t="shared" ca="1" si="7"/>
        <v>42374</v>
      </c>
      <c r="C112" s="1">
        <f t="shared" ca="1" si="8"/>
        <v>5156.6944564581254</v>
      </c>
      <c r="D112" s="1">
        <f t="shared" ca="1" si="9"/>
        <v>112.1020534012636</v>
      </c>
      <c r="E112" s="2">
        <f t="shared" ca="1" si="10"/>
        <v>46</v>
      </c>
      <c r="F112" s="1">
        <f t="shared" ca="1" si="11"/>
        <v>58.102053401263603</v>
      </c>
      <c r="G112" s="1">
        <f t="shared" ca="1" si="12"/>
        <v>54</v>
      </c>
      <c r="H112" s="1"/>
      <c r="I112">
        <f t="shared" ca="1" si="13"/>
        <v>3.8286413964890951</v>
      </c>
    </row>
    <row r="113" spans="1:9" x14ac:dyDescent="0.25">
      <c r="A113" t="s">
        <v>36</v>
      </c>
      <c r="B113" s="3">
        <f t="shared" ca="1" si="7"/>
        <v>43024</v>
      </c>
      <c r="C113" s="1">
        <f t="shared" ca="1" si="8"/>
        <v>1795.3794475829895</v>
      </c>
      <c r="D113" s="1">
        <f t="shared" ca="1" si="9"/>
        <v>112.21121547393685</v>
      </c>
      <c r="E113" s="2">
        <f t="shared" ca="1" si="10"/>
        <v>16</v>
      </c>
      <c r="F113" s="1">
        <f t="shared" ca="1" si="11"/>
        <v>71.211215473936846</v>
      </c>
      <c r="G113" s="1">
        <f t="shared" ca="1" si="12"/>
        <v>41</v>
      </c>
      <c r="H113" s="1"/>
      <c r="I113">
        <f t="shared" ca="1" si="13"/>
        <v>2.7725887222397811</v>
      </c>
    </row>
    <row r="114" spans="1:9" x14ac:dyDescent="0.25">
      <c r="A114" t="s">
        <v>42</v>
      </c>
      <c r="B114" s="3">
        <f t="shared" ca="1" si="7"/>
        <v>41686</v>
      </c>
      <c r="C114" s="1">
        <f t="shared" ca="1" si="8"/>
        <v>1627.6046288796147</v>
      </c>
      <c r="D114" s="1">
        <f t="shared" ca="1" si="9"/>
        <v>85.663401519979715</v>
      </c>
      <c r="E114" s="2">
        <f t="shared" ca="1" si="10"/>
        <v>19</v>
      </c>
      <c r="F114" s="1">
        <f t="shared" ca="1" si="11"/>
        <v>54.663401519979715</v>
      </c>
      <c r="G114" s="1">
        <f t="shared" ca="1" si="12"/>
        <v>31</v>
      </c>
      <c r="H114" s="1"/>
      <c r="I114">
        <f t="shared" ca="1" si="13"/>
        <v>2.9444389791664403</v>
      </c>
    </row>
    <row r="115" spans="1:9" x14ac:dyDescent="0.25">
      <c r="A115" t="s">
        <v>45</v>
      </c>
      <c r="B115" s="3">
        <f t="shared" ca="1" si="7"/>
        <v>44116</v>
      </c>
      <c r="C115" s="1">
        <f t="shared" ca="1" si="8"/>
        <v>7016.5551646225695</v>
      </c>
      <c r="D115" s="1">
        <f t="shared" ca="1" si="9"/>
        <v>93.554068861634263</v>
      </c>
      <c r="E115" s="2">
        <f t="shared" ca="1" si="10"/>
        <v>75</v>
      </c>
      <c r="F115" s="1">
        <f t="shared" ca="1" si="11"/>
        <v>55.554068861634263</v>
      </c>
      <c r="G115" s="1">
        <f t="shared" ca="1" si="12"/>
        <v>38</v>
      </c>
      <c r="H115" s="1"/>
      <c r="I115">
        <f t="shared" ca="1" si="13"/>
        <v>4.3174881135363101</v>
      </c>
    </row>
    <row r="116" spans="1:9" x14ac:dyDescent="0.25">
      <c r="A116" t="s">
        <v>28</v>
      </c>
      <c r="B116" s="3">
        <f t="shared" ca="1" si="7"/>
        <v>42775</v>
      </c>
      <c r="C116" s="1">
        <f t="shared" ca="1" si="8"/>
        <v>380.327895851964</v>
      </c>
      <c r="D116" s="1">
        <f t="shared" ca="1" si="9"/>
        <v>126.775965283988</v>
      </c>
      <c r="E116" s="2">
        <f t="shared" ca="1" si="10"/>
        <v>3</v>
      </c>
      <c r="F116" s="1">
        <f t="shared" ca="1" si="11"/>
        <v>65.775965283988</v>
      </c>
      <c r="G116" s="1">
        <f t="shared" ca="1" si="12"/>
        <v>61</v>
      </c>
      <c r="H116" s="1"/>
      <c r="I116">
        <f t="shared" ca="1" si="13"/>
        <v>1.0986122886681098</v>
      </c>
    </row>
    <row r="117" spans="1:9" x14ac:dyDescent="0.25">
      <c r="A117" t="s">
        <v>25</v>
      </c>
      <c r="B117" s="3">
        <f t="shared" ca="1" si="7"/>
        <v>41987</v>
      </c>
      <c r="C117" s="1">
        <f t="shared" ca="1" si="8"/>
        <v>2164.9698238200085</v>
      </c>
      <c r="D117" s="1">
        <f t="shared" ca="1" si="9"/>
        <v>216.49698238200085</v>
      </c>
      <c r="E117" s="2">
        <f t="shared" ca="1" si="10"/>
        <v>10</v>
      </c>
      <c r="F117" s="1">
        <f t="shared" ca="1" si="11"/>
        <v>89.496982382000851</v>
      </c>
      <c r="G117" s="1">
        <f t="shared" ca="1" si="12"/>
        <v>127</v>
      </c>
      <c r="H117" s="1"/>
      <c r="I117">
        <f t="shared" ca="1" si="13"/>
        <v>2.3025850929940459</v>
      </c>
    </row>
    <row r="118" spans="1:9" x14ac:dyDescent="0.25">
      <c r="A118" t="s">
        <v>39</v>
      </c>
      <c r="B118" s="3">
        <f t="shared" ca="1" si="7"/>
        <v>41926</v>
      </c>
      <c r="C118" s="1">
        <f t="shared" ca="1" si="8"/>
        <v>5307.7785028082781</v>
      </c>
      <c r="D118" s="1">
        <f t="shared" ca="1" si="9"/>
        <v>132.69446257020695</v>
      </c>
      <c r="E118" s="2">
        <f t="shared" ca="1" si="10"/>
        <v>40</v>
      </c>
      <c r="F118" s="1">
        <f t="shared" ca="1" si="11"/>
        <v>66.694462570206966</v>
      </c>
      <c r="G118" s="1">
        <f t="shared" ca="1" si="12"/>
        <v>66</v>
      </c>
      <c r="H118" s="1"/>
      <c r="I118">
        <f t="shared" ca="1" si="13"/>
        <v>3.6888794541139363</v>
      </c>
    </row>
    <row r="119" spans="1:9" x14ac:dyDescent="0.25">
      <c r="A119" t="s">
        <v>25</v>
      </c>
      <c r="B119" s="3">
        <f t="shared" ca="1" si="7"/>
        <v>40925</v>
      </c>
      <c r="C119" s="1">
        <f t="shared" ca="1" si="8"/>
        <v>1115.1021899167931</v>
      </c>
      <c r="D119" s="1">
        <f t="shared" ca="1" si="9"/>
        <v>139.38777373959914</v>
      </c>
      <c r="E119" s="2">
        <f t="shared" ca="1" si="10"/>
        <v>8</v>
      </c>
      <c r="F119" s="1">
        <f t="shared" ca="1" si="11"/>
        <v>69.38777373959914</v>
      </c>
      <c r="G119" s="1">
        <f t="shared" ca="1" si="12"/>
        <v>70</v>
      </c>
      <c r="H119" s="1"/>
      <c r="I119">
        <f t="shared" ca="1" si="13"/>
        <v>2.0794415416798357</v>
      </c>
    </row>
    <row r="120" spans="1:9" x14ac:dyDescent="0.25">
      <c r="A120" t="s">
        <v>40</v>
      </c>
      <c r="B120" s="3">
        <f t="shared" ca="1" si="7"/>
        <v>42101</v>
      </c>
      <c r="C120" s="1">
        <f t="shared" ca="1" si="8"/>
        <v>772.75649790126317</v>
      </c>
      <c r="D120" s="1">
        <f t="shared" ca="1" si="9"/>
        <v>55.196892707233083</v>
      </c>
      <c r="E120" s="2">
        <f t="shared" ca="1" si="10"/>
        <v>14</v>
      </c>
      <c r="F120" s="1">
        <f t="shared" ca="1" si="11"/>
        <v>26.196892707233083</v>
      </c>
      <c r="G120" s="1">
        <f t="shared" ca="1" si="12"/>
        <v>29</v>
      </c>
      <c r="H120" s="1"/>
      <c r="I120">
        <f t="shared" ca="1" si="13"/>
        <v>2.6390573296152584</v>
      </c>
    </row>
    <row r="121" spans="1:9" x14ac:dyDescent="0.25">
      <c r="A121" t="s">
        <v>21</v>
      </c>
      <c r="B121" s="3">
        <f t="shared" ca="1" si="7"/>
        <v>41703</v>
      </c>
      <c r="C121" s="1">
        <f t="shared" ca="1" si="8"/>
        <v>4692.3455351898392</v>
      </c>
      <c r="D121" s="1">
        <f t="shared" ca="1" si="9"/>
        <v>95.762153779384477</v>
      </c>
      <c r="E121" s="2">
        <f t="shared" ca="1" si="10"/>
        <v>49</v>
      </c>
      <c r="F121" s="1">
        <f t="shared" ca="1" si="11"/>
        <v>55.762153779384484</v>
      </c>
      <c r="G121" s="1">
        <f t="shared" ca="1" si="12"/>
        <v>40</v>
      </c>
      <c r="H121" s="1"/>
      <c r="I121">
        <f t="shared" ca="1" si="13"/>
        <v>3.8918202981106265</v>
      </c>
    </row>
    <row r="122" spans="1:9" x14ac:dyDescent="0.25">
      <c r="A122" t="s">
        <v>18</v>
      </c>
      <c r="B122" s="3">
        <f t="shared" ca="1" si="7"/>
        <v>41924</v>
      </c>
      <c r="C122" s="1">
        <f t="shared" ca="1" si="8"/>
        <v>1847.7940989507956</v>
      </c>
      <c r="D122" s="1">
        <f t="shared" ca="1" si="9"/>
        <v>65.992646391099839</v>
      </c>
      <c r="E122" s="2">
        <f t="shared" ca="1" si="10"/>
        <v>28</v>
      </c>
      <c r="F122" s="1">
        <f t="shared" ca="1" si="11"/>
        <v>38.992646391099839</v>
      </c>
      <c r="G122" s="1">
        <f t="shared" ca="1" si="12"/>
        <v>27</v>
      </c>
      <c r="H122" s="1"/>
      <c r="I122">
        <f t="shared" ca="1" si="13"/>
        <v>3.3322045101752038</v>
      </c>
    </row>
    <row r="123" spans="1:9" x14ac:dyDescent="0.25">
      <c r="A123" t="s">
        <v>25</v>
      </c>
      <c r="B123" s="3">
        <f t="shared" ca="1" si="7"/>
        <v>41673</v>
      </c>
      <c r="C123" s="1">
        <f t="shared" ca="1" si="8"/>
        <v>30519.693392440477</v>
      </c>
      <c r="D123" s="1">
        <f t="shared" ca="1" si="9"/>
        <v>111.38574230817692</v>
      </c>
      <c r="E123" s="2">
        <f t="shared" ca="1" si="10"/>
        <v>274</v>
      </c>
      <c r="F123" s="1">
        <f t="shared" ca="1" si="11"/>
        <v>46.385742308176916</v>
      </c>
      <c r="G123" s="1">
        <f t="shared" ca="1" si="12"/>
        <v>65</v>
      </c>
      <c r="H123" s="1"/>
      <c r="I123">
        <f t="shared" ca="1" si="13"/>
        <v>5.6131281063880705</v>
      </c>
    </row>
    <row r="124" spans="1:9" x14ac:dyDescent="0.25">
      <c r="A124" t="s">
        <v>14</v>
      </c>
      <c r="B124" s="3">
        <f t="shared" ca="1" si="7"/>
        <v>41406</v>
      </c>
      <c r="C124" s="1">
        <f t="shared" ca="1" si="8"/>
        <v>3689.4437201909213</v>
      </c>
      <c r="D124" s="1">
        <f t="shared" ca="1" si="9"/>
        <v>184.47218600954608</v>
      </c>
      <c r="E124" s="2">
        <f t="shared" ca="1" si="10"/>
        <v>20</v>
      </c>
      <c r="F124" s="1">
        <f t="shared" ca="1" si="11"/>
        <v>76.472186009546093</v>
      </c>
      <c r="G124" s="1">
        <f t="shared" ca="1" si="12"/>
        <v>108</v>
      </c>
      <c r="H124" s="1"/>
      <c r="I124">
        <f t="shared" ca="1" si="13"/>
        <v>2.9957322735539909</v>
      </c>
    </row>
    <row r="125" spans="1:9" x14ac:dyDescent="0.25">
      <c r="A125" t="s">
        <v>20</v>
      </c>
      <c r="B125" s="3">
        <f t="shared" ca="1" si="7"/>
        <v>42951</v>
      </c>
      <c r="C125" s="1">
        <f t="shared" ca="1" si="8"/>
        <v>1568.7626747351524</v>
      </c>
      <c r="D125" s="1">
        <f t="shared" ca="1" si="9"/>
        <v>60.337025951352018</v>
      </c>
      <c r="E125" s="2">
        <f t="shared" ca="1" si="10"/>
        <v>26</v>
      </c>
      <c r="F125" s="1">
        <f t="shared" ca="1" si="11"/>
        <v>30.337025951352015</v>
      </c>
      <c r="G125" s="1">
        <f t="shared" ca="1" si="12"/>
        <v>30</v>
      </c>
      <c r="H125" s="1"/>
      <c r="I125">
        <f t="shared" ca="1" si="13"/>
        <v>3.2580965380214821</v>
      </c>
    </row>
    <row r="126" spans="1:9" x14ac:dyDescent="0.25">
      <c r="A126" t="s">
        <v>46</v>
      </c>
      <c r="B126" s="3">
        <f t="shared" ca="1" si="7"/>
        <v>40674</v>
      </c>
      <c r="C126" s="1">
        <f t="shared" ca="1" si="8"/>
        <v>3092.6696458416855</v>
      </c>
      <c r="D126" s="1">
        <f t="shared" ca="1" si="9"/>
        <v>171.81498032453808</v>
      </c>
      <c r="E126" s="2">
        <f t="shared" ca="1" si="10"/>
        <v>18</v>
      </c>
      <c r="F126" s="1">
        <f t="shared" ca="1" si="11"/>
        <v>99.814980324538084</v>
      </c>
      <c r="G126" s="1">
        <f t="shared" ca="1" si="12"/>
        <v>72</v>
      </c>
      <c r="H126" s="1"/>
      <c r="I126">
        <f t="shared" ca="1" si="13"/>
        <v>2.8903717578961645</v>
      </c>
    </row>
    <row r="127" spans="1:9" x14ac:dyDescent="0.25">
      <c r="A127" t="s">
        <v>34</v>
      </c>
      <c r="B127" s="3">
        <f t="shared" ca="1" si="7"/>
        <v>41261</v>
      </c>
      <c r="C127" s="1">
        <f t="shared" ca="1" si="8"/>
        <v>1317.1929035017031</v>
      </c>
      <c r="D127" s="1">
        <f t="shared" ca="1" si="9"/>
        <v>73.177383527872394</v>
      </c>
      <c r="E127" s="2">
        <f t="shared" ca="1" si="10"/>
        <v>18</v>
      </c>
      <c r="F127" s="1">
        <f t="shared" ca="1" si="11"/>
        <v>43.177383527872387</v>
      </c>
      <c r="G127" s="1">
        <f t="shared" ca="1" si="12"/>
        <v>30</v>
      </c>
      <c r="H127" s="1"/>
      <c r="I127">
        <f t="shared" ca="1" si="13"/>
        <v>2.8903717578961645</v>
      </c>
    </row>
    <row r="128" spans="1:9" x14ac:dyDescent="0.25">
      <c r="A128" t="s">
        <v>31</v>
      </c>
      <c r="B128" s="3">
        <f t="shared" ca="1" si="7"/>
        <v>40809</v>
      </c>
      <c r="C128" s="1">
        <f t="shared" ca="1" si="8"/>
        <v>886.08971885323035</v>
      </c>
      <c r="D128" s="1">
        <f t="shared" ca="1" si="9"/>
        <v>98.454413205914477</v>
      </c>
      <c r="E128" s="2">
        <f t="shared" ca="1" si="10"/>
        <v>9</v>
      </c>
      <c r="F128" s="1">
        <f t="shared" ca="1" si="11"/>
        <v>52.45441320591447</v>
      </c>
      <c r="G128" s="1">
        <f t="shared" ca="1" si="12"/>
        <v>46</v>
      </c>
      <c r="H128" s="1"/>
      <c r="I128">
        <f t="shared" ca="1" si="13"/>
        <v>2.1972245773362196</v>
      </c>
    </row>
    <row r="129" spans="1:9" x14ac:dyDescent="0.25">
      <c r="A129" t="s">
        <v>26</v>
      </c>
      <c r="B129" s="3">
        <f t="shared" ca="1" si="7"/>
        <v>42230</v>
      </c>
      <c r="C129" s="1">
        <f t="shared" ca="1" si="8"/>
        <v>948.81093792024103</v>
      </c>
      <c r="D129" s="1">
        <f t="shared" ca="1" si="9"/>
        <v>105.42343754669345</v>
      </c>
      <c r="E129" s="2">
        <f t="shared" ca="1" si="10"/>
        <v>9</v>
      </c>
      <c r="F129" s="1">
        <f t="shared" ca="1" si="11"/>
        <v>47.423437546693449</v>
      </c>
      <c r="G129" s="1">
        <f t="shared" ca="1" si="12"/>
        <v>58</v>
      </c>
      <c r="H129" s="1"/>
      <c r="I129">
        <f t="shared" ca="1" si="13"/>
        <v>2.1972245773362196</v>
      </c>
    </row>
    <row r="130" spans="1:9" x14ac:dyDescent="0.25">
      <c r="A130" t="s">
        <v>17</v>
      </c>
      <c r="B130" s="3">
        <f t="shared" ca="1" si="7"/>
        <v>41632</v>
      </c>
      <c r="C130" s="1">
        <f t="shared" ca="1" si="8"/>
        <v>4880.9373554891208</v>
      </c>
      <c r="D130" s="1">
        <f t="shared" ca="1" si="9"/>
        <v>101.68619490602336</v>
      </c>
      <c r="E130" s="2">
        <f t="shared" ca="1" si="10"/>
        <v>48</v>
      </c>
      <c r="F130" s="1">
        <f t="shared" ca="1" si="11"/>
        <v>61.68619490602336</v>
      </c>
      <c r="G130" s="1">
        <f t="shared" ca="1" si="12"/>
        <v>40</v>
      </c>
      <c r="H130" s="1"/>
      <c r="I130">
        <f t="shared" ca="1" si="13"/>
        <v>3.8712010109078911</v>
      </c>
    </row>
    <row r="131" spans="1:9" x14ac:dyDescent="0.25">
      <c r="A131" t="s">
        <v>47</v>
      </c>
      <c r="B131" s="3">
        <f t="shared" ref="B131:B194" ca="1" si="14">DATE(RANDBETWEEN(2010, 2020),RANDBETWEEN(1,12),RANDBETWEEN(1,31))</f>
        <v>42331</v>
      </c>
      <c r="C131" s="1">
        <f t="shared" ref="C131:C194" ca="1" si="15">+E131*D131</f>
        <v>1424.0544747856616</v>
      </c>
      <c r="D131" s="1">
        <f t="shared" ref="D131:D194" ca="1" si="16">+F131+G131</f>
        <v>101.7181767704044</v>
      </c>
      <c r="E131" s="2">
        <f t="shared" ref="E131:E194" ca="1" si="17">INT(_xlfn.LOGNORM.INV(RAND(),3,1))</f>
        <v>14</v>
      </c>
      <c r="F131" s="1">
        <f t="shared" ref="F131:F194" ca="1" si="18">_xlfn.GAMMA.INV(RAND(),7,9)</f>
        <v>66.718176770404398</v>
      </c>
      <c r="G131" s="1">
        <f t="shared" ref="G131:G194" ca="1" si="19">+RANDBETWEEN(0.5*F131,1.5*F131)</f>
        <v>35</v>
      </c>
      <c r="H131" s="1"/>
      <c r="I131">
        <f t="shared" ca="1" si="13"/>
        <v>2.6390573296152584</v>
      </c>
    </row>
    <row r="132" spans="1:9" x14ac:dyDescent="0.25">
      <c r="A132" t="s">
        <v>42</v>
      </c>
      <c r="B132" s="3">
        <f t="shared" ca="1" si="14"/>
        <v>44165</v>
      </c>
      <c r="C132" s="1">
        <f t="shared" ca="1" si="15"/>
        <v>2098.786765280232</v>
      </c>
      <c r="D132" s="1">
        <f t="shared" ca="1" si="16"/>
        <v>91.251598490444877</v>
      </c>
      <c r="E132" s="2">
        <f t="shared" ca="1" si="17"/>
        <v>23</v>
      </c>
      <c r="F132" s="1">
        <f t="shared" ca="1" si="18"/>
        <v>42.25159849044487</v>
      </c>
      <c r="G132" s="1">
        <f t="shared" ca="1" si="19"/>
        <v>49</v>
      </c>
      <c r="H132" s="1"/>
      <c r="I132">
        <f t="shared" ref="I132:I195" ca="1" si="20">+LN(E132)</f>
        <v>3.1354942159291497</v>
      </c>
    </row>
    <row r="133" spans="1:9" x14ac:dyDescent="0.25">
      <c r="A133" t="s">
        <v>48</v>
      </c>
      <c r="B133" s="3">
        <f t="shared" ca="1" si="14"/>
        <v>42992</v>
      </c>
      <c r="C133" s="1">
        <f t="shared" ca="1" si="15"/>
        <v>6477.6904946120994</v>
      </c>
      <c r="D133" s="1">
        <f t="shared" ca="1" si="16"/>
        <v>124.57097105023269</v>
      </c>
      <c r="E133" s="2">
        <f t="shared" ca="1" si="17"/>
        <v>52</v>
      </c>
      <c r="F133" s="1">
        <f t="shared" ca="1" si="18"/>
        <v>53.570971050232693</v>
      </c>
      <c r="G133" s="1">
        <f t="shared" ca="1" si="19"/>
        <v>71</v>
      </c>
      <c r="H133" s="1"/>
      <c r="I133">
        <f t="shared" ca="1" si="20"/>
        <v>3.9512437185814275</v>
      </c>
    </row>
    <row r="134" spans="1:9" x14ac:dyDescent="0.25">
      <c r="A134" t="s">
        <v>26</v>
      </c>
      <c r="B134" s="3">
        <f t="shared" ca="1" si="14"/>
        <v>41792</v>
      </c>
      <c r="C134" s="1">
        <f t="shared" ca="1" si="15"/>
        <v>13051.097082764767</v>
      </c>
      <c r="D134" s="1">
        <f t="shared" ca="1" si="16"/>
        <v>283.71950179923408</v>
      </c>
      <c r="E134" s="2">
        <f t="shared" ca="1" si="17"/>
        <v>46</v>
      </c>
      <c r="F134" s="1">
        <f t="shared" ca="1" si="18"/>
        <v>135.71950179923408</v>
      </c>
      <c r="G134" s="1">
        <f t="shared" ca="1" si="19"/>
        <v>148</v>
      </c>
      <c r="H134" s="1"/>
      <c r="I134">
        <f t="shared" ca="1" si="20"/>
        <v>3.8286413964890951</v>
      </c>
    </row>
    <row r="135" spans="1:9" x14ac:dyDescent="0.25">
      <c r="A135" t="s">
        <v>17</v>
      </c>
      <c r="B135" s="3">
        <f t="shared" ca="1" si="14"/>
        <v>42430</v>
      </c>
      <c r="C135" s="1">
        <f t="shared" ca="1" si="15"/>
        <v>4472.6949248656529</v>
      </c>
      <c r="D135" s="1">
        <f t="shared" ca="1" si="16"/>
        <v>212.98547261265014</v>
      </c>
      <c r="E135" s="2">
        <f t="shared" ca="1" si="17"/>
        <v>21</v>
      </c>
      <c r="F135" s="1">
        <f t="shared" ca="1" si="18"/>
        <v>104.98547261265013</v>
      </c>
      <c r="G135" s="1">
        <f t="shared" ca="1" si="19"/>
        <v>108</v>
      </c>
      <c r="H135" s="1"/>
      <c r="I135">
        <f t="shared" ca="1" si="20"/>
        <v>3.044522437723423</v>
      </c>
    </row>
    <row r="136" spans="1:9" x14ac:dyDescent="0.25">
      <c r="A136" t="s">
        <v>16</v>
      </c>
      <c r="B136" s="3">
        <f t="shared" ca="1" si="14"/>
        <v>43219</v>
      </c>
      <c r="C136" s="1">
        <f t="shared" ca="1" si="15"/>
        <v>1901.8332394361892</v>
      </c>
      <c r="D136" s="1">
        <f t="shared" ca="1" si="16"/>
        <v>105.6574021908994</v>
      </c>
      <c r="E136" s="2">
        <f t="shared" ca="1" si="17"/>
        <v>18</v>
      </c>
      <c r="F136" s="1">
        <f t="shared" ca="1" si="18"/>
        <v>54.657402190899411</v>
      </c>
      <c r="G136" s="1">
        <f t="shared" ca="1" si="19"/>
        <v>51</v>
      </c>
      <c r="H136" s="1"/>
      <c r="I136">
        <f t="shared" ca="1" si="20"/>
        <v>2.8903717578961645</v>
      </c>
    </row>
    <row r="137" spans="1:9" x14ac:dyDescent="0.25">
      <c r="A137" t="s">
        <v>32</v>
      </c>
      <c r="B137" s="3">
        <f t="shared" ca="1" si="14"/>
        <v>44027</v>
      </c>
      <c r="C137" s="1">
        <f t="shared" ca="1" si="15"/>
        <v>8510.5772055918751</v>
      </c>
      <c r="D137" s="1">
        <f t="shared" ca="1" si="16"/>
        <v>166.87406285474265</v>
      </c>
      <c r="E137" s="2">
        <f t="shared" ca="1" si="17"/>
        <v>51</v>
      </c>
      <c r="F137" s="1">
        <f t="shared" ca="1" si="18"/>
        <v>69.874062854742661</v>
      </c>
      <c r="G137" s="1">
        <f t="shared" ca="1" si="19"/>
        <v>97</v>
      </c>
      <c r="H137" s="1"/>
      <c r="I137">
        <f t="shared" ca="1" si="20"/>
        <v>3.9318256327243257</v>
      </c>
    </row>
    <row r="138" spans="1:9" x14ac:dyDescent="0.25">
      <c r="A138" t="s">
        <v>46</v>
      </c>
      <c r="B138" s="3">
        <f t="shared" ca="1" si="14"/>
        <v>41735</v>
      </c>
      <c r="C138" s="1">
        <f t="shared" ca="1" si="15"/>
        <v>578.48743845473678</v>
      </c>
      <c r="D138" s="1">
        <f t="shared" ca="1" si="16"/>
        <v>41.320531318195485</v>
      </c>
      <c r="E138" s="2">
        <f t="shared" ca="1" si="17"/>
        <v>14</v>
      </c>
      <c r="F138" s="1">
        <f t="shared" ca="1" si="18"/>
        <v>24.320531318195485</v>
      </c>
      <c r="G138" s="1">
        <f t="shared" ca="1" si="19"/>
        <v>17</v>
      </c>
      <c r="H138" s="1"/>
      <c r="I138">
        <f t="shared" ca="1" si="20"/>
        <v>2.6390573296152584</v>
      </c>
    </row>
    <row r="139" spans="1:9" x14ac:dyDescent="0.25">
      <c r="A139" t="s">
        <v>23</v>
      </c>
      <c r="B139" s="3">
        <f t="shared" ca="1" si="14"/>
        <v>41876</v>
      </c>
      <c r="C139" s="1">
        <f t="shared" ca="1" si="15"/>
        <v>5551.9243193290185</v>
      </c>
      <c r="D139" s="1">
        <f t="shared" ca="1" si="16"/>
        <v>205.62682664181551</v>
      </c>
      <c r="E139" s="2">
        <f t="shared" ca="1" si="17"/>
        <v>27</v>
      </c>
      <c r="F139" s="1">
        <f t="shared" ca="1" si="18"/>
        <v>103.62682664181551</v>
      </c>
      <c r="G139" s="1">
        <f t="shared" ca="1" si="19"/>
        <v>102</v>
      </c>
      <c r="H139" s="1"/>
      <c r="I139">
        <f t="shared" ca="1" si="20"/>
        <v>3.2958368660043291</v>
      </c>
    </row>
    <row r="140" spans="1:9" x14ac:dyDescent="0.25">
      <c r="A140" t="s">
        <v>47</v>
      </c>
      <c r="B140" s="3">
        <f t="shared" ca="1" si="14"/>
        <v>43924</v>
      </c>
      <c r="C140" s="1">
        <f t="shared" ca="1" si="15"/>
        <v>1174.6683717812321</v>
      </c>
      <c r="D140" s="1">
        <f t="shared" ca="1" si="16"/>
        <v>195.77806196353868</v>
      </c>
      <c r="E140" s="2">
        <f t="shared" ca="1" si="17"/>
        <v>6</v>
      </c>
      <c r="F140" s="1">
        <f t="shared" ca="1" si="18"/>
        <v>82.77806196353869</v>
      </c>
      <c r="G140" s="1">
        <f t="shared" ca="1" si="19"/>
        <v>113</v>
      </c>
      <c r="H140" s="1"/>
      <c r="I140">
        <f t="shared" ca="1" si="20"/>
        <v>1.791759469228055</v>
      </c>
    </row>
    <row r="141" spans="1:9" x14ac:dyDescent="0.25">
      <c r="A141" t="s">
        <v>17</v>
      </c>
      <c r="B141" s="3">
        <f t="shared" ca="1" si="14"/>
        <v>41624</v>
      </c>
      <c r="C141" s="1">
        <f t="shared" ca="1" si="15"/>
        <v>480.01611001376671</v>
      </c>
      <c r="D141" s="1">
        <f t="shared" ca="1" si="16"/>
        <v>96.003222002753347</v>
      </c>
      <c r="E141" s="2">
        <f t="shared" ca="1" si="17"/>
        <v>5</v>
      </c>
      <c r="F141" s="1">
        <f t="shared" ca="1" si="18"/>
        <v>62.003222002753354</v>
      </c>
      <c r="G141" s="1">
        <f t="shared" ca="1" si="19"/>
        <v>34</v>
      </c>
      <c r="H141" s="1"/>
      <c r="I141">
        <f t="shared" ca="1" si="20"/>
        <v>1.6094379124341003</v>
      </c>
    </row>
    <row r="142" spans="1:9" x14ac:dyDescent="0.25">
      <c r="A142" t="s">
        <v>17</v>
      </c>
      <c r="B142" s="3">
        <f t="shared" ca="1" si="14"/>
        <v>43203</v>
      </c>
      <c r="C142" s="1">
        <f t="shared" ca="1" si="15"/>
        <v>1575.0054039989659</v>
      </c>
      <c r="D142" s="1">
        <f t="shared" ca="1" si="16"/>
        <v>121.15426184607431</v>
      </c>
      <c r="E142" s="2">
        <f t="shared" ca="1" si="17"/>
        <v>13</v>
      </c>
      <c r="F142" s="1">
        <f t="shared" ca="1" si="18"/>
        <v>49.154261846074306</v>
      </c>
      <c r="G142" s="1">
        <f t="shared" ca="1" si="19"/>
        <v>72</v>
      </c>
      <c r="H142" s="1"/>
      <c r="I142">
        <f t="shared" ca="1" si="20"/>
        <v>2.5649493574615367</v>
      </c>
    </row>
    <row r="143" spans="1:9" x14ac:dyDescent="0.25">
      <c r="A143" t="s">
        <v>16</v>
      </c>
      <c r="B143" s="3">
        <f t="shared" ca="1" si="14"/>
        <v>43741</v>
      </c>
      <c r="C143" s="1">
        <f t="shared" ca="1" si="15"/>
        <v>3619.7440494757052</v>
      </c>
      <c r="D143" s="1">
        <f t="shared" ca="1" si="16"/>
        <v>86.184382130373933</v>
      </c>
      <c r="E143" s="2">
        <f t="shared" ca="1" si="17"/>
        <v>42</v>
      </c>
      <c r="F143" s="1">
        <f t="shared" ca="1" si="18"/>
        <v>47.184382130373933</v>
      </c>
      <c r="G143" s="1">
        <f t="shared" ca="1" si="19"/>
        <v>39</v>
      </c>
      <c r="H143" s="1"/>
      <c r="I143">
        <f t="shared" ca="1" si="20"/>
        <v>3.7376696182833684</v>
      </c>
    </row>
    <row r="144" spans="1:9" x14ac:dyDescent="0.25">
      <c r="A144" t="s">
        <v>25</v>
      </c>
      <c r="B144" s="3">
        <f t="shared" ca="1" si="14"/>
        <v>41091</v>
      </c>
      <c r="C144" s="1">
        <f t="shared" ca="1" si="15"/>
        <v>6656.5222821459693</v>
      </c>
      <c r="D144" s="1">
        <f t="shared" ca="1" si="16"/>
        <v>95.093175459228135</v>
      </c>
      <c r="E144" s="2">
        <f t="shared" ca="1" si="17"/>
        <v>70</v>
      </c>
      <c r="F144" s="1">
        <f t="shared" ca="1" si="18"/>
        <v>49.093175459228135</v>
      </c>
      <c r="G144" s="1">
        <f t="shared" ca="1" si="19"/>
        <v>46</v>
      </c>
      <c r="H144" s="1"/>
      <c r="I144">
        <f t="shared" ca="1" si="20"/>
        <v>4.2484952420493594</v>
      </c>
    </row>
    <row r="145" spans="1:9" x14ac:dyDescent="0.25">
      <c r="A145" t="s">
        <v>22</v>
      </c>
      <c r="B145" s="3">
        <f t="shared" ca="1" si="14"/>
        <v>43986</v>
      </c>
      <c r="C145" s="1">
        <f t="shared" ca="1" si="15"/>
        <v>8859.6496866270481</v>
      </c>
      <c r="D145" s="1">
        <f t="shared" ca="1" si="16"/>
        <v>136.30230287118536</v>
      </c>
      <c r="E145" s="2">
        <f t="shared" ca="1" si="17"/>
        <v>65</v>
      </c>
      <c r="F145" s="1">
        <f t="shared" ca="1" si="18"/>
        <v>78.302302871185361</v>
      </c>
      <c r="G145" s="1">
        <f t="shared" ca="1" si="19"/>
        <v>58</v>
      </c>
      <c r="H145" s="1"/>
      <c r="I145">
        <f t="shared" ca="1" si="20"/>
        <v>4.1743872698956368</v>
      </c>
    </row>
    <row r="146" spans="1:9" x14ac:dyDescent="0.25">
      <c r="A146" t="s">
        <v>48</v>
      </c>
      <c r="B146" s="3">
        <f t="shared" ca="1" si="14"/>
        <v>41177</v>
      </c>
      <c r="C146" s="1">
        <f t="shared" ca="1" si="15"/>
        <v>1198.9876599481649</v>
      </c>
      <c r="D146" s="1">
        <f t="shared" ca="1" si="16"/>
        <v>239.797531989633</v>
      </c>
      <c r="E146" s="2">
        <f t="shared" ca="1" si="17"/>
        <v>5</v>
      </c>
      <c r="F146" s="1">
        <f t="shared" ca="1" si="18"/>
        <v>110.79753198963301</v>
      </c>
      <c r="G146" s="1">
        <f t="shared" ca="1" si="19"/>
        <v>129</v>
      </c>
      <c r="H146" s="1"/>
      <c r="I146">
        <f t="shared" ca="1" si="20"/>
        <v>1.6094379124341003</v>
      </c>
    </row>
    <row r="147" spans="1:9" x14ac:dyDescent="0.25">
      <c r="A147" t="s">
        <v>26</v>
      </c>
      <c r="B147" s="3">
        <f t="shared" ca="1" si="14"/>
        <v>41260</v>
      </c>
      <c r="C147" s="1">
        <f t="shared" ca="1" si="15"/>
        <v>1424.99072951168</v>
      </c>
      <c r="D147" s="1">
        <f t="shared" ca="1" si="16"/>
        <v>89.06192059448</v>
      </c>
      <c r="E147" s="2">
        <f t="shared" ca="1" si="17"/>
        <v>16</v>
      </c>
      <c r="F147" s="1">
        <f t="shared" ca="1" si="18"/>
        <v>47.06192059448</v>
      </c>
      <c r="G147" s="1">
        <f t="shared" ca="1" si="19"/>
        <v>42</v>
      </c>
      <c r="H147" s="1"/>
      <c r="I147">
        <f t="shared" ca="1" si="20"/>
        <v>2.7725887222397811</v>
      </c>
    </row>
    <row r="148" spans="1:9" x14ac:dyDescent="0.25">
      <c r="A148" t="s">
        <v>20</v>
      </c>
      <c r="B148" s="3">
        <f t="shared" ca="1" si="14"/>
        <v>41634</v>
      </c>
      <c r="C148" s="1">
        <f t="shared" ca="1" si="15"/>
        <v>20723.366031208825</v>
      </c>
      <c r="D148" s="1">
        <f t="shared" ca="1" si="16"/>
        <v>161.90129711881895</v>
      </c>
      <c r="E148" s="2">
        <f t="shared" ca="1" si="17"/>
        <v>128</v>
      </c>
      <c r="F148" s="1">
        <f t="shared" ca="1" si="18"/>
        <v>69.90129711881896</v>
      </c>
      <c r="G148" s="1">
        <f t="shared" ca="1" si="19"/>
        <v>92</v>
      </c>
      <c r="H148" s="1"/>
      <c r="I148">
        <f t="shared" ca="1" si="20"/>
        <v>4.8520302639196169</v>
      </c>
    </row>
    <row r="149" spans="1:9" x14ac:dyDescent="0.25">
      <c r="A149" t="s">
        <v>38</v>
      </c>
      <c r="B149" s="3">
        <f t="shared" ca="1" si="14"/>
        <v>40867</v>
      </c>
      <c r="C149" s="1">
        <f t="shared" ca="1" si="15"/>
        <v>1260.1833569543546</v>
      </c>
      <c r="D149" s="1">
        <f t="shared" ca="1" si="16"/>
        <v>66.325439839702881</v>
      </c>
      <c r="E149" s="2">
        <f t="shared" ca="1" si="17"/>
        <v>19</v>
      </c>
      <c r="F149" s="1">
        <f t="shared" ca="1" si="18"/>
        <v>37.325439839702888</v>
      </c>
      <c r="G149" s="1">
        <f t="shared" ca="1" si="19"/>
        <v>29</v>
      </c>
      <c r="H149" s="1"/>
      <c r="I149">
        <f t="shared" ca="1" si="20"/>
        <v>2.9444389791664403</v>
      </c>
    </row>
    <row r="150" spans="1:9" x14ac:dyDescent="0.25">
      <c r="A150" t="s">
        <v>41</v>
      </c>
      <c r="B150" s="3">
        <f t="shared" ca="1" si="14"/>
        <v>40255</v>
      </c>
      <c r="C150" s="1">
        <f t="shared" ca="1" si="15"/>
        <v>3171.4518585889195</v>
      </c>
      <c r="D150" s="1">
        <f t="shared" ca="1" si="16"/>
        <v>137.88921124299651</v>
      </c>
      <c r="E150" s="2">
        <f t="shared" ca="1" si="17"/>
        <v>23</v>
      </c>
      <c r="F150" s="1">
        <f t="shared" ca="1" si="18"/>
        <v>67.889211242996524</v>
      </c>
      <c r="G150" s="1">
        <f t="shared" ca="1" si="19"/>
        <v>70</v>
      </c>
      <c r="H150" s="1"/>
      <c r="I150">
        <f t="shared" ca="1" si="20"/>
        <v>3.1354942159291497</v>
      </c>
    </row>
    <row r="151" spans="1:9" x14ac:dyDescent="0.25">
      <c r="A151" t="s">
        <v>47</v>
      </c>
      <c r="B151" s="3">
        <f t="shared" ca="1" si="14"/>
        <v>41700</v>
      </c>
      <c r="C151" s="1">
        <f t="shared" ca="1" si="15"/>
        <v>1565.852276933635</v>
      </c>
      <c r="D151" s="1">
        <f t="shared" ca="1" si="16"/>
        <v>92.108957466684416</v>
      </c>
      <c r="E151" s="2">
        <f t="shared" ca="1" si="17"/>
        <v>17</v>
      </c>
      <c r="F151" s="1">
        <f t="shared" ca="1" si="18"/>
        <v>37.108957466684409</v>
      </c>
      <c r="G151" s="1">
        <f t="shared" ca="1" si="19"/>
        <v>55</v>
      </c>
      <c r="H151" s="1"/>
      <c r="I151">
        <f t="shared" ca="1" si="20"/>
        <v>2.8332133440562162</v>
      </c>
    </row>
    <row r="152" spans="1:9" x14ac:dyDescent="0.25">
      <c r="A152" t="s">
        <v>30</v>
      </c>
      <c r="B152" s="3">
        <f t="shared" ca="1" si="14"/>
        <v>41385</v>
      </c>
      <c r="C152" s="1">
        <f t="shared" ca="1" si="15"/>
        <v>3266.8297276957933</v>
      </c>
      <c r="D152" s="1">
        <f t="shared" ca="1" si="16"/>
        <v>155.56332036646634</v>
      </c>
      <c r="E152" s="2">
        <f t="shared" ca="1" si="17"/>
        <v>21</v>
      </c>
      <c r="F152" s="1">
        <f t="shared" ca="1" si="18"/>
        <v>72.563320366466343</v>
      </c>
      <c r="G152" s="1">
        <f t="shared" ca="1" si="19"/>
        <v>83</v>
      </c>
      <c r="H152" s="1"/>
      <c r="I152">
        <f t="shared" ca="1" si="20"/>
        <v>3.044522437723423</v>
      </c>
    </row>
    <row r="153" spans="1:9" x14ac:dyDescent="0.25">
      <c r="A153" t="s">
        <v>33</v>
      </c>
      <c r="B153" s="3">
        <f t="shared" ca="1" si="14"/>
        <v>42148</v>
      </c>
      <c r="C153" s="1">
        <f t="shared" ca="1" si="15"/>
        <v>743.8859611056987</v>
      </c>
      <c r="D153" s="1">
        <f t="shared" ca="1" si="16"/>
        <v>123.98099351761644</v>
      </c>
      <c r="E153" s="2">
        <f t="shared" ca="1" si="17"/>
        <v>6</v>
      </c>
      <c r="F153" s="1">
        <f t="shared" ca="1" si="18"/>
        <v>60.980993517616447</v>
      </c>
      <c r="G153" s="1">
        <f t="shared" ca="1" si="19"/>
        <v>63</v>
      </c>
      <c r="H153" s="1"/>
      <c r="I153">
        <f t="shared" ca="1" si="20"/>
        <v>1.791759469228055</v>
      </c>
    </row>
    <row r="154" spans="1:9" x14ac:dyDescent="0.25">
      <c r="A154" t="s">
        <v>29</v>
      </c>
      <c r="B154" s="3">
        <f t="shared" ca="1" si="14"/>
        <v>40897</v>
      </c>
      <c r="C154" s="1">
        <f t="shared" ca="1" si="15"/>
        <v>3987.7128789365706</v>
      </c>
      <c r="D154" s="1">
        <f t="shared" ca="1" si="16"/>
        <v>94.94554473658502</v>
      </c>
      <c r="E154" s="2">
        <f t="shared" ca="1" si="17"/>
        <v>42</v>
      </c>
      <c r="F154" s="1">
        <f t="shared" ca="1" si="18"/>
        <v>51.945544736585013</v>
      </c>
      <c r="G154" s="1">
        <f t="shared" ca="1" si="19"/>
        <v>43</v>
      </c>
      <c r="H154" s="1"/>
      <c r="I154">
        <f t="shared" ca="1" si="20"/>
        <v>3.7376696182833684</v>
      </c>
    </row>
    <row r="155" spans="1:9" x14ac:dyDescent="0.25">
      <c r="A155" t="s">
        <v>21</v>
      </c>
      <c r="B155" s="3">
        <f t="shared" ca="1" si="14"/>
        <v>42097</v>
      </c>
      <c r="C155" s="1">
        <f t="shared" ca="1" si="15"/>
        <v>344.06188031838656</v>
      </c>
      <c r="D155" s="1">
        <f t="shared" ca="1" si="16"/>
        <v>57.343646719731098</v>
      </c>
      <c r="E155" s="2">
        <f t="shared" ca="1" si="17"/>
        <v>6</v>
      </c>
      <c r="F155" s="1">
        <f t="shared" ca="1" si="18"/>
        <v>35.343646719731098</v>
      </c>
      <c r="G155" s="1">
        <f t="shared" ca="1" si="19"/>
        <v>22</v>
      </c>
      <c r="H155" s="1"/>
      <c r="I155">
        <f t="shared" ca="1" si="20"/>
        <v>1.791759469228055</v>
      </c>
    </row>
    <row r="156" spans="1:9" x14ac:dyDescent="0.25">
      <c r="A156" t="s">
        <v>18</v>
      </c>
      <c r="B156" s="3">
        <f t="shared" ca="1" si="14"/>
        <v>42962</v>
      </c>
      <c r="C156" s="1">
        <f t="shared" ca="1" si="15"/>
        <v>2340.4330454845999</v>
      </c>
      <c r="D156" s="1">
        <f t="shared" ca="1" si="16"/>
        <v>156.02886969897332</v>
      </c>
      <c r="E156" s="2">
        <f t="shared" ca="1" si="17"/>
        <v>15</v>
      </c>
      <c r="F156" s="1">
        <f t="shared" ca="1" si="18"/>
        <v>67.028869698973324</v>
      </c>
      <c r="G156" s="1">
        <f t="shared" ca="1" si="19"/>
        <v>89</v>
      </c>
      <c r="H156" s="1"/>
      <c r="I156">
        <f t="shared" ca="1" si="20"/>
        <v>2.7080502011022101</v>
      </c>
    </row>
    <row r="157" spans="1:9" x14ac:dyDescent="0.25">
      <c r="A157" t="s">
        <v>48</v>
      </c>
      <c r="B157" s="3">
        <f t="shared" ca="1" si="14"/>
        <v>43305</v>
      </c>
      <c r="C157" s="1">
        <f t="shared" ca="1" si="15"/>
        <v>850.35932550964787</v>
      </c>
      <c r="D157" s="1">
        <f t="shared" ca="1" si="16"/>
        <v>170.07186510192957</v>
      </c>
      <c r="E157" s="2">
        <f t="shared" ca="1" si="17"/>
        <v>5</v>
      </c>
      <c r="F157" s="1">
        <f t="shared" ca="1" si="18"/>
        <v>100.07186510192956</v>
      </c>
      <c r="G157" s="1">
        <f t="shared" ca="1" si="19"/>
        <v>70</v>
      </c>
      <c r="H157" s="1"/>
      <c r="I157">
        <f t="shared" ca="1" si="20"/>
        <v>1.6094379124341003</v>
      </c>
    </row>
    <row r="158" spans="1:9" x14ac:dyDescent="0.25">
      <c r="A158" t="s">
        <v>22</v>
      </c>
      <c r="B158" s="3">
        <f t="shared" ca="1" si="14"/>
        <v>41198</v>
      </c>
      <c r="C158" s="1">
        <f t="shared" ca="1" si="15"/>
        <v>392.10818069540323</v>
      </c>
      <c r="D158" s="1">
        <f t="shared" ca="1" si="16"/>
        <v>56.015454385057602</v>
      </c>
      <c r="E158" s="2">
        <f t="shared" ca="1" si="17"/>
        <v>7</v>
      </c>
      <c r="F158" s="1">
        <f t="shared" ca="1" si="18"/>
        <v>33.015454385057602</v>
      </c>
      <c r="G158" s="1">
        <f t="shared" ca="1" si="19"/>
        <v>23</v>
      </c>
      <c r="H158" s="1"/>
      <c r="I158">
        <f t="shared" ca="1" si="20"/>
        <v>1.9459101490553132</v>
      </c>
    </row>
    <row r="159" spans="1:9" x14ac:dyDescent="0.25">
      <c r="A159" t="s">
        <v>18</v>
      </c>
      <c r="B159" s="3">
        <f t="shared" ca="1" si="14"/>
        <v>41130</v>
      </c>
      <c r="C159" s="1">
        <f t="shared" ca="1" si="15"/>
        <v>785.56037860451488</v>
      </c>
      <c r="D159" s="1">
        <f t="shared" ca="1" si="16"/>
        <v>78.556037860451482</v>
      </c>
      <c r="E159" s="2">
        <f t="shared" ca="1" si="17"/>
        <v>10</v>
      </c>
      <c r="F159" s="1">
        <f t="shared" ca="1" si="18"/>
        <v>38.556037860451475</v>
      </c>
      <c r="G159" s="1">
        <f t="shared" ca="1" si="19"/>
        <v>40</v>
      </c>
      <c r="H159" s="1"/>
      <c r="I159">
        <f t="shared" ca="1" si="20"/>
        <v>2.3025850929940459</v>
      </c>
    </row>
    <row r="160" spans="1:9" x14ac:dyDescent="0.25">
      <c r="A160" t="s">
        <v>27</v>
      </c>
      <c r="B160" s="3">
        <f t="shared" ca="1" si="14"/>
        <v>40816</v>
      </c>
      <c r="C160" s="1">
        <f t="shared" ca="1" si="15"/>
        <v>393.71266369277748</v>
      </c>
      <c r="D160" s="1">
        <f t="shared" ca="1" si="16"/>
        <v>98.428165923194371</v>
      </c>
      <c r="E160" s="2">
        <f t="shared" ca="1" si="17"/>
        <v>4</v>
      </c>
      <c r="F160" s="1">
        <f t="shared" ca="1" si="18"/>
        <v>43.428165923194371</v>
      </c>
      <c r="G160" s="1">
        <f t="shared" ca="1" si="19"/>
        <v>55</v>
      </c>
      <c r="H160" s="1"/>
      <c r="I160">
        <f t="shared" ca="1" si="20"/>
        <v>1.3862943611198906</v>
      </c>
    </row>
    <row r="161" spans="1:9" x14ac:dyDescent="0.25">
      <c r="A161" t="s">
        <v>46</v>
      </c>
      <c r="B161" s="3">
        <f t="shared" ca="1" si="14"/>
        <v>43713</v>
      </c>
      <c r="C161" s="1">
        <f t="shared" ca="1" si="15"/>
        <v>3551.3961273359268</v>
      </c>
      <c r="D161" s="1">
        <f t="shared" ca="1" si="16"/>
        <v>107.61806446472505</v>
      </c>
      <c r="E161" s="2">
        <f t="shared" ca="1" si="17"/>
        <v>33</v>
      </c>
      <c r="F161" s="1">
        <f t="shared" ca="1" si="18"/>
        <v>61.618064464725052</v>
      </c>
      <c r="G161" s="1">
        <f t="shared" ca="1" si="19"/>
        <v>46</v>
      </c>
      <c r="H161" s="1"/>
      <c r="I161">
        <f t="shared" ca="1" si="20"/>
        <v>3.4965075614664802</v>
      </c>
    </row>
    <row r="162" spans="1:9" x14ac:dyDescent="0.25">
      <c r="A162" t="s">
        <v>23</v>
      </c>
      <c r="B162" s="3">
        <f t="shared" ca="1" si="14"/>
        <v>40744</v>
      </c>
      <c r="C162" s="1">
        <f t="shared" ca="1" si="15"/>
        <v>1720.2399606297447</v>
      </c>
      <c r="D162" s="1">
        <f t="shared" ca="1" si="16"/>
        <v>143.35333005247873</v>
      </c>
      <c r="E162" s="2">
        <f t="shared" ca="1" si="17"/>
        <v>12</v>
      </c>
      <c r="F162" s="1">
        <f t="shared" ca="1" si="18"/>
        <v>58.353330052478711</v>
      </c>
      <c r="G162" s="1">
        <f t="shared" ca="1" si="19"/>
        <v>85</v>
      </c>
      <c r="H162" s="1"/>
      <c r="I162">
        <f t="shared" ca="1" si="20"/>
        <v>2.4849066497880004</v>
      </c>
    </row>
    <row r="163" spans="1:9" x14ac:dyDescent="0.25">
      <c r="A163" t="s">
        <v>17</v>
      </c>
      <c r="B163" s="3">
        <f t="shared" ca="1" si="14"/>
        <v>44051</v>
      </c>
      <c r="C163" s="1">
        <f t="shared" ca="1" si="15"/>
        <v>784.94921413999293</v>
      </c>
      <c r="D163" s="1">
        <f t="shared" ca="1" si="16"/>
        <v>112.13560201999898</v>
      </c>
      <c r="E163" s="2">
        <f t="shared" ca="1" si="17"/>
        <v>7</v>
      </c>
      <c r="F163" s="1">
        <f t="shared" ca="1" si="18"/>
        <v>57.135602019998984</v>
      </c>
      <c r="G163" s="1">
        <f t="shared" ca="1" si="19"/>
        <v>55</v>
      </c>
      <c r="H163" s="1"/>
      <c r="I163">
        <f t="shared" ca="1" si="20"/>
        <v>1.9459101490553132</v>
      </c>
    </row>
    <row r="164" spans="1:9" x14ac:dyDescent="0.25">
      <c r="A164" t="s">
        <v>35</v>
      </c>
      <c r="B164" s="3">
        <f t="shared" ca="1" si="14"/>
        <v>43351</v>
      </c>
      <c r="C164" s="1">
        <f t="shared" ca="1" si="15"/>
        <v>3429.9962478769194</v>
      </c>
      <c r="D164" s="1">
        <f t="shared" ca="1" si="16"/>
        <v>64.716910337300362</v>
      </c>
      <c r="E164" s="2">
        <f t="shared" ca="1" si="17"/>
        <v>53</v>
      </c>
      <c r="F164" s="1">
        <f t="shared" ca="1" si="18"/>
        <v>33.716910337300362</v>
      </c>
      <c r="G164" s="1">
        <f t="shared" ca="1" si="19"/>
        <v>31</v>
      </c>
      <c r="H164" s="1"/>
      <c r="I164">
        <f t="shared" ca="1" si="20"/>
        <v>3.970291913552122</v>
      </c>
    </row>
    <row r="165" spans="1:9" x14ac:dyDescent="0.25">
      <c r="A165" t="s">
        <v>37</v>
      </c>
      <c r="B165" s="3">
        <f t="shared" ca="1" si="14"/>
        <v>42523</v>
      </c>
      <c r="C165" s="1">
        <f t="shared" ca="1" si="15"/>
        <v>1480.7052703764916</v>
      </c>
      <c r="D165" s="1">
        <f t="shared" ca="1" si="16"/>
        <v>148.07052703764916</v>
      </c>
      <c r="E165" s="2">
        <f t="shared" ca="1" si="17"/>
        <v>10</v>
      </c>
      <c r="F165" s="1">
        <f t="shared" ca="1" si="18"/>
        <v>66.070527037649157</v>
      </c>
      <c r="G165" s="1">
        <f t="shared" ca="1" si="19"/>
        <v>82</v>
      </c>
      <c r="H165" s="1"/>
      <c r="I165">
        <f t="shared" ca="1" si="20"/>
        <v>2.3025850929940459</v>
      </c>
    </row>
    <row r="166" spans="1:9" x14ac:dyDescent="0.25">
      <c r="A166" t="s">
        <v>16</v>
      </c>
      <c r="B166" s="3">
        <f t="shared" ca="1" si="14"/>
        <v>40809</v>
      </c>
      <c r="C166" s="1">
        <f t="shared" ca="1" si="15"/>
        <v>6572.8775676118239</v>
      </c>
      <c r="D166" s="1">
        <f t="shared" ca="1" si="16"/>
        <v>205.4024239878695</v>
      </c>
      <c r="E166" s="2">
        <f t="shared" ca="1" si="17"/>
        <v>32</v>
      </c>
      <c r="F166" s="1">
        <f t="shared" ca="1" si="18"/>
        <v>87.402423987869511</v>
      </c>
      <c r="G166" s="1">
        <f t="shared" ca="1" si="19"/>
        <v>118</v>
      </c>
      <c r="H166" s="1"/>
      <c r="I166">
        <f t="shared" ca="1" si="20"/>
        <v>3.4657359027997265</v>
      </c>
    </row>
    <row r="167" spans="1:9" x14ac:dyDescent="0.25">
      <c r="A167" t="s">
        <v>13</v>
      </c>
      <c r="B167" s="3">
        <f t="shared" ca="1" si="14"/>
        <v>42921</v>
      </c>
      <c r="C167" s="1">
        <f t="shared" ca="1" si="15"/>
        <v>3059.9669787506</v>
      </c>
      <c r="D167" s="1">
        <f t="shared" ca="1" si="16"/>
        <v>76.499174468765005</v>
      </c>
      <c r="E167" s="2">
        <f t="shared" ca="1" si="17"/>
        <v>40</v>
      </c>
      <c r="F167" s="1">
        <f t="shared" ca="1" si="18"/>
        <v>41.499174468764998</v>
      </c>
      <c r="G167" s="1">
        <f t="shared" ca="1" si="19"/>
        <v>35</v>
      </c>
      <c r="H167" s="1"/>
      <c r="I167">
        <f t="shared" ca="1" si="20"/>
        <v>3.6888794541139363</v>
      </c>
    </row>
    <row r="168" spans="1:9" x14ac:dyDescent="0.25">
      <c r="A168" t="s">
        <v>45</v>
      </c>
      <c r="B168" s="3">
        <f t="shared" ca="1" si="14"/>
        <v>41945</v>
      </c>
      <c r="C168" s="1">
        <f t="shared" ca="1" si="15"/>
        <v>2006.9058575155937</v>
      </c>
      <c r="D168" s="1">
        <f t="shared" ca="1" si="16"/>
        <v>80.276234300623742</v>
      </c>
      <c r="E168" s="2">
        <f t="shared" ca="1" si="17"/>
        <v>25</v>
      </c>
      <c r="F168" s="1">
        <f t="shared" ca="1" si="18"/>
        <v>35.276234300623734</v>
      </c>
      <c r="G168" s="1">
        <f t="shared" ca="1" si="19"/>
        <v>45</v>
      </c>
      <c r="H168" s="1"/>
      <c r="I168">
        <f t="shared" ca="1" si="20"/>
        <v>3.2188758248682006</v>
      </c>
    </row>
    <row r="169" spans="1:9" x14ac:dyDescent="0.25">
      <c r="A169" t="s">
        <v>42</v>
      </c>
      <c r="B169" s="3">
        <f t="shared" ca="1" si="14"/>
        <v>40351</v>
      </c>
      <c r="C169" s="1">
        <f t="shared" ca="1" si="15"/>
        <v>3465.116219850569</v>
      </c>
      <c r="D169" s="1">
        <f t="shared" ca="1" si="16"/>
        <v>144.37984249377371</v>
      </c>
      <c r="E169" s="2">
        <f t="shared" ca="1" si="17"/>
        <v>24</v>
      </c>
      <c r="F169" s="1">
        <f t="shared" ca="1" si="18"/>
        <v>73.379842493773708</v>
      </c>
      <c r="G169" s="1">
        <f t="shared" ca="1" si="19"/>
        <v>71</v>
      </c>
      <c r="H169" s="1"/>
      <c r="I169">
        <f t="shared" ca="1" si="20"/>
        <v>3.1780538303479458</v>
      </c>
    </row>
    <row r="170" spans="1:9" x14ac:dyDescent="0.25">
      <c r="A170" t="s">
        <v>21</v>
      </c>
      <c r="B170" s="3">
        <f t="shared" ca="1" si="14"/>
        <v>41738</v>
      </c>
      <c r="C170" s="1">
        <f t="shared" ca="1" si="15"/>
        <v>1604.4886714632203</v>
      </c>
      <c r="D170" s="1">
        <f t="shared" ca="1" si="16"/>
        <v>69.760377020140012</v>
      </c>
      <c r="E170" s="2">
        <f t="shared" ca="1" si="17"/>
        <v>23</v>
      </c>
      <c r="F170" s="1">
        <f t="shared" ca="1" si="18"/>
        <v>45.760377020140012</v>
      </c>
      <c r="G170" s="1">
        <f t="shared" ca="1" si="19"/>
        <v>24</v>
      </c>
      <c r="H170" s="1"/>
      <c r="I170">
        <f t="shared" ca="1" si="20"/>
        <v>3.1354942159291497</v>
      </c>
    </row>
    <row r="171" spans="1:9" x14ac:dyDescent="0.25">
      <c r="A171" t="s">
        <v>21</v>
      </c>
      <c r="B171" s="3">
        <f t="shared" ca="1" si="14"/>
        <v>42330</v>
      </c>
      <c r="C171" s="1">
        <f t="shared" ca="1" si="15"/>
        <v>10203.308552447457</v>
      </c>
      <c r="D171" s="1">
        <f t="shared" ca="1" si="16"/>
        <v>121.46795895770782</v>
      </c>
      <c r="E171" s="2">
        <f t="shared" ca="1" si="17"/>
        <v>84</v>
      </c>
      <c r="F171" s="1">
        <f t="shared" ca="1" si="18"/>
        <v>50.467958957707815</v>
      </c>
      <c r="G171" s="1">
        <f t="shared" ca="1" si="19"/>
        <v>71</v>
      </c>
      <c r="H171" s="1"/>
      <c r="I171">
        <f t="shared" ca="1" si="20"/>
        <v>4.4308167988433134</v>
      </c>
    </row>
    <row r="172" spans="1:9" x14ac:dyDescent="0.25">
      <c r="A172" t="s">
        <v>25</v>
      </c>
      <c r="B172" s="3">
        <f t="shared" ca="1" si="14"/>
        <v>44018</v>
      </c>
      <c r="C172" s="1">
        <f t="shared" ca="1" si="15"/>
        <v>35382.843513451109</v>
      </c>
      <c r="D172" s="1">
        <f t="shared" ca="1" si="16"/>
        <v>96.411017747823195</v>
      </c>
      <c r="E172" s="2">
        <f t="shared" ca="1" si="17"/>
        <v>367</v>
      </c>
      <c r="F172" s="1">
        <f t="shared" ca="1" si="18"/>
        <v>46.411017747823195</v>
      </c>
      <c r="G172" s="1">
        <f t="shared" ca="1" si="19"/>
        <v>50</v>
      </c>
      <c r="H172" s="1"/>
      <c r="I172">
        <f t="shared" ca="1" si="20"/>
        <v>5.9053618480545707</v>
      </c>
    </row>
    <row r="173" spans="1:9" x14ac:dyDescent="0.25">
      <c r="A173" t="s">
        <v>23</v>
      </c>
      <c r="B173" s="3">
        <f t="shared" ca="1" si="14"/>
        <v>42380</v>
      </c>
      <c r="C173" s="1">
        <f t="shared" ca="1" si="15"/>
        <v>624.09253199077443</v>
      </c>
      <c r="D173" s="1">
        <f t="shared" ca="1" si="16"/>
        <v>78.011566498846804</v>
      </c>
      <c r="E173" s="2">
        <f t="shared" ca="1" si="17"/>
        <v>8</v>
      </c>
      <c r="F173" s="1">
        <f t="shared" ca="1" si="18"/>
        <v>49.011566498846797</v>
      </c>
      <c r="G173" s="1">
        <f t="shared" ca="1" si="19"/>
        <v>29</v>
      </c>
      <c r="H173" s="1"/>
      <c r="I173">
        <f t="shared" ca="1" si="20"/>
        <v>2.0794415416798357</v>
      </c>
    </row>
    <row r="174" spans="1:9" x14ac:dyDescent="0.25">
      <c r="A174" t="s">
        <v>46</v>
      </c>
      <c r="B174" s="3">
        <f t="shared" ca="1" si="14"/>
        <v>43944</v>
      </c>
      <c r="C174" s="1">
        <f t="shared" ca="1" si="15"/>
        <v>434.04138001156667</v>
      </c>
      <c r="D174" s="1">
        <f t="shared" ca="1" si="16"/>
        <v>43.404138001156667</v>
      </c>
      <c r="E174" s="2">
        <f t="shared" ca="1" si="17"/>
        <v>10</v>
      </c>
      <c r="F174" s="1">
        <f t="shared" ca="1" si="18"/>
        <v>28.404138001156664</v>
      </c>
      <c r="G174" s="1">
        <f t="shared" ca="1" si="19"/>
        <v>15</v>
      </c>
      <c r="H174" s="1"/>
      <c r="I174">
        <f t="shared" ca="1" si="20"/>
        <v>2.3025850929940459</v>
      </c>
    </row>
    <row r="175" spans="1:9" x14ac:dyDescent="0.25">
      <c r="A175" t="s">
        <v>46</v>
      </c>
      <c r="B175" s="3">
        <f t="shared" ca="1" si="14"/>
        <v>42913</v>
      </c>
      <c r="C175" s="1">
        <f t="shared" ca="1" si="15"/>
        <v>394.28997556558181</v>
      </c>
      <c r="D175" s="1">
        <f t="shared" ca="1" si="16"/>
        <v>78.85799511311636</v>
      </c>
      <c r="E175" s="2">
        <f t="shared" ca="1" si="17"/>
        <v>5</v>
      </c>
      <c r="F175" s="1">
        <f t="shared" ca="1" si="18"/>
        <v>33.85799511311636</v>
      </c>
      <c r="G175" s="1">
        <f t="shared" ca="1" si="19"/>
        <v>45</v>
      </c>
      <c r="H175" s="1"/>
      <c r="I175">
        <f t="shared" ca="1" si="20"/>
        <v>1.6094379124341003</v>
      </c>
    </row>
    <row r="176" spans="1:9" x14ac:dyDescent="0.25">
      <c r="A176" t="s">
        <v>22</v>
      </c>
      <c r="B176" s="3">
        <f t="shared" ca="1" si="14"/>
        <v>41797</v>
      </c>
      <c r="C176" s="1">
        <f t="shared" ca="1" si="15"/>
        <v>1993.0308690383167</v>
      </c>
      <c r="D176" s="1">
        <f t="shared" ca="1" si="16"/>
        <v>181.18462445802879</v>
      </c>
      <c r="E176" s="2">
        <f t="shared" ca="1" si="17"/>
        <v>11</v>
      </c>
      <c r="F176" s="1">
        <f t="shared" ca="1" si="18"/>
        <v>101.18462445802878</v>
      </c>
      <c r="G176" s="1">
        <f t="shared" ca="1" si="19"/>
        <v>80</v>
      </c>
      <c r="H176" s="1"/>
      <c r="I176">
        <f t="shared" ca="1" si="20"/>
        <v>2.3978952727983707</v>
      </c>
    </row>
    <row r="177" spans="1:9" x14ac:dyDescent="0.25">
      <c r="A177" t="s">
        <v>30</v>
      </c>
      <c r="B177" s="3">
        <f t="shared" ca="1" si="14"/>
        <v>41055</v>
      </c>
      <c r="C177" s="1">
        <f t="shared" ca="1" si="15"/>
        <v>1217.5596002450084</v>
      </c>
      <c r="D177" s="1">
        <f t="shared" ca="1" si="16"/>
        <v>81.170640016333891</v>
      </c>
      <c r="E177" s="2">
        <f t="shared" ca="1" si="17"/>
        <v>15</v>
      </c>
      <c r="F177" s="1">
        <f t="shared" ca="1" si="18"/>
        <v>33.170640016333884</v>
      </c>
      <c r="G177" s="1">
        <f t="shared" ca="1" si="19"/>
        <v>48</v>
      </c>
      <c r="H177" s="1"/>
      <c r="I177">
        <f t="shared" ca="1" si="20"/>
        <v>2.7080502011022101</v>
      </c>
    </row>
    <row r="178" spans="1:9" x14ac:dyDescent="0.25">
      <c r="A178" t="s">
        <v>16</v>
      </c>
      <c r="B178" s="3">
        <f t="shared" ca="1" si="14"/>
        <v>44091</v>
      </c>
      <c r="C178" s="1">
        <f t="shared" ca="1" si="15"/>
        <v>1319.9768239387217</v>
      </c>
      <c r="D178" s="1">
        <f t="shared" ca="1" si="16"/>
        <v>62.856039235177221</v>
      </c>
      <c r="E178" s="2">
        <f t="shared" ca="1" si="17"/>
        <v>21</v>
      </c>
      <c r="F178" s="1">
        <f t="shared" ca="1" si="18"/>
        <v>27.856039235177221</v>
      </c>
      <c r="G178" s="1">
        <f t="shared" ca="1" si="19"/>
        <v>35</v>
      </c>
      <c r="H178" s="1"/>
      <c r="I178">
        <f t="shared" ca="1" si="20"/>
        <v>3.044522437723423</v>
      </c>
    </row>
    <row r="179" spans="1:9" x14ac:dyDescent="0.25">
      <c r="A179" t="s">
        <v>42</v>
      </c>
      <c r="B179" s="3">
        <f t="shared" ca="1" si="14"/>
        <v>42739</v>
      </c>
      <c r="C179" s="1">
        <f t="shared" ca="1" si="15"/>
        <v>2387.0235027340336</v>
      </c>
      <c r="D179" s="1">
        <f t="shared" ca="1" si="16"/>
        <v>140.41314721964903</v>
      </c>
      <c r="E179" s="2">
        <f t="shared" ca="1" si="17"/>
        <v>17</v>
      </c>
      <c r="F179" s="1">
        <f t="shared" ca="1" si="18"/>
        <v>80.413147219649019</v>
      </c>
      <c r="G179" s="1">
        <f t="shared" ca="1" si="19"/>
        <v>60</v>
      </c>
      <c r="H179" s="1"/>
      <c r="I179">
        <f t="shared" ca="1" si="20"/>
        <v>2.8332133440562162</v>
      </c>
    </row>
    <row r="180" spans="1:9" x14ac:dyDescent="0.25">
      <c r="A180" t="s">
        <v>27</v>
      </c>
      <c r="B180" s="3">
        <f t="shared" ca="1" si="14"/>
        <v>41629</v>
      </c>
      <c r="C180" s="1">
        <f t="shared" ca="1" si="15"/>
        <v>4393.9854064283863</v>
      </c>
      <c r="D180" s="1">
        <f t="shared" ca="1" si="16"/>
        <v>118.75636233590234</v>
      </c>
      <c r="E180" s="2">
        <f t="shared" ca="1" si="17"/>
        <v>37</v>
      </c>
      <c r="F180" s="1">
        <f t="shared" ca="1" si="18"/>
        <v>56.756362335902345</v>
      </c>
      <c r="G180" s="1">
        <f t="shared" ca="1" si="19"/>
        <v>62</v>
      </c>
      <c r="H180" s="1"/>
      <c r="I180">
        <f t="shared" ca="1" si="20"/>
        <v>3.6109179126442243</v>
      </c>
    </row>
    <row r="181" spans="1:9" x14ac:dyDescent="0.25">
      <c r="A181" t="s">
        <v>31</v>
      </c>
      <c r="B181" s="3">
        <f t="shared" ca="1" si="14"/>
        <v>42021</v>
      </c>
      <c r="C181" s="1">
        <f t="shared" ca="1" si="15"/>
        <v>484.49110903561939</v>
      </c>
      <c r="D181" s="1">
        <f t="shared" ca="1" si="16"/>
        <v>96.898221807123875</v>
      </c>
      <c r="E181" s="2">
        <f t="shared" ca="1" si="17"/>
        <v>5</v>
      </c>
      <c r="F181" s="1">
        <f t="shared" ca="1" si="18"/>
        <v>48.898221807123875</v>
      </c>
      <c r="G181" s="1">
        <f t="shared" ca="1" si="19"/>
        <v>48</v>
      </c>
      <c r="H181" s="1"/>
      <c r="I181">
        <f t="shared" ca="1" si="20"/>
        <v>1.6094379124341003</v>
      </c>
    </row>
    <row r="182" spans="1:9" x14ac:dyDescent="0.25">
      <c r="A182" t="s">
        <v>23</v>
      </c>
      <c r="B182" s="3">
        <f t="shared" ca="1" si="14"/>
        <v>41739</v>
      </c>
      <c r="C182" s="1">
        <f t="shared" ca="1" si="15"/>
        <v>3555.7012054660941</v>
      </c>
      <c r="D182" s="1">
        <f t="shared" ca="1" si="16"/>
        <v>96.100032580164708</v>
      </c>
      <c r="E182" s="2">
        <f t="shared" ca="1" si="17"/>
        <v>37</v>
      </c>
      <c r="F182" s="1">
        <f t="shared" ca="1" si="18"/>
        <v>41.100032580164715</v>
      </c>
      <c r="G182" s="1">
        <f t="shared" ca="1" si="19"/>
        <v>55</v>
      </c>
      <c r="H182" s="1"/>
      <c r="I182">
        <f t="shared" ca="1" si="20"/>
        <v>3.6109179126442243</v>
      </c>
    </row>
    <row r="183" spans="1:9" x14ac:dyDescent="0.25">
      <c r="A183" t="s">
        <v>39</v>
      </c>
      <c r="B183" s="3">
        <f t="shared" ca="1" si="14"/>
        <v>41202</v>
      </c>
      <c r="C183" s="1">
        <f t="shared" ca="1" si="15"/>
        <v>7525.976769349445</v>
      </c>
      <c r="D183" s="1">
        <f t="shared" ca="1" si="16"/>
        <v>88.540903168816996</v>
      </c>
      <c r="E183" s="2">
        <f t="shared" ca="1" si="17"/>
        <v>85</v>
      </c>
      <c r="F183" s="1">
        <f t="shared" ca="1" si="18"/>
        <v>40.540903168816996</v>
      </c>
      <c r="G183" s="1">
        <f t="shared" ca="1" si="19"/>
        <v>48</v>
      </c>
      <c r="H183" s="1"/>
      <c r="I183">
        <f t="shared" ca="1" si="20"/>
        <v>4.4426512564903167</v>
      </c>
    </row>
    <row r="184" spans="1:9" x14ac:dyDescent="0.25">
      <c r="A184" t="s">
        <v>16</v>
      </c>
      <c r="B184" s="3">
        <f t="shared" ca="1" si="14"/>
        <v>43808</v>
      </c>
      <c r="C184" s="1">
        <f t="shared" ca="1" si="15"/>
        <v>929.76842411030884</v>
      </c>
      <c r="D184" s="1">
        <f t="shared" ca="1" si="16"/>
        <v>116.22105301378861</v>
      </c>
      <c r="E184" s="2">
        <f t="shared" ca="1" si="17"/>
        <v>8</v>
      </c>
      <c r="F184" s="1">
        <f t="shared" ca="1" si="18"/>
        <v>52.221053013788612</v>
      </c>
      <c r="G184" s="1">
        <f t="shared" ca="1" si="19"/>
        <v>64</v>
      </c>
      <c r="H184" s="1"/>
      <c r="I184">
        <f t="shared" ca="1" si="20"/>
        <v>2.0794415416798357</v>
      </c>
    </row>
    <row r="185" spans="1:9" x14ac:dyDescent="0.25">
      <c r="A185" t="s">
        <v>44</v>
      </c>
      <c r="B185" s="3">
        <f t="shared" ca="1" si="14"/>
        <v>43431</v>
      </c>
      <c r="C185" s="1">
        <f t="shared" ca="1" si="15"/>
        <v>4236.9261788835665</v>
      </c>
      <c r="D185" s="1">
        <f t="shared" ca="1" si="16"/>
        <v>132.40394309011145</v>
      </c>
      <c r="E185" s="2">
        <f t="shared" ca="1" si="17"/>
        <v>32</v>
      </c>
      <c r="F185" s="1">
        <f t="shared" ca="1" si="18"/>
        <v>72.403943090111454</v>
      </c>
      <c r="G185" s="1">
        <f t="shared" ca="1" si="19"/>
        <v>60</v>
      </c>
      <c r="H185" s="1"/>
      <c r="I185">
        <f t="shared" ca="1" si="20"/>
        <v>3.4657359027997265</v>
      </c>
    </row>
    <row r="186" spans="1:9" x14ac:dyDescent="0.25">
      <c r="A186" t="s">
        <v>19</v>
      </c>
      <c r="B186" s="3">
        <f t="shared" ca="1" si="14"/>
        <v>44159</v>
      </c>
      <c r="C186" s="1">
        <f t="shared" ca="1" si="15"/>
        <v>10839.288254214036</v>
      </c>
      <c r="D186" s="1">
        <f t="shared" ca="1" si="16"/>
        <v>116.55148660445201</v>
      </c>
      <c r="E186" s="2">
        <f t="shared" ca="1" si="17"/>
        <v>93</v>
      </c>
      <c r="F186" s="1">
        <f t="shared" ca="1" si="18"/>
        <v>57.551486604452009</v>
      </c>
      <c r="G186" s="1">
        <f t="shared" ca="1" si="19"/>
        <v>59</v>
      </c>
      <c r="H186" s="1"/>
      <c r="I186">
        <f t="shared" ca="1" si="20"/>
        <v>4.5325994931532563</v>
      </c>
    </row>
    <row r="187" spans="1:9" x14ac:dyDescent="0.25">
      <c r="A187" t="s">
        <v>25</v>
      </c>
      <c r="B187" s="3">
        <f t="shared" ca="1" si="14"/>
        <v>42328</v>
      </c>
      <c r="C187" s="1">
        <f t="shared" ca="1" si="15"/>
        <v>8638.3807649367609</v>
      </c>
      <c r="D187" s="1">
        <f t="shared" ca="1" si="16"/>
        <v>77.823250134565413</v>
      </c>
      <c r="E187" s="2">
        <f t="shared" ca="1" si="17"/>
        <v>111</v>
      </c>
      <c r="F187" s="1">
        <f t="shared" ca="1" si="18"/>
        <v>38.823250134565413</v>
      </c>
      <c r="G187" s="1">
        <f t="shared" ca="1" si="19"/>
        <v>39</v>
      </c>
      <c r="H187" s="1"/>
      <c r="I187">
        <f t="shared" ca="1" si="20"/>
        <v>4.7095302013123339</v>
      </c>
    </row>
    <row r="188" spans="1:9" x14ac:dyDescent="0.25">
      <c r="A188" t="s">
        <v>32</v>
      </c>
      <c r="B188" s="3">
        <f t="shared" ca="1" si="14"/>
        <v>44048</v>
      </c>
      <c r="C188" s="1">
        <f t="shared" ca="1" si="15"/>
        <v>1262.9316102455659</v>
      </c>
      <c r="D188" s="1">
        <f t="shared" ca="1" si="16"/>
        <v>57.405982283889365</v>
      </c>
      <c r="E188" s="2">
        <f t="shared" ca="1" si="17"/>
        <v>22</v>
      </c>
      <c r="F188" s="1">
        <f t="shared" ca="1" si="18"/>
        <v>31.405982283889365</v>
      </c>
      <c r="G188" s="1">
        <f t="shared" ca="1" si="19"/>
        <v>26</v>
      </c>
      <c r="H188" s="1"/>
      <c r="I188">
        <f t="shared" ca="1" si="20"/>
        <v>3.0910424533583161</v>
      </c>
    </row>
    <row r="189" spans="1:9" x14ac:dyDescent="0.25">
      <c r="A189" t="s">
        <v>48</v>
      </c>
      <c r="B189" s="3">
        <f t="shared" ca="1" si="14"/>
        <v>41722</v>
      </c>
      <c r="C189" s="1">
        <f t="shared" ca="1" si="15"/>
        <v>5124.5060884335089</v>
      </c>
      <c r="D189" s="1">
        <f t="shared" ca="1" si="16"/>
        <v>256.22530442167545</v>
      </c>
      <c r="E189" s="2">
        <f t="shared" ca="1" si="17"/>
        <v>20</v>
      </c>
      <c r="F189" s="1">
        <f t="shared" ca="1" si="18"/>
        <v>161.22530442167547</v>
      </c>
      <c r="G189" s="1">
        <f t="shared" ca="1" si="19"/>
        <v>95</v>
      </c>
      <c r="H189" s="1"/>
      <c r="I189">
        <f t="shared" ca="1" si="20"/>
        <v>2.9957322735539909</v>
      </c>
    </row>
    <row r="190" spans="1:9" x14ac:dyDescent="0.25">
      <c r="A190" t="s">
        <v>36</v>
      </c>
      <c r="B190" s="3">
        <f t="shared" ca="1" si="14"/>
        <v>42477</v>
      </c>
      <c r="C190" s="1">
        <f t="shared" ca="1" si="15"/>
        <v>4576.1943834704643</v>
      </c>
      <c r="D190" s="1">
        <f t="shared" ca="1" si="16"/>
        <v>108.95700913024915</v>
      </c>
      <c r="E190" s="2">
        <f t="shared" ca="1" si="17"/>
        <v>42</v>
      </c>
      <c r="F190" s="1">
        <f t="shared" ca="1" si="18"/>
        <v>70.957009130249148</v>
      </c>
      <c r="G190" s="1">
        <f t="shared" ca="1" si="19"/>
        <v>38</v>
      </c>
      <c r="H190" s="1"/>
      <c r="I190">
        <f t="shared" ca="1" si="20"/>
        <v>3.7376696182833684</v>
      </c>
    </row>
    <row r="191" spans="1:9" x14ac:dyDescent="0.25">
      <c r="A191" t="s">
        <v>22</v>
      </c>
      <c r="B191" s="3">
        <f t="shared" ca="1" si="14"/>
        <v>42157</v>
      </c>
      <c r="C191" s="1">
        <f t="shared" ca="1" si="15"/>
        <v>466.3165067753863</v>
      </c>
      <c r="D191" s="1">
        <f t="shared" ca="1" si="16"/>
        <v>51.812945197265144</v>
      </c>
      <c r="E191" s="2">
        <f t="shared" ca="1" si="17"/>
        <v>9</v>
      </c>
      <c r="F191" s="1">
        <f t="shared" ca="1" si="18"/>
        <v>21.812945197265144</v>
      </c>
      <c r="G191" s="1">
        <f t="shared" ca="1" si="19"/>
        <v>30</v>
      </c>
      <c r="H191" s="1"/>
      <c r="I191">
        <f t="shared" ca="1" si="20"/>
        <v>2.1972245773362196</v>
      </c>
    </row>
    <row r="192" spans="1:9" x14ac:dyDescent="0.25">
      <c r="A192" t="s">
        <v>39</v>
      </c>
      <c r="B192" s="3">
        <f t="shared" ca="1" si="14"/>
        <v>44099</v>
      </c>
      <c r="C192" s="1">
        <f t="shared" ca="1" si="15"/>
        <v>3479.827073781164</v>
      </c>
      <c r="D192" s="1">
        <f t="shared" ca="1" si="16"/>
        <v>96.661863160587885</v>
      </c>
      <c r="E192" s="2">
        <f t="shared" ca="1" si="17"/>
        <v>36</v>
      </c>
      <c r="F192" s="1">
        <f t="shared" ca="1" si="18"/>
        <v>49.661863160587885</v>
      </c>
      <c r="G192" s="1">
        <f t="shared" ca="1" si="19"/>
        <v>47</v>
      </c>
      <c r="H192" s="1"/>
      <c r="I192">
        <f t="shared" ca="1" si="20"/>
        <v>3.5835189384561099</v>
      </c>
    </row>
    <row r="193" spans="1:9" x14ac:dyDescent="0.25">
      <c r="A193" t="s">
        <v>35</v>
      </c>
      <c r="B193" s="3">
        <f t="shared" ca="1" si="14"/>
        <v>43610</v>
      </c>
      <c r="C193" s="1">
        <f t="shared" ca="1" si="15"/>
        <v>870.11233770009358</v>
      </c>
      <c r="D193" s="1">
        <f t="shared" ca="1" si="16"/>
        <v>124.3017625285848</v>
      </c>
      <c r="E193" s="2">
        <f t="shared" ca="1" si="17"/>
        <v>7</v>
      </c>
      <c r="F193" s="1">
        <f t="shared" ca="1" si="18"/>
        <v>54.301762528584803</v>
      </c>
      <c r="G193" s="1">
        <f t="shared" ca="1" si="19"/>
        <v>70</v>
      </c>
      <c r="H193" s="1"/>
      <c r="I193">
        <f t="shared" ca="1" si="20"/>
        <v>1.9459101490553132</v>
      </c>
    </row>
    <row r="194" spans="1:9" x14ac:dyDescent="0.25">
      <c r="A194" t="s">
        <v>27</v>
      </c>
      <c r="B194" s="3">
        <f t="shared" ca="1" si="14"/>
        <v>43494</v>
      </c>
      <c r="C194" s="1">
        <f t="shared" ca="1" si="15"/>
        <v>2819.7782280297715</v>
      </c>
      <c r="D194" s="1">
        <f t="shared" ca="1" si="16"/>
        <v>90.960588000960371</v>
      </c>
      <c r="E194" s="2">
        <f t="shared" ca="1" si="17"/>
        <v>31</v>
      </c>
      <c r="F194" s="1">
        <f t="shared" ca="1" si="18"/>
        <v>44.960588000960371</v>
      </c>
      <c r="G194" s="1">
        <f t="shared" ca="1" si="19"/>
        <v>46</v>
      </c>
      <c r="H194" s="1"/>
      <c r="I194">
        <f t="shared" ca="1" si="20"/>
        <v>3.4339872044851463</v>
      </c>
    </row>
    <row r="195" spans="1:9" x14ac:dyDescent="0.25">
      <c r="A195" t="s">
        <v>46</v>
      </c>
      <c r="B195" s="3">
        <f t="shared" ref="B195:B258" ca="1" si="21">DATE(RANDBETWEEN(2010, 2020),RANDBETWEEN(1,12),RANDBETWEEN(1,31))</f>
        <v>42897</v>
      </c>
      <c r="C195" s="1">
        <f t="shared" ref="C195:C258" ca="1" si="22">+E195*D195</f>
        <v>6853.6064022699666</v>
      </c>
      <c r="D195" s="1">
        <f t="shared" ref="D195:D258" ca="1" si="23">+F195+G195</f>
        <v>159.38619540162713</v>
      </c>
      <c r="E195" s="2">
        <f t="shared" ref="E195:E258" ca="1" si="24">INT(_xlfn.LOGNORM.INV(RAND(),3,1))</f>
        <v>43</v>
      </c>
      <c r="F195" s="1">
        <f t="shared" ref="F195:F258" ca="1" si="25">_xlfn.GAMMA.INV(RAND(),7,9)</f>
        <v>88.386195401627134</v>
      </c>
      <c r="G195" s="1">
        <f t="shared" ref="G195:G258" ca="1" si="26">+RANDBETWEEN(0.5*F195,1.5*F195)</f>
        <v>71</v>
      </c>
      <c r="H195" s="1"/>
      <c r="I195">
        <f t="shared" ca="1" si="20"/>
        <v>3.7612001156935624</v>
      </c>
    </row>
    <row r="196" spans="1:9" x14ac:dyDescent="0.25">
      <c r="A196" t="s">
        <v>34</v>
      </c>
      <c r="B196" s="3">
        <f t="shared" ca="1" si="21"/>
        <v>43692</v>
      </c>
      <c r="C196" s="1">
        <f t="shared" ca="1" si="22"/>
        <v>995.1087334893798</v>
      </c>
      <c r="D196" s="1">
        <f t="shared" ca="1" si="23"/>
        <v>90.46443031721634</v>
      </c>
      <c r="E196" s="2">
        <f t="shared" ca="1" si="24"/>
        <v>11</v>
      </c>
      <c r="F196" s="1">
        <f t="shared" ca="1" si="25"/>
        <v>58.464430317216333</v>
      </c>
      <c r="G196" s="1">
        <f t="shared" ca="1" si="26"/>
        <v>32</v>
      </c>
      <c r="H196" s="1"/>
      <c r="I196">
        <f t="shared" ref="I196:I259" ca="1" si="27">+LN(E196)</f>
        <v>2.3978952727983707</v>
      </c>
    </row>
    <row r="197" spans="1:9" x14ac:dyDescent="0.25">
      <c r="A197" t="s">
        <v>39</v>
      </c>
      <c r="B197" s="3">
        <f t="shared" ca="1" si="21"/>
        <v>40209</v>
      </c>
      <c r="C197" s="1">
        <f t="shared" ca="1" si="22"/>
        <v>1892.5584264878921</v>
      </c>
      <c r="D197" s="1">
        <f t="shared" ca="1" si="23"/>
        <v>99.608338236204844</v>
      </c>
      <c r="E197" s="2">
        <f t="shared" ca="1" si="24"/>
        <v>19</v>
      </c>
      <c r="F197" s="1">
        <f t="shared" ca="1" si="25"/>
        <v>46.608338236204837</v>
      </c>
      <c r="G197" s="1">
        <f t="shared" ca="1" si="26"/>
        <v>53</v>
      </c>
      <c r="H197" s="1"/>
      <c r="I197">
        <f t="shared" ca="1" si="27"/>
        <v>2.9444389791664403</v>
      </c>
    </row>
    <row r="198" spans="1:9" x14ac:dyDescent="0.25">
      <c r="A198" t="s">
        <v>43</v>
      </c>
      <c r="B198" s="3">
        <f t="shared" ca="1" si="21"/>
        <v>41021</v>
      </c>
      <c r="C198" s="1">
        <f t="shared" ca="1" si="22"/>
        <v>445.40142003661293</v>
      </c>
      <c r="D198" s="1">
        <f t="shared" ca="1" si="23"/>
        <v>148.46714001220431</v>
      </c>
      <c r="E198" s="2">
        <f t="shared" ca="1" si="24"/>
        <v>3</v>
      </c>
      <c r="F198" s="1">
        <f t="shared" ca="1" si="25"/>
        <v>71.467140012204325</v>
      </c>
      <c r="G198" s="1">
        <f t="shared" ca="1" si="26"/>
        <v>77</v>
      </c>
      <c r="H198" s="1"/>
      <c r="I198">
        <f t="shared" ca="1" si="27"/>
        <v>1.0986122886681098</v>
      </c>
    </row>
    <row r="199" spans="1:9" x14ac:dyDescent="0.25">
      <c r="A199" t="s">
        <v>15</v>
      </c>
      <c r="B199" s="3">
        <f t="shared" ca="1" si="21"/>
        <v>43606</v>
      </c>
      <c r="C199" s="1">
        <f t="shared" ca="1" si="22"/>
        <v>5409.5929529255855</v>
      </c>
      <c r="D199" s="1">
        <f t="shared" ca="1" si="23"/>
        <v>193.1997483187709</v>
      </c>
      <c r="E199" s="2">
        <f t="shared" ca="1" si="24"/>
        <v>28</v>
      </c>
      <c r="F199" s="1">
        <f t="shared" ca="1" si="25"/>
        <v>79.199748318770901</v>
      </c>
      <c r="G199" s="1">
        <f t="shared" ca="1" si="26"/>
        <v>114</v>
      </c>
      <c r="H199" s="1"/>
      <c r="I199">
        <f t="shared" ca="1" si="27"/>
        <v>3.3322045101752038</v>
      </c>
    </row>
    <row r="200" spans="1:9" x14ac:dyDescent="0.25">
      <c r="A200" t="s">
        <v>26</v>
      </c>
      <c r="B200" s="3">
        <f t="shared" ca="1" si="21"/>
        <v>42071</v>
      </c>
      <c r="C200" s="1">
        <f t="shared" ca="1" si="22"/>
        <v>873.85494828659716</v>
      </c>
      <c r="D200" s="1">
        <f t="shared" ca="1" si="23"/>
        <v>174.77098965731943</v>
      </c>
      <c r="E200" s="2">
        <f t="shared" ca="1" si="24"/>
        <v>5</v>
      </c>
      <c r="F200" s="1">
        <f t="shared" ca="1" si="25"/>
        <v>70.770989657319447</v>
      </c>
      <c r="G200" s="1">
        <f t="shared" ca="1" si="26"/>
        <v>104</v>
      </c>
      <c r="H200" s="1"/>
      <c r="I200">
        <f t="shared" ca="1" si="27"/>
        <v>1.6094379124341003</v>
      </c>
    </row>
    <row r="201" spans="1:9" x14ac:dyDescent="0.25">
      <c r="A201" t="s">
        <v>35</v>
      </c>
      <c r="B201" s="3">
        <f t="shared" ca="1" si="21"/>
        <v>41539</v>
      </c>
      <c r="C201" s="1">
        <f t="shared" ca="1" si="22"/>
        <v>1589.1979694211232</v>
      </c>
      <c r="D201" s="1">
        <f t="shared" ca="1" si="23"/>
        <v>93.482233495360191</v>
      </c>
      <c r="E201" s="2">
        <f t="shared" ca="1" si="24"/>
        <v>17</v>
      </c>
      <c r="F201" s="1">
        <f t="shared" ca="1" si="25"/>
        <v>48.482233495360191</v>
      </c>
      <c r="G201" s="1">
        <f t="shared" ca="1" si="26"/>
        <v>45</v>
      </c>
      <c r="H201" s="1"/>
      <c r="I201">
        <f t="shared" ca="1" si="27"/>
        <v>2.8332133440562162</v>
      </c>
    </row>
    <row r="202" spans="1:9" x14ac:dyDescent="0.25">
      <c r="A202" t="s">
        <v>35</v>
      </c>
      <c r="B202" s="3">
        <f t="shared" ca="1" si="21"/>
        <v>40762</v>
      </c>
      <c r="C202" s="1">
        <f t="shared" ca="1" si="22"/>
        <v>10579.636324058449</v>
      </c>
      <c r="D202" s="1">
        <f t="shared" ca="1" si="23"/>
        <v>157.90501976206639</v>
      </c>
      <c r="E202" s="2">
        <f t="shared" ca="1" si="24"/>
        <v>67</v>
      </c>
      <c r="F202" s="1">
        <f t="shared" ca="1" si="25"/>
        <v>70.905019762066402</v>
      </c>
      <c r="G202" s="1">
        <f t="shared" ca="1" si="26"/>
        <v>87</v>
      </c>
      <c r="H202" s="1"/>
      <c r="I202">
        <f t="shared" ca="1" si="27"/>
        <v>4.2046926193909657</v>
      </c>
    </row>
    <row r="203" spans="1:9" x14ac:dyDescent="0.25">
      <c r="A203" t="s">
        <v>28</v>
      </c>
      <c r="B203" s="3">
        <f t="shared" ca="1" si="21"/>
        <v>42330</v>
      </c>
      <c r="C203" s="1">
        <f t="shared" ca="1" si="22"/>
        <v>3355.3360309096975</v>
      </c>
      <c r="D203" s="1">
        <f t="shared" ca="1" si="23"/>
        <v>111.84453436365658</v>
      </c>
      <c r="E203" s="2">
        <f t="shared" ca="1" si="24"/>
        <v>30</v>
      </c>
      <c r="F203" s="1">
        <f t="shared" ca="1" si="25"/>
        <v>52.844534363656571</v>
      </c>
      <c r="G203" s="1">
        <f t="shared" ca="1" si="26"/>
        <v>59</v>
      </c>
      <c r="H203" s="1"/>
      <c r="I203">
        <f t="shared" ca="1" si="27"/>
        <v>3.4011973816621555</v>
      </c>
    </row>
    <row r="204" spans="1:9" x14ac:dyDescent="0.25">
      <c r="A204" t="s">
        <v>40</v>
      </c>
      <c r="B204" s="3">
        <f t="shared" ca="1" si="21"/>
        <v>42112</v>
      </c>
      <c r="C204" s="1">
        <f t="shared" ca="1" si="22"/>
        <v>1874.4406871045412</v>
      </c>
      <c r="D204" s="1">
        <f t="shared" ca="1" si="23"/>
        <v>133.88862050746724</v>
      </c>
      <c r="E204" s="2">
        <f t="shared" ca="1" si="24"/>
        <v>14</v>
      </c>
      <c r="F204" s="1">
        <f t="shared" ca="1" si="25"/>
        <v>79.888620507467252</v>
      </c>
      <c r="G204" s="1">
        <f t="shared" ca="1" si="26"/>
        <v>54</v>
      </c>
      <c r="H204" s="1"/>
      <c r="I204">
        <f t="shared" ca="1" si="27"/>
        <v>2.6390573296152584</v>
      </c>
    </row>
    <row r="205" spans="1:9" x14ac:dyDescent="0.25">
      <c r="A205" t="s">
        <v>25</v>
      </c>
      <c r="B205" s="3">
        <f t="shared" ca="1" si="21"/>
        <v>41280</v>
      </c>
      <c r="C205" s="1">
        <f t="shared" ca="1" si="22"/>
        <v>3871.1705225980349</v>
      </c>
      <c r="D205" s="1">
        <f t="shared" ca="1" si="23"/>
        <v>168.31176185208847</v>
      </c>
      <c r="E205" s="2">
        <f t="shared" ca="1" si="24"/>
        <v>23</v>
      </c>
      <c r="F205" s="1">
        <f t="shared" ca="1" si="25"/>
        <v>97.311761852088452</v>
      </c>
      <c r="G205" s="1">
        <f t="shared" ca="1" si="26"/>
        <v>71</v>
      </c>
      <c r="H205" s="1"/>
      <c r="I205">
        <f t="shared" ca="1" si="27"/>
        <v>3.1354942159291497</v>
      </c>
    </row>
    <row r="206" spans="1:9" x14ac:dyDescent="0.25">
      <c r="A206" t="s">
        <v>21</v>
      </c>
      <c r="B206" s="3">
        <f t="shared" ca="1" si="21"/>
        <v>41579</v>
      </c>
      <c r="C206" s="1">
        <f t="shared" ca="1" si="22"/>
        <v>3749.4398959542541</v>
      </c>
      <c r="D206" s="1">
        <f t="shared" ca="1" si="23"/>
        <v>117.16999674857044</v>
      </c>
      <c r="E206" s="2">
        <f t="shared" ca="1" si="24"/>
        <v>32</v>
      </c>
      <c r="F206" s="1">
        <f t="shared" ca="1" si="25"/>
        <v>56.169996748570441</v>
      </c>
      <c r="G206" s="1">
        <f t="shared" ca="1" si="26"/>
        <v>61</v>
      </c>
      <c r="H206" s="1"/>
      <c r="I206">
        <f t="shared" ca="1" si="27"/>
        <v>3.4657359027997265</v>
      </c>
    </row>
    <row r="207" spans="1:9" x14ac:dyDescent="0.25">
      <c r="A207" t="s">
        <v>33</v>
      </c>
      <c r="B207" s="3">
        <f t="shared" ca="1" si="21"/>
        <v>40869</v>
      </c>
      <c r="C207" s="1">
        <f t="shared" ca="1" si="22"/>
        <v>1301.5133020782005</v>
      </c>
      <c r="D207" s="1">
        <f t="shared" ca="1" si="23"/>
        <v>100.11640785216927</v>
      </c>
      <c r="E207" s="2">
        <f t="shared" ca="1" si="24"/>
        <v>13</v>
      </c>
      <c r="F207" s="1">
        <f t="shared" ca="1" si="25"/>
        <v>60.116407852169274</v>
      </c>
      <c r="G207" s="1">
        <f t="shared" ca="1" si="26"/>
        <v>40</v>
      </c>
      <c r="H207" s="1"/>
      <c r="I207">
        <f t="shared" ca="1" si="27"/>
        <v>2.5649493574615367</v>
      </c>
    </row>
    <row r="208" spans="1:9" x14ac:dyDescent="0.25">
      <c r="A208" t="s">
        <v>23</v>
      </c>
      <c r="B208" s="3">
        <f t="shared" ca="1" si="21"/>
        <v>43686</v>
      </c>
      <c r="C208" s="1">
        <f t="shared" ca="1" si="22"/>
        <v>2672.8518200829776</v>
      </c>
      <c r="D208" s="1">
        <f t="shared" ca="1" si="23"/>
        <v>190.91798714878411</v>
      </c>
      <c r="E208" s="2">
        <f t="shared" ca="1" si="24"/>
        <v>14</v>
      </c>
      <c r="F208" s="1">
        <f t="shared" ca="1" si="25"/>
        <v>92.917987148784107</v>
      </c>
      <c r="G208" s="1">
        <f t="shared" ca="1" si="26"/>
        <v>98</v>
      </c>
      <c r="H208" s="1"/>
      <c r="I208">
        <f t="shared" ca="1" si="27"/>
        <v>2.6390573296152584</v>
      </c>
    </row>
    <row r="209" spans="1:9" x14ac:dyDescent="0.25">
      <c r="A209" t="s">
        <v>11</v>
      </c>
      <c r="B209" s="3">
        <f t="shared" ca="1" si="21"/>
        <v>41535</v>
      </c>
      <c r="C209" s="1">
        <f t="shared" ca="1" si="22"/>
        <v>5319.5871712661083</v>
      </c>
      <c r="D209" s="1">
        <f t="shared" ca="1" si="23"/>
        <v>64.091411702001309</v>
      </c>
      <c r="E209" s="2">
        <f t="shared" ca="1" si="24"/>
        <v>83</v>
      </c>
      <c r="F209" s="1">
        <f t="shared" ca="1" si="25"/>
        <v>31.091411702001306</v>
      </c>
      <c r="G209" s="1">
        <f t="shared" ca="1" si="26"/>
        <v>33</v>
      </c>
      <c r="H209" s="1"/>
      <c r="I209">
        <f t="shared" ca="1" si="27"/>
        <v>4.4188406077965983</v>
      </c>
    </row>
    <row r="210" spans="1:9" x14ac:dyDescent="0.25">
      <c r="A210" t="s">
        <v>11</v>
      </c>
      <c r="B210" s="3">
        <f t="shared" ca="1" si="21"/>
        <v>42578</v>
      </c>
      <c r="C210" s="1">
        <f t="shared" ca="1" si="22"/>
        <v>1625.4522349853439</v>
      </c>
      <c r="D210" s="1">
        <f t="shared" ca="1" si="23"/>
        <v>90.302901943630218</v>
      </c>
      <c r="E210" s="2">
        <f t="shared" ca="1" si="24"/>
        <v>18</v>
      </c>
      <c r="F210" s="1">
        <f t="shared" ca="1" si="25"/>
        <v>59.302901943630225</v>
      </c>
      <c r="G210" s="1">
        <f t="shared" ca="1" si="26"/>
        <v>31</v>
      </c>
      <c r="H210" s="1"/>
      <c r="I210">
        <f t="shared" ca="1" si="27"/>
        <v>2.8903717578961645</v>
      </c>
    </row>
    <row r="211" spans="1:9" x14ac:dyDescent="0.25">
      <c r="A211" t="s">
        <v>27</v>
      </c>
      <c r="B211" s="3">
        <f t="shared" ca="1" si="21"/>
        <v>43898</v>
      </c>
      <c r="C211" s="1">
        <f t="shared" ca="1" si="22"/>
        <v>316.27775471246832</v>
      </c>
      <c r="D211" s="1">
        <f t="shared" ca="1" si="23"/>
        <v>63.25555094249367</v>
      </c>
      <c r="E211" s="2">
        <f t="shared" ca="1" si="24"/>
        <v>5</v>
      </c>
      <c r="F211" s="1">
        <f t="shared" ca="1" si="25"/>
        <v>26.25555094249367</v>
      </c>
      <c r="G211" s="1">
        <f t="shared" ca="1" si="26"/>
        <v>37</v>
      </c>
      <c r="H211" s="1"/>
      <c r="I211">
        <f t="shared" ca="1" si="27"/>
        <v>1.6094379124341003</v>
      </c>
    </row>
    <row r="212" spans="1:9" x14ac:dyDescent="0.25">
      <c r="A212" t="s">
        <v>13</v>
      </c>
      <c r="B212" s="3">
        <f t="shared" ca="1" si="21"/>
        <v>40915</v>
      </c>
      <c r="C212" s="1">
        <f t="shared" ca="1" si="22"/>
        <v>1773.0640253464844</v>
      </c>
      <c r="D212" s="1">
        <f t="shared" ca="1" si="23"/>
        <v>110.81650158415528</v>
      </c>
      <c r="E212" s="2">
        <f t="shared" ca="1" si="24"/>
        <v>16</v>
      </c>
      <c r="F212" s="1">
        <f t="shared" ca="1" si="25"/>
        <v>44.816501584155276</v>
      </c>
      <c r="G212" s="1">
        <f t="shared" ca="1" si="26"/>
        <v>66</v>
      </c>
      <c r="H212" s="1"/>
      <c r="I212">
        <f t="shared" ca="1" si="27"/>
        <v>2.7725887222397811</v>
      </c>
    </row>
    <row r="213" spans="1:9" x14ac:dyDescent="0.25">
      <c r="A213" t="s">
        <v>32</v>
      </c>
      <c r="B213" s="3">
        <f t="shared" ca="1" si="21"/>
        <v>41478</v>
      </c>
      <c r="C213" s="1">
        <f t="shared" ca="1" si="22"/>
        <v>2998.3170494836927</v>
      </c>
      <c r="D213" s="1">
        <f t="shared" ca="1" si="23"/>
        <v>73.129684133748597</v>
      </c>
      <c r="E213" s="2">
        <f t="shared" ca="1" si="24"/>
        <v>41</v>
      </c>
      <c r="F213" s="1">
        <f t="shared" ca="1" si="25"/>
        <v>40.129684133748597</v>
      </c>
      <c r="G213" s="1">
        <f t="shared" ca="1" si="26"/>
        <v>33</v>
      </c>
      <c r="H213" s="1"/>
      <c r="I213">
        <f t="shared" ca="1" si="27"/>
        <v>3.713572066704308</v>
      </c>
    </row>
    <row r="214" spans="1:9" x14ac:dyDescent="0.25">
      <c r="A214" t="s">
        <v>31</v>
      </c>
      <c r="B214" s="3">
        <f t="shared" ca="1" si="21"/>
        <v>41060</v>
      </c>
      <c r="C214" s="1">
        <f t="shared" ca="1" si="22"/>
        <v>1845.9273899504969</v>
      </c>
      <c r="D214" s="1">
        <f t="shared" ca="1" si="23"/>
        <v>102.5515216639165</v>
      </c>
      <c r="E214" s="2">
        <f t="shared" ca="1" si="24"/>
        <v>18</v>
      </c>
      <c r="F214" s="1">
        <f t="shared" ca="1" si="25"/>
        <v>45.551521663916503</v>
      </c>
      <c r="G214" s="1">
        <f t="shared" ca="1" si="26"/>
        <v>57</v>
      </c>
      <c r="H214" s="1"/>
      <c r="I214">
        <f t="shared" ca="1" si="27"/>
        <v>2.8903717578961645</v>
      </c>
    </row>
    <row r="215" spans="1:9" x14ac:dyDescent="0.25">
      <c r="A215" t="s">
        <v>13</v>
      </c>
      <c r="B215" s="3">
        <f t="shared" ca="1" si="21"/>
        <v>43676</v>
      </c>
      <c r="C215" s="1">
        <f t="shared" ca="1" si="22"/>
        <v>6064.771657350062</v>
      </c>
      <c r="D215" s="1">
        <f t="shared" ca="1" si="23"/>
        <v>141.04120133372237</v>
      </c>
      <c r="E215" s="2">
        <f t="shared" ca="1" si="24"/>
        <v>43</v>
      </c>
      <c r="F215" s="1">
        <f t="shared" ca="1" si="25"/>
        <v>62.041201333722384</v>
      </c>
      <c r="G215" s="1">
        <f t="shared" ca="1" si="26"/>
        <v>79</v>
      </c>
      <c r="H215" s="1"/>
      <c r="I215">
        <f t="shared" ca="1" si="27"/>
        <v>3.7612001156935624</v>
      </c>
    </row>
    <row r="216" spans="1:9" x14ac:dyDescent="0.25">
      <c r="A216" t="s">
        <v>36</v>
      </c>
      <c r="B216" s="3">
        <f t="shared" ca="1" si="21"/>
        <v>42949</v>
      </c>
      <c r="C216" s="1">
        <f t="shared" ca="1" si="22"/>
        <v>12069.535822407001</v>
      </c>
      <c r="D216" s="1">
        <f t="shared" ca="1" si="23"/>
        <v>287.36990053350002</v>
      </c>
      <c r="E216" s="2">
        <f t="shared" ca="1" si="24"/>
        <v>42</v>
      </c>
      <c r="F216" s="1">
        <f t="shared" ca="1" si="25"/>
        <v>133.36990053350002</v>
      </c>
      <c r="G216" s="1">
        <f t="shared" ca="1" si="26"/>
        <v>154</v>
      </c>
      <c r="H216" s="1"/>
      <c r="I216">
        <f t="shared" ca="1" si="27"/>
        <v>3.7376696182833684</v>
      </c>
    </row>
    <row r="217" spans="1:9" x14ac:dyDescent="0.25">
      <c r="A217" t="s">
        <v>18</v>
      </c>
      <c r="B217" s="3">
        <f t="shared" ca="1" si="21"/>
        <v>43963</v>
      </c>
      <c r="C217" s="1">
        <f t="shared" ca="1" si="22"/>
        <v>2396.5619469148087</v>
      </c>
      <c r="D217" s="1">
        <f t="shared" ca="1" si="23"/>
        <v>239.65619469148089</v>
      </c>
      <c r="E217" s="2">
        <f t="shared" ca="1" si="24"/>
        <v>10</v>
      </c>
      <c r="F217" s="1">
        <f t="shared" ca="1" si="25"/>
        <v>97.656194691480906</v>
      </c>
      <c r="G217" s="1">
        <f t="shared" ca="1" si="26"/>
        <v>142</v>
      </c>
      <c r="H217" s="1"/>
      <c r="I217">
        <f t="shared" ca="1" si="27"/>
        <v>2.3025850929940459</v>
      </c>
    </row>
    <row r="218" spans="1:9" x14ac:dyDescent="0.25">
      <c r="A218" t="s">
        <v>12</v>
      </c>
      <c r="B218" s="3">
        <f t="shared" ca="1" si="21"/>
        <v>42824</v>
      </c>
      <c r="C218" s="1">
        <f t="shared" ca="1" si="22"/>
        <v>6382.2931752677687</v>
      </c>
      <c r="D218" s="1">
        <f t="shared" ca="1" si="23"/>
        <v>54.54951431852794</v>
      </c>
      <c r="E218" s="2">
        <f t="shared" ca="1" si="24"/>
        <v>117</v>
      </c>
      <c r="F218" s="1">
        <f t="shared" ca="1" si="25"/>
        <v>32.54951431852794</v>
      </c>
      <c r="G218" s="1">
        <f t="shared" ca="1" si="26"/>
        <v>22</v>
      </c>
      <c r="H218" s="1"/>
      <c r="I218">
        <f t="shared" ca="1" si="27"/>
        <v>4.7621739347977563</v>
      </c>
    </row>
    <row r="219" spans="1:9" x14ac:dyDescent="0.25">
      <c r="A219" t="s">
        <v>17</v>
      </c>
      <c r="B219" s="3">
        <f t="shared" ca="1" si="21"/>
        <v>41998</v>
      </c>
      <c r="C219" s="1">
        <f t="shared" ca="1" si="22"/>
        <v>6650.3392432892888</v>
      </c>
      <c r="D219" s="1">
        <f t="shared" ca="1" si="23"/>
        <v>166.25848108223221</v>
      </c>
      <c r="E219" s="2">
        <f t="shared" ca="1" si="24"/>
        <v>40</v>
      </c>
      <c r="F219" s="1">
        <f t="shared" ca="1" si="25"/>
        <v>69.258481082232208</v>
      </c>
      <c r="G219" s="1">
        <f t="shared" ca="1" si="26"/>
        <v>97</v>
      </c>
      <c r="H219" s="1"/>
      <c r="I219">
        <f t="shared" ca="1" si="27"/>
        <v>3.6888794541139363</v>
      </c>
    </row>
    <row r="220" spans="1:9" x14ac:dyDescent="0.25">
      <c r="A220" t="s">
        <v>34</v>
      </c>
      <c r="B220" s="3">
        <f t="shared" ca="1" si="21"/>
        <v>42858</v>
      </c>
      <c r="C220" s="1">
        <f t="shared" ca="1" si="22"/>
        <v>1095.9422426955678</v>
      </c>
      <c r="D220" s="1">
        <f t="shared" ca="1" si="23"/>
        <v>99.631112972324345</v>
      </c>
      <c r="E220" s="2">
        <f t="shared" ca="1" si="24"/>
        <v>11</v>
      </c>
      <c r="F220" s="1">
        <f t="shared" ca="1" si="25"/>
        <v>54.631112972324345</v>
      </c>
      <c r="G220" s="1">
        <f t="shared" ca="1" si="26"/>
        <v>45</v>
      </c>
      <c r="H220" s="1"/>
      <c r="I220">
        <f t="shared" ca="1" si="27"/>
        <v>2.3978952727983707</v>
      </c>
    </row>
    <row r="221" spans="1:9" x14ac:dyDescent="0.25">
      <c r="A221" t="s">
        <v>30</v>
      </c>
      <c r="B221" s="3">
        <f t="shared" ca="1" si="21"/>
        <v>41281</v>
      </c>
      <c r="C221" s="1">
        <f t="shared" ca="1" si="22"/>
        <v>2508.3988868523365</v>
      </c>
      <c r="D221" s="1">
        <f t="shared" ca="1" si="23"/>
        <v>119.44756604058746</v>
      </c>
      <c r="E221" s="2">
        <f t="shared" ca="1" si="24"/>
        <v>21</v>
      </c>
      <c r="F221" s="1">
        <f t="shared" ca="1" si="25"/>
        <v>63.447566040587461</v>
      </c>
      <c r="G221" s="1">
        <f t="shared" ca="1" si="26"/>
        <v>56</v>
      </c>
      <c r="H221" s="1"/>
      <c r="I221">
        <f t="shared" ca="1" si="27"/>
        <v>3.044522437723423</v>
      </c>
    </row>
    <row r="222" spans="1:9" x14ac:dyDescent="0.25">
      <c r="A222" t="s">
        <v>16</v>
      </c>
      <c r="B222" s="3">
        <f t="shared" ca="1" si="21"/>
        <v>43018</v>
      </c>
      <c r="C222" s="1">
        <f t="shared" ca="1" si="22"/>
        <v>122.54627488350802</v>
      </c>
      <c r="D222" s="1">
        <f t="shared" ca="1" si="23"/>
        <v>122.54627488350802</v>
      </c>
      <c r="E222" s="2">
        <f t="shared" ca="1" si="24"/>
        <v>1</v>
      </c>
      <c r="F222" s="1">
        <f t="shared" ca="1" si="25"/>
        <v>68.546274883508019</v>
      </c>
      <c r="G222" s="1">
        <f t="shared" ca="1" si="26"/>
        <v>54</v>
      </c>
      <c r="H222" s="1"/>
      <c r="I222">
        <f t="shared" ca="1" si="27"/>
        <v>0</v>
      </c>
    </row>
    <row r="223" spans="1:9" x14ac:dyDescent="0.25">
      <c r="A223" t="s">
        <v>26</v>
      </c>
      <c r="B223" s="3">
        <f t="shared" ca="1" si="21"/>
        <v>40448</v>
      </c>
      <c r="C223" s="1">
        <f t="shared" ca="1" si="22"/>
        <v>7249.4659235985946</v>
      </c>
      <c r="D223" s="1">
        <f t="shared" ca="1" si="23"/>
        <v>136.78237591695461</v>
      </c>
      <c r="E223" s="2">
        <f t="shared" ca="1" si="24"/>
        <v>53</v>
      </c>
      <c r="F223" s="1">
        <f t="shared" ca="1" si="25"/>
        <v>63.782375916954607</v>
      </c>
      <c r="G223" s="1">
        <f t="shared" ca="1" si="26"/>
        <v>73</v>
      </c>
      <c r="H223" s="1"/>
      <c r="I223">
        <f t="shared" ca="1" si="27"/>
        <v>3.970291913552122</v>
      </c>
    </row>
    <row r="224" spans="1:9" x14ac:dyDescent="0.25">
      <c r="A224" t="s">
        <v>15</v>
      </c>
      <c r="B224" s="3">
        <f t="shared" ca="1" si="21"/>
        <v>41846</v>
      </c>
      <c r="C224" s="1">
        <f t="shared" ca="1" si="22"/>
        <v>15009.263279781462</v>
      </c>
      <c r="D224" s="1">
        <f t="shared" ca="1" si="23"/>
        <v>104.23099499848237</v>
      </c>
      <c r="E224" s="2">
        <f t="shared" ca="1" si="24"/>
        <v>144</v>
      </c>
      <c r="F224" s="1">
        <f t="shared" ca="1" si="25"/>
        <v>52.230994998482373</v>
      </c>
      <c r="G224" s="1">
        <f t="shared" ca="1" si="26"/>
        <v>52</v>
      </c>
      <c r="H224" s="1"/>
      <c r="I224">
        <f t="shared" ca="1" si="27"/>
        <v>4.9698132995760007</v>
      </c>
    </row>
    <row r="225" spans="1:9" x14ac:dyDescent="0.25">
      <c r="A225" t="s">
        <v>30</v>
      </c>
      <c r="B225" s="3">
        <f t="shared" ca="1" si="21"/>
        <v>43286</v>
      </c>
      <c r="C225" s="1">
        <f t="shared" ca="1" si="22"/>
        <v>9076.5948630131188</v>
      </c>
      <c r="D225" s="1">
        <f t="shared" ca="1" si="23"/>
        <v>221.38036251251509</v>
      </c>
      <c r="E225" s="2">
        <f t="shared" ca="1" si="24"/>
        <v>41</v>
      </c>
      <c r="F225" s="1">
        <f t="shared" ca="1" si="25"/>
        <v>98.380362512515077</v>
      </c>
      <c r="G225" s="1">
        <f t="shared" ca="1" si="26"/>
        <v>123</v>
      </c>
      <c r="H225" s="1"/>
      <c r="I225">
        <f t="shared" ca="1" si="27"/>
        <v>3.713572066704308</v>
      </c>
    </row>
    <row r="226" spans="1:9" x14ac:dyDescent="0.25">
      <c r="A226" t="s">
        <v>12</v>
      </c>
      <c r="B226" s="3">
        <f t="shared" ca="1" si="21"/>
        <v>44015</v>
      </c>
      <c r="C226" s="1">
        <f t="shared" ca="1" si="22"/>
        <v>3192.9954506021359</v>
      </c>
      <c r="D226" s="1">
        <f t="shared" ca="1" si="23"/>
        <v>102.99985324523018</v>
      </c>
      <c r="E226" s="2">
        <f t="shared" ca="1" si="24"/>
        <v>31</v>
      </c>
      <c r="F226" s="1">
        <f t="shared" ca="1" si="25"/>
        <v>61.999853245230184</v>
      </c>
      <c r="G226" s="1">
        <f t="shared" ca="1" si="26"/>
        <v>41</v>
      </c>
      <c r="H226" s="1"/>
      <c r="I226">
        <f t="shared" ca="1" si="27"/>
        <v>3.4339872044851463</v>
      </c>
    </row>
    <row r="227" spans="1:9" x14ac:dyDescent="0.25">
      <c r="A227" t="s">
        <v>11</v>
      </c>
      <c r="B227" s="3">
        <f t="shared" ca="1" si="21"/>
        <v>40470</v>
      </c>
      <c r="C227" s="1">
        <f t="shared" ca="1" si="22"/>
        <v>2236.1967081768576</v>
      </c>
      <c r="D227" s="1">
        <f t="shared" ca="1" si="23"/>
        <v>159.72833629834696</v>
      </c>
      <c r="E227" s="2">
        <f t="shared" ca="1" si="24"/>
        <v>14</v>
      </c>
      <c r="F227" s="1">
        <f t="shared" ca="1" si="25"/>
        <v>73.728336298346946</v>
      </c>
      <c r="G227" s="1">
        <f t="shared" ca="1" si="26"/>
        <v>86</v>
      </c>
      <c r="H227" s="1"/>
      <c r="I227">
        <f t="shared" ca="1" si="27"/>
        <v>2.6390573296152584</v>
      </c>
    </row>
    <row r="228" spans="1:9" x14ac:dyDescent="0.25">
      <c r="A228" t="s">
        <v>32</v>
      </c>
      <c r="B228" s="3">
        <f t="shared" ca="1" si="21"/>
        <v>42521</v>
      </c>
      <c r="C228" s="1">
        <f t="shared" ca="1" si="22"/>
        <v>9268.2064211478355</v>
      </c>
      <c r="D228" s="1">
        <f t="shared" ca="1" si="23"/>
        <v>189.14706981934359</v>
      </c>
      <c r="E228" s="2">
        <f t="shared" ca="1" si="24"/>
        <v>49</v>
      </c>
      <c r="F228" s="1">
        <f t="shared" ca="1" si="25"/>
        <v>86.147069819343599</v>
      </c>
      <c r="G228" s="1">
        <f t="shared" ca="1" si="26"/>
        <v>103</v>
      </c>
      <c r="H228" s="1"/>
      <c r="I228">
        <f t="shared" ca="1" si="27"/>
        <v>3.8918202981106265</v>
      </c>
    </row>
    <row r="229" spans="1:9" x14ac:dyDescent="0.25">
      <c r="A229" t="s">
        <v>45</v>
      </c>
      <c r="B229" s="3">
        <f t="shared" ca="1" si="21"/>
        <v>42052</v>
      </c>
      <c r="C229" s="1">
        <f t="shared" ca="1" si="22"/>
        <v>1496.8006530328539</v>
      </c>
      <c r="D229" s="1">
        <f t="shared" ca="1" si="23"/>
        <v>74.840032651642701</v>
      </c>
      <c r="E229" s="2">
        <f t="shared" ca="1" si="24"/>
        <v>20</v>
      </c>
      <c r="F229" s="1">
        <f t="shared" ca="1" si="25"/>
        <v>42.840032651642694</v>
      </c>
      <c r="G229" s="1">
        <f t="shared" ca="1" si="26"/>
        <v>32</v>
      </c>
      <c r="H229" s="1"/>
      <c r="I229">
        <f t="shared" ca="1" si="27"/>
        <v>2.9957322735539909</v>
      </c>
    </row>
    <row r="230" spans="1:9" x14ac:dyDescent="0.25">
      <c r="A230" t="s">
        <v>16</v>
      </c>
      <c r="B230" s="3">
        <f t="shared" ca="1" si="21"/>
        <v>42233</v>
      </c>
      <c r="C230" s="1">
        <f t="shared" ca="1" si="22"/>
        <v>2242.988732733907</v>
      </c>
      <c r="D230" s="1">
        <f t="shared" ca="1" si="23"/>
        <v>149.53258218226046</v>
      </c>
      <c r="E230" s="2">
        <f t="shared" ca="1" si="24"/>
        <v>15</v>
      </c>
      <c r="F230" s="1">
        <f t="shared" ca="1" si="25"/>
        <v>84.532582182260469</v>
      </c>
      <c r="G230" s="1">
        <f t="shared" ca="1" si="26"/>
        <v>65</v>
      </c>
      <c r="H230" s="1"/>
      <c r="I230">
        <f t="shared" ca="1" si="27"/>
        <v>2.7080502011022101</v>
      </c>
    </row>
    <row r="231" spans="1:9" x14ac:dyDescent="0.25">
      <c r="A231" t="s">
        <v>47</v>
      </c>
      <c r="B231" s="3">
        <f t="shared" ca="1" si="21"/>
        <v>42413</v>
      </c>
      <c r="C231" s="1">
        <f t="shared" ca="1" si="22"/>
        <v>84.856351223350273</v>
      </c>
      <c r="D231" s="1">
        <f t="shared" ca="1" si="23"/>
        <v>84.856351223350273</v>
      </c>
      <c r="E231" s="2">
        <f t="shared" ca="1" si="24"/>
        <v>1</v>
      </c>
      <c r="F231" s="1">
        <f t="shared" ca="1" si="25"/>
        <v>38.856351223350273</v>
      </c>
      <c r="G231" s="1">
        <f t="shared" ca="1" si="26"/>
        <v>46</v>
      </c>
      <c r="H231" s="1"/>
      <c r="I231">
        <f t="shared" ca="1" si="27"/>
        <v>0</v>
      </c>
    </row>
    <row r="232" spans="1:9" x14ac:dyDescent="0.25">
      <c r="A232" t="s">
        <v>24</v>
      </c>
      <c r="B232" s="3">
        <f t="shared" ca="1" si="21"/>
        <v>41106</v>
      </c>
      <c r="C232" s="1">
        <f t="shared" ca="1" si="22"/>
        <v>871.74491988239993</v>
      </c>
      <c r="D232" s="1">
        <f t="shared" ca="1" si="23"/>
        <v>124.53498855462857</v>
      </c>
      <c r="E232" s="2">
        <f t="shared" ca="1" si="24"/>
        <v>7</v>
      </c>
      <c r="F232" s="1">
        <f t="shared" ca="1" si="25"/>
        <v>78.534988554628569</v>
      </c>
      <c r="G232" s="1">
        <f t="shared" ca="1" si="26"/>
        <v>46</v>
      </c>
      <c r="H232" s="1"/>
      <c r="I232">
        <f t="shared" ca="1" si="27"/>
        <v>1.9459101490553132</v>
      </c>
    </row>
    <row r="233" spans="1:9" x14ac:dyDescent="0.25">
      <c r="A233" t="s">
        <v>38</v>
      </c>
      <c r="B233" s="3">
        <f t="shared" ca="1" si="21"/>
        <v>41235</v>
      </c>
      <c r="C233" s="1">
        <f t="shared" ca="1" si="22"/>
        <v>4473.5357934704962</v>
      </c>
      <c r="D233" s="1">
        <f t="shared" ca="1" si="23"/>
        <v>75.822640567296546</v>
      </c>
      <c r="E233" s="2">
        <f t="shared" ca="1" si="24"/>
        <v>59</v>
      </c>
      <c r="F233" s="1">
        <f t="shared" ca="1" si="25"/>
        <v>44.822640567296546</v>
      </c>
      <c r="G233" s="1">
        <f t="shared" ca="1" si="26"/>
        <v>31</v>
      </c>
      <c r="H233" s="1"/>
      <c r="I233">
        <f t="shared" ca="1" si="27"/>
        <v>4.0775374439057197</v>
      </c>
    </row>
    <row r="234" spans="1:9" x14ac:dyDescent="0.25">
      <c r="A234" t="s">
        <v>39</v>
      </c>
      <c r="B234" s="3">
        <f t="shared" ca="1" si="21"/>
        <v>40490</v>
      </c>
      <c r="C234" s="1">
        <f t="shared" ca="1" si="22"/>
        <v>893.94772454256565</v>
      </c>
      <c r="D234" s="1">
        <f t="shared" ca="1" si="23"/>
        <v>127.70681779179509</v>
      </c>
      <c r="E234" s="2">
        <f t="shared" ca="1" si="24"/>
        <v>7</v>
      </c>
      <c r="F234" s="1">
        <f t="shared" ca="1" si="25"/>
        <v>51.706817791795082</v>
      </c>
      <c r="G234" s="1">
        <f t="shared" ca="1" si="26"/>
        <v>76</v>
      </c>
      <c r="H234" s="1"/>
      <c r="I234">
        <f t="shared" ca="1" si="27"/>
        <v>1.9459101490553132</v>
      </c>
    </row>
    <row r="235" spans="1:9" x14ac:dyDescent="0.25">
      <c r="A235" t="s">
        <v>14</v>
      </c>
      <c r="B235" s="3">
        <f t="shared" ca="1" si="21"/>
        <v>43283</v>
      </c>
      <c r="C235" s="1">
        <f t="shared" ca="1" si="22"/>
        <v>1406.1922164349462</v>
      </c>
      <c r="D235" s="1">
        <f t="shared" ca="1" si="23"/>
        <v>108.1686320334574</v>
      </c>
      <c r="E235" s="2">
        <f t="shared" ca="1" si="24"/>
        <v>13</v>
      </c>
      <c r="F235" s="1">
        <f t="shared" ca="1" si="25"/>
        <v>46.168632033457399</v>
      </c>
      <c r="G235" s="1">
        <f t="shared" ca="1" si="26"/>
        <v>62</v>
      </c>
      <c r="H235" s="1"/>
      <c r="I235">
        <f t="shared" ca="1" si="27"/>
        <v>2.5649493574615367</v>
      </c>
    </row>
    <row r="236" spans="1:9" x14ac:dyDescent="0.25">
      <c r="A236" t="s">
        <v>34</v>
      </c>
      <c r="B236" s="3">
        <f t="shared" ca="1" si="21"/>
        <v>40785</v>
      </c>
      <c r="C236" s="1">
        <f t="shared" ca="1" si="22"/>
        <v>4459.1703810098788</v>
      </c>
      <c r="D236" s="1">
        <f t="shared" ca="1" si="23"/>
        <v>131.15207002970232</v>
      </c>
      <c r="E236" s="2">
        <f t="shared" ca="1" si="24"/>
        <v>34</v>
      </c>
      <c r="F236" s="1">
        <f t="shared" ca="1" si="25"/>
        <v>58.15207002970233</v>
      </c>
      <c r="G236" s="1">
        <f t="shared" ca="1" si="26"/>
        <v>73</v>
      </c>
      <c r="H236" s="1"/>
      <c r="I236">
        <f t="shared" ca="1" si="27"/>
        <v>3.5263605246161616</v>
      </c>
    </row>
    <row r="237" spans="1:9" x14ac:dyDescent="0.25">
      <c r="A237" t="s">
        <v>20</v>
      </c>
      <c r="B237" s="3">
        <f t="shared" ca="1" si="21"/>
        <v>43912</v>
      </c>
      <c r="C237" s="1">
        <f t="shared" ca="1" si="22"/>
        <v>323.99438785342784</v>
      </c>
      <c r="D237" s="1">
        <f t="shared" ca="1" si="23"/>
        <v>161.99719392671392</v>
      </c>
      <c r="E237" s="2">
        <f t="shared" ca="1" si="24"/>
        <v>2</v>
      </c>
      <c r="F237" s="1">
        <f t="shared" ca="1" si="25"/>
        <v>84.997193926713905</v>
      </c>
      <c r="G237" s="1">
        <f t="shared" ca="1" si="26"/>
        <v>77</v>
      </c>
      <c r="H237" s="1"/>
      <c r="I237">
        <f t="shared" ca="1" si="27"/>
        <v>0.69314718055994529</v>
      </c>
    </row>
    <row r="238" spans="1:9" x14ac:dyDescent="0.25">
      <c r="A238" t="s">
        <v>33</v>
      </c>
      <c r="B238" s="3">
        <f t="shared" ca="1" si="21"/>
        <v>43084</v>
      </c>
      <c r="C238" s="1">
        <f t="shared" ca="1" si="22"/>
        <v>2151.1059844642873</v>
      </c>
      <c r="D238" s="1">
        <f t="shared" ca="1" si="23"/>
        <v>153.65042746173481</v>
      </c>
      <c r="E238" s="2">
        <f t="shared" ca="1" si="24"/>
        <v>14</v>
      </c>
      <c r="F238" s="1">
        <f t="shared" ca="1" si="25"/>
        <v>67.650427461734822</v>
      </c>
      <c r="G238" s="1">
        <f t="shared" ca="1" si="26"/>
        <v>86</v>
      </c>
      <c r="H238" s="1"/>
      <c r="I238">
        <f t="shared" ca="1" si="27"/>
        <v>2.6390573296152584</v>
      </c>
    </row>
    <row r="239" spans="1:9" x14ac:dyDescent="0.25">
      <c r="A239" t="s">
        <v>42</v>
      </c>
      <c r="B239" s="3">
        <f t="shared" ca="1" si="21"/>
        <v>43786</v>
      </c>
      <c r="C239" s="1">
        <f t="shared" ca="1" si="22"/>
        <v>1953.5619725217234</v>
      </c>
      <c r="D239" s="1">
        <f t="shared" ca="1" si="23"/>
        <v>46.513380298136269</v>
      </c>
      <c r="E239" s="2">
        <f t="shared" ca="1" si="24"/>
        <v>42</v>
      </c>
      <c r="F239" s="1">
        <f t="shared" ca="1" si="25"/>
        <v>28.513380298136266</v>
      </c>
      <c r="G239" s="1">
        <f t="shared" ca="1" si="26"/>
        <v>18</v>
      </c>
      <c r="H239" s="1"/>
      <c r="I239">
        <f t="shared" ca="1" si="27"/>
        <v>3.7376696182833684</v>
      </c>
    </row>
    <row r="240" spans="1:9" x14ac:dyDescent="0.25">
      <c r="A240" t="s">
        <v>36</v>
      </c>
      <c r="B240" s="3">
        <f t="shared" ca="1" si="21"/>
        <v>41598</v>
      </c>
      <c r="C240" s="1">
        <f t="shared" ca="1" si="22"/>
        <v>3449.6555394038137</v>
      </c>
      <c r="D240" s="1">
        <f t="shared" ca="1" si="23"/>
        <v>202.92091408257727</v>
      </c>
      <c r="E240" s="2">
        <f t="shared" ca="1" si="24"/>
        <v>17</v>
      </c>
      <c r="F240" s="1">
        <f t="shared" ca="1" si="25"/>
        <v>98.920914082577283</v>
      </c>
      <c r="G240" s="1">
        <f t="shared" ca="1" si="26"/>
        <v>104</v>
      </c>
      <c r="H240" s="1"/>
      <c r="I240">
        <f t="shared" ca="1" si="27"/>
        <v>2.8332133440562162</v>
      </c>
    </row>
    <row r="241" spans="1:9" x14ac:dyDescent="0.25">
      <c r="A241" t="s">
        <v>20</v>
      </c>
      <c r="B241" s="3">
        <f t="shared" ca="1" si="21"/>
        <v>42138</v>
      </c>
      <c r="C241" s="1">
        <f t="shared" ca="1" si="22"/>
        <v>3597.809239454723</v>
      </c>
      <c r="D241" s="1">
        <f t="shared" ca="1" si="23"/>
        <v>105.81791880749185</v>
      </c>
      <c r="E241" s="2">
        <f t="shared" ca="1" si="24"/>
        <v>34</v>
      </c>
      <c r="F241" s="1">
        <f t="shared" ca="1" si="25"/>
        <v>60.817918807491857</v>
      </c>
      <c r="G241" s="1">
        <f t="shared" ca="1" si="26"/>
        <v>45</v>
      </c>
      <c r="H241" s="1"/>
      <c r="I241">
        <f t="shared" ca="1" si="27"/>
        <v>3.5263605246161616</v>
      </c>
    </row>
    <row r="242" spans="1:9" x14ac:dyDescent="0.25">
      <c r="A242" t="s">
        <v>11</v>
      </c>
      <c r="B242" s="3">
        <f t="shared" ca="1" si="21"/>
        <v>41491</v>
      </c>
      <c r="C242" s="1">
        <f t="shared" ca="1" si="22"/>
        <v>1769.5159322778056</v>
      </c>
      <c r="D242" s="1">
        <f t="shared" ca="1" si="23"/>
        <v>58.983864409260185</v>
      </c>
      <c r="E242" s="2">
        <f t="shared" ca="1" si="24"/>
        <v>30</v>
      </c>
      <c r="F242" s="1">
        <f t="shared" ca="1" si="25"/>
        <v>35.983864409260185</v>
      </c>
      <c r="G242" s="1">
        <f t="shared" ca="1" si="26"/>
        <v>23</v>
      </c>
      <c r="H242" s="1"/>
      <c r="I242">
        <f t="shared" ca="1" si="27"/>
        <v>3.4011973816621555</v>
      </c>
    </row>
    <row r="243" spans="1:9" x14ac:dyDescent="0.25">
      <c r="A243" t="s">
        <v>12</v>
      </c>
      <c r="B243" s="3">
        <f t="shared" ca="1" si="21"/>
        <v>40511</v>
      </c>
      <c r="C243" s="1">
        <f t="shared" ca="1" si="22"/>
        <v>2621.9436011557609</v>
      </c>
      <c r="D243" s="1">
        <f t="shared" ca="1" si="23"/>
        <v>174.79624007705073</v>
      </c>
      <c r="E243" s="2">
        <f t="shared" ca="1" si="24"/>
        <v>15</v>
      </c>
      <c r="F243" s="1">
        <f t="shared" ca="1" si="25"/>
        <v>75.796240077050726</v>
      </c>
      <c r="G243" s="1">
        <f t="shared" ca="1" si="26"/>
        <v>99</v>
      </c>
      <c r="H243" s="1"/>
      <c r="I243">
        <f t="shared" ca="1" si="27"/>
        <v>2.7080502011022101</v>
      </c>
    </row>
    <row r="244" spans="1:9" x14ac:dyDescent="0.25">
      <c r="A244" t="s">
        <v>25</v>
      </c>
      <c r="B244" s="3">
        <f t="shared" ca="1" si="21"/>
        <v>42446</v>
      </c>
      <c r="C244" s="1">
        <f t="shared" ca="1" si="22"/>
        <v>1264.403420753818</v>
      </c>
      <c r="D244" s="1">
        <f t="shared" ca="1" si="23"/>
        <v>126.44034207538181</v>
      </c>
      <c r="E244" s="2">
        <f t="shared" ca="1" si="24"/>
        <v>10</v>
      </c>
      <c r="F244" s="1">
        <f t="shared" ca="1" si="25"/>
        <v>51.440342075381807</v>
      </c>
      <c r="G244" s="1">
        <f t="shared" ca="1" si="26"/>
        <v>75</v>
      </c>
      <c r="H244" s="1"/>
      <c r="I244">
        <f t="shared" ca="1" si="27"/>
        <v>2.3025850929940459</v>
      </c>
    </row>
    <row r="245" spans="1:9" x14ac:dyDescent="0.25">
      <c r="A245" t="s">
        <v>44</v>
      </c>
      <c r="B245" s="3">
        <f t="shared" ca="1" si="21"/>
        <v>42033</v>
      </c>
      <c r="C245" s="1">
        <f t="shared" ca="1" si="22"/>
        <v>927.3380752218718</v>
      </c>
      <c r="D245" s="1">
        <f t="shared" ca="1" si="23"/>
        <v>57.958629701366988</v>
      </c>
      <c r="E245" s="2">
        <f t="shared" ca="1" si="24"/>
        <v>16</v>
      </c>
      <c r="F245" s="1">
        <f t="shared" ca="1" si="25"/>
        <v>30.958629701366984</v>
      </c>
      <c r="G245" s="1">
        <f t="shared" ca="1" si="26"/>
        <v>27</v>
      </c>
      <c r="H245" s="1"/>
      <c r="I245">
        <f t="shared" ca="1" si="27"/>
        <v>2.7725887222397811</v>
      </c>
    </row>
    <row r="246" spans="1:9" x14ac:dyDescent="0.25">
      <c r="A246" t="s">
        <v>31</v>
      </c>
      <c r="B246" s="3">
        <f t="shared" ca="1" si="21"/>
        <v>40617</v>
      </c>
      <c r="C246" s="1">
        <f t="shared" ca="1" si="22"/>
        <v>4649.304950630315</v>
      </c>
      <c r="D246" s="1">
        <f t="shared" ca="1" si="23"/>
        <v>113.39768172269061</v>
      </c>
      <c r="E246" s="2">
        <f t="shared" ca="1" si="24"/>
        <v>41</v>
      </c>
      <c r="F246" s="1">
        <f t="shared" ca="1" si="25"/>
        <v>54.397681722690599</v>
      </c>
      <c r="G246" s="1">
        <f t="shared" ca="1" si="26"/>
        <v>59</v>
      </c>
      <c r="H246" s="1"/>
      <c r="I246">
        <f t="shared" ca="1" si="27"/>
        <v>3.713572066704308</v>
      </c>
    </row>
    <row r="247" spans="1:9" x14ac:dyDescent="0.25">
      <c r="A247" t="s">
        <v>31</v>
      </c>
      <c r="B247" s="3">
        <f t="shared" ca="1" si="21"/>
        <v>43520</v>
      </c>
      <c r="C247" s="1">
        <f t="shared" ca="1" si="22"/>
        <v>3567.0408288216067</v>
      </c>
      <c r="D247" s="1">
        <f t="shared" ca="1" si="23"/>
        <v>82.954437879572254</v>
      </c>
      <c r="E247" s="2">
        <f t="shared" ca="1" si="24"/>
        <v>43</v>
      </c>
      <c r="F247" s="1">
        <f t="shared" ca="1" si="25"/>
        <v>34.954437879572247</v>
      </c>
      <c r="G247" s="1">
        <f t="shared" ca="1" si="26"/>
        <v>48</v>
      </c>
      <c r="H247" s="1"/>
      <c r="I247">
        <f t="shared" ca="1" si="27"/>
        <v>3.7612001156935624</v>
      </c>
    </row>
    <row r="248" spans="1:9" x14ac:dyDescent="0.25">
      <c r="A248" t="s">
        <v>41</v>
      </c>
      <c r="B248" s="3">
        <f t="shared" ca="1" si="21"/>
        <v>41306</v>
      </c>
      <c r="C248" s="1">
        <f t="shared" ca="1" si="22"/>
        <v>1635.6945919445111</v>
      </c>
      <c r="D248" s="1">
        <f t="shared" ca="1" si="23"/>
        <v>109.04630612963408</v>
      </c>
      <c r="E248" s="2">
        <f t="shared" ca="1" si="24"/>
        <v>15</v>
      </c>
      <c r="F248" s="1">
        <f t="shared" ca="1" si="25"/>
        <v>58.046306129634068</v>
      </c>
      <c r="G248" s="1">
        <f t="shared" ca="1" si="26"/>
        <v>51</v>
      </c>
      <c r="H248" s="1"/>
      <c r="I248">
        <f t="shared" ca="1" si="27"/>
        <v>2.7080502011022101</v>
      </c>
    </row>
    <row r="249" spans="1:9" x14ac:dyDescent="0.25">
      <c r="A249" t="s">
        <v>29</v>
      </c>
      <c r="B249" s="3">
        <f t="shared" ca="1" si="21"/>
        <v>40615</v>
      </c>
      <c r="C249" s="1">
        <f t="shared" ca="1" si="22"/>
        <v>184.73325770884935</v>
      </c>
      <c r="D249" s="1">
        <f t="shared" ca="1" si="23"/>
        <v>92.366628854424675</v>
      </c>
      <c r="E249" s="2">
        <f t="shared" ca="1" si="24"/>
        <v>2</v>
      </c>
      <c r="F249" s="1">
        <f t="shared" ca="1" si="25"/>
        <v>61.366628854424668</v>
      </c>
      <c r="G249" s="1">
        <f t="shared" ca="1" si="26"/>
        <v>31</v>
      </c>
      <c r="H249" s="1"/>
      <c r="I249">
        <f t="shared" ca="1" si="27"/>
        <v>0.69314718055994529</v>
      </c>
    </row>
    <row r="250" spans="1:9" x14ac:dyDescent="0.25">
      <c r="A250" t="s">
        <v>40</v>
      </c>
      <c r="B250" s="3">
        <f t="shared" ca="1" si="21"/>
        <v>43003</v>
      </c>
      <c r="C250" s="1">
        <f t="shared" ca="1" si="22"/>
        <v>3003.6508992793238</v>
      </c>
      <c r="D250" s="1">
        <f t="shared" ca="1" si="23"/>
        <v>55.62316480146896</v>
      </c>
      <c r="E250" s="2">
        <f t="shared" ca="1" si="24"/>
        <v>54</v>
      </c>
      <c r="F250" s="1">
        <f t="shared" ca="1" si="25"/>
        <v>33.62316480146896</v>
      </c>
      <c r="G250" s="1">
        <f t="shared" ca="1" si="26"/>
        <v>22</v>
      </c>
      <c r="H250" s="1"/>
      <c r="I250">
        <f t="shared" ca="1" si="27"/>
        <v>3.9889840465642745</v>
      </c>
    </row>
    <row r="251" spans="1:9" x14ac:dyDescent="0.25">
      <c r="A251" t="s">
        <v>22</v>
      </c>
      <c r="B251" s="3">
        <f t="shared" ca="1" si="21"/>
        <v>43021</v>
      </c>
      <c r="C251" s="1">
        <f t="shared" ca="1" si="22"/>
        <v>330.07937645755669</v>
      </c>
      <c r="D251" s="1">
        <f t="shared" ca="1" si="23"/>
        <v>82.519844114389173</v>
      </c>
      <c r="E251" s="2">
        <f t="shared" ca="1" si="24"/>
        <v>4</v>
      </c>
      <c r="F251" s="1">
        <f t="shared" ca="1" si="25"/>
        <v>47.519844114389173</v>
      </c>
      <c r="G251" s="1">
        <f t="shared" ca="1" si="26"/>
        <v>35</v>
      </c>
      <c r="H251" s="1"/>
      <c r="I251">
        <f t="shared" ca="1" si="27"/>
        <v>1.3862943611198906</v>
      </c>
    </row>
    <row r="252" spans="1:9" x14ac:dyDescent="0.25">
      <c r="A252" t="s">
        <v>41</v>
      </c>
      <c r="B252" s="3">
        <f t="shared" ca="1" si="21"/>
        <v>43559</v>
      </c>
      <c r="C252" s="1">
        <f t="shared" ca="1" si="22"/>
        <v>7273.1182397636949</v>
      </c>
      <c r="D252" s="1">
        <f t="shared" ca="1" si="23"/>
        <v>165.29814181281125</v>
      </c>
      <c r="E252" s="2">
        <f t="shared" ca="1" si="24"/>
        <v>44</v>
      </c>
      <c r="F252" s="1">
        <f t="shared" ca="1" si="25"/>
        <v>93.298141812811252</v>
      </c>
      <c r="G252" s="1">
        <f t="shared" ca="1" si="26"/>
        <v>72</v>
      </c>
      <c r="H252" s="1"/>
      <c r="I252">
        <f t="shared" ca="1" si="27"/>
        <v>3.784189633918261</v>
      </c>
    </row>
    <row r="253" spans="1:9" x14ac:dyDescent="0.25">
      <c r="A253" t="s">
        <v>43</v>
      </c>
      <c r="B253" s="3">
        <f t="shared" ca="1" si="21"/>
        <v>43397</v>
      </c>
      <c r="C253" s="1">
        <f t="shared" ca="1" si="22"/>
        <v>123.64766583329734</v>
      </c>
      <c r="D253" s="1">
        <f t="shared" ca="1" si="23"/>
        <v>61.823832916648669</v>
      </c>
      <c r="E253" s="2">
        <f t="shared" ca="1" si="24"/>
        <v>2</v>
      </c>
      <c r="F253" s="1">
        <f t="shared" ca="1" si="25"/>
        <v>36.823832916648669</v>
      </c>
      <c r="G253" s="1">
        <f t="shared" ca="1" si="26"/>
        <v>25</v>
      </c>
      <c r="H253" s="1"/>
      <c r="I253">
        <f t="shared" ca="1" si="27"/>
        <v>0.69314718055994529</v>
      </c>
    </row>
    <row r="254" spans="1:9" x14ac:dyDescent="0.25">
      <c r="A254" t="s">
        <v>12</v>
      </c>
      <c r="B254" s="3">
        <f t="shared" ca="1" si="21"/>
        <v>43682</v>
      </c>
      <c r="C254" s="1">
        <f t="shared" ca="1" si="22"/>
        <v>8716.8685745991006</v>
      </c>
      <c r="D254" s="1">
        <f t="shared" ca="1" si="23"/>
        <v>155.65836740355536</v>
      </c>
      <c r="E254" s="2">
        <f t="shared" ca="1" si="24"/>
        <v>56</v>
      </c>
      <c r="F254" s="1">
        <f t="shared" ca="1" si="25"/>
        <v>63.658367403555367</v>
      </c>
      <c r="G254" s="1">
        <f t="shared" ca="1" si="26"/>
        <v>92</v>
      </c>
      <c r="H254" s="1"/>
      <c r="I254">
        <f t="shared" ca="1" si="27"/>
        <v>4.0253516907351496</v>
      </c>
    </row>
    <row r="255" spans="1:9" x14ac:dyDescent="0.25">
      <c r="A255" t="s">
        <v>38</v>
      </c>
      <c r="B255" s="3">
        <f t="shared" ca="1" si="21"/>
        <v>41585</v>
      </c>
      <c r="C255" s="1">
        <f t="shared" ca="1" si="22"/>
        <v>2626.957104602986</v>
      </c>
      <c r="D255" s="1">
        <f t="shared" ca="1" si="23"/>
        <v>218.91309205024885</v>
      </c>
      <c r="E255" s="2">
        <f t="shared" ca="1" si="24"/>
        <v>12</v>
      </c>
      <c r="F255" s="1">
        <f t="shared" ca="1" si="25"/>
        <v>109.91309205024884</v>
      </c>
      <c r="G255" s="1">
        <f t="shared" ca="1" si="26"/>
        <v>109</v>
      </c>
      <c r="H255" s="1"/>
      <c r="I255">
        <f t="shared" ca="1" si="27"/>
        <v>2.4849066497880004</v>
      </c>
    </row>
    <row r="256" spans="1:9" x14ac:dyDescent="0.25">
      <c r="A256" t="s">
        <v>45</v>
      </c>
      <c r="B256" s="3">
        <f t="shared" ca="1" si="21"/>
        <v>40509</v>
      </c>
      <c r="C256" s="1">
        <f t="shared" ca="1" si="22"/>
        <v>1729.0061489299665</v>
      </c>
      <c r="D256" s="1">
        <f t="shared" ca="1" si="23"/>
        <v>123.50043920928331</v>
      </c>
      <c r="E256" s="2">
        <f t="shared" ca="1" si="24"/>
        <v>14</v>
      </c>
      <c r="F256" s="1">
        <f t="shared" ca="1" si="25"/>
        <v>59.500439209283307</v>
      </c>
      <c r="G256" s="1">
        <f t="shared" ca="1" si="26"/>
        <v>64</v>
      </c>
      <c r="H256" s="1"/>
      <c r="I256">
        <f t="shared" ca="1" si="27"/>
        <v>2.6390573296152584</v>
      </c>
    </row>
    <row r="257" spans="1:9" x14ac:dyDescent="0.25">
      <c r="A257" t="s">
        <v>44</v>
      </c>
      <c r="B257" s="3">
        <f t="shared" ca="1" si="21"/>
        <v>41927</v>
      </c>
      <c r="C257" s="1">
        <f t="shared" ca="1" si="22"/>
        <v>1981.5163464036607</v>
      </c>
      <c r="D257" s="1">
        <f t="shared" ca="1" si="23"/>
        <v>141.53688188597576</v>
      </c>
      <c r="E257" s="2">
        <f t="shared" ca="1" si="24"/>
        <v>14</v>
      </c>
      <c r="F257" s="1">
        <f t="shared" ca="1" si="25"/>
        <v>74.53688188597576</v>
      </c>
      <c r="G257" s="1">
        <f t="shared" ca="1" si="26"/>
        <v>67</v>
      </c>
      <c r="H257" s="1"/>
      <c r="I257">
        <f t="shared" ca="1" si="27"/>
        <v>2.6390573296152584</v>
      </c>
    </row>
    <row r="258" spans="1:9" x14ac:dyDescent="0.25">
      <c r="A258" t="s">
        <v>44</v>
      </c>
      <c r="B258" s="3">
        <f t="shared" ca="1" si="21"/>
        <v>43309</v>
      </c>
      <c r="C258" s="1">
        <f t="shared" ca="1" si="22"/>
        <v>4548.29360451307</v>
      </c>
      <c r="D258" s="1">
        <f t="shared" ca="1" si="23"/>
        <v>206.74061838695775</v>
      </c>
      <c r="E258" s="2">
        <f t="shared" ca="1" si="24"/>
        <v>22</v>
      </c>
      <c r="F258" s="1">
        <f t="shared" ca="1" si="25"/>
        <v>84.740618386957735</v>
      </c>
      <c r="G258" s="1">
        <f t="shared" ca="1" si="26"/>
        <v>122</v>
      </c>
      <c r="H258" s="1"/>
      <c r="I258">
        <f t="shared" ca="1" si="27"/>
        <v>3.0910424533583161</v>
      </c>
    </row>
    <row r="259" spans="1:9" x14ac:dyDescent="0.25">
      <c r="A259" t="s">
        <v>37</v>
      </c>
      <c r="B259" s="3">
        <f t="shared" ref="B259:B322" ca="1" si="28">DATE(RANDBETWEEN(2010, 2020),RANDBETWEEN(1,12),RANDBETWEEN(1,31))</f>
        <v>40523</v>
      </c>
      <c r="C259" s="1">
        <f t="shared" ref="C259:C322" ca="1" si="29">+E259*D259</f>
        <v>2413.5880136154601</v>
      </c>
      <c r="D259" s="1">
        <f t="shared" ref="D259:D322" ca="1" si="30">+F259+G259</f>
        <v>241.358801361546</v>
      </c>
      <c r="E259" s="2">
        <f t="shared" ref="E259:E322" ca="1" si="31">INT(_xlfn.LOGNORM.INV(RAND(),3,1))</f>
        <v>10</v>
      </c>
      <c r="F259" s="1">
        <f t="shared" ref="F259:F322" ca="1" si="32">_xlfn.GAMMA.INV(RAND(),7,9)</f>
        <v>108.35880136154599</v>
      </c>
      <c r="G259" s="1">
        <f t="shared" ref="G259:G322" ca="1" si="33">+RANDBETWEEN(0.5*F259,1.5*F259)</f>
        <v>133</v>
      </c>
      <c r="H259" s="1"/>
      <c r="I259">
        <f t="shared" ca="1" si="27"/>
        <v>2.3025850929940459</v>
      </c>
    </row>
    <row r="260" spans="1:9" x14ac:dyDescent="0.25">
      <c r="A260" t="s">
        <v>18</v>
      </c>
      <c r="B260" s="3">
        <f t="shared" ca="1" si="28"/>
        <v>42251</v>
      </c>
      <c r="C260" s="1">
        <f t="shared" ca="1" si="29"/>
        <v>1663.079635871449</v>
      </c>
      <c r="D260" s="1">
        <f t="shared" ca="1" si="30"/>
        <v>118.79140256224636</v>
      </c>
      <c r="E260" s="2">
        <f t="shared" ca="1" si="31"/>
        <v>14</v>
      </c>
      <c r="F260" s="1">
        <f t="shared" ca="1" si="32"/>
        <v>73.791402562246361</v>
      </c>
      <c r="G260" s="1">
        <f t="shared" ca="1" si="33"/>
        <v>45</v>
      </c>
      <c r="H260" s="1"/>
      <c r="I260">
        <f t="shared" ref="I260:I323" ca="1" si="34">+LN(E260)</f>
        <v>2.6390573296152584</v>
      </c>
    </row>
    <row r="261" spans="1:9" x14ac:dyDescent="0.25">
      <c r="A261" t="s">
        <v>15</v>
      </c>
      <c r="B261" s="3">
        <f t="shared" ca="1" si="28"/>
        <v>41460</v>
      </c>
      <c r="C261" s="1">
        <f t="shared" ca="1" si="29"/>
        <v>539.63911731715325</v>
      </c>
      <c r="D261" s="1">
        <f t="shared" ca="1" si="30"/>
        <v>134.90977932928831</v>
      </c>
      <c r="E261" s="2">
        <f t="shared" ca="1" si="31"/>
        <v>4</v>
      </c>
      <c r="F261" s="1">
        <f t="shared" ca="1" si="32"/>
        <v>77.909779329288327</v>
      </c>
      <c r="G261" s="1">
        <f t="shared" ca="1" si="33"/>
        <v>57</v>
      </c>
      <c r="H261" s="1"/>
      <c r="I261">
        <f t="shared" ca="1" si="34"/>
        <v>1.3862943611198906</v>
      </c>
    </row>
    <row r="262" spans="1:9" x14ac:dyDescent="0.25">
      <c r="A262" t="s">
        <v>39</v>
      </c>
      <c r="B262" s="3">
        <f t="shared" ca="1" si="28"/>
        <v>41951</v>
      </c>
      <c r="C262" s="1">
        <f t="shared" ca="1" si="29"/>
        <v>6870.3734786165551</v>
      </c>
      <c r="D262" s="1">
        <f t="shared" ca="1" si="30"/>
        <v>118.45471514856129</v>
      </c>
      <c r="E262" s="2">
        <f t="shared" ca="1" si="31"/>
        <v>58</v>
      </c>
      <c r="F262" s="1">
        <f t="shared" ca="1" si="32"/>
        <v>49.454715148561284</v>
      </c>
      <c r="G262" s="1">
        <f t="shared" ca="1" si="33"/>
        <v>69</v>
      </c>
      <c r="H262" s="1"/>
      <c r="I262">
        <f t="shared" ca="1" si="34"/>
        <v>4.0604430105464191</v>
      </c>
    </row>
    <row r="263" spans="1:9" x14ac:dyDescent="0.25">
      <c r="A263" t="s">
        <v>14</v>
      </c>
      <c r="B263" s="3">
        <f t="shared" ca="1" si="28"/>
        <v>42366</v>
      </c>
      <c r="C263" s="1">
        <f t="shared" ca="1" si="29"/>
        <v>394.94142464918912</v>
      </c>
      <c r="D263" s="1">
        <f t="shared" ca="1" si="30"/>
        <v>98.735356162297279</v>
      </c>
      <c r="E263" s="2">
        <f t="shared" ca="1" si="31"/>
        <v>4</v>
      </c>
      <c r="F263" s="1">
        <f t="shared" ca="1" si="32"/>
        <v>61.735356162297286</v>
      </c>
      <c r="G263" s="1">
        <f t="shared" ca="1" si="33"/>
        <v>37</v>
      </c>
      <c r="H263" s="1"/>
      <c r="I263">
        <f t="shared" ca="1" si="34"/>
        <v>1.3862943611198906</v>
      </c>
    </row>
    <row r="264" spans="1:9" x14ac:dyDescent="0.25">
      <c r="A264" t="s">
        <v>42</v>
      </c>
      <c r="B264" s="3">
        <f t="shared" ca="1" si="28"/>
        <v>40742</v>
      </c>
      <c r="C264" s="1">
        <f t="shared" ca="1" si="29"/>
        <v>4699.3510571093175</v>
      </c>
      <c r="D264" s="1">
        <f t="shared" ca="1" si="30"/>
        <v>114.61831846608091</v>
      </c>
      <c r="E264" s="2">
        <f t="shared" ca="1" si="31"/>
        <v>41</v>
      </c>
      <c r="F264" s="1">
        <f t="shared" ca="1" si="32"/>
        <v>53.618318466080908</v>
      </c>
      <c r="G264" s="1">
        <f t="shared" ca="1" si="33"/>
        <v>61</v>
      </c>
      <c r="H264" s="1"/>
      <c r="I264">
        <f t="shared" ca="1" si="34"/>
        <v>3.713572066704308</v>
      </c>
    </row>
    <row r="265" spans="1:9" x14ac:dyDescent="0.25">
      <c r="A265" t="s">
        <v>28</v>
      </c>
      <c r="B265" s="3">
        <f t="shared" ca="1" si="28"/>
        <v>44104</v>
      </c>
      <c r="C265" s="1">
        <f t="shared" ca="1" si="29"/>
        <v>2058.2461258224894</v>
      </c>
      <c r="D265" s="1">
        <f t="shared" ca="1" si="30"/>
        <v>60.536650759484985</v>
      </c>
      <c r="E265" s="2">
        <f t="shared" ca="1" si="31"/>
        <v>34</v>
      </c>
      <c r="F265" s="1">
        <f t="shared" ca="1" si="32"/>
        <v>34.536650759484985</v>
      </c>
      <c r="G265" s="1">
        <f t="shared" ca="1" si="33"/>
        <v>26</v>
      </c>
      <c r="H265" s="1"/>
      <c r="I265">
        <f t="shared" ca="1" si="34"/>
        <v>3.5263605246161616</v>
      </c>
    </row>
    <row r="266" spans="1:9" x14ac:dyDescent="0.25">
      <c r="A266" t="s">
        <v>48</v>
      </c>
      <c r="B266" s="3">
        <f t="shared" ca="1" si="28"/>
        <v>42841</v>
      </c>
      <c r="C266" s="1">
        <f t="shared" ca="1" si="29"/>
        <v>1350.2248572802323</v>
      </c>
      <c r="D266" s="1">
        <f t="shared" ca="1" si="30"/>
        <v>79.424991604719551</v>
      </c>
      <c r="E266" s="2">
        <f t="shared" ca="1" si="31"/>
        <v>17</v>
      </c>
      <c r="F266" s="1">
        <f t="shared" ca="1" si="32"/>
        <v>37.424991604719551</v>
      </c>
      <c r="G266" s="1">
        <f t="shared" ca="1" si="33"/>
        <v>42</v>
      </c>
      <c r="H266" s="1"/>
      <c r="I266">
        <f t="shared" ca="1" si="34"/>
        <v>2.8332133440562162</v>
      </c>
    </row>
    <row r="267" spans="1:9" x14ac:dyDescent="0.25">
      <c r="A267" t="s">
        <v>38</v>
      </c>
      <c r="B267" s="3">
        <f t="shared" ca="1" si="28"/>
        <v>42931</v>
      </c>
      <c r="C267" s="1">
        <f t="shared" ca="1" si="29"/>
        <v>7596.9616473624783</v>
      </c>
      <c r="D267" s="1">
        <f t="shared" ca="1" si="30"/>
        <v>172.65821925823815</v>
      </c>
      <c r="E267" s="2">
        <f t="shared" ca="1" si="31"/>
        <v>44</v>
      </c>
      <c r="F267" s="1">
        <f t="shared" ca="1" si="32"/>
        <v>74.658219258238162</v>
      </c>
      <c r="G267" s="1">
        <f t="shared" ca="1" si="33"/>
        <v>98</v>
      </c>
      <c r="H267" s="1"/>
      <c r="I267">
        <f t="shared" ca="1" si="34"/>
        <v>3.784189633918261</v>
      </c>
    </row>
    <row r="268" spans="1:9" x14ac:dyDescent="0.25">
      <c r="A268" t="s">
        <v>42</v>
      </c>
      <c r="B268" s="3">
        <f t="shared" ca="1" si="28"/>
        <v>42272</v>
      </c>
      <c r="C268" s="1">
        <f t="shared" ca="1" si="29"/>
        <v>689.63547552559362</v>
      </c>
      <c r="D268" s="1">
        <f t="shared" ca="1" si="30"/>
        <v>86.204434440699202</v>
      </c>
      <c r="E268" s="2">
        <f t="shared" ca="1" si="31"/>
        <v>8</v>
      </c>
      <c r="F268" s="1">
        <f t="shared" ca="1" si="32"/>
        <v>56.204434440699202</v>
      </c>
      <c r="G268" s="1">
        <f t="shared" ca="1" si="33"/>
        <v>30</v>
      </c>
      <c r="H268" s="1"/>
      <c r="I268">
        <f t="shared" ca="1" si="34"/>
        <v>2.0794415416798357</v>
      </c>
    </row>
    <row r="269" spans="1:9" x14ac:dyDescent="0.25">
      <c r="A269" t="s">
        <v>37</v>
      </c>
      <c r="B269" s="3">
        <f t="shared" ca="1" si="28"/>
        <v>41754</v>
      </c>
      <c r="C269" s="1">
        <f t="shared" ca="1" si="29"/>
        <v>1733.2107920821757</v>
      </c>
      <c r="D269" s="1">
        <f t="shared" ca="1" si="30"/>
        <v>157.56461746201597</v>
      </c>
      <c r="E269" s="2">
        <f t="shared" ca="1" si="31"/>
        <v>11</v>
      </c>
      <c r="F269" s="1">
        <f t="shared" ca="1" si="32"/>
        <v>77.56461746201596</v>
      </c>
      <c r="G269" s="1">
        <f t="shared" ca="1" si="33"/>
        <v>80</v>
      </c>
      <c r="H269" s="1"/>
      <c r="I269">
        <f t="shared" ca="1" si="34"/>
        <v>2.3978952727983707</v>
      </c>
    </row>
    <row r="270" spans="1:9" x14ac:dyDescent="0.25">
      <c r="A270" t="s">
        <v>27</v>
      </c>
      <c r="B270" s="3">
        <f t="shared" ca="1" si="28"/>
        <v>41141</v>
      </c>
      <c r="C270" s="1">
        <f t="shared" ca="1" si="29"/>
        <v>2957.0007663404776</v>
      </c>
      <c r="D270" s="1">
        <f t="shared" ca="1" si="30"/>
        <v>92.406273948139926</v>
      </c>
      <c r="E270" s="2">
        <f t="shared" ca="1" si="31"/>
        <v>32</v>
      </c>
      <c r="F270" s="1">
        <f t="shared" ca="1" si="32"/>
        <v>57.406273948139926</v>
      </c>
      <c r="G270" s="1">
        <f t="shared" ca="1" si="33"/>
        <v>35</v>
      </c>
      <c r="H270" s="1"/>
      <c r="I270">
        <f t="shared" ca="1" si="34"/>
        <v>3.4657359027997265</v>
      </c>
    </row>
    <row r="271" spans="1:9" x14ac:dyDescent="0.25">
      <c r="A271" t="s">
        <v>22</v>
      </c>
      <c r="B271" s="3">
        <f t="shared" ca="1" si="28"/>
        <v>43163</v>
      </c>
      <c r="C271" s="1">
        <f t="shared" ca="1" si="29"/>
        <v>976.57960381425255</v>
      </c>
      <c r="D271" s="1">
        <f t="shared" ca="1" si="30"/>
        <v>122.07245047678157</v>
      </c>
      <c r="E271" s="2">
        <f t="shared" ca="1" si="31"/>
        <v>8</v>
      </c>
      <c r="F271" s="1">
        <f t="shared" ca="1" si="32"/>
        <v>49.072450476781576</v>
      </c>
      <c r="G271" s="1">
        <f t="shared" ca="1" si="33"/>
        <v>73</v>
      </c>
      <c r="H271" s="1"/>
      <c r="I271">
        <f t="shared" ca="1" si="34"/>
        <v>2.0794415416798357</v>
      </c>
    </row>
    <row r="272" spans="1:9" x14ac:dyDescent="0.25">
      <c r="A272" t="s">
        <v>43</v>
      </c>
      <c r="B272" s="3">
        <f t="shared" ca="1" si="28"/>
        <v>42427</v>
      </c>
      <c r="C272" s="1">
        <f t="shared" ca="1" si="29"/>
        <v>4323.3439229822552</v>
      </c>
      <c r="D272" s="1">
        <f t="shared" ca="1" si="30"/>
        <v>36.638507821883522</v>
      </c>
      <c r="E272" s="2">
        <f t="shared" ca="1" si="31"/>
        <v>118</v>
      </c>
      <c r="F272" s="1">
        <f t="shared" ca="1" si="32"/>
        <v>19.638507821883522</v>
      </c>
      <c r="G272" s="1">
        <f t="shared" ca="1" si="33"/>
        <v>17</v>
      </c>
      <c r="H272" s="1"/>
      <c r="I272">
        <f t="shared" ca="1" si="34"/>
        <v>4.7706846244656651</v>
      </c>
    </row>
    <row r="273" spans="1:9" x14ac:dyDescent="0.25">
      <c r="A273" t="s">
        <v>23</v>
      </c>
      <c r="B273" s="3">
        <f t="shared" ca="1" si="28"/>
        <v>44116</v>
      </c>
      <c r="C273" s="1">
        <f t="shared" ca="1" si="29"/>
        <v>2307.9070611780721</v>
      </c>
      <c r="D273" s="1">
        <f t="shared" ca="1" si="30"/>
        <v>92.316282447122887</v>
      </c>
      <c r="E273" s="2">
        <f t="shared" ca="1" si="31"/>
        <v>25</v>
      </c>
      <c r="F273" s="1">
        <f t="shared" ca="1" si="32"/>
        <v>45.316282447122887</v>
      </c>
      <c r="G273" s="1">
        <f t="shared" ca="1" si="33"/>
        <v>47</v>
      </c>
      <c r="H273" s="1"/>
      <c r="I273">
        <f t="shared" ca="1" si="34"/>
        <v>3.2188758248682006</v>
      </c>
    </row>
    <row r="274" spans="1:9" x14ac:dyDescent="0.25">
      <c r="A274" t="s">
        <v>46</v>
      </c>
      <c r="B274" s="3">
        <f t="shared" ca="1" si="28"/>
        <v>43751</v>
      </c>
      <c r="C274" s="1">
        <f t="shared" ca="1" si="29"/>
        <v>2695.6087990336778</v>
      </c>
      <c r="D274" s="1">
        <f t="shared" ca="1" si="30"/>
        <v>107.82435196134711</v>
      </c>
      <c r="E274" s="2">
        <f t="shared" ca="1" si="31"/>
        <v>25</v>
      </c>
      <c r="F274" s="1">
        <f t="shared" ca="1" si="32"/>
        <v>49.824351961347105</v>
      </c>
      <c r="G274" s="1">
        <f t="shared" ca="1" si="33"/>
        <v>58</v>
      </c>
      <c r="H274" s="1"/>
      <c r="I274">
        <f t="shared" ca="1" si="34"/>
        <v>3.2188758248682006</v>
      </c>
    </row>
    <row r="275" spans="1:9" x14ac:dyDescent="0.25">
      <c r="A275" t="s">
        <v>46</v>
      </c>
      <c r="B275" s="3">
        <f t="shared" ca="1" si="28"/>
        <v>42400</v>
      </c>
      <c r="C275" s="1">
        <f t="shared" ca="1" si="29"/>
        <v>19966.889049556423</v>
      </c>
      <c r="D275" s="1">
        <f t="shared" ca="1" si="30"/>
        <v>269.82282499400571</v>
      </c>
      <c r="E275" s="2">
        <f t="shared" ca="1" si="31"/>
        <v>74</v>
      </c>
      <c r="F275" s="1">
        <f t="shared" ca="1" si="32"/>
        <v>123.82282499400573</v>
      </c>
      <c r="G275" s="1">
        <f t="shared" ca="1" si="33"/>
        <v>146</v>
      </c>
      <c r="H275" s="1"/>
      <c r="I275">
        <f t="shared" ca="1" si="34"/>
        <v>4.3040650932041702</v>
      </c>
    </row>
    <row r="276" spans="1:9" x14ac:dyDescent="0.25">
      <c r="A276" t="s">
        <v>41</v>
      </c>
      <c r="B276" s="3">
        <f t="shared" ca="1" si="28"/>
        <v>40248</v>
      </c>
      <c r="C276" s="1">
        <f t="shared" ca="1" si="29"/>
        <v>2000.5419597340222</v>
      </c>
      <c r="D276" s="1">
        <f t="shared" ca="1" si="30"/>
        <v>74.094146656815639</v>
      </c>
      <c r="E276" s="2">
        <f t="shared" ca="1" si="31"/>
        <v>27</v>
      </c>
      <c r="F276" s="1">
        <f t="shared" ca="1" si="32"/>
        <v>41.094146656815639</v>
      </c>
      <c r="G276" s="1">
        <f t="shared" ca="1" si="33"/>
        <v>33</v>
      </c>
      <c r="H276" s="1"/>
      <c r="I276">
        <f t="shared" ca="1" si="34"/>
        <v>3.2958368660043291</v>
      </c>
    </row>
    <row r="277" spans="1:9" x14ac:dyDescent="0.25">
      <c r="A277" t="s">
        <v>41</v>
      </c>
      <c r="B277" s="3">
        <f t="shared" ca="1" si="28"/>
        <v>41887</v>
      </c>
      <c r="C277" s="1">
        <f t="shared" ca="1" si="29"/>
        <v>3811.9690406065224</v>
      </c>
      <c r="D277" s="1">
        <f t="shared" ca="1" si="30"/>
        <v>127.06563468688408</v>
      </c>
      <c r="E277" s="2">
        <f t="shared" ca="1" si="31"/>
        <v>30</v>
      </c>
      <c r="F277" s="1">
        <f t="shared" ca="1" si="32"/>
        <v>72.065634686884081</v>
      </c>
      <c r="G277" s="1">
        <f t="shared" ca="1" si="33"/>
        <v>55</v>
      </c>
      <c r="H277" s="1"/>
      <c r="I277">
        <f t="shared" ca="1" si="34"/>
        <v>3.4011973816621555</v>
      </c>
    </row>
    <row r="278" spans="1:9" x14ac:dyDescent="0.25">
      <c r="A278" t="s">
        <v>29</v>
      </c>
      <c r="B278" s="3">
        <f t="shared" ca="1" si="28"/>
        <v>43638</v>
      </c>
      <c r="C278" s="1">
        <f t="shared" ca="1" si="29"/>
        <v>1916.1341424892266</v>
      </c>
      <c r="D278" s="1">
        <f t="shared" ca="1" si="30"/>
        <v>83.310180108227243</v>
      </c>
      <c r="E278" s="2">
        <f t="shared" ca="1" si="31"/>
        <v>23</v>
      </c>
      <c r="F278" s="1">
        <f t="shared" ca="1" si="32"/>
        <v>52.310180108227243</v>
      </c>
      <c r="G278" s="1">
        <f t="shared" ca="1" si="33"/>
        <v>31</v>
      </c>
      <c r="H278" s="1"/>
      <c r="I278">
        <f t="shared" ca="1" si="34"/>
        <v>3.1354942159291497</v>
      </c>
    </row>
    <row r="279" spans="1:9" x14ac:dyDescent="0.25">
      <c r="A279" t="s">
        <v>29</v>
      </c>
      <c r="B279" s="3">
        <f t="shared" ca="1" si="28"/>
        <v>43977</v>
      </c>
      <c r="C279" s="1">
        <f t="shared" ca="1" si="29"/>
        <v>555.85945891243421</v>
      </c>
      <c r="D279" s="1">
        <f t="shared" ca="1" si="30"/>
        <v>185.28648630414474</v>
      </c>
      <c r="E279" s="2">
        <f t="shared" ca="1" si="31"/>
        <v>3</v>
      </c>
      <c r="F279" s="1">
        <f t="shared" ca="1" si="32"/>
        <v>84.286486304144745</v>
      </c>
      <c r="G279" s="1">
        <f t="shared" ca="1" si="33"/>
        <v>101</v>
      </c>
      <c r="H279" s="1"/>
      <c r="I279">
        <f t="shared" ca="1" si="34"/>
        <v>1.0986122886681098</v>
      </c>
    </row>
    <row r="280" spans="1:9" x14ac:dyDescent="0.25">
      <c r="A280" t="s">
        <v>49</v>
      </c>
      <c r="B280" s="3">
        <f t="shared" ca="1" si="28"/>
        <v>42776</v>
      </c>
      <c r="C280" s="1">
        <f t="shared" ca="1" si="29"/>
        <v>2801.2506022348498</v>
      </c>
      <c r="D280" s="1">
        <f t="shared" ca="1" si="30"/>
        <v>93.375020074494998</v>
      </c>
      <c r="E280" s="2">
        <f t="shared" ca="1" si="31"/>
        <v>30</v>
      </c>
      <c r="F280" s="1">
        <f t="shared" ca="1" si="32"/>
        <v>44.375020074494998</v>
      </c>
      <c r="G280" s="1">
        <f t="shared" ca="1" si="33"/>
        <v>49</v>
      </c>
      <c r="H280" s="1"/>
      <c r="I280">
        <f t="shared" ca="1" si="34"/>
        <v>3.4011973816621555</v>
      </c>
    </row>
    <row r="281" spans="1:9" x14ac:dyDescent="0.25">
      <c r="A281" t="s">
        <v>25</v>
      </c>
      <c r="B281" s="3">
        <f t="shared" ca="1" si="28"/>
        <v>41707</v>
      </c>
      <c r="C281" s="1">
        <f t="shared" ca="1" si="29"/>
        <v>531.53463773621661</v>
      </c>
      <c r="D281" s="1">
        <f t="shared" ca="1" si="30"/>
        <v>177.17821257873885</v>
      </c>
      <c r="E281" s="2">
        <f t="shared" ca="1" si="31"/>
        <v>3</v>
      </c>
      <c r="F281" s="1">
        <f t="shared" ca="1" si="32"/>
        <v>73.178212578738865</v>
      </c>
      <c r="G281" s="1">
        <f t="shared" ca="1" si="33"/>
        <v>104</v>
      </c>
      <c r="H281" s="1"/>
      <c r="I281">
        <f t="shared" ca="1" si="34"/>
        <v>1.0986122886681098</v>
      </c>
    </row>
    <row r="282" spans="1:9" x14ac:dyDescent="0.25">
      <c r="A282" t="s">
        <v>11</v>
      </c>
      <c r="B282" s="3">
        <f t="shared" ca="1" si="28"/>
        <v>43498</v>
      </c>
      <c r="C282" s="1">
        <f t="shared" ca="1" si="29"/>
        <v>3726.7371266957125</v>
      </c>
      <c r="D282" s="1">
        <f t="shared" ca="1" si="30"/>
        <v>82.816380593238051</v>
      </c>
      <c r="E282" s="2">
        <f t="shared" ca="1" si="31"/>
        <v>45</v>
      </c>
      <c r="F282" s="1">
        <f t="shared" ca="1" si="32"/>
        <v>40.816380593238058</v>
      </c>
      <c r="G282" s="1">
        <f t="shared" ca="1" si="33"/>
        <v>42</v>
      </c>
      <c r="H282" s="1"/>
      <c r="I282">
        <f t="shared" ca="1" si="34"/>
        <v>3.8066624897703196</v>
      </c>
    </row>
    <row r="283" spans="1:9" x14ac:dyDescent="0.25">
      <c r="A283" t="s">
        <v>28</v>
      </c>
      <c r="B283" s="3">
        <f t="shared" ca="1" si="28"/>
        <v>42773</v>
      </c>
      <c r="C283" s="1">
        <f t="shared" ca="1" si="29"/>
        <v>6476.1210444269573</v>
      </c>
      <c r="D283" s="1">
        <f t="shared" ca="1" si="30"/>
        <v>202.37878263834241</v>
      </c>
      <c r="E283" s="2">
        <f t="shared" ca="1" si="31"/>
        <v>32</v>
      </c>
      <c r="F283" s="1">
        <f t="shared" ca="1" si="32"/>
        <v>95.378782638342415</v>
      </c>
      <c r="G283" s="1">
        <f t="shared" ca="1" si="33"/>
        <v>107</v>
      </c>
      <c r="H283" s="1"/>
      <c r="I283">
        <f t="shared" ca="1" si="34"/>
        <v>3.4657359027997265</v>
      </c>
    </row>
    <row r="284" spans="1:9" x14ac:dyDescent="0.25">
      <c r="A284" t="s">
        <v>18</v>
      </c>
      <c r="B284" s="3">
        <f t="shared" ca="1" si="28"/>
        <v>40485</v>
      </c>
      <c r="C284" s="1">
        <f t="shared" ca="1" si="29"/>
        <v>1449.7273681902473</v>
      </c>
      <c r="D284" s="1">
        <f t="shared" ca="1" si="30"/>
        <v>103.55195487073195</v>
      </c>
      <c r="E284" s="2">
        <f t="shared" ca="1" si="31"/>
        <v>14</v>
      </c>
      <c r="F284" s="1">
        <f t="shared" ca="1" si="32"/>
        <v>64.551954870731947</v>
      </c>
      <c r="G284" s="1">
        <f t="shared" ca="1" si="33"/>
        <v>39</v>
      </c>
      <c r="H284" s="1"/>
      <c r="I284">
        <f t="shared" ca="1" si="34"/>
        <v>2.6390573296152584</v>
      </c>
    </row>
    <row r="285" spans="1:9" x14ac:dyDescent="0.25">
      <c r="A285" t="s">
        <v>21</v>
      </c>
      <c r="B285" s="3">
        <f t="shared" ca="1" si="28"/>
        <v>41269</v>
      </c>
      <c r="C285" s="1">
        <f t="shared" ca="1" si="29"/>
        <v>792.81758777283619</v>
      </c>
      <c r="D285" s="1">
        <f t="shared" ca="1" si="30"/>
        <v>198.20439694320905</v>
      </c>
      <c r="E285" s="2">
        <f t="shared" ca="1" si="31"/>
        <v>4</v>
      </c>
      <c r="F285" s="1">
        <f t="shared" ca="1" si="32"/>
        <v>87.204396943209048</v>
      </c>
      <c r="G285" s="1">
        <f t="shared" ca="1" si="33"/>
        <v>111</v>
      </c>
      <c r="H285" s="1"/>
      <c r="I285">
        <f t="shared" ca="1" si="34"/>
        <v>1.3862943611198906</v>
      </c>
    </row>
    <row r="286" spans="1:9" x14ac:dyDescent="0.25">
      <c r="A286" t="s">
        <v>20</v>
      </c>
      <c r="B286" s="3">
        <f t="shared" ca="1" si="28"/>
        <v>43366</v>
      </c>
      <c r="C286" s="1">
        <f t="shared" ca="1" si="29"/>
        <v>793.965392877147</v>
      </c>
      <c r="D286" s="1">
        <f t="shared" ca="1" si="30"/>
        <v>66.163782739762254</v>
      </c>
      <c r="E286" s="2">
        <f t="shared" ca="1" si="31"/>
        <v>12</v>
      </c>
      <c r="F286" s="1">
        <f t="shared" ca="1" si="32"/>
        <v>30.163782739762251</v>
      </c>
      <c r="G286" s="1">
        <f t="shared" ca="1" si="33"/>
        <v>36</v>
      </c>
      <c r="H286" s="1"/>
      <c r="I286">
        <f t="shared" ca="1" si="34"/>
        <v>2.4849066497880004</v>
      </c>
    </row>
    <row r="287" spans="1:9" x14ac:dyDescent="0.25">
      <c r="A287" t="s">
        <v>32</v>
      </c>
      <c r="B287" s="3">
        <f t="shared" ca="1" si="28"/>
        <v>44006</v>
      </c>
      <c r="C287" s="1">
        <f t="shared" ca="1" si="29"/>
        <v>1728.7731708484939</v>
      </c>
      <c r="D287" s="1">
        <f t="shared" ca="1" si="30"/>
        <v>144.06443090404116</v>
      </c>
      <c r="E287" s="2">
        <f t="shared" ca="1" si="31"/>
        <v>12</v>
      </c>
      <c r="F287" s="1">
        <f t="shared" ca="1" si="32"/>
        <v>66.06443090404116</v>
      </c>
      <c r="G287" s="1">
        <f t="shared" ca="1" si="33"/>
        <v>78</v>
      </c>
      <c r="H287" s="1"/>
      <c r="I287">
        <f t="shared" ca="1" si="34"/>
        <v>2.4849066497880004</v>
      </c>
    </row>
    <row r="288" spans="1:9" x14ac:dyDescent="0.25">
      <c r="A288" t="s">
        <v>36</v>
      </c>
      <c r="B288" s="3">
        <f t="shared" ca="1" si="28"/>
        <v>43863</v>
      </c>
      <c r="C288" s="1">
        <f t="shared" ca="1" si="29"/>
        <v>3366.2122558702149</v>
      </c>
      <c r="D288" s="1">
        <f t="shared" ca="1" si="30"/>
        <v>112.20707519567384</v>
      </c>
      <c r="E288" s="2">
        <f t="shared" ca="1" si="31"/>
        <v>30</v>
      </c>
      <c r="F288" s="1">
        <f t="shared" ca="1" si="32"/>
        <v>61.207075195673838</v>
      </c>
      <c r="G288" s="1">
        <f t="shared" ca="1" si="33"/>
        <v>51</v>
      </c>
      <c r="H288" s="1"/>
      <c r="I288">
        <f t="shared" ca="1" si="34"/>
        <v>3.4011973816621555</v>
      </c>
    </row>
    <row r="289" spans="1:9" x14ac:dyDescent="0.25">
      <c r="A289" t="s">
        <v>47</v>
      </c>
      <c r="B289" s="3">
        <f t="shared" ca="1" si="28"/>
        <v>40675</v>
      </c>
      <c r="C289" s="1">
        <f t="shared" ca="1" si="29"/>
        <v>2658.6697918047539</v>
      </c>
      <c r="D289" s="1">
        <f t="shared" ca="1" si="30"/>
        <v>126.60332341927401</v>
      </c>
      <c r="E289" s="2">
        <f t="shared" ca="1" si="31"/>
        <v>21</v>
      </c>
      <c r="F289" s="1">
        <f t="shared" ca="1" si="32"/>
        <v>67.603323419274005</v>
      </c>
      <c r="G289" s="1">
        <f t="shared" ca="1" si="33"/>
        <v>59</v>
      </c>
      <c r="H289" s="1"/>
      <c r="I289">
        <f t="shared" ca="1" si="34"/>
        <v>3.044522437723423</v>
      </c>
    </row>
    <row r="290" spans="1:9" x14ac:dyDescent="0.25">
      <c r="A290" t="s">
        <v>15</v>
      </c>
      <c r="B290" s="3">
        <f t="shared" ca="1" si="28"/>
        <v>42341</v>
      </c>
      <c r="C290" s="1">
        <f t="shared" ca="1" si="29"/>
        <v>6369.9764418889145</v>
      </c>
      <c r="D290" s="1">
        <f t="shared" ca="1" si="30"/>
        <v>303.33221151851973</v>
      </c>
      <c r="E290" s="2">
        <f t="shared" ca="1" si="31"/>
        <v>21</v>
      </c>
      <c r="F290" s="1">
        <f t="shared" ca="1" si="32"/>
        <v>135.33221151851973</v>
      </c>
      <c r="G290" s="1">
        <f t="shared" ca="1" si="33"/>
        <v>168</v>
      </c>
      <c r="H290" s="1"/>
      <c r="I290">
        <f t="shared" ca="1" si="34"/>
        <v>3.044522437723423</v>
      </c>
    </row>
    <row r="291" spans="1:9" x14ac:dyDescent="0.25">
      <c r="A291" t="s">
        <v>22</v>
      </c>
      <c r="B291" s="3">
        <f t="shared" ca="1" si="28"/>
        <v>41297</v>
      </c>
      <c r="C291" s="1">
        <f t="shared" ca="1" si="29"/>
        <v>4304.879634600079</v>
      </c>
      <c r="D291" s="1">
        <f t="shared" ca="1" si="30"/>
        <v>165.57229363846457</v>
      </c>
      <c r="E291" s="2">
        <f t="shared" ca="1" si="31"/>
        <v>26</v>
      </c>
      <c r="F291" s="1">
        <f t="shared" ca="1" si="32"/>
        <v>72.572293638464572</v>
      </c>
      <c r="G291" s="1">
        <f t="shared" ca="1" si="33"/>
        <v>93</v>
      </c>
      <c r="H291" s="1"/>
      <c r="I291">
        <f t="shared" ca="1" si="34"/>
        <v>3.2580965380214821</v>
      </c>
    </row>
    <row r="292" spans="1:9" x14ac:dyDescent="0.25">
      <c r="A292" t="s">
        <v>11</v>
      </c>
      <c r="B292" s="3">
        <f t="shared" ca="1" si="28"/>
        <v>40357</v>
      </c>
      <c r="C292" s="1">
        <f t="shared" ca="1" si="29"/>
        <v>1982.2703066681952</v>
      </c>
      <c r="D292" s="1">
        <f t="shared" ca="1" si="30"/>
        <v>123.8918941667622</v>
      </c>
      <c r="E292" s="2">
        <f t="shared" ca="1" si="31"/>
        <v>16</v>
      </c>
      <c r="F292" s="1">
        <f t="shared" ca="1" si="32"/>
        <v>67.891894166762199</v>
      </c>
      <c r="G292" s="1">
        <f t="shared" ca="1" si="33"/>
        <v>56</v>
      </c>
      <c r="H292" s="1"/>
      <c r="I292">
        <f t="shared" ca="1" si="34"/>
        <v>2.7725887222397811</v>
      </c>
    </row>
    <row r="293" spans="1:9" x14ac:dyDescent="0.25">
      <c r="A293" t="s">
        <v>45</v>
      </c>
      <c r="B293" s="3">
        <f t="shared" ca="1" si="28"/>
        <v>42480</v>
      </c>
      <c r="C293" s="1">
        <f t="shared" ca="1" si="29"/>
        <v>2779.5937805649755</v>
      </c>
      <c r="D293" s="1">
        <f t="shared" ca="1" si="30"/>
        <v>38.07662713102706</v>
      </c>
      <c r="E293" s="2">
        <f t="shared" ca="1" si="31"/>
        <v>73</v>
      </c>
      <c r="F293" s="1">
        <f t="shared" ca="1" si="32"/>
        <v>25.07662713102706</v>
      </c>
      <c r="G293" s="1">
        <f t="shared" ca="1" si="33"/>
        <v>13</v>
      </c>
      <c r="H293" s="1"/>
      <c r="I293">
        <f t="shared" ca="1" si="34"/>
        <v>4.290459441148391</v>
      </c>
    </row>
    <row r="294" spans="1:9" x14ac:dyDescent="0.25">
      <c r="A294" t="s">
        <v>25</v>
      </c>
      <c r="B294" s="3">
        <f t="shared" ca="1" si="28"/>
        <v>41698</v>
      </c>
      <c r="C294" s="1">
        <f t="shared" ca="1" si="29"/>
        <v>1228.0813417523973</v>
      </c>
      <c r="D294" s="1">
        <f t="shared" ca="1" si="30"/>
        <v>64.635860092231439</v>
      </c>
      <c r="E294" s="2">
        <f t="shared" ca="1" si="31"/>
        <v>19</v>
      </c>
      <c r="F294" s="1">
        <f t="shared" ca="1" si="32"/>
        <v>41.635860092231432</v>
      </c>
      <c r="G294" s="1">
        <f t="shared" ca="1" si="33"/>
        <v>23</v>
      </c>
      <c r="H294" s="1"/>
      <c r="I294">
        <f t="shared" ca="1" si="34"/>
        <v>2.9444389791664403</v>
      </c>
    </row>
    <row r="295" spans="1:9" x14ac:dyDescent="0.25">
      <c r="A295" t="s">
        <v>35</v>
      </c>
      <c r="B295" s="3">
        <f t="shared" ca="1" si="28"/>
        <v>42919</v>
      </c>
      <c r="C295" s="1">
        <f t="shared" ca="1" si="29"/>
        <v>1014.0682326802299</v>
      </c>
      <c r="D295" s="1">
        <f t="shared" ca="1" si="30"/>
        <v>101.40682326802299</v>
      </c>
      <c r="E295" s="2">
        <f t="shared" ca="1" si="31"/>
        <v>10</v>
      </c>
      <c r="F295" s="1">
        <f t="shared" ca="1" si="32"/>
        <v>47.40682326802299</v>
      </c>
      <c r="G295" s="1">
        <f t="shared" ca="1" si="33"/>
        <v>54</v>
      </c>
      <c r="H295" s="1"/>
      <c r="I295">
        <f t="shared" ca="1" si="34"/>
        <v>2.3025850929940459</v>
      </c>
    </row>
    <row r="296" spans="1:9" x14ac:dyDescent="0.25">
      <c r="A296" t="s">
        <v>26</v>
      </c>
      <c r="B296" s="3">
        <f t="shared" ca="1" si="28"/>
        <v>43082</v>
      </c>
      <c r="C296" s="1">
        <f t="shared" ca="1" si="29"/>
        <v>1456.8123303553102</v>
      </c>
      <c r="D296" s="1">
        <f t="shared" ca="1" si="30"/>
        <v>69.372015731205252</v>
      </c>
      <c r="E296" s="2">
        <f t="shared" ca="1" si="31"/>
        <v>21</v>
      </c>
      <c r="F296" s="1">
        <f t="shared" ca="1" si="32"/>
        <v>45.372015731205252</v>
      </c>
      <c r="G296" s="1">
        <f t="shared" ca="1" si="33"/>
        <v>24</v>
      </c>
      <c r="H296" s="1"/>
      <c r="I296">
        <f t="shared" ca="1" si="34"/>
        <v>3.044522437723423</v>
      </c>
    </row>
    <row r="297" spans="1:9" x14ac:dyDescent="0.25">
      <c r="A297" t="s">
        <v>40</v>
      </c>
      <c r="B297" s="3">
        <f t="shared" ca="1" si="28"/>
        <v>44068</v>
      </c>
      <c r="C297" s="1">
        <f t="shared" ca="1" si="29"/>
        <v>891.18418869076868</v>
      </c>
      <c r="D297" s="1">
        <f t="shared" ca="1" si="30"/>
        <v>148.5306981151281</v>
      </c>
      <c r="E297" s="2">
        <f t="shared" ca="1" si="31"/>
        <v>6</v>
      </c>
      <c r="F297" s="1">
        <f t="shared" ca="1" si="32"/>
        <v>83.530698115128104</v>
      </c>
      <c r="G297" s="1">
        <f t="shared" ca="1" si="33"/>
        <v>65</v>
      </c>
      <c r="H297" s="1"/>
      <c r="I297">
        <f t="shared" ca="1" si="34"/>
        <v>1.791759469228055</v>
      </c>
    </row>
    <row r="298" spans="1:9" x14ac:dyDescent="0.25">
      <c r="A298" t="s">
        <v>43</v>
      </c>
      <c r="B298" s="3">
        <f t="shared" ca="1" si="28"/>
        <v>41293</v>
      </c>
      <c r="C298" s="1">
        <f t="shared" ca="1" si="29"/>
        <v>432.19593010906681</v>
      </c>
      <c r="D298" s="1">
        <f t="shared" ca="1" si="30"/>
        <v>48.021770012118537</v>
      </c>
      <c r="E298" s="2">
        <f t="shared" ca="1" si="31"/>
        <v>9</v>
      </c>
      <c r="F298" s="1">
        <f t="shared" ca="1" si="32"/>
        <v>31.021770012118534</v>
      </c>
      <c r="G298" s="1">
        <f t="shared" ca="1" si="33"/>
        <v>17</v>
      </c>
      <c r="H298" s="1"/>
      <c r="I298">
        <f t="shared" ca="1" si="34"/>
        <v>2.1972245773362196</v>
      </c>
    </row>
    <row r="299" spans="1:9" x14ac:dyDescent="0.25">
      <c r="A299" t="s">
        <v>42</v>
      </c>
      <c r="B299" s="3">
        <f t="shared" ca="1" si="28"/>
        <v>42552</v>
      </c>
      <c r="C299" s="1">
        <f t="shared" ca="1" si="29"/>
        <v>5774.6653582720501</v>
      </c>
      <c r="D299" s="1">
        <f t="shared" ca="1" si="30"/>
        <v>90.229146223000782</v>
      </c>
      <c r="E299" s="2">
        <f t="shared" ca="1" si="31"/>
        <v>64</v>
      </c>
      <c r="F299" s="1">
        <f t="shared" ca="1" si="32"/>
        <v>54.229146223000775</v>
      </c>
      <c r="G299" s="1">
        <f t="shared" ca="1" si="33"/>
        <v>36</v>
      </c>
      <c r="H299" s="1"/>
      <c r="I299">
        <f t="shared" ca="1" si="34"/>
        <v>4.1588830833596715</v>
      </c>
    </row>
    <row r="300" spans="1:9" x14ac:dyDescent="0.25">
      <c r="A300" t="s">
        <v>46</v>
      </c>
      <c r="B300" s="3">
        <f t="shared" ca="1" si="28"/>
        <v>41098</v>
      </c>
      <c r="C300" s="1">
        <f t="shared" ca="1" si="29"/>
        <v>681.69304828334214</v>
      </c>
      <c r="D300" s="1">
        <f t="shared" ca="1" si="30"/>
        <v>61.972095298485648</v>
      </c>
      <c r="E300" s="2">
        <f t="shared" ca="1" si="31"/>
        <v>11</v>
      </c>
      <c r="F300" s="1">
        <f t="shared" ca="1" si="32"/>
        <v>35.972095298485648</v>
      </c>
      <c r="G300" s="1">
        <f t="shared" ca="1" si="33"/>
        <v>26</v>
      </c>
      <c r="H300" s="1"/>
      <c r="I300">
        <f t="shared" ca="1" si="34"/>
        <v>2.3978952727983707</v>
      </c>
    </row>
    <row r="301" spans="1:9" x14ac:dyDescent="0.25">
      <c r="A301" t="s">
        <v>21</v>
      </c>
      <c r="B301" s="3">
        <f t="shared" ca="1" si="28"/>
        <v>40254</v>
      </c>
      <c r="C301" s="1">
        <f t="shared" ca="1" si="29"/>
        <v>3785.6497725217673</v>
      </c>
      <c r="D301" s="1">
        <f t="shared" ca="1" si="30"/>
        <v>111.34264036828728</v>
      </c>
      <c r="E301" s="2">
        <f t="shared" ca="1" si="31"/>
        <v>34</v>
      </c>
      <c r="F301" s="1">
        <f t="shared" ca="1" si="32"/>
        <v>52.342640368287277</v>
      </c>
      <c r="G301" s="1">
        <f t="shared" ca="1" si="33"/>
        <v>59</v>
      </c>
      <c r="H301" s="1"/>
      <c r="I301">
        <f t="shared" ca="1" si="34"/>
        <v>3.5263605246161616</v>
      </c>
    </row>
    <row r="302" spans="1:9" x14ac:dyDescent="0.25">
      <c r="A302" t="s">
        <v>48</v>
      </c>
      <c r="B302" s="3">
        <f t="shared" ca="1" si="28"/>
        <v>40218</v>
      </c>
      <c r="C302" s="1">
        <f t="shared" ca="1" si="29"/>
        <v>3527.3669524829875</v>
      </c>
      <c r="D302" s="1">
        <f t="shared" ca="1" si="30"/>
        <v>176.36834762414938</v>
      </c>
      <c r="E302" s="2">
        <f t="shared" ca="1" si="31"/>
        <v>20</v>
      </c>
      <c r="F302" s="1">
        <f t="shared" ca="1" si="32"/>
        <v>90.368347624149379</v>
      </c>
      <c r="G302" s="1">
        <f t="shared" ca="1" si="33"/>
        <v>86</v>
      </c>
      <c r="H302" s="1"/>
      <c r="I302">
        <f t="shared" ca="1" si="34"/>
        <v>2.9957322735539909</v>
      </c>
    </row>
    <row r="303" spans="1:9" x14ac:dyDescent="0.25">
      <c r="A303" t="s">
        <v>43</v>
      </c>
      <c r="B303" s="3">
        <f t="shared" ca="1" si="28"/>
        <v>40913</v>
      </c>
      <c r="C303" s="1">
        <f t="shared" ca="1" si="29"/>
        <v>3488.6960588084767</v>
      </c>
      <c r="D303" s="1">
        <f t="shared" ca="1" si="30"/>
        <v>183.61558204255141</v>
      </c>
      <c r="E303" s="2">
        <f t="shared" ca="1" si="31"/>
        <v>19</v>
      </c>
      <c r="F303" s="1">
        <f t="shared" ca="1" si="32"/>
        <v>98.615582042551424</v>
      </c>
      <c r="G303" s="1">
        <f t="shared" ca="1" si="33"/>
        <v>85</v>
      </c>
      <c r="H303" s="1"/>
      <c r="I303">
        <f t="shared" ca="1" si="34"/>
        <v>2.9444389791664403</v>
      </c>
    </row>
    <row r="304" spans="1:9" x14ac:dyDescent="0.25">
      <c r="A304" t="s">
        <v>15</v>
      </c>
      <c r="B304" s="3">
        <f t="shared" ca="1" si="28"/>
        <v>40974</v>
      </c>
      <c r="C304" s="1">
        <f t="shared" ca="1" si="29"/>
        <v>2119.6162024620967</v>
      </c>
      <c r="D304" s="1">
        <f t="shared" ca="1" si="30"/>
        <v>117.7564556923387</v>
      </c>
      <c r="E304" s="2">
        <f t="shared" ca="1" si="31"/>
        <v>18</v>
      </c>
      <c r="F304" s="1">
        <f t="shared" ca="1" si="32"/>
        <v>62.756455692338704</v>
      </c>
      <c r="G304" s="1">
        <f t="shared" ca="1" si="33"/>
        <v>55</v>
      </c>
      <c r="H304" s="1"/>
      <c r="I304">
        <f t="shared" ca="1" si="34"/>
        <v>2.8903717578961645</v>
      </c>
    </row>
    <row r="305" spans="1:9" x14ac:dyDescent="0.25">
      <c r="A305" t="s">
        <v>27</v>
      </c>
      <c r="B305" s="3">
        <f t="shared" ca="1" si="28"/>
        <v>42736</v>
      </c>
      <c r="C305" s="1">
        <f t="shared" ca="1" si="29"/>
        <v>889.11128706200498</v>
      </c>
      <c r="D305" s="1">
        <f t="shared" ca="1" si="30"/>
        <v>177.822257412401</v>
      </c>
      <c r="E305" s="2">
        <f t="shared" ca="1" si="31"/>
        <v>5</v>
      </c>
      <c r="F305" s="1">
        <f t="shared" ca="1" si="32"/>
        <v>107.822257412401</v>
      </c>
      <c r="G305" s="1">
        <f t="shared" ca="1" si="33"/>
        <v>70</v>
      </c>
      <c r="H305" s="1"/>
      <c r="I305">
        <f t="shared" ca="1" si="34"/>
        <v>1.6094379124341003</v>
      </c>
    </row>
    <row r="306" spans="1:9" x14ac:dyDescent="0.25">
      <c r="A306" t="s">
        <v>31</v>
      </c>
      <c r="B306" s="3">
        <f t="shared" ca="1" si="28"/>
        <v>41699</v>
      </c>
      <c r="C306" s="1">
        <f t="shared" ca="1" si="29"/>
        <v>2860.1729669943234</v>
      </c>
      <c r="D306" s="1">
        <f t="shared" ca="1" si="30"/>
        <v>98.626654034287014</v>
      </c>
      <c r="E306" s="2">
        <f t="shared" ca="1" si="31"/>
        <v>29</v>
      </c>
      <c r="F306" s="1">
        <f t="shared" ca="1" si="32"/>
        <v>49.626654034287021</v>
      </c>
      <c r="G306" s="1">
        <f t="shared" ca="1" si="33"/>
        <v>49</v>
      </c>
      <c r="H306" s="1"/>
      <c r="I306">
        <f t="shared" ca="1" si="34"/>
        <v>3.3672958299864741</v>
      </c>
    </row>
    <row r="307" spans="1:9" x14ac:dyDescent="0.25">
      <c r="A307" t="s">
        <v>38</v>
      </c>
      <c r="B307" s="3">
        <f t="shared" ca="1" si="28"/>
        <v>43303</v>
      </c>
      <c r="C307" s="1">
        <f t="shared" ca="1" si="29"/>
        <v>9929.6343979909107</v>
      </c>
      <c r="D307" s="1">
        <f t="shared" ca="1" si="30"/>
        <v>124.12042997488638</v>
      </c>
      <c r="E307" s="2">
        <f t="shared" ca="1" si="31"/>
        <v>80</v>
      </c>
      <c r="F307" s="1">
        <f t="shared" ca="1" si="32"/>
        <v>78.120429974886378</v>
      </c>
      <c r="G307" s="1">
        <f t="shared" ca="1" si="33"/>
        <v>46</v>
      </c>
      <c r="H307" s="1"/>
      <c r="I307">
        <f t="shared" ca="1" si="34"/>
        <v>4.3820266346738812</v>
      </c>
    </row>
    <row r="308" spans="1:9" x14ac:dyDescent="0.25">
      <c r="A308" t="s">
        <v>44</v>
      </c>
      <c r="B308" s="3">
        <f t="shared" ca="1" si="28"/>
        <v>43302</v>
      </c>
      <c r="C308" s="1">
        <f t="shared" ca="1" si="29"/>
        <v>4508.9432388273399</v>
      </c>
      <c r="D308" s="1">
        <f t="shared" ca="1" si="30"/>
        <v>121.86333077911729</v>
      </c>
      <c r="E308" s="2">
        <f t="shared" ca="1" si="31"/>
        <v>37</v>
      </c>
      <c r="F308" s="1">
        <f t="shared" ca="1" si="32"/>
        <v>68.863330779117291</v>
      </c>
      <c r="G308" s="1">
        <f t="shared" ca="1" si="33"/>
        <v>53</v>
      </c>
      <c r="H308" s="1"/>
      <c r="I308">
        <f t="shared" ca="1" si="34"/>
        <v>3.6109179126442243</v>
      </c>
    </row>
    <row r="309" spans="1:9" x14ac:dyDescent="0.25">
      <c r="A309" t="s">
        <v>22</v>
      </c>
      <c r="B309" s="3">
        <f t="shared" ca="1" si="28"/>
        <v>42632</v>
      </c>
      <c r="C309" s="1">
        <f t="shared" ca="1" si="29"/>
        <v>41660.118741991748</v>
      </c>
      <c r="D309" s="1">
        <f t="shared" ca="1" si="30"/>
        <v>122.89120572858923</v>
      </c>
      <c r="E309" s="2">
        <f t="shared" ca="1" si="31"/>
        <v>339</v>
      </c>
      <c r="F309" s="1">
        <f t="shared" ca="1" si="32"/>
        <v>74.891205728589227</v>
      </c>
      <c r="G309" s="1">
        <f t="shared" ca="1" si="33"/>
        <v>48</v>
      </c>
      <c r="H309" s="1"/>
      <c r="I309">
        <f t="shared" ca="1" si="34"/>
        <v>5.8260001073804499</v>
      </c>
    </row>
    <row r="310" spans="1:9" x14ac:dyDescent="0.25">
      <c r="A310" t="s">
        <v>17</v>
      </c>
      <c r="B310" s="3">
        <f t="shared" ca="1" si="28"/>
        <v>42260</v>
      </c>
      <c r="C310" s="1">
        <f t="shared" ca="1" si="29"/>
        <v>1015.2595384308938</v>
      </c>
      <c r="D310" s="1">
        <f t="shared" ca="1" si="30"/>
        <v>126.90744230386173</v>
      </c>
      <c r="E310" s="2">
        <f t="shared" ca="1" si="31"/>
        <v>8</v>
      </c>
      <c r="F310" s="1">
        <f t="shared" ca="1" si="32"/>
        <v>73.907442303861728</v>
      </c>
      <c r="G310" s="1">
        <f t="shared" ca="1" si="33"/>
        <v>53</v>
      </c>
      <c r="H310" s="1"/>
      <c r="I310">
        <f t="shared" ca="1" si="34"/>
        <v>2.0794415416798357</v>
      </c>
    </row>
    <row r="311" spans="1:9" x14ac:dyDescent="0.25">
      <c r="A311" t="s">
        <v>43</v>
      </c>
      <c r="B311" s="3">
        <f t="shared" ca="1" si="28"/>
        <v>42705</v>
      </c>
      <c r="C311" s="1">
        <f t="shared" ca="1" si="29"/>
        <v>7194.0224101185222</v>
      </c>
      <c r="D311" s="1">
        <f t="shared" ca="1" si="30"/>
        <v>194.43303811131142</v>
      </c>
      <c r="E311" s="2">
        <f t="shared" ca="1" si="31"/>
        <v>37</v>
      </c>
      <c r="F311" s="1">
        <f t="shared" ca="1" si="32"/>
        <v>79.433038111311404</v>
      </c>
      <c r="G311" s="1">
        <f t="shared" ca="1" si="33"/>
        <v>115</v>
      </c>
      <c r="H311" s="1"/>
      <c r="I311">
        <f t="shared" ca="1" si="34"/>
        <v>3.6109179126442243</v>
      </c>
    </row>
    <row r="312" spans="1:9" x14ac:dyDescent="0.25">
      <c r="A312" t="s">
        <v>46</v>
      </c>
      <c r="B312" s="3">
        <f t="shared" ca="1" si="28"/>
        <v>43608</v>
      </c>
      <c r="C312" s="1">
        <f t="shared" ca="1" si="29"/>
        <v>527.78266377316913</v>
      </c>
      <c r="D312" s="1">
        <f t="shared" ca="1" si="30"/>
        <v>75.397523396167017</v>
      </c>
      <c r="E312" s="2">
        <f t="shared" ca="1" si="31"/>
        <v>7</v>
      </c>
      <c r="F312" s="1">
        <f t="shared" ca="1" si="32"/>
        <v>42.397523396167017</v>
      </c>
      <c r="G312" s="1">
        <f t="shared" ca="1" si="33"/>
        <v>33</v>
      </c>
      <c r="H312" s="1"/>
      <c r="I312">
        <f t="shared" ca="1" si="34"/>
        <v>1.9459101490553132</v>
      </c>
    </row>
    <row r="313" spans="1:9" x14ac:dyDescent="0.25">
      <c r="A313" t="s">
        <v>16</v>
      </c>
      <c r="B313" s="3">
        <f t="shared" ca="1" si="28"/>
        <v>41366</v>
      </c>
      <c r="C313" s="1">
        <f t="shared" ca="1" si="29"/>
        <v>1209.3497593486327</v>
      </c>
      <c r="D313" s="1">
        <f t="shared" ca="1" si="30"/>
        <v>201.55829322477211</v>
      </c>
      <c r="E313" s="2">
        <f t="shared" ca="1" si="31"/>
        <v>6</v>
      </c>
      <c r="F313" s="1">
        <f t="shared" ca="1" si="32"/>
        <v>96.558293224772115</v>
      </c>
      <c r="G313" s="1">
        <f t="shared" ca="1" si="33"/>
        <v>105</v>
      </c>
      <c r="H313" s="1"/>
      <c r="I313">
        <f t="shared" ca="1" si="34"/>
        <v>1.791759469228055</v>
      </c>
    </row>
    <row r="314" spans="1:9" x14ac:dyDescent="0.25">
      <c r="A314" t="s">
        <v>40</v>
      </c>
      <c r="B314" s="3">
        <f t="shared" ca="1" si="28"/>
        <v>41609</v>
      </c>
      <c r="C314" s="1">
        <f t="shared" ca="1" si="29"/>
        <v>1996.2989794701416</v>
      </c>
      <c r="D314" s="1">
        <f t="shared" ca="1" si="30"/>
        <v>99.814948973507086</v>
      </c>
      <c r="E314" s="2">
        <f t="shared" ca="1" si="31"/>
        <v>20</v>
      </c>
      <c r="F314" s="1">
        <f t="shared" ca="1" si="32"/>
        <v>42.814948973507093</v>
      </c>
      <c r="G314" s="1">
        <f t="shared" ca="1" si="33"/>
        <v>57</v>
      </c>
      <c r="H314" s="1"/>
      <c r="I314">
        <f t="shared" ca="1" si="34"/>
        <v>2.9957322735539909</v>
      </c>
    </row>
    <row r="315" spans="1:9" x14ac:dyDescent="0.25">
      <c r="A315" t="s">
        <v>11</v>
      </c>
      <c r="B315" s="3">
        <f t="shared" ca="1" si="28"/>
        <v>43973</v>
      </c>
      <c r="C315" s="1">
        <f t="shared" ca="1" si="29"/>
        <v>5127.9643139692289</v>
      </c>
      <c r="D315" s="1">
        <f t="shared" ca="1" si="30"/>
        <v>100.54831988174958</v>
      </c>
      <c r="E315" s="2">
        <f t="shared" ca="1" si="31"/>
        <v>51</v>
      </c>
      <c r="F315" s="1">
        <f t="shared" ca="1" si="32"/>
        <v>46.548319881749578</v>
      </c>
      <c r="G315" s="1">
        <f t="shared" ca="1" si="33"/>
        <v>54</v>
      </c>
      <c r="H315" s="1"/>
      <c r="I315">
        <f t="shared" ca="1" si="34"/>
        <v>3.9318256327243257</v>
      </c>
    </row>
    <row r="316" spans="1:9" x14ac:dyDescent="0.25">
      <c r="A316" t="s">
        <v>39</v>
      </c>
      <c r="B316" s="3">
        <f t="shared" ca="1" si="28"/>
        <v>43286</v>
      </c>
      <c r="C316" s="1">
        <f t="shared" ca="1" si="29"/>
        <v>2086.8893225704401</v>
      </c>
      <c r="D316" s="1">
        <f t="shared" ca="1" si="30"/>
        <v>86.953721773768336</v>
      </c>
      <c r="E316" s="2">
        <f t="shared" ca="1" si="31"/>
        <v>24</v>
      </c>
      <c r="F316" s="1">
        <f t="shared" ca="1" si="32"/>
        <v>39.953721773768336</v>
      </c>
      <c r="G316" s="1">
        <f t="shared" ca="1" si="33"/>
        <v>47</v>
      </c>
      <c r="H316" s="1"/>
      <c r="I316">
        <f t="shared" ca="1" si="34"/>
        <v>3.1780538303479458</v>
      </c>
    </row>
    <row r="317" spans="1:9" x14ac:dyDescent="0.25">
      <c r="A317" t="s">
        <v>28</v>
      </c>
      <c r="B317" s="3">
        <f t="shared" ca="1" si="28"/>
        <v>41282</v>
      </c>
      <c r="C317" s="1">
        <f t="shared" ca="1" si="29"/>
        <v>5469.3569602211037</v>
      </c>
      <c r="D317" s="1">
        <f t="shared" ca="1" si="30"/>
        <v>248.60713455550473</v>
      </c>
      <c r="E317" s="2">
        <f t="shared" ca="1" si="31"/>
        <v>22</v>
      </c>
      <c r="F317" s="1">
        <f t="shared" ca="1" si="32"/>
        <v>99.607134555504715</v>
      </c>
      <c r="G317" s="1">
        <f t="shared" ca="1" si="33"/>
        <v>149</v>
      </c>
      <c r="H317" s="1"/>
      <c r="I317">
        <f t="shared" ca="1" si="34"/>
        <v>3.0910424533583161</v>
      </c>
    </row>
    <row r="318" spans="1:9" x14ac:dyDescent="0.25">
      <c r="A318" t="s">
        <v>47</v>
      </c>
      <c r="B318" s="3">
        <f t="shared" ca="1" si="28"/>
        <v>42480</v>
      </c>
      <c r="C318" s="1">
        <f t="shared" ca="1" si="29"/>
        <v>2618.079201415002</v>
      </c>
      <c r="D318" s="1">
        <f t="shared" ca="1" si="30"/>
        <v>238.00720012863653</v>
      </c>
      <c r="E318" s="2">
        <f t="shared" ca="1" si="31"/>
        <v>11</v>
      </c>
      <c r="F318" s="1">
        <f t="shared" ca="1" si="32"/>
        <v>110.00720012863653</v>
      </c>
      <c r="G318" s="1">
        <f t="shared" ca="1" si="33"/>
        <v>128</v>
      </c>
      <c r="H318" s="1"/>
      <c r="I318">
        <f t="shared" ca="1" si="34"/>
        <v>2.3978952727983707</v>
      </c>
    </row>
    <row r="319" spans="1:9" x14ac:dyDescent="0.25">
      <c r="A319" t="s">
        <v>25</v>
      </c>
      <c r="B319" s="3">
        <f t="shared" ca="1" si="28"/>
        <v>40398</v>
      </c>
      <c r="C319" s="1">
        <f t="shared" ca="1" si="29"/>
        <v>3400.4626190378535</v>
      </c>
      <c r="D319" s="1">
        <f t="shared" ca="1" si="30"/>
        <v>50.753173418475427</v>
      </c>
      <c r="E319" s="2">
        <f t="shared" ca="1" si="31"/>
        <v>67</v>
      </c>
      <c r="F319" s="1">
        <f t="shared" ca="1" si="32"/>
        <v>31.753173418475427</v>
      </c>
      <c r="G319" s="1">
        <f t="shared" ca="1" si="33"/>
        <v>19</v>
      </c>
      <c r="H319" s="1"/>
      <c r="I319">
        <f t="shared" ca="1" si="34"/>
        <v>4.2046926193909657</v>
      </c>
    </row>
    <row r="320" spans="1:9" x14ac:dyDescent="0.25">
      <c r="A320" t="s">
        <v>31</v>
      </c>
      <c r="B320" s="3">
        <f t="shared" ca="1" si="28"/>
        <v>42365</v>
      </c>
      <c r="C320" s="1">
        <f t="shared" ca="1" si="29"/>
        <v>1612.1157942792265</v>
      </c>
      <c r="D320" s="1">
        <f t="shared" ca="1" si="30"/>
        <v>100.75723714245166</v>
      </c>
      <c r="E320" s="2">
        <f t="shared" ca="1" si="31"/>
        <v>16</v>
      </c>
      <c r="F320" s="1">
        <f t="shared" ca="1" si="32"/>
        <v>51.75723714245165</v>
      </c>
      <c r="G320" s="1">
        <f t="shared" ca="1" si="33"/>
        <v>49</v>
      </c>
      <c r="H320" s="1"/>
      <c r="I320">
        <f t="shared" ca="1" si="34"/>
        <v>2.7725887222397811</v>
      </c>
    </row>
    <row r="321" spans="1:9" x14ac:dyDescent="0.25">
      <c r="A321" t="s">
        <v>22</v>
      </c>
      <c r="B321" s="3">
        <f t="shared" ca="1" si="28"/>
        <v>42642</v>
      </c>
      <c r="C321" s="1">
        <f t="shared" ca="1" si="29"/>
        <v>5685.1561416155673</v>
      </c>
      <c r="D321" s="1">
        <f t="shared" ca="1" si="30"/>
        <v>177.66112942548648</v>
      </c>
      <c r="E321" s="2">
        <f t="shared" ca="1" si="31"/>
        <v>32</v>
      </c>
      <c r="F321" s="1">
        <f t="shared" ca="1" si="32"/>
        <v>83.661129425486465</v>
      </c>
      <c r="G321" s="1">
        <f t="shared" ca="1" si="33"/>
        <v>94</v>
      </c>
      <c r="H321" s="1"/>
      <c r="I321">
        <f t="shared" ca="1" si="34"/>
        <v>3.4657359027997265</v>
      </c>
    </row>
    <row r="322" spans="1:9" x14ac:dyDescent="0.25">
      <c r="A322" t="s">
        <v>23</v>
      </c>
      <c r="B322" s="3">
        <f t="shared" ca="1" si="28"/>
        <v>41474</v>
      </c>
      <c r="C322" s="1">
        <f t="shared" ca="1" si="29"/>
        <v>2861.9117774557722</v>
      </c>
      <c r="D322" s="1">
        <f t="shared" ca="1" si="30"/>
        <v>95.397059248525736</v>
      </c>
      <c r="E322" s="2">
        <f t="shared" ca="1" si="31"/>
        <v>30</v>
      </c>
      <c r="F322" s="1">
        <f t="shared" ca="1" si="32"/>
        <v>55.397059248525736</v>
      </c>
      <c r="G322" s="1">
        <f t="shared" ca="1" si="33"/>
        <v>40</v>
      </c>
      <c r="H322" s="1"/>
      <c r="I322">
        <f t="shared" ca="1" si="34"/>
        <v>3.4011973816621555</v>
      </c>
    </row>
    <row r="323" spans="1:9" x14ac:dyDescent="0.25">
      <c r="A323" t="s">
        <v>44</v>
      </c>
      <c r="B323" s="3">
        <f t="shared" ref="B323:B386" ca="1" si="35">DATE(RANDBETWEEN(2010, 2020),RANDBETWEEN(1,12),RANDBETWEEN(1,31))</f>
        <v>42613</v>
      </c>
      <c r="C323" s="1">
        <f t="shared" ref="C323:C386" ca="1" si="36">+E323*D323</f>
        <v>4202.6801313720889</v>
      </c>
      <c r="D323" s="1">
        <f t="shared" ref="D323:D386" ca="1" si="37">+F323+G323</f>
        <v>233.48222952067161</v>
      </c>
      <c r="E323" s="2">
        <f t="shared" ref="E323:E386" ca="1" si="38">INT(_xlfn.LOGNORM.INV(RAND(),3,1))</f>
        <v>18</v>
      </c>
      <c r="F323" s="1">
        <f t="shared" ref="F323:F386" ca="1" si="39">_xlfn.GAMMA.INV(RAND(),7,9)</f>
        <v>99.482229520671609</v>
      </c>
      <c r="G323" s="1">
        <f t="shared" ref="G323:G386" ca="1" si="40">+RANDBETWEEN(0.5*F323,1.5*F323)</f>
        <v>134</v>
      </c>
      <c r="H323" s="1"/>
      <c r="I323">
        <f t="shared" ca="1" si="34"/>
        <v>2.8903717578961645</v>
      </c>
    </row>
    <row r="324" spans="1:9" x14ac:dyDescent="0.25">
      <c r="A324" t="s">
        <v>19</v>
      </c>
      <c r="B324" s="3">
        <f t="shared" ca="1" si="35"/>
        <v>42608</v>
      </c>
      <c r="C324" s="1">
        <f t="shared" ca="1" si="36"/>
        <v>561.17248624665831</v>
      </c>
      <c r="D324" s="1">
        <f t="shared" ca="1" si="37"/>
        <v>112.23449724933167</v>
      </c>
      <c r="E324" s="2">
        <f t="shared" ca="1" si="38"/>
        <v>5</v>
      </c>
      <c r="F324" s="1">
        <f t="shared" ca="1" si="39"/>
        <v>45.234497249331667</v>
      </c>
      <c r="G324" s="1">
        <f t="shared" ca="1" si="40"/>
        <v>67</v>
      </c>
      <c r="H324" s="1"/>
      <c r="I324">
        <f t="shared" ref="I324:I387" ca="1" si="41">+LN(E324)</f>
        <v>1.6094379124341003</v>
      </c>
    </row>
    <row r="325" spans="1:9" x14ac:dyDescent="0.25">
      <c r="A325" t="s">
        <v>38</v>
      </c>
      <c r="B325" s="3">
        <f t="shared" ca="1" si="35"/>
        <v>42342</v>
      </c>
      <c r="C325" s="1">
        <f t="shared" ca="1" si="36"/>
        <v>6781.7825132800026</v>
      </c>
      <c r="D325" s="1">
        <f t="shared" ca="1" si="37"/>
        <v>150.70627807288895</v>
      </c>
      <c r="E325" s="2">
        <f t="shared" ca="1" si="38"/>
        <v>45</v>
      </c>
      <c r="F325" s="1">
        <f t="shared" ca="1" si="39"/>
        <v>76.706278072888949</v>
      </c>
      <c r="G325" s="1">
        <f t="shared" ca="1" si="40"/>
        <v>74</v>
      </c>
      <c r="H325" s="1"/>
      <c r="I325">
        <f t="shared" ca="1" si="41"/>
        <v>3.8066624897703196</v>
      </c>
    </row>
    <row r="326" spans="1:9" x14ac:dyDescent="0.25">
      <c r="A326" t="s">
        <v>12</v>
      </c>
      <c r="B326" s="3">
        <f t="shared" ca="1" si="35"/>
        <v>42895</v>
      </c>
      <c r="C326" s="1">
        <f t="shared" ca="1" si="36"/>
        <v>1262.1800624045179</v>
      </c>
      <c r="D326" s="1">
        <f t="shared" ca="1" si="37"/>
        <v>63.109003120225893</v>
      </c>
      <c r="E326" s="2">
        <f t="shared" ca="1" si="38"/>
        <v>20</v>
      </c>
      <c r="F326" s="1">
        <f t="shared" ca="1" si="39"/>
        <v>39.109003120225893</v>
      </c>
      <c r="G326" s="1">
        <f t="shared" ca="1" si="40"/>
        <v>24</v>
      </c>
      <c r="H326" s="1"/>
      <c r="I326">
        <f t="shared" ca="1" si="41"/>
        <v>2.9957322735539909</v>
      </c>
    </row>
    <row r="327" spans="1:9" x14ac:dyDescent="0.25">
      <c r="A327" t="s">
        <v>33</v>
      </c>
      <c r="B327" s="3">
        <f t="shared" ca="1" si="35"/>
        <v>40725</v>
      </c>
      <c r="C327" s="1">
        <f t="shared" ca="1" si="36"/>
        <v>6268.1553786686563</v>
      </c>
      <c r="D327" s="1">
        <f t="shared" ca="1" si="37"/>
        <v>120.54144958978185</v>
      </c>
      <c r="E327" s="2">
        <f t="shared" ca="1" si="38"/>
        <v>52</v>
      </c>
      <c r="F327" s="1">
        <f t="shared" ca="1" si="39"/>
        <v>57.541449589781841</v>
      </c>
      <c r="G327" s="1">
        <f t="shared" ca="1" si="40"/>
        <v>63</v>
      </c>
      <c r="H327" s="1"/>
      <c r="I327">
        <f t="shared" ca="1" si="41"/>
        <v>3.9512437185814275</v>
      </c>
    </row>
    <row r="328" spans="1:9" x14ac:dyDescent="0.25">
      <c r="A328" t="s">
        <v>46</v>
      </c>
      <c r="B328" s="3">
        <f t="shared" ca="1" si="35"/>
        <v>42956</v>
      </c>
      <c r="C328" s="1">
        <f t="shared" ca="1" si="36"/>
        <v>2726.8983890793502</v>
      </c>
      <c r="D328" s="1">
        <f t="shared" ca="1" si="37"/>
        <v>129.85230424187381</v>
      </c>
      <c r="E328" s="2">
        <f t="shared" ca="1" si="38"/>
        <v>21</v>
      </c>
      <c r="F328" s="1">
        <f t="shared" ca="1" si="39"/>
        <v>60.852304241873817</v>
      </c>
      <c r="G328" s="1">
        <f t="shared" ca="1" si="40"/>
        <v>69</v>
      </c>
      <c r="H328" s="1"/>
      <c r="I328">
        <f t="shared" ca="1" si="41"/>
        <v>3.044522437723423</v>
      </c>
    </row>
    <row r="329" spans="1:9" x14ac:dyDescent="0.25">
      <c r="A329" t="s">
        <v>27</v>
      </c>
      <c r="B329" s="3">
        <f t="shared" ca="1" si="35"/>
        <v>40753</v>
      </c>
      <c r="C329" s="1">
        <f t="shared" ca="1" si="36"/>
        <v>223.23399150148461</v>
      </c>
      <c r="D329" s="1">
        <f t="shared" ca="1" si="37"/>
        <v>74.41133050049487</v>
      </c>
      <c r="E329" s="2">
        <f t="shared" ca="1" si="38"/>
        <v>3</v>
      </c>
      <c r="F329" s="1">
        <f t="shared" ca="1" si="39"/>
        <v>34.411330500494863</v>
      </c>
      <c r="G329" s="1">
        <f t="shared" ca="1" si="40"/>
        <v>40</v>
      </c>
      <c r="H329" s="1"/>
      <c r="I329">
        <f t="shared" ca="1" si="41"/>
        <v>1.0986122886681098</v>
      </c>
    </row>
    <row r="330" spans="1:9" x14ac:dyDescent="0.25">
      <c r="A330" t="s">
        <v>41</v>
      </c>
      <c r="B330" s="3">
        <f t="shared" ca="1" si="35"/>
        <v>41564</v>
      </c>
      <c r="C330" s="1">
        <f t="shared" ca="1" si="36"/>
        <v>591.41456655199897</v>
      </c>
      <c r="D330" s="1">
        <f t="shared" ca="1" si="37"/>
        <v>147.85364163799974</v>
      </c>
      <c r="E330" s="2">
        <f t="shared" ca="1" si="38"/>
        <v>4</v>
      </c>
      <c r="F330" s="1">
        <f t="shared" ca="1" si="39"/>
        <v>79.853641637999743</v>
      </c>
      <c r="G330" s="1">
        <f t="shared" ca="1" si="40"/>
        <v>68</v>
      </c>
      <c r="H330" s="1"/>
      <c r="I330">
        <f t="shared" ca="1" si="41"/>
        <v>1.3862943611198906</v>
      </c>
    </row>
    <row r="331" spans="1:9" x14ac:dyDescent="0.25">
      <c r="A331" t="s">
        <v>16</v>
      </c>
      <c r="B331" s="3">
        <f t="shared" ca="1" si="35"/>
        <v>41162</v>
      </c>
      <c r="C331" s="1">
        <f t="shared" ca="1" si="36"/>
        <v>5486.5360263681241</v>
      </c>
      <c r="D331" s="1">
        <f t="shared" ca="1" si="37"/>
        <v>99.755200479420438</v>
      </c>
      <c r="E331" s="2">
        <f t="shared" ca="1" si="38"/>
        <v>55</v>
      </c>
      <c r="F331" s="1">
        <f t="shared" ca="1" si="39"/>
        <v>49.755200479420438</v>
      </c>
      <c r="G331" s="1">
        <f t="shared" ca="1" si="40"/>
        <v>50</v>
      </c>
      <c r="H331" s="1"/>
      <c r="I331">
        <f t="shared" ca="1" si="41"/>
        <v>4.0073331852324712</v>
      </c>
    </row>
    <row r="332" spans="1:9" x14ac:dyDescent="0.25">
      <c r="A332" t="s">
        <v>31</v>
      </c>
      <c r="B332" s="3">
        <f t="shared" ca="1" si="35"/>
        <v>42484</v>
      </c>
      <c r="C332" s="1">
        <f t="shared" ca="1" si="36"/>
        <v>201.94756541415646</v>
      </c>
      <c r="D332" s="1">
        <f t="shared" ca="1" si="37"/>
        <v>50.486891353539114</v>
      </c>
      <c r="E332" s="2">
        <f t="shared" ca="1" si="38"/>
        <v>4</v>
      </c>
      <c r="F332" s="1">
        <f t="shared" ca="1" si="39"/>
        <v>33.486891353539114</v>
      </c>
      <c r="G332" s="1">
        <f t="shared" ca="1" si="40"/>
        <v>17</v>
      </c>
      <c r="H332" s="1"/>
      <c r="I332">
        <f t="shared" ca="1" si="41"/>
        <v>1.3862943611198906</v>
      </c>
    </row>
    <row r="333" spans="1:9" x14ac:dyDescent="0.25">
      <c r="A333" t="s">
        <v>27</v>
      </c>
      <c r="B333" s="3">
        <f t="shared" ca="1" si="35"/>
        <v>42304</v>
      </c>
      <c r="C333" s="1">
        <f t="shared" ca="1" si="36"/>
        <v>10007.883544841288</v>
      </c>
      <c r="D333" s="1">
        <f t="shared" ca="1" si="37"/>
        <v>65.411003561054173</v>
      </c>
      <c r="E333" s="2">
        <f t="shared" ca="1" si="38"/>
        <v>153</v>
      </c>
      <c r="F333" s="1">
        <f t="shared" ca="1" si="39"/>
        <v>27.411003561054173</v>
      </c>
      <c r="G333" s="1">
        <f t="shared" ca="1" si="40"/>
        <v>38</v>
      </c>
      <c r="H333" s="1"/>
      <c r="I333">
        <f t="shared" ca="1" si="41"/>
        <v>5.0304379213924353</v>
      </c>
    </row>
    <row r="334" spans="1:9" x14ac:dyDescent="0.25">
      <c r="A334" t="s">
        <v>47</v>
      </c>
      <c r="B334" s="3">
        <f t="shared" ca="1" si="35"/>
        <v>41518</v>
      </c>
      <c r="C334" s="1">
        <f t="shared" ca="1" si="36"/>
        <v>4411.6252228212015</v>
      </c>
      <c r="D334" s="1">
        <f t="shared" ca="1" si="37"/>
        <v>142.31049105874843</v>
      </c>
      <c r="E334" s="2">
        <f t="shared" ca="1" si="38"/>
        <v>31</v>
      </c>
      <c r="F334" s="1">
        <f t="shared" ca="1" si="39"/>
        <v>77.310491058748411</v>
      </c>
      <c r="G334" s="1">
        <f t="shared" ca="1" si="40"/>
        <v>65</v>
      </c>
      <c r="H334" s="1"/>
      <c r="I334">
        <f t="shared" ca="1" si="41"/>
        <v>3.4339872044851463</v>
      </c>
    </row>
    <row r="335" spans="1:9" x14ac:dyDescent="0.25">
      <c r="A335" t="s">
        <v>24</v>
      </c>
      <c r="B335" s="3">
        <f t="shared" ca="1" si="35"/>
        <v>43072</v>
      </c>
      <c r="C335" s="1">
        <f t="shared" ca="1" si="36"/>
        <v>2849.4290758801644</v>
      </c>
      <c r="D335" s="1">
        <f t="shared" ca="1" si="37"/>
        <v>189.96193839201095</v>
      </c>
      <c r="E335" s="2">
        <f t="shared" ca="1" si="38"/>
        <v>15</v>
      </c>
      <c r="F335" s="1">
        <f t="shared" ca="1" si="39"/>
        <v>93.96193839201095</v>
      </c>
      <c r="G335" s="1">
        <f t="shared" ca="1" si="40"/>
        <v>96</v>
      </c>
      <c r="H335" s="1"/>
      <c r="I335">
        <f t="shared" ca="1" si="41"/>
        <v>2.7080502011022101</v>
      </c>
    </row>
    <row r="336" spans="1:9" x14ac:dyDescent="0.25">
      <c r="A336" t="s">
        <v>37</v>
      </c>
      <c r="B336" s="3">
        <f t="shared" ca="1" si="35"/>
        <v>42416</v>
      </c>
      <c r="C336" s="1">
        <f t="shared" ca="1" si="36"/>
        <v>548.40953484001193</v>
      </c>
      <c r="D336" s="1">
        <f t="shared" ca="1" si="37"/>
        <v>68.551191855001491</v>
      </c>
      <c r="E336" s="2">
        <f t="shared" ca="1" si="38"/>
        <v>8</v>
      </c>
      <c r="F336" s="1">
        <f t="shared" ca="1" si="39"/>
        <v>43.551191855001498</v>
      </c>
      <c r="G336" s="1">
        <f t="shared" ca="1" si="40"/>
        <v>25</v>
      </c>
      <c r="H336" s="1"/>
      <c r="I336">
        <f t="shared" ca="1" si="41"/>
        <v>2.0794415416798357</v>
      </c>
    </row>
    <row r="337" spans="1:9" x14ac:dyDescent="0.25">
      <c r="A337" t="s">
        <v>23</v>
      </c>
      <c r="B337" s="3">
        <f t="shared" ca="1" si="35"/>
        <v>44061</v>
      </c>
      <c r="C337" s="1">
        <f t="shared" ca="1" si="36"/>
        <v>8323.946184710785</v>
      </c>
      <c r="D337" s="1">
        <f t="shared" ca="1" si="37"/>
        <v>148.64189615554972</v>
      </c>
      <c r="E337" s="2">
        <f t="shared" ca="1" si="38"/>
        <v>56</v>
      </c>
      <c r="F337" s="1">
        <f t="shared" ca="1" si="39"/>
        <v>70.64189615554973</v>
      </c>
      <c r="G337" s="1">
        <f t="shared" ca="1" si="40"/>
        <v>78</v>
      </c>
      <c r="H337" s="1"/>
      <c r="I337">
        <f t="shared" ca="1" si="41"/>
        <v>4.0253516907351496</v>
      </c>
    </row>
    <row r="338" spans="1:9" x14ac:dyDescent="0.25">
      <c r="A338" t="s">
        <v>40</v>
      </c>
      <c r="B338" s="3">
        <f t="shared" ca="1" si="35"/>
        <v>40636</v>
      </c>
      <c r="C338" s="1">
        <f t="shared" ca="1" si="36"/>
        <v>9492.8945502313309</v>
      </c>
      <c r="D338" s="1">
        <f t="shared" ca="1" si="37"/>
        <v>133.70274014410325</v>
      </c>
      <c r="E338" s="2">
        <f t="shared" ca="1" si="38"/>
        <v>71</v>
      </c>
      <c r="F338" s="1">
        <f t="shared" ca="1" si="39"/>
        <v>57.702740144103245</v>
      </c>
      <c r="G338" s="1">
        <f t="shared" ca="1" si="40"/>
        <v>76</v>
      </c>
      <c r="H338" s="1"/>
      <c r="I338">
        <f t="shared" ca="1" si="41"/>
        <v>4.2626798770413155</v>
      </c>
    </row>
    <row r="339" spans="1:9" x14ac:dyDescent="0.25">
      <c r="A339" t="s">
        <v>18</v>
      </c>
      <c r="B339" s="3">
        <f t="shared" ca="1" si="35"/>
        <v>41761</v>
      </c>
      <c r="C339" s="1">
        <f t="shared" ca="1" si="36"/>
        <v>5614.6825977535973</v>
      </c>
      <c r="D339" s="1">
        <f t="shared" ca="1" si="37"/>
        <v>124.77072439452439</v>
      </c>
      <c r="E339" s="2">
        <f t="shared" ca="1" si="38"/>
        <v>45</v>
      </c>
      <c r="F339" s="1">
        <f t="shared" ca="1" si="39"/>
        <v>56.7707243945244</v>
      </c>
      <c r="G339" s="1">
        <f t="shared" ca="1" si="40"/>
        <v>68</v>
      </c>
      <c r="H339" s="1"/>
      <c r="I339">
        <f t="shared" ca="1" si="41"/>
        <v>3.8066624897703196</v>
      </c>
    </row>
    <row r="340" spans="1:9" x14ac:dyDescent="0.25">
      <c r="A340" t="s">
        <v>37</v>
      </c>
      <c r="B340" s="3">
        <f t="shared" ca="1" si="35"/>
        <v>43673</v>
      </c>
      <c r="C340" s="1">
        <f t="shared" ca="1" si="36"/>
        <v>1140.2000042791174</v>
      </c>
      <c r="D340" s="1">
        <f t="shared" ca="1" si="37"/>
        <v>87.707692636855185</v>
      </c>
      <c r="E340" s="2">
        <f t="shared" ca="1" si="38"/>
        <v>13</v>
      </c>
      <c r="F340" s="1">
        <f t="shared" ca="1" si="39"/>
        <v>55.707692636855185</v>
      </c>
      <c r="G340" s="1">
        <f t="shared" ca="1" si="40"/>
        <v>32</v>
      </c>
      <c r="H340" s="1"/>
      <c r="I340">
        <f t="shared" ca="1" si="41"/>
        <v>2.5649493574615367</v>
      </c>
    </row>
    <row r="341" spans="1:9" x14ac:dyDescent="0.25">
      <c r="A341" t="s">
        <v>40</v>
      </c>
      <c r="B341" s="3">
        <f t="shared" ca="1" si="35"/>
        <v>41198</v>
      </c>
      <c r="C341" s="1">
        <f t="shared" ca="1" si="36"/>
        <v>7566.7851472790862</v>
      </c>
      <c r="D341" s="1">
        <f t="shared" ca="1" si="37"/>
        <v>64.673377327171679</v>
      </c>
      <c r="E341" s="2">
        <f t="shared" ca="1" si="38"/>
        <v>117</v>
      </c>
      <c r="F341" s="1">
        <f t="shared" ca="1" si="39"/>
        <v>29.673377327171679</v>
      </c>
      <c r="G341" s="1">
        <f t="shared" ca="1" si="40"/>
        <v>35</v>
      </c>
      <c r="H341" s="1"/>
      <c r="I341">
        <f t="shared" ca="1" si="41"/>
        <v>4.7621739347977563</v>
      </c>
    </row>
    <row r="342" spans="1:9" x14ac:dyDescent="0.25">
      <c r="A342" t="s">
        <v>12</v>
      </c>
      <c r="B342" s="3">
        <f t="shared" ca="1" si="35"/>
        <v>43502</v>
      </c>
      <c r="C342" s="1">
        <f t="shared" ca="1" si="36"/>
        <v>10483.888807933432</v>
      </c>
      <c r="D342" s="1">
        <f t="shared" ca="1" si="37"/>
        <v>145.60956677685323</v>
      </c>
      <c r="E342" s="2">
        <f t="shared" ca="1" si="38"/>
        <v>72</v>
      </c>
      <c r="F342" s="1">
        <f t="shared" ca="1" si="39"/>
        <v>61.609566776853235</v>
      </c>
      <c r="G342" s="1">
        <f t="shared" ca="1" si="40"/>
        <v>84</v>
      </c>
      <c r="H342" s="1"/>
      <c r="I342">
        <f t="shared" ca="1" si="41"/>
        <v>4.2766661190160553</v>
      </c>
    </row>
    <row r="343" spans="1:9" x14ac:dyDescent="0.25">
      <c r="A343" t="s">
        <v>33</v>
      </c>
      <c r="B343" s="3">
        <f t="shared" ca="1" si="35"/>
        <v>43460</v>
      </c>
      <c r="C343" s="1">
        <f t="shared" ca="1" si="36"/>
        <v>238.75482494542558</v>
      </c>
      <c r="D343" s="1">
        <f t="shared" ca="1" si="37"/>
        <v>119.37741247271279</v>
      </c>
      <c r="E343" s="2">
        <f t="shared" ca="1" si="38"/>
        <v>2</v>
      </c>
      <c r="F343" s="1">
        <f t="shared" ca="1" si="39"/>
        <v>54.377412472712798</v>
      </c>
      <c r="G343" s="1">
        <f t="shared" ca="1" si="40"/>
        <v>65</v>
      </c>
      <c r="H343" s="1"/>
      <c r="I343">
        <f t="shared" ca="1" si="41"/>
        <v>0.69314718055994529</v>
      </c>
    </row>
    <row r="344" spans="1:9" x14ac:dyDescent="0.25">
      <c r="A344" t="s">
        <v>18</v>
      </c>
      <c r="B344" s="3">
        <f t="shared" ca="1" si="35"/>
        <v>40293</v>
      </c>
      <c r="C344" s="1">
        <f t="shared" ca="1" si="36"/>
        <v>2861.9506770331268</v>
      </c>
      <c r="D344" s="1">
        <f t="shared" ca="1" si="37"/>
        <v>98.687954380452652</v>
      </c>
      <c r="E344" s="2">
        <f t="shared" ca="1" si="38"/>
        <v>29</v>
      </c>
      <c r="F344" s="1">
        <f t="shared" ca="1" si="39"/>
        <v>52.687954380452659</v>
      </c>
      <c r="G344" s="1">
        <f t="shared" ca="1" si="40"/>
        <v>46</v>
      </c>
      <c r="H344" s="1"/>
      <c r="I344">
        <f t="shared" ca="1" si="41"/>
        <v>3.3672958299864741</v>
      </c>
    </row>
    <row r="345" spans="1:9" x14ac:dyDescent="0.25">
      <c r="A345" t="s">
        <v>11</v>
      </c>
      <c r="B345" s="3">
        <f t="shared" ca="1" si="35"/>
        <v>44118</v>
      </c>
      <c r="C345" s="1">
        <f t="shared" ca="1" si="36"/>
        <v>7107.7624762646656</v>
      </c>
      <c r="D345" s="1">
        <f t="shared" ca="1" si="37"/>
        <v>154.51657557097099</v>
      </c>
      <c r="E345" s="2">
        <f t="shared" ca="1" si="38"/>
        <v>46</v>
      </c>
      <c r="F345" s="1">
        <f t="shared" ca="1" si="39"/>
        <v>73.516575570970971</v>
      </c>
      <c r="G345" s="1">
        <f t="shared" ca="1" si="40"/>
        <v>81</v>
      </c>
      <c r="H345" s="1"/>
      <c r="I345">
        <f t="shared" ca="1" si="41"/>
        <v>3.8286413964890951</v>
      </c>
    </row>
    <row r="346" spans="1:9" x14ac:dyDescent="0.25">
      <c r="A346" t="s">
        <v>35</v>
      </c>
      <c r="B346" s="3">
        <f t="shared" ca="1" si="35"/>
        <v>43816</v>
      </c>
      <c r="C346" s="1">
        <f t="shared" ca="1" si="36"/>
        <v>7355.3307781678286</v>
      </c>
      <c r="D346" s="1">
        <f t="shared" ca="1" si="37"/>
        <v>113.15893504873583</v>
      </c>
      <c r="E346" s="2">
        <f t="shared" ca="1" si="38"/>
        <v>65</v>
      </c>
      <c r="F346" s="1">
        <f t="shared" ca="1" si="39"/>
        <v>61.15893504873582</v>
      </c>
      <c r="G346" s="1">
        <f t="shared" ca="1" si="40"/>
        <v>52</v>
      </c>
      <c r="H346" s="1"/>
      <c r="I346">
        <f t="shared" ca="1" si="41"/>
        <v>4.1743872698956368</v>
      </c>
    </row>
    <row r="347" spans="1:9" x14ac:dyDescent="0.25">
      <c r="A347" t="s">
        <v>29</v>
      </c>
      <c r="B347" s="3">
        <f t="shared" ca="1" si="35"/>
        <v>40275</v>
      </c>
      <c r="C347" s="1">
        <f t="shared" ca="1" si="36"/>
        <v>2519.513438437838</v>
      </c>
      <c r="D347" s="1">
        <f t="shared" ca="1" si="37"/>
        <v>61.451547278971653</v>
      </c>
      <c r="E347" s="2">
        <f t="shared" ca="1" si="38"/>
        <v>41</v>
      </c>
      <c r="F347" s="1">
        <f t="shared" ca="1" si="39"/>
        <v>31.451547278971653</v>
      </c>
      <c r="G347" s="1">
        <f t="shared" ca="1" si="40"/>
        <v>30</v>
      </c>
      <c r="H347" s="1"/>
      <c r="I347">
        <f t="shared" ca="1" si="41"/>
        <v>3.713572066704308</v>
      </c>
    </row>
    <row r="348" spans="1:9" x14ac:dyDescent="0.25">
      <c r="A348" t="s">
        <v>25</v>
      </c>
      <c r="B348" s="3">
        <f t="shared" ca="1" si="35"/>
        <v>43497</v>
      </c>
      <c r="C348" s="1">
        <f t="shared" ca="1" si="36"/>
        <v>1659.3180586386225</v>
      </c>
      <c r="D348" s="1">
        <f t="shared" ca="1" si="37"/>
        <v>118.52271847418731</v>
      </c>
      <c r="E348" s="2">
        <f t="shared" ca="1" si="38"/>
        <v>14</v>
      </c>
      <c r="F348" s="1">
        <f t="shared" ca="1" si="39"/>
        <v>61.522718474187307</v>
      </c>
      <c r="G348" s="1">
        <f t="shared" ca="1" si="40"/>
        <v>57</v>
      </c>
      <c r="H348" s="1"/>
      <c r="I348">
        <f t="shared" ca="1" si="41"/>
        <v>2.6390573296152584</v>
      </c>
    </row>
    <row r="349" spans="1:9" x14ac:dyDescent="0.25">
      <c r="A349" t="s">
        <v>20</v>
      </c>
      <c r="B349" s="3">
        <f t="shared" ca="1" si="35"/>
        <v>42080</v>
      </c>
      <c r="C349" s="1">
        <f t="shared" ca="1" si="36"/>
        <v>1650.5714592321222</v>
      </c>
      <c r="D349" s="1">
        <f t="shared" ca="1" si="37"/>
        <v>235.79592274744601</v>
      </c>
      <c r="E349" s="2">
        <f t="shared" ca="1" si="38"/>
        <v>7</v>
      </c>
      <c r="F349" s="1">
        <f t="shared" ca="1" si="39"/>
        <v>119.79592274744601</v>
      </c>
      <c r="G349" s="1">
        <f t="shared" ca="1" si="40"/>
        <v>116</v>
      </c>
      <c r="H349" s="1"/>
      <c r="I349">
        <f t="shared" ca="1" si="41"/>
        <v>1.9459101490553132</v>
      </c>
    </row>
    <row r="350" spans="1:9" x14ac:dyDescent="0.25">
      <c r="A350" t="s">
        <v>38</v>
      </c>
      <c r="B350" s="3">
        <f t="shared" ca="1" si="35"/>
        <v>43420</v>
      </c>
      <c r="C350" s="1">
        <f t="shared" ca="1" si="36"/>
        <v>2431.872327489627</v>
      </c>
      <c r="D350" s="1">
        <f t="shared" ca="1" si="37"/>
        <v>127.9932803941909</v>
      </c>
      <c r="E350" s="2">
        <f t="shared" ca="1" si="38"/>
        <v>19</v>
      </c>
      <c r="F350" s="1">
        <f t="shared" ca="1" si="39"/>
        <v>66.993280394190904</v>
      </c>
      <c r="G350" s="1">
        <f t="shared" ca="1" si="40"/>
        <v>61</v>
      </c>
      <c r="H350" s="1"/>
      <c r="I350">
        <f t="shared" ca="1" si="41"/>
        <v>2.9444389791664403</v>
      </c>
    </row>
    <row r="351" spans="1:9" x14ac:dyDescent="0.25">
      <c r="A351" t="s">
        <v>42</v>
      </c>
      <c r="B351" s="3">
        <f t="shared" ca="1" si="35"/>
        <v>43245</v>
      </c>
      <c r="C351" s="1">
        <f t="shared" ca="1" si="36"/>
        <v>1908.1786512646977</v>
      </c>
      <c r="D351" s="1">
        <f t="shared" ca="1" si="37"/>
        <v>86.735393239304443</v>
      </c>
      <c r="E351" s="2">
        <f t="shared" ca="1" si="38"/>
        <v>22</v>
      </c>
      <c r="F351" s="1">
        <f t="shared" ca="1" si="39"/>
        <v>56.735393239304443</v>
      </c>
      <c r="G351" s="1">
        <f t="shared" ca="1" si="40"/>
        <v>30</v>
      </c>
      <c r="H351" s="1"/>
      <c r="I351">
        <f t="shared" ca="1" si="41"/>
        <v>3.0910424533583161</v>
      </c>
    </row>
    <row r="352" spans="1:9" x14ac:dyDescent="0.25">
      <c r="A352" t="s">
        <v>48</v>
      </c>
      <c r="B352" s="3">
        <f t="shared" ca="1" si="35"/>
        <v>41955</v>
      </c>
      <c r="C352" s="1">
        <f t="shared" ca="1" si="36"/>
        <v>1401.9586051964584</v>
      </c>
      <c r="D352" s="1">
        <f t="shared" ca="1" si="37"/>
        <v>107.8429696304968</v>
      </c>
      <c r="E352" s="2">
        <f t="shared" ca="1" si="38"/>
        <v>13</v>
      </c>
      <c r="F352" s="1">
        <f t="shared" ca="1" si="39"/>
        <v>46.842969630496796</v>
      </c>
      <c r="G352" s="1">
        <f t="shared" ca="1" si="40"/>
        <v>61</v>
      </c>
      <c r="H352" s="1"/>
      <c r="I352">
        <f t="shared" ca="1" si="41"/>
        <v>2.5649493574615367</v>
      </c>
    </row>
    <row r="353" spans="1:9" x14ac:dyDescent="0.25">
      <c r="A353" t="s">
        <v>31</v>
      </c>
      <c r="B353" s="3">
        <f t="shared" ca="1" si="35"/>
        <v>42893</v>
      </c>
      <c r="C353" s="1">
        <f t="shared" ca="1" si="36"/>
        <v>4242.5287362888239</v>
      </c>
      <c r="D353" s="1">
        <f t="shared" ca="1" si="37"/>
        <v>106.0632184072206</v>
      </c>
      <c r="E353" s="2">
        <f t="shared" ca="1" si="38"/>
        <v>40</v>
      </c>
      <c r="F353" s="1">
        <f t="shared" ca="1" si="39"/>
        <v>60.06321840722061</v>
      </c>
      <c r="G353" s="1">
        <f t="shared" ca="1" si="40"/>
        <v>46</v>
      </c>
      <c r="H353" s="1"/>
      <c r="I353">
        <f t="shared" ca="1" si="41"/>
        <v>3.6888794541139363</v>
      </c>
    </row>
    <row r="354" spans="1:9" x14ac:dyDescent="0.25">
      <c r="A354" t="s">
        <v>25</v>
      </c>
      <c r="B354" s="3">
        <f t="shared" ca="1" si="35"/>
        <v>43481</v>
      </c>
      <c r="C354" s="1">
        <f t="shared" ca="1" si="36"/>
        <v>1362.4746446641916</v>
      </c>
      <c r="D354" s="1">
        <f t="shared" ca="1" si="37"/>
        <v>90.831642977612773</v>
      </c>
      <c r="E354" s="2">
        <f t="shared" ca="1" si="38"/>
        <v>15</v>
      </c>
      <c r="F354" s="1">
        <f t="shared" ca="1" si="39"/>
        <v>46.831642977612773</v>
      </c>
      <c r="G354" s="1">
        <f t="shared" ca="1" si="40"/>
        <v>44</v>
      </c>
      <c r="H354" s="1"/>
      <c r="I354">
        <f t="shared" ca="1" si="41"/>
        <v>2.7080502011022101</v>
      </c>
    </row>
    <row r="355" spans="1:9" x14ac:dyDescent="0.25">
      <c r="A355" t="s">
        <v>25</v>
      </c>
      <c r="B355" s="3">
        <f t="shared" ca="1" si="35"/>
        <v>42523</v>
      </c>
      <c r="C355" s="1">
        <f t="shared" ca="1" si="36"/>
        <v>1265.4009822223884</v>
      </c>
      <c r="D355" s="1">
        <f t="shared" ca="1" si="37"/>
        <v>158.17512277779855</v>
      </c>
      <c r="E355" s="2">
        <f t="shared" ca="1" si="38"/>
        <v>8</v>
      </c>
      <c r="F355" s="1">
        <f t="shared" ca="1" si="39"/>
        <v>90.175122777798549</v>
      </c>
      <c r="G355" s="1">
        <f t="shared" ca="1" si="40"/>
        <v>68</v>
      </c>
      <c r="H355" s="1"/>
      <c r="I355">
        <f t="shared" ca="1" si="41"/>
        <v>2.0794415416798357</v>
      </c>
    </row>
    <row r="356" spans="1:9" x14ac:dyDescent="0.25">
      <c r="A356" t="s">
        <v>15</v>
      </c>
      <c r="B356" s="3">
        <f t="shared" ca="1" si="35"/>
        <v>43559</v>
      </c>
      <c r="C356" s="1">
        <f t="shared" ca="1" si="36"/>
        <v>1672.8062277783574</v>
      </c>
      <c r="D356" s="1">
        <f t="shared" ca="1" si="37"/>
        <v>167.28062277783573</v>
      </c>
      <c r="E356" s="2">
        <f t="shared" ca="1" si="38"/>
        <v>10</v>
      </c>
      <c r="F356" s="1">
        <f t="shared" ca="1" si="39"/>
        <v>80.280622777835745</v>
      </c>
      <c r="G356" s="1">
        <f t="shared" ca="1" si="40"/>
        <v>87</v>
      </c>
      <c r="H356" s="1"/>
      <c r="I356">
        <f t="shared" ca="1" si="41"/>
        <v>2.3025850929940459</v>
      </c>
    </row>
    <row r="357" spans="1:9" x14ac:dyDescent="0.25">
      <c r="A357" t="s">
        <v>34</v>
      </c>
      <c r="B357" s="3">
        <f t="shared" ca="1" si="35"/>
        <v>44080</v>
      </c>
      <c r="C357" s="1">
        <f t="shared" ca="1" si="36"/>
        <v>5624.9891667163756</v>
      </c>
      <c r="D357" s="1">
        <f t="shared" ca="1" si="37"/>
        <v>133.92831349324703</v>
      </c>
      <c r="E357" s="2">
        <f t="shared" ca="1" si="38"/>
        <v>42</v>
      </c>
      <c r="F357" s="1">
        <f t="shared" ca="1" si="39"/>
        <v>60.928313493247039</v>
      </c>
      <c r="G357" s="1">
        <f t="shared" ca="1" si="40"/>
        <v>73</v>
      </c>
      <c r="H357" s="1"/>
      <c r="I357">
        <f t="shared" ca="1" si="41"/>
        <v>3.7376696182833684</v>
      </c>
    </row>
    <row r="358" spans="1:9" x14ac:dyDescent="0.25">
      <c r="A358" t="s">
        <v>36</v>
      </c>
      <c r="B358" s="3">
        <f t="shared" ca="1" si="35"/>
        <v>42314</v>
      </c>
      <c r="C358" s="1">
        <f t="shared" ca="1" si="36"/>
        <v>1800.6473637585048</v>
      </c>
      <c r="D358" s="1">
        <f t="shared" ca="1" si="37"/>
        <v>85.745112559928799</v>
      </c>
      <c r="E358" s="2">
        <f t="shared" ca="1" si="38"/>
        <v>21</v>
      </c>
      <c r="F358" s="1">
        <f t="shared" ca="1" si="39"/>
        <v>49.745112559928792</v>
      </c>
      <c r="G358" s="1">
        <f t="shared" ca="1" si="40"/>
        <v>36</v>
      </c>
      <c r="H358" s="1"/>
      <c r="I358">
        <f t="shared" ca="1" si="41"/>
        <v>3.044522437723423</v>
      </c>
    </row>
    <row r="359" spans="1:9" x14ac:dyDescent="0.25">
      <c r="A359" t="s">
        <v>11</v>
      </c>
      <c r="B359" s="3">
        <f t="shared" ca="1" si="35"/>
        <v>43139</v>
      </c>
      <c r="C359" s="1">
        <f t="shared" ca="1" si="36"/>
        <v>6807.536041315594</v>
      </c>
      <c r="D359" s="1">
        <f t="shared" ca="1" si="37"/>
        <v>130.9141546406845</v>
      </c>
      <c r="E359" s="2">
        <f t="shared" ca="1" si="38"/>
        <v>52</v>
      </c>
      <c r="F359" s="1">
        <f t="shared" ca="1" si="39"/>
        <v>80.914154640684515</v>
      </c>
      <c r="G359" s="1">
        <f t="shared" ca="1" si="40"/>
        <v>50</v>
      </c>
      <c r="H359" s="1"/>
      <c r="I359">
        <f t="shared" ca="1" si="41"/>
        <v>3.9512437185814275</v>
      </c>
    </row>
    <row r="360" spans="1:9" x14ac:dyDescent="0.25">
      <c r="A360" t="s">
        <v>29</v>
      </c>
      <c r="B360" s="3">
        <f t="shared" ca="1" si="35"/>
        <v>40324</v>
      </c>
      <c r="C360" s="1">
        <f t="shared" ca="1" si="36"/>
        <v>376.23451058494999</v>
      </c>
      <c r="D360" s="1">
        <f t="shared" ca="1" si="37"/>
        <v>188.11725529247499</v>
      </c>
      <c r="E360" s="2">
        <f t="shared" ca="1" si="38"/>
        <v>2</v>
      </c>
      <c r="F360" s="1">
        <f t="shared" ca="1" si="39"/>
        <v>97.117255292474994</v>
      </c>
      <c r="G360" s="1">
        <f t="shared" ca="1" si="40"/>
        <v>91</v>
      </c>
      <c r="H360" s="1"/>
      <c r="I360">
        <f t="shared" ca="1" si="41"/>
        <v>0.69314718055994529</v>
      </c>
    </row>
    <row r="361" spans="1:9" x14ac:dyDescent="0.25">
      <c r="A361" t="s">
        <v>34</v>
      </c>
      <c r="B361" s="3">
        <f t="shared" ca="1" si="35"/>
        <v>42147</v>
      </c>
      <c r="C361" s="1">
        <f t="shared" ca="1" si="36"/>
        <v>81837.470048630494</v>
      </c>
      <c r="D361" s="1">
        <f t="shared" ca="1" si="37"/>
        <v>215.36176328586973</v>
      </c>
      <c r="E361" s="2">
        <f t="shared" ca="1" si="38"/>
        <v>380</v>
      </c>
      <c r="F361" s="1">
        <f t="shared" ca="1" si="39"/>
        <v>108.36176328586973</v>
      </c>
      <c r="G361" s="1">
        <f t="shared" ca="1" si="40"/>
        <v>107</v>
      </c>
      <c r="H361" s="1"/>
      <c r="I361">
        <f t="shared" ca="1" si="41"/>
        <v>5.9401712527204316</v>
      </c>
    </row>
    <row r="362" spans="1:9" x14ac:dyDescent="0.25">
      <c r="A362" t="s">
        <v>13</v>
      </c>
      <c r="B362" s="3">
        <f t="shared" ca="1" si="35"/>
        <v>40509</v>
      </c>
      <c r="C362" s="1">
        <f t="shared" ca="1" si="36"/>
        <v>2426.6501369220341</v>
      </c>
      <c r="D362" s="1">
        <f t="shared" ca="1" si="37"/>
        <v>78.279036674904333</v>
      </c>
      <c r="E362" s="2">
        <f t="shared" ca="1" si="38"/>
        <v>31</v>
      </c>
      <c r="F362" s="1">
        <f t="shared" ca="1" si="39"/>
        <v>43.279036674904333</v>
      </c>
      <c r="G362" s="1">
        <f t="shared" ca="1" si="40"/>
        <v>35</v>
      </c>
      <c r="H362" s="1"/>
      <c r="I362">
        <f t="shared" ca="1" si="41"/>
        <v>3.4339872044851463</v>
      </c>
    </row>
    <row r="363" spans="1:9" x14ac:dyDescent="0.25">
      <c r="A363" t="s">
        <v>39</v>
      </c>
      <c r="B363" s="3">
        <f t="shared" ca="1" si="35"/>
        <v>40669</v>
      </c>
      <c r="C363" s="1">
        <f t="shared" ca="1" si="36"/>
        <v>1027.9039031228926</v>
      </c>
      <c r="D363" s="1">
        <f t="shared" ca="1" si="37"/>
        <v>85.658658593574387</v>
      </c>
      <c r="E363" s="2">
        <f t="shared" ca="1" si="38"/>
        <v>12</v>
      </c>
      <c r="F363" s="1">
        <f t="shared" ca="1" si="39"/>
        <v>51.658658593574387</v>
      </c>
      <c r="G363" s="1">
        <f t="shared" ca="1" si="40"/>
        <v>34</v>
      </c>
      <c r="H363" s="1"/>
      <c r="I363">
        <f t="shared" ca="1" si="41"/>
        <v>2.4849066497880004</v>
      </c>
    </row>
    <row r="364" spans="1:9" x14ac:dyDescent="0.25">
      <c r="A364" t="s">
        <v>31</v>
      </c>
      <c r="B364" s="3">
        <f t="shared" ca="1" si="35"/>
        <v>42147</v>
      </c>
      <c r="C364" s="1">
        <f t="shared" ca="1" si="36"/>
        <v>6690.7217958104875</v>
      </c>
      <c r="D364" s="1">
        <f t="shared" ca="1" si="37"/>
        <v>202.74914532759053</v>
      </c>
      <c r="E364" s="2">
        <f t="shared" ca="1" si="38"/>
        <v>33</v>
      </c>
      <c r="F364" s="1">
        <f t="shared" ca="1" si="39"/>
        <v>88.749145327590526</v>
      </c>
      <c r="G364" s="1">
        <f t="shared" ca="1" si="40"/>
        <v>114</v>
      </c>
      <c r="H364" s="1"/>
      <c r="I364">
        <f t="shared" ca="1" si="41"/>
        <v>3.4965075614664802</v>
      </c>
    </row>
    <row r="365" spans="1:9" x14ac:dyDescent="0.25">
      <c r="A365" t="s">
        <v>31</v>
      </c>
      <c r="B365" s="3">
        <f t="shared" ca="1" si="35"/>
        <v>42679</v>
      </c>
      <c r="C365" s="1">
        <f t="shared" ca="1" si="36"/>
        <v>608.37503489444816</v>
      </c>
      <c r="D365" s="1">
        <f t="shared" ca="1" si="37"/>
        <v>121.67500697888963</v>
      </c>
      <c r="E365" s="2">
        <f t="shared" ca="1" si="38"/>
        <v>5</v>
      </c>
      <c r="F365" s="1">
        <f t="shared" ca="1" si="39"/>
        <v>50.67500697888962</v>
      </c>
      <c r="G365" s="1">
        <f t="shared" ca="1" si="40"/>
        <v>71</v>
      </c>
      <c r="H365" s="1"/>
      <c r="I365">
        <f t="shared" ca="1" si="41"/>
        <v>1.6094379124341003</v>
      </c>
    </row>
    <row r="366" spans="1:9" x14ac:dyDescent="0.25">
      <c r="A366" t="s">
        <v>30</v>
      </c>
      <c r="B366" s="3">
        <f t="shared" ca="1" si="35"/>
        <v>40604</v>
      </c>
      <c r="C366" s="1">
        <f t="shared" ca="1" si="36"/>
        <v>1176.5262422803796</v>
      </c>
      <c r="D366" s="1">
        <f t="shared" ca="1" si="37"/>
        <v>53.478465558199076</v>
      </c>
      <c r="E366" s="2">
        <f t="shared" ca="1" si="38"/>
        <v>22</v>
      </c>
      <c r="F366" s="1">
        <f t="shared" ca="1" si="39"/>
        <v>30.478465558199073</v>
      </c>
      <c r="G366" s="1">
        <f t="shared" ca="1" si="40"/>
        <v>23</v>
      </c>
      <c r="H366" s="1"/>
      <c r="I366">
        <f t="shared" ca="1" si="41"/>
        <v>3.0910424533583161</v>
      </c>
    </row>
    <row r="367" spans="1:9" x14ac:dyDescent="0.25">
      <c r="A367" t="s">
        <v>14</v>
      </c>
      <c r="B367" s="3">
        <f t="shared" ca="1" si="35"/>
        <v>42135</v>
      </c>
      <c r="C367" s="1">
        <f t="shared" ca="1" si="36"/>
        <v>854.35836895870682</v>
      </c>
      <c r="D367" s="1">
        <f t="shared" ca="1" si="37"/>
        <v>170.87167379174136</v>
      </c>
      <c r="E367" s="2">
        <f t="shared" ca="1" si="38"/>
        <v>5</v>
      </c>
      <c r="F367" s="1">
        <f t="shared" ca="1" si="39"/>
        <v>69.871673791741358</v>
      </c>
      <c r="G367" s="1">
        <f t="shared" ca="1" si="40"/>
        <v>101</v>
      </c>
      <c r="H367" s="1"/>
      <c r="I367">
        <f t="shared" ca="1" si="41"/>
        <v>1.6094379124341003</v>
      </c>
    </row>
    <row r="368" spans="1:9" x14ac:dyDescent="0.25">
      <c r="A368" t="s">
        <v>25</v>
      </c>
      <c r="B368" s="3">
        <f t="shared" ca="1" si="35"/>
        <v>40843</v>
      </c>
      <c r="C368" s="1">
        <f t="shared" ca="1" si="36"/>
        <v>3645.8370325513069</v>
      </c>
      <c r="D368" s="1">
        <f t="shared" ca="1" si="37"/>
        <v>165.7198651159685</v>
      </c>
      <c r="E368" s="2">
        <f t="shared" ca="1" si="38"/>
        <v>22</v>
      </c>
      <c r="F368" s="1">
        <f t="shared" ca="1" si="39"/>
        <v>77.719865115968517</v>
      </c>
      <c r="G368" s="1">
        <f t="shared" ca="1" si="40"/>
        <v>88</v>
      </c>
      <c r="H368" s="1"/>
      <c r="I368">
        <f t="shared" ca="1" si="41"/>
        <v>3.0910424533583161</v>
      </c>
    </row>
    <row r="369" spans="1:9" x14ac:dyDescent="0.25">
      <c r="A369" t="s">
        <v>26</v>
      </c>
      <c r="B369" s="3">
        <f t="shared" ca="1" si="35"/>
        <v>41222</v>
      </c>
      <c r="C369" s="1">
        <f t="shared" ca="1" si="36"/>
        <v>679.49402650241643</v>
      </c>
      <c r="D369" s="1">
        <f t="shared" ca="1" si="37"/>
        <v>84.936753312802054</v>
      </c>
      <c r="E369" s="2">
        <f t="shared" ca="1" si="38"/>
        <v>8</v>
      </c>
      <c r="F369" s="1">
        <f t="shared" ca="1" si="39"/>
        <v>54.936753312802054</v>
      </c>
      <c r="G369" s="1">
        <f t="shared" ca="1" si="40"/>
        <v>30</v>
      </c>
      <c r="H369" s="1"/>
      <c r="I369">
        <f t="shared" ca="1" si="41"/>
        <v>2.0794415416798357</v>
      </c>
    </row>
    <row r="370" spans="1:9" x14ac:dyDescent="0.25">
      <c r="A370" t="s">
        <v>44</v>
      </c>
      <c r="B370" s="3">
        <f t="shared" ca="1" si="35"/>
        <v>42084</v>
      </c>
      <c r="C370" s="1">
        <f t="shared" ca="1" si="36"/>
        <v>5338.4752677158594</v>
      </c>
      <c r="D370" s="1">
        <f t="shared" ca="1" si="37"/>
        <v>102.66298591761267</v>
      </c>
      <c r="E370" s="2">
        <f t="shared" ca="1" si="38"/>
        <v>52</v>
      </c>
      <c r="F370" s="1">
        <f t="shared" ca="1" si="39"/>
        <v>60.662985917612673</v>
      </c>
      <c r="G370" s="1">
        <f t="shared" ca="1" si="40"/>
        <v>42</v>
      </c>
      <c r="H370" s="1"/>
      <c r="I370">
        <f t="shared" ca="1" si="41"/>
        <v>3.9512437185814275</v>
      </c>
    </row>
    <row r="371" spans="1:9" x14ac:dyDescent="0.25">
      <c r="A371" t="s">
        <v>12</v>
      </c>
      <c r="B371" s="3">
        <f t="shared" ca="1" si="35"/>
        <v>42167</v>
      </c>
      <c r="C371" s="1">
        <f t="shared" ca="1" si="36"/>
        <v>11723.497225489005</v>
      </c>
      <c r="D371" s="1">
        <f t="shared" ca="1" si="37"/>
        <v>103.74776305742483</v>
      </c>
      <c r="E371" s="2">
        <f t="shared" ca="1" si="38"/>
        <v>113</v>
      </c>
      <c r="F371" s="1">
        <f t="shared" ca="1" si="39"/>
        <v>63.747763057424841</v>
      </c>
      <c r="G371" s="1">
        <f t="shared" ca="1" si="40"/>
        <v>40</v>
      </c>
      <c r="H371" s="1"/>
      <c r="I371">
        <f t="shared" ca="1" si="41"/>
        <v>4.7273878187123408</v>
      </c>
    </row>
    <row r="372" spans="1:9" x14ac:dyDescent="0.25">
      <c r="A372" t="s">
        <v>19</v>
      </c>
      <c r="B372" s="3">
        <f t="shared" ca="1" si="35"/>
        <v>42990</v>
      </c>
      <c r="C372" s="1">
        <f t="shared" ca="1" si="36"/>
        <v>1285.4534793211253</v>
      </c>
      <c r="D372" s="1">
        <f t="shared" ca="1" si="37"/>
        <v>107.12112327676044</v>
      </c>
      <c r="E372" s="2">
        <f t="shared" ca="1" si="38"/>
        <v>12</v>
      </c>
      <c r="F372" s="1">
        <f t="shared" ca="1" si="39"/>
        <v>52.121123276760443</v>
      </c>
      <c r="G372" s="1">
        <f t="shared" ca="1" si="40"/>
        <v>55</v>
      </c>
      <c r="H372" s="1"/>
      <c r="I372">
        <f t="shared" ca="1" si="41"/>
        <v>2.4849066497880004</v>
      </c>
    </row>
    <row r="373" spans="1:9" x14ac:dyDescent="0.25">
      <c r="A373" t="s">
        <v>33</v>
      </c>
      <c r="B373" s="3">
        <f t="shared" ca="1" si="35"/>
        <v>44166</v>
      </c>
      <c r="C373" s="1">
        <f t="shared" ca="1" si="36"/>
        <v>747.31295474969068</v>
      </c>
      <c r="D373" s="1">
        <f t="shared" ca="1" si="37"/>
        <v>106.7589935356701</v>
      </c>
      <c r="E373" s="2">
        <f t="shared" ca="1" si="38"/>
        <v>7</v>
      </c>
      <c r="F373" s="1">
        <f t="shared" ca="1" si="39"/>
        <v>56.758993535670101</v>
      </c>
      <c r="G373" s="1">
        <f t="shared" ca="1" si="40"/>
        <v>50</v>
      </c>
      <c r="H373" s="1"/>
      <c r="I373">
        <f t="shared" ca="1" si="41"/>
        <v>1.9459101490553132</v>
      </c>
    </row>
    <row r="374" spans="1:9" x14ac:dyDescent="0.25">
      <c r="A374" t="s">
        <v>20</v>
      </c>
      <c r="B374" s="3">
        <f t="shared" ca="1" si="35"/>
        <v>41974</v>
      </c>
      <c r="C374" s="1">
        <f t="shared" ca="1" si="36"/>
        <v>1953.0420965204733</v>
      </c>
      <c r="D374" s="1">
        <f t="shared" ca="1" si="37"/>
        <v>102.79168929055122</v>
      </c>
      <c r="E374" s="2">
        <f t="shared" ca="1" si="38"/>
        <v>19</v>
      </c>
      <c r="F374" s="1">
        <f t="shared" ca="1" si="39"/>
        <v>57.791689290551219</v>
      </c>
      <c r="G374" s="1">
        <f t="shared" ca="1" si="40"/>
        <v>45</v>
      </c>
      <c r="H374" s="1"/>
      <c r="I374">
        <f t="shared" ca="1" si="41"/>
        <v>2.9444389791664403</v>
      </c>
    </row>
    <row r="375" spans="1:9" x14ac:dyDescent="0.25">
      <c r="A375" t="s">
        <v>26</v>
      </c>
      <c r="B375" s="3">
        <f t="shared" ca="1" si="35"/>
        <v>41724</v>
      </c>
      <c r="C375" s="1">
        <f t="shared" ca="1" si="36"/>
        <v>1829.120166256283</v>
      </c>
      <c r="D375" s="1">
        <f t="shared" ca="1" si="37"/>
        <v>140.70155125048331</v>
      </c>
      <c r="E375" s="2">
        <f t="shared" ca="1" si="38"/>
        <v>13</v>
      </c>
      <c r="F375" s="1">
        <f t="shared" ca="1" si="39"/>
        <v>64.70155125048332</v>
      </c>
      <c r="G375" s="1">
        <f t="shared" ca="1" si="40"/>
        <v>76</v>
      </c>
      <c r="H375" s="1"/>
      <c r="I375">
        <f t="shared" ca="1" si="41"/>
        <v>2.5649493574615367</v>
      </c>
    </row>
    <row r="376" spans="1:9" x14ac:dyDescent="0.25">
      <c r="A376" t="s">
        <v>49</v>
      </c>
      <c r="B376" s="3">
        <f t="shared" ca="1" si="35"/>
        <v>43455</v>
      </c>
      <c r="C376" s="1">
        <f t="shared" ca="1" si="36"/>
        <v>4791.2229777063676</v>
      </c>
      <c r="D376" s="1">
        <f t="shared" ca="1" si="37"/>
        <v>177.45270287801361</v>
      </c>
      <c r="E376" s="2">
        <f t="shared" ca="1" si="38"/>
        <v>27</v>
      </c>
      <c r="F376" s="1">
        <f t="shared" ca="1" si="39"/>
        <v>78.452702878013611</v>
      </c>
      <c r="G376" s="1">
        <f t="shared" ca="1" si="40"/>
        <v>99</v>
      </c>
      <c r="H376" s="1"/>
      <c r="I376">
        <f t="shared" ca="1" si="41"/>
        <v>3.2958368660043291</v>
      </c>
    </row>
    <row r="377" spans="1:9" x14ac:dyDescent="0.25">
      <c r="A377" t="s">
        <v>34</v>
      </c>
      <c r="B377" s="3">
        <f t="shared" ca="1" si="35"/>
        <v>42910</v>
      </c>
      <c r="C377" s="1">
        <f t="shared" ca="1" si="36"/>
        <v>2216.8843147567386</v>
      </c>
      <c r="D377" s="1">
        <f t="shared" ca="1" si="37"/>
        <v>73.896143825224613</v>
      </c>
      <c r="E377" s="2">
        <f t="shared" ca="1" si="38"/>
        <v>30</v>
      </c>
      <c r="F377" s="1">
        <f t="shared" ca="1" si="39"/>
        <v>46.89614382522462</v>
      </c>
      <c r="G377" s="1">
        <f t="shared" ca="1" si="40"/>
        <v>27</v>
      </c>
      <c r="H377" s="1"/>
      <c r="I377">
        <f t="shared" ca="1" si="41"/>
        <v>3.4011973816621555</v>
      </c>
    </row>
    <row r="378" spans="1:9" x14ac:dyDescent="0.25">
      <c r="A378" t="s">
        <v>26</v>
      </c>
      <c r="B378" s="3">
        <f t="shared" ca="1" si="35"/>
        <v>44122</v>
      </c>
      <c r="C378" s="1">
        <f t="shared" ca="1" si="36"/>
        <v>571.12517280275688</v>
      </c>
      <c r="D378" s="1">
        <f t="shared" ca="1" si="37"/>
        <v>190.37505760091898</v>
      </c>
      <c r="E378" s="2">
        <f t="shared" ca="1" si="38"/>
        <v>3</v>
      </c>
      <c r="F378" s="1">
        <f t="shared" ca="1" si="39"/>
        <v>77.375057600918993</v>
      </c>
      <c r="G378" s="1">
        <f t="shared" ca="1" si="40"/>
        <v>113</v>
      </c>
      <c r="H378" s="1"/>
      <c r="I378">
        <f t="shared" ca="1" si="41"/>
        <v>1.0986122886681098</v>
      </c>
    </row>
    <row r="379" spans="1:9" x14ac:dyDescent="0.25">
      <c r="A379" t="s">
        <v>25</v>
      </c>
      <c r="B379" s="3">
        <f t="shared" ca="1" si="35"/>
        <v>42056</v>
      </c>
      <c r="C379" s="1">
        <f t="shared" ca="1" si="36"/>
        <v>3023.1475807031425</v>
      </c>
      <c r="D379" s="1">
        <f t="shared" ca="1" si="37"/>
        <v>107.96955645368367</v>
      </c>
      <c r="E379" s="2">
        <f t="shared" ca="1" si="38"/>
        <v>28</v>
      </c>
      <c r="F379" s="1">
        <f t="shared" ca="1" si="39"/>
        <v>57.969556453683666</v>
      </c>
      <c r="G379" s="1">
        <f t="shared" ca="1" si="40"/>
        <v>50</v>
      </c>
      <c r="H379" s="1"/>
      <c r="I379">
        <f t="shared" ca="1" si="41"/>
        <v>3.3322045101752038</v>
      </c>
    </row>
    <row r="380" spans="1:9" x14ac:dyDescent="0.25">
      <c r="A380" t="s">
        <v>34</v>
      </c>
      <c r="B380" s="3">
        <f t="shared" ca="1" si="35"/>
        <v>42901</v>
      </c>
      <c r="C380" s="1">
        <f t="shared" ca="1" si="36"/>
        <v>3504.0151805910918</v>
      </c>
      <c r="D380" s="1">
        <f t="shared" ca="1" si="37"/>
        <v>125.1433993068247</v>
      </c>
      <c r="E380" s="2">
        <f t="shared" ca="1" si="38"/>
        <v>28</v>
      </c>
      <c r="F380" s="1">
        <f t="shared" ca="1" si="39"/>
        <v>52.143399306824712</v>
      </c>
      <c r="G380" s="1">
        <f t="shared" ca="1" si="40"/>
        <v>73</v>
      </c>
      <c r="H380" s="1"/>
      <c r="I380">
        <f t="shared" ca="1" si="41"/>
        <v>3.3322045101752038</v>
      </c>
    </row>
    <row r="381" spans="1:9" x14ac:dyDescent="0.25">
      <c r="A381" t="s">
        <v>45</v>
      </c>
      <c r="B381" s="3">
        <f t="shared" ca="1" si="35"/>
        <v>41002</v>
      </c>
      <c r="C381" s="1">
        <f t="shared" ca="1" si="36"/>
        <v>11094.016300994506</v>
      </c>
      <c r="D381" s="1">
        <f t="shared" ca="1" si="37"/>
        <v>178.93574679023396</v>
      </c>
      <c r="E381" s="2">
        <f t="shared" ca="1" si="38"/>
        <v>62</v>
      </c>
      <c r="F381" s="1">
        <f t="shared" ca="1" si="39"/>
        <v>73.935746790233949</v>
      </c>
      <c r="G381" s="1">
        <f t="shared" ca="1" si="40"/>
        <v>105</v>
      </c>
      <c r="H381" s="1"/>
      <c r="I381">
        <f t="shared" ca="1" si="41"/>
        <v>4.1271343850450917</v>
      </c>
    </row>
    <row r="382" spans="1:9" x14ac:dyDescent="0.25">
      <c r="A382" t="s">
        <v>16</v>
      </c>
      <c r="B382" s="3">
        <f t="shared" ca="1" si="35"/>
        <v>42682</v>
      </c>
      <c r="C382" s="1">
        <f t="shared" ca="1" si="36"/>
        <v>9697.5652179192984</v>
      </c>
      <c r="D382" s="1">
        <f t="shared" ca="1" si="37"/>
        <v>149.19331104491229</v>
      </c>
      <c r="E382" s="2">
        <f t="shared" ca="1" si="38"/>
        <v>65</v>
      </c>
      <c r="F382" s="1">
        <f t="shared" ca="1" si="39"/>
        <v>67.193311044912292</v>
      </c>
      <c r="G382" s="1">
        <f t="shared" ca="1" si="40"/>
        <v>82</v>
      </c>
      <c r="H382" s="1"/>
      <c r="I382">
        <f t="shared" ca="1" si="41"/>
        <v>4.1743872698956368</v>
      </c>
    </row>
    <row r="383" spans="1:9" x14ac:dyDescent="0.25">
      <c r="A383" t="s">
        <v>16</v>
      </c>
      <c r="B383" s="3">
        <f t="shared" ca="1" si="35"/>
        <v>41013</v>
      </c>
      <c r="C383" s="1">
        <f t="shared" ca="1" si="36"/>
        <v>1937.3540324269438</v>
      </c>
      <c r="D383" s="1">
        <f t="shared" ca="1" si="37"/>
        <v>88.061546928497449</v>
      </c>
      <c r="E383" s="2">
        <f t="shared" ca="1" si="38"/>
        <v>22</v>
      </c>
      <c r="F383" s="1">
        <f t="shared" ca="1" si="39"/>
        <v>40.061546928497442</v>
      </c>
      <c r="G383" s="1">
        <f t="shared" ca="1" si="40"/>
        <v>48</v>
      </c>
      <c r="H383" s="1"/>
      <c r="I383">
        <f t="shared" ca="1" si="41"/>
        <v>3.0910424533583161</v>
      </c>
    </row>
    <row r="384" spans="1:9" x14ac:dyDescent="0.25">
      <c r="A384" t="s">
        <v>33</v>
      </c>
      <c r="B384" s="3">
        <f t="shared" ca="1" si="35"/>
        <v>42588</v>
      </c>
      <c r="C384" s="1">
        <f t="shared" ca="1" si="36"/>
        <v>1568.8868321772961</v>
      </c>
      <c r="D384" s="1">
        <f t="shared" ca="1" si="37"/>
        <v>261.48113869621602</v>
      </c>
      <c r="E384" s="2">
        <f t="shared" ca="1" si="38"/>
        <v>6</v>
      </c>
      <c r="F384" s="1">
        <f t="shared" ca="1" si="39"/>
        <v>111.48113869621601</v>
      </c>
      <c r="G384" s="1">
        <f t="shared" ca="1" si="40"/>
        <v>150</v>
      </c>
      <c r="H384" s="1"/>
      <c r="I384">
        <f t="shared" ca="1" si="41"/>
        <v>1.791759469228055</v>
      </c>
    </row>
    <row r="385" spans="1:9" x14ac:dyDescent="0.25">
      <c r="A385" t="s">
        <v>22</v>
      </c>
      <c r="B385" s="3">
        <f t="shared" ca="1" si="35"/>
        <v>43831</v>
      </c>
      <c r="C385" s="1">
        <f t="shared" ca="1" si="36"/>
        <v>247.46227741705326</v>
      </c>
      <c r="D385" s="1">
        <f t="shared" ca="1" si="37"/>
        <v>61.865569354263314</v>
      </c>
      <c r="E385" s="2">
        <f t="shared" ca="1" si="38"/>
        <v>4</v>
      </c>
      <c r="F385" s="1">
        <f t="shared" ca="1" si="39"/>
        <v>24.865569354263311</v>
      </c>
      <c r="G385" s="1">
        <f t="shared" ca="1" si="40"/>
        <v>37</v>
      </c>
      <c r="H385" s="1"/>
      <c r="I385">
        <f t="shared" ca="1" si="41"/>
        <v>1.3862943611198906</v>
      </c>
    </row>
    <row r="386" spans="1:9" x14ac:dyDescent="0.25">
      <c r="A386" t="s">
        <v>19</v>
      </c>
      <c r="B386" s="3">
        <f t="shared" ca="1" si="35"/>
        <v>43605</v>
      </c>
      <c r="C386" s="1">
        <f t="shared" ca="1" si="36"/>
        <v>21245.029626650463</v>
      </c>
      <c r="D386" s="1">
        <f t="shared" ca="1" si="37"/>
        <v>105.69666480920628</v>
      </c>
      <c r="E386" s="2">
        <f t="shared" ca="1" si="38"/>
        <v>201</v>
      </c>
      <c r="F386" s="1">
        <f t="shared" ca="1" si="39"/>
        <v>52.696664809206283</v>
      </c>
      <c r="G386" s="1">
        <f t="shared" ca="1" si="40"/>
        <v>53</v>
      </c>
      <c r="H386" s="1"/>
      <c r="I386">
        <f t="shared" ca="1" si="41"/>
        <v>5.3033049080590757</v>
      </c>
    </row>
    <row r="387" spans="1:9" x14ac:dyDescent="0.25">
      <c r="A387" t="s">
        <v>29</v>
      </c>
      <c r="B387" s="3">
        <f t="shared" ref="B387:B450" ca="1" si="42">DATE(RANDBETWEEN(2010, 2020),RANDBETWEEN(1,12),RANDBETWEEN(1,31))</f>
        <v>41548</v>
      </c>
      <c r="C387" s="1">
        <f t="shared" ref="C387:C450" ca="1" si="43">+E387*D387</f>
        <v>3123.6388541714646</v>
      </c>
      <c r="D387" s="1">
        <f t="shared" ref="D387:D450" ca="1" si="44">+F387+G387</f>
        <v>173.5354918984147</v>
      </c>
      <c r="E387" s="2">
        <f t="shared" ref="E387:E450" ca="1" si="45">INT(_xlfn.LOGNORM.INV(RAND(),3,1))</f>
        <v>18</v>
      </c>
      <c r="F387" s="1">
        <f t="shared" ref="F387:F450" ca="1" si="46">_xlfn.GAMMA.INV(RAND(),7,9)</f>
        <v>76.535491898414691</v>
      </c>
      <c r="G387" s="1">
        <f t="shared" ref="G387:G450" ca="1" si="47">+RANDBETWEEN(0.5*F387,1.5*F387)</f>
        <v>97</v>
      </c>
      <c r="H387" s="1"/>
      <c r="I387">
        <f t="shared" ca="1" si="41"/>
        <v>2.8903717578961645</v>
      </c>
    </row>
    <row r="388" spans="1:9" x14ac:dyDescent="0.25">
      <c r="A388" t="s">
        <v>35</v>
      </c>
      <c r="B388" s="3">
        <f t="shared" ca="1" si="42"/>
        <v>43146</v>
      </c>
      <c r="C388" s="1">
        <f t="shared" ca="1" si="43"/>
        <v>2995.8076203272954</v>
      </c>
      <c r="D388" s="1">
        <f t="shared" ca="1" si="44"/>
        <v>65.12625261581077</v>
      </c>
      <c r="E388" s="2">
        <f t="shared" ca="1" si="45"/>
        <v>46</v>
      </c>
      <c r="F388" s="1">
        <f t="shared" ca="1" si="46"/>
        <v>38.12625261581077</v>
      </c>
      <c r="G388" s="1">
        <f t="shared" ca="1" si="47"/>
        <v>27</v>
      </c>
      <c r="H388" s="1"/>
      <c r="I388">
        <f t="shared" ref="I388:I451" ca="1" si="48">+LN(E388)</f>
        <v>3.8286413964890951</v>
      </c>
    </row>
    <row r="389" spans="1:9" x14ac:dyDescent="0.25">
      <c r="A389" t="s">
        <v>34</v>
      </c>
      <c r="B389" s="3">
        <f t="shared" ca="1" si="42"/>
        <v>42776</v>
      </c>
      <c r="C389" s="1">
        <f t="shared" ca="1" si="43"/>
        <v>17291.628420696012</v>
      </c>
      <c r="D389" s="1">
        <f t="shared" ca="1" si="44"/>
        <v>187.95248283365231</v>
      </c>
      <c r="E389" s="2">
        <f t="shared" ca="1" si="45"/>
        <v>92</v>
      </c>
      <c r="F389" s="1">
        <f t="shared" ca="1" si="46"/>
        <v>88.952482833652311</v>
      </c>
      <c r="G389" s="1">
        <f t="shared" ca="1" si="47"/>
        <v>99</v>
      </c>
      <c r="H389" s="1"/>
      <c r="I389">
        <f t="shared" ca="1" si="48"/>
        <v>4.5217885770490405</v>
      </c>
    </row>
    <row r="390" spans="1:9" x14ac:dyDescent="0.25">
      <c r="A390" t="s">
        <v>44</v>
      </c>
      <c r="B390" s="3">
        <f t="shared" ca="1" si="42"/>
        <v>41219</v>
      </c>
      <c r="C390" s="1">
        <f t="shared" ca="1" si="43"/>
        <v>671.67539917473175</v>
      </c>
      <c r="D390" s="1">
        <f t="shared" ca="1" si="44"/>
        <v>134.33507983494636</v>
      </c>
      <c r="E390" s="2">
        <f t="shared" ca="1" si="45"/>
        <v>5</v>
      </c>
      <c r="F390" s="1">
        <f t="shared" ca="1" si="46"/>
        <v>63.335079834946363</v>
      </c>
      <c r="G390" s="1">
        <f t="shared" ca="1" si="47"/>
        <v>71</v>
      </c>
      <c r="H390" s="1"/>
      <c r="I390">
        <f t="shared" ca="1" si="48"/>
        <v>1.6094379124341003</v>
      </c>
    </row>
    <row r="391" spans="1:9" x14ac:dyDescent="0.25">
      <c r="A391" t="s">
        <v>46</v>
      </c>
      <c r="B391" s="3">
        <f t="shared" ca="1" si="42"/>
        <v>40993</v>
      </c>
      <c r="C391" s="1">
        <f t="shared" ca="1" si="43"/>
        <v>1114.5637490925903</v>
      </c>
      <c r="D391" s="1">
        <f t="shared" ca="1" si="44"/>
        <v>123.84041656584337</v>
      </c>
      <c r="E391" s="2">
        <f t="shared" ca="1" si="45"/>
        <v>9</v>
      </c>
      <c r="F391" s="1">
        <f t="shared" ca="1" si="46"/>
        <v>49.84041656584337</v>
      </c>
      <c r="G391" s="1">
        <f t="shared" ca="1" si="47"/>
        <v>74</v>
      </c>
      <c r="H391" s="1"/>
      <c r="I391">
        <f t="shared" ca="1" si="48"/>
        <v>2.1972245773362196</v>
      </c>
    </row>
    <row r="392" spans="1:9" x14ac:dyDescent="0.25">
      <c r="A392" t="s">
        <v>39</v>
      </c>
      <c r="B392" s="3">
        <f t="shared" ca="1" si="42"/>
        <v>43054</v>
      </c>
      <c r="C392" s="1">
        <f t="shared" ca="1" si="43"/>
        <v>1073.5145511540745</v>
      </c>
      <c r="D392" s="1">
        <f t="shared" ca="1" si="44"/>
        <v>89.459545929506206</v>
      </c>
      <c r="E392" s="2">
        <f t="shared" ca="1" si="45"/>
        <v>12</v>
      </c>
      <c r="F392" s="1">
        <f t="shared" ca="1" si="46"/>
        <v>55.459545929506206</v>
      </c>
      <c r="G392" s="1">
        <f t="shared" ca="1" si="47"/>
        <v>34</v>
      </c>
      <c r="H392" s="1"/>
      <c r="I392">
        <f t="shared" ca="1" si="48"/>
        <v>2.4849066497880004</v>
      </c>
    </row>
    <row r="393" spans="1:9" x14ac:dyDescent="0.25">
      <c r="A393" t="s">
        <v>18</v>
      </c>
      <c r="B393" s="3">
        <f t="shared" ca="1" si="42"/>
        <v>41296</v>
      </c>
      <c r="C393" s="1">
        <f t="shared" ca="1" si="43"/>
        <v>4604.6955580988169</v>
      </c>
      <c r="D393" s="1">
        <f t="shared" ca="1" si="44"/>
        <v>170.54427992958583</v>
      </c>
      <c r="E393" s="2">
        <f t="shared" ca="1" si="45"/>
        <v>27</v>
      </c>
      <c r="F393" s="1">
        <f t="shared" ca="1" si="46"/>
        <v>79.544279929585826</v>
      </c>
      <c r="G393" s="1">
        <f t="shared" ca="1" si="47"/>
        <v>91</v>
      </c>
      <c r="H393" s="1"/>
      <c r="I393">
        <f t="shared" ca="1" si="48"/>
        <v>3.2958368660043291</v>
      </c>
    </row>
    <row r="394" spans="1:9" x14ac:dyDescent="0.25">
      <c r="A394" t="s">
        <v>45</v>
      </c>
      <c r="B394" s="3">
        <f t="shared" ca="1" si="42"/>
        <v>43136</v>
      </c>
      <c r="C394" s="1">
        <f t="shared" ca="1" si="43"/>
        <v>4689.9726284096505</v>
      </c>
      <c r="D394" s="1">
        <f t="shared" ca="1" si="44"/>
        <v>75.644719813058884</v>
      </c>
      <c r="E394" s="2">
        <f t="shared" ca="1" si="45"/>
        <v>62</v>
      </c>
      <c r="F394" s="1">
        <f t="shared" ca="1" si="46"/>
        <v>32.644719813058892</v>
      </c>
      <c r="G394" s="1">
        <f t="shared" ca="1" si="47"/>
        <v>43</v>
      </c>
      <c r="H394" s="1"/>
      <c r="I394">
        <f t="shared" ca="1" si="48"/>
        <v>4.1271343850450917</v>
      </c>
    </row>
    <row r="395" spans="1:9" x14ac:dyDescent="0.25">
      <c r="A395" t="s">
        <v>12</v>
      </c>
      <c r="B395" s="3">
        <f t="shared" ca="1" si="42"/>
        <v>40457</v>
      </c>
      <c r="C395" s="1">
        <f t="shared" ca="1" si="43"/>
        <v>2445.670447403475</v>
      </c>
      <c r="D395" s="1">
        <f t="shared" ca="1" si="44"/>
        <v>128.71949723176184</v>
      </c>
      <c r="E395" s="2">
        <f t="shared" ca="1" si="45"/>
        <v>19</v>
      </c>
      <c r="F395" s="1">
        <f t="shared" ca="1" si="46"/>
        <v>66.719497231761835</v>
      </c>
      <c r="G395" s="1">
        <f t="shared" ca="1" si="47"/>
        <v>62</v>
      </c>
      <c r="H395" s="1"/>
      <c r="I395">
        <f t="shared" ca="1" si="48"/>
        <v>2.9444389791664403</v>
      </c>
    </row>
    <row r="396" spans="1:9" x14ac:dyDescent="0.25">
      <c r="A396" t="s">
        <v>48</v>
      </c>
      <c r="B396" s="3">
        <f t="shared" ca="1" si="42"/>
        <v>43963</v>
      </c>
      <c r="C396" s="1">
        <f t="shared" ca="1" si="43"/>
        <v>6407.9787996500108</v>
      </c>
      <c r="D396" s="1">
        <f t="shared" ca="1" si="44"/>
        <v>67.452408417368531</v>
      </c>
      <c r="E396" s="2">
        <f t="shared" ca="1" si="45"/>
        <v>95</v>
      </c>
      <c r="F396" s="1">
        <f t="shared" ca="1" si="46"/>
        <v>37.452408417368531</v>
      </c>
      <c r="G396" s="1">
        <f t="shared" ca="1" si="47"/>
        <v>30</v>
      </c>
      <c r="H396" s="1"/>
      <c r="I396">
        <f t="shared" ca="1" si="48"/>
        <v>4.5538768916005408</v>
      </c>
    </row>
    <row r="397" spans="1:9" x14ac:dyDescent="0.25">
      <c r="A397" t="s">
        <v>49</v>
      </c>
      <c r="B397" s="3">
        <f t="shared" ca="1" si="42"/>
        <v>40567</v>
      </c>
      <c r="C397" s="1">
        <f t="shared" ca="1" si="43"/>
        <v>21978.749825933355</v>
      </c>
      <c r="D397" s="1">
        <f t="shared" ca="1" si="44"/>
        <v>191.11956370376831</v>
      </c>
      <c r="E397" s="2">
        <f t="shared" ca="1" si="45"/>
        <v>115</v>
      </c>
      <c r="F397" s="1">
        <f t="shared" ca="1" si="46"/>
        <v>99.119563703768307</v>
      </c>
      <c r="G397" s="1">
        <f t="shared" ca="1" si="47"/>
        <v>92</v>
      </c>
      <c r="H397" s="1"/>
      <c r="I397">
        <f t="shared" ca="1" si="48"/>
        <v>4.7449321283632502</v>
      </c>
    </row>
    <row r="398" spans="1:9" x14ac:dyDescent="0.25">
      <c r="A398" t="s">
        <v>37</v>
      </c>
      <c r="B398" s="3">
        <f t="shared" ca="1" si="42"/>
        <v>40732</v>
      </c>
      <c r="C398" s="1">
        <f t="shared" ca="1" si="43"/>
        <v>1480.6285234772588</v>
      </c>
      <c r="D398" s="1">
        <f t="shared" ca="1" si="44"/>
        <v>98.708568231817253</v>
      </c>
      <c r="E398" s="2">
        <f t="shared" ca="1" si="45"/>
        <v>15</v>
      </c>
      <c r="F398" s="1">
        <f t="shared" ca="1" si="46"/>
        <v>39.70856823181726</v>
      </c>
      <c r="G398" s="1">
        <f t="shared" ca="1" si="47"/>
        <v>59</v>
      </c>
      <c r="H398" s="1"/>
      <c r="I398">
        <f t="shared" ca="1" si="48"/>
        <v>2.7080502011022101</v>
      </c>
    </row>
    <row r="399" spans="1:9" x14ac:dyDescent="0.25">
      <c r="A399" t="s">
        <v>27</v>
      </c>
      <c r="B399" s="3">
        <f t="shared" ca="1" si="42"/>
        <v>43821</v>
      </c>
      <c r="C399" s="1">
        <f t="shared" ca="1" si="43"/>
        <v>2254.5619027611942</v>
      </c>
      <c r="D399" s="1">
        <f t="shared" ca="1" si="44"/>
        <v>86.713919336969013</v>
      </c>
      <c r="E399" s="2">
        <f t="shared" ca="1" si="45"/>
        <v>26</v>
      </c>
      <c r="F399" s="1">
        <f t="shared" ca="1" si="46"/>
        <v>34.713919336969006</v>
      </c>
      <c r="G399" s="1">
        <f t="shared" ca="1" si="47"/>
        <v>52</v>
      </c>
      <c r="H399" s="1"/>
      <c r="I399">
        <f t="shared" ca="1" si="48"/>
        <v>3.2580965380214821</v>
      </c>
    </row>
    <row r="400" spans="1:9" x14ac:dyDescent="0.25">
      <c r="A400" t="s">
        <v>14</v>
      </c>
      <c r="B400" s="3">
        <f t="shared" ca="1" si="42"/>
        <v>43251</v>
      </c>
      <c r="C400" s="1">
        <f t="shared" ca="1" si="43"/>
        <v>2576.3204321932471</v>
      </c>
      <c r="D400" s="1">
        <f t="shared" ca="1" si="44"/>
        <v>64.408010804831179</v>
      </c>
      <c r="E400" s="2">
        <f t="shared" ca="1" si="45"/>
        <v>40</v>
      </c>
      <c r="F400" s="1">
        <f t="shared" ca="1" si="46"/>
        <v>35.408010804831186</v>
      </c>
      <c r="G400" s="1">
        <f t="shared" ca="1" si="47"/>
        <v>29</v>
      </c>
      <c r="H400" s="1"/>
      <c r="I400">
        <f t="shared" ca="1" si="48"/>
        <v>3.6888794541139363</v>
      </c>
    </row>
    <row r="401" spans="1:9" x14ac:dyDescent="0.25">
      <c r="A401" t="s">
        <v>13</v>
      </c>
      <c r="B401" s="3">
        <f t="shared" ca="1" si="42"/>
        <v>43085</v>
      </c>
      <c r="C401" s="1">
        <f t="shared" ca="1" si="43"/>
        <v>247.41024785893143</v>
      </c>
      <c r="D401" s="1">
        <f t="shared" ca="1" si="44"/>
        <v>123.70512392946571</v>
      </c>
      <c r="E401" s="2">
        <f t="shared" ca="1" si="45"/>
        <v>2</v>
      </c>
      <c r="F401" s="1">
        <f t="shared" ca="1" si="46"/>
        <v>49.705123929465707</v>
      </c>
      <c r="G401" s="1">
        <f t="shared" ca="1" si="47"/>
        <v>74</v>
      </c>
      <c r="H401" s="1"/>
      <c r="I401">
        <f t="shared" ca="1" si="48"/>
        <v>0.69314718055994529</v>
      </c>
    </row>
    <row r="402" spans="1:9" x14ac:dyDescent="0.25">
      <c r="A402" t="s">
        <v>13</v>
      </c>
      <c r="B402" s="3">
        <f t="shared" ca="1" si="42"/>
        <v>41129</v>
      </c>
      <c r="C402" s="1">
        <f t="shared" ca="1" si="43"/>
        <v>658.87928976924081</v>
      </c>
      <c r="D402" s="1">
        <f t="shared" ca="1" si="44"/>
        <v>94.125612824177253</v>
      </c>
      <c r="E402" s="2">
        <f t="shared" ca="1" si="45"/>
        <v>7</v>
      </c>
      <c r="F402" s="1">
        <f t="shared" ca="1" si="46"/>
        <v>62.125612824177253</v>
      </c>
      <c r="G402" s="1">
        <f t="shared" ca="1" si="47"/>
        <v>32</v>
      </c>
      <c r="H402" s="1"/>
      <c r="I402">
        <f t="shared" ca="1" si="48"/>
        <v>1.9459101490553132</v>
      </c>
    </row>
    <row r="403" spans="1:9" x14ac:dyDescent="0.25">
      <c r="A403" t="s">
        <v>43</v>
      </c>
      <c r="B403" s="3">
        <f t="shared" ca="1" si="42"/>
        <v>42202</v>
      </c>
      <c r="C403" s="1">
        <f t="shared" ca="1" si="43"/>
        <v>958.22787744230766</v>
      </c>
      <c r="D403" s="1">
        <f t="shared" ca="1" si="44"/>
        <v>136.88969677747252</v>
      </c>
      <c r="E403" s="2">
        <f t="shared" ca="1" si="45"/>
        <v>7</v>
      </c>
      <c r="F403" s="1">
        <f t="shared" ca="1" si="46"/>
        <v>79.889696777472523</v>
      </c>
      <c r="G403" s="1">
        <f t="shared" ca="1" si="47"/>
        <v>57</v>
      </c>
      <c r="H403" s="1"/>
      <c r="I403">
        <f t="shared" ca="1" si="48"/>
        <v>1.9459101490553132</v>
      </c>
    </row>
    <row r="404" spans="1:9" x14ac:dyDescent="0.25">
      <c r="A404" t="s">
        <v>17</v>
      </c>
      <c r="B404" s="3">
        <f t="shared" ca="1" si="42"/>
        <v>43089</v>
      </c>
      <c r="C404" s="1">
        <f t="shared" ca="1" si="43"/>
        <v>175.07695132541278</v>
      </c>
      <c r="D404" s="1">
        <f t="shared" ca="1" si="44"/>
        <v>175.07695132541278</v>
      </c>
      <c r="E404" s="2">
        <f t="shared" ca="1" si="45"/>
        <v>1</v>
      </c>
      <c r="F404" s="1">
        <f t="shared" ca="1" si="46"/>
        <v>86.076951325412793</v>
      </c>
      <c r="G404" s="1">
        <f t="shared" ca="1" si="47"/>
        <v>89</v>
      </c>
      <c r="H404" s="1"/>
      <c r="I404">
        <f t="shared" ca="1" si="48"/>
        <v>0</v>
      </c>
    </row>
    <row r="405" spans="1:9" x14ac:dyDescent="0.25">
      <c r="A405" t="s">
        <v>21</v>
      </c>
      <c r="B405" s="3">
        <f t="shared" ca="1" si="42"/>
        <v>41877</v>
      </c>
      <c r="C405" s="1">
        <f t="shared" ca="1" si="43"/>
        <v>943.05313797888903</v>
      </c>
      <c r="D405" s="1">
        <f t="shared" ca="1" si="44"/>
        <v>94.3053137978889</v>
      </c>
      <c r="E405" s="2">
        <f t="shared" ca="1" si="45"/>
        <v>10</v>
      </c>
      <c r="F405" s="1">
        <f t="shared" ca="1" si="46"/>
        <v>43.3053137978889</v>
      </c>
      <c r="G405" s="1">
        <f t="shared" ca="1" si="47"/>
        <v>51</v>
      </c>
      <c r="H405" s="1"/>
      <c r="I405">
        <f t="shared" ca="1" si="48"/>
        <v>2.3025850929940459</v>
      </c>
    </row>
    <row r="406" spans="1:9" x14ac:dyDescent="0.25">
      <c r="A406" t="s">
        <v>26</v>
      </c>
      <c r="B406" s="3">
        <f t="shared" ca="1" si="42"/>
        <v>41852</v>
      </c>
      <c r="C406" s="1">
        <f t="shared" ca="1" si="43"/>
        <v>1011.6197201772317</v>
      </c>
      <c r="D406" s="1">
        <f t="shared" ca="1" si="44"/>
        <v>112.40219113080352</v>
      </c>
      <c r="E406" s="2">
        <f t="shared" ca="1" si="45"/>
        <v>9</v>
      </c>
      <c r="F406" s="1">
        <f t="shared" ca="1" si="46"/>
        <v>74.402191130803516</v>
      </c>
      <c r="G406" s="1">
        <f t="shared" ca="1" si="47"/>
        <v>38</v>
      </c>
      <c r="H406" s="1"/>
      <c r="I406">
        <f t="shared" ca="1" si="48"/>
        <v>2.1972245773362196</v>
      </c>
    </row>
    <row r="407" spans="1:9" x14ac:dyDescent="0.25">
      <c r="A407" t="s">
        <v>36</v>
      </c>
      <c r="B407" s="3">
        <f t="shared" ca="1" si="42"/>
        <v>43489</v>
      </c>
      <c r="C407" s="1">
        <f t="shared" ca="1" si="43"/>
        <v>2954.3666571434237</v>
      </c>
      <c r="D407" s="1">
        <f t="shared" ca="1" si="44"/>
        <v>45.451794725283442</v>
      </c>
      <c r="E407" s="2">
        <f t="shared" ca="1" si="45"/>
        <v>65</v>
      </c>
      <c r="F407" s="1">
        <f t="shared" ca="1" si="46"/>
        <v>23.451794725283442</v>
      </c>
      <c r="G407" s="1">
        <f t="shared" ca="1" si="47"/>
        <v>22</v>
      </c>
      <c r="H407" s="1"/>
      <c r="I407">
        <f t="shared" ca="1" si="48"/>
        <v>4.1743872698956368</v>
      </c>
    </row>
    <row r="408" spans="1:9" x14ac:dyDescent="0.25">
      <c r="A408" t="s">
        <v>27</v>
      </c>
      <c r="B408" s="3">
        <f t="shared" ca="1" si="42"/>
        <v>42515</v>
      </c>
      <c r="C408" s="1">
        <f t="shared" ca="1" si="43"/>
        <v>7057.2338855041771</v>
      </c>
      <c r="D408" s="1">
        <f t="shared" ca="1" si="44"/>
        <v>172.12765574400433</v>
      </c>
      <c r="E408" s="2">
        <f t="shared" ca="1" si="45"/>
        <v>41</v>
      </c>
      <c r="F408" s="1">
        <f t="shared" ca="1" si="46"/>
        <v>69.127655744004329</v>
      </c>
      <c r="G408" s="1">
        <f t="shared" ca="1" si="47"/>
        <v>103</v>
      </c>
      <c r="H408" s="1"/>
      <c r="I408">
        <f t="shared" ca="1" si="48"/>
        <v>3.713572066704308</v>
      </c>
    </row>
    <row r="409" spans="1:9" x14ac:dyDescent="0.25">
      <c r="A409" t="s">
        <v>25</v>
      </c>
      <c r="B409" s="3">
        <f t="shared" ca="1" si="42"/>
        <v>41306</v>
      </c>
      <c r="C409" s="1">
        <f t="shared" ca="1" si="43"/>
        <v>2533.4693108484867</v>
      </c>
      <c r="D409" s="1">
        <f t="shared" ca="1" si="44"/>
        <v>90.481046816017383</v>
      </c>
      <c r="E409" s="2">
        <f t="shared" ca="1" si="45"/>
        <v>28</v>
      </c>
      <c r="F409" s="1">
        <f t="shared" ca="1" si="46"/>
        <v>46.481046816017383</v>
      </c>
      <c r="G409" s="1">
        <f t="shared" ca="1" si="47"/>
        <v>44</v>
      </c>
      <c r="H409" s="1"/>
      <c r="I409">
        <f t="shared" ca="1" si="48"/>
        <v>3.3322045101752038</v>
      </c>
    </row>
    <row r="410" spans="1:9" x14ac:dyDescent="0.25">
      <c r="A410" t="s">
        <v>49</v>
      </c>
      <c r="B410" s="3">
        <f t="shared" ca="1" si="42"/>
        <v>40583</v>
      </c>
      <c r="C410" s="1">
        <f t="shared" ca="1" si="43"/>
        <v>872.07857491265077</v>
      </c>
      <c r="D410" s="1">
        <f t="shared" ca="1" si="44"/>
        <v>79.279870446604619</v>
      </c>
      <c r="E410" s="2">
        <f t="shared" ca="1" si="45"/>
        <v>11</v>
      </c>
      <c r="F410" s="1">
        <f t="shared" ca="1" si="46"/>
        <v>32.279870446604619</v>
      </c>
      <c r="G410" s="1">
        <f t="shared" ca="1" si="47"/>
        <v>47</v>
      </c>
      <c r="H410" s="1"/>
      <c r="I410">
        <f t="shared" ca="1" si="48"/>
        <v>2.3978952727983707</v>
      </c>
    </row>
    <row r="411" spans="1:9" x14ac:dyDescent="0.25">
      <c r="A411" t="s">
        <v>42</v>
      </c>
      <c r="B411" s="3">
        <f t="shared" ca="1" si="42"/>
        <v>42948</v>
      </c>
      <c r="C411" s="1">
        <f t="shared" ca="1" si="43"/>
        <v>1238.6257890676543</v>
      </c>
      <c r="D411" s="1">
        <f t="shared" ca="1" si="44"/>
        <v>176.94654129537918</v>
      </c>
      <c r="E411" s="2">
        <f t="shared" ca="1" si="45"/>
        <v>7</v>
      </c>
      <c r="F411" s="1">
        <f t="shared" ca="1" si="46"/>
        <v>70.946541295379191</v>
      </c>
      <c r="G411" s="1">
        <f t="shared" ca="1" si="47"/>
        <v>106</v>
      </c>
      <c r="H411" s="1"/>
      <c r="I411">
        <f t="shared" ca="1" si="48"/>
        <v>1.9459101490553132</v>
      </c>
    </row>
    <row r="412" spans="1:9" x14ac:dyDescent="0.25">
      <c r="A412" t="s">
        <v>18</v>
      </c>
      <c r="B412" s="3">
        <f t="shared" ca="1" si="42"/>
        <v>44105</v>
      </c>
      <c r="C412" s="1">
        <f t="shared" ca="1" si="43"/>
        <v>1782.8469453365983</v>
      </c>
      <c r="D412" s="1">
        <f t="shared" ca="1" si="44"/>
        <v>93.83404975455781</v>
      </c>
      <c r="E412" s="2">
        <f t="shared" ca="1" si="45"/>
        <v>19</v>
      </c>
      <c r="F412" s="1">
        <f t="shared" ca="1" si="46"/>
        <v>42.834049754557817</v>
      </c>
      <c r="G412" s="1">
        <f t="shared" ca="1" si="47"/>
        <v>51</v>
      </c>
      <c r="H412" s="1"/>
      <c r="I412">
        <f t="shared" ca="1" si="48"/>
        <v>2.9444389791664403</v>
      </c>
    </row>
    <row r="413" spans="1:9" x14ac:dyDescent="0.25">
      <c r="A413" t="s">
        <v>27</v>
      </c>
      <c r="B413" s="3">
        <f t="shared" ca="1" si="42"/>
        <v>43894</v>
      </c>
      <c r="C413" s="1">
        <f t="shared" ca="1" si="43"/>
        <v>757.07442973624154</v>
      </c>
      <c r="D413" s="1">
        <f t="shared" ca="1" si="44"/>
        <v>75.707442973624154</v>
      </c>
      <c r="E413" s="2">
        <f t="shared" ca="1" si="45"/>
        <v>10</v>
      </c>
      <c r="F413" s="1">
        <f t="shared" ca="1" si="46"/>
        <v>49.707442973624147</v>
      </c>
      <c r="G413" s="1">
        <f t="shared" ca="1" si="47"/>
        <v>26</v>
      </c>
      <c r="H413" s="1"/>
      <c r="I413">
        <f t="shared" ca="1" si="48"/>
        <v>2.3025850929940459</v>
      </c>
    </row>
    <row r="414" spans="1:9" x14ac:dyDescent="0.25">
      <c r="A414" t="s">
        <v>37</v>
      </c>
      <c r="B414" s="3">
        <f t="shared" ca="1" si="42"/>
        <v>42002</v>
      </c>
      <c r="C414" s="1">
        <f t="shared" ca="1" si="43"/>
        <v>1867.6764927133593</v>
      </c>
      <c r="D414" s="1">
        <f t="shared" ca="1" si="44"/>
        <v>88.9369758434933</v>
      </c>
      <c r="E414" s="2">
        <f t="shared" ca="1" si="45"/>
        <v>21</v>
      </c>
      <c r="F414" s="1">
        <f t="shared" ca="1" si="46"/>
        <v>50.9369758434933</v>
      </c>
      <c r="G414" s="1">
        <f t="shared" ca="1" si="47"/>
        <v>38</v>
      </c>
      <c r="H414" s="1"/>
      <c r="I414">
        <f t="shared" ca="1" si="48"/>
        <v>3.044522437723423</v>
      </c>
    </row>
    <row r="415" spans="1:9" x14ac:dyDescent="0.25">
      <c r="A415" t="s">
        <v>17</v>
      </c>
      <c r="B415" s="3">
        <f t="shared" ca="1" si="42"/>
        <v>40796</v>
      </c>
      <c r="C415" s="1">
        <f t="shared" ca="1" si="43"/>
        <v>849.01412842688262</v>
      </c>
      <c r="D415" s="1">
        <f t="shared" ca="1" si="44"/>
        <v>106.12676605336033</v>
      </c>
      <c r="E415" s="2">
        <f t="shared" ca="1" si="45"/>
        <v>8</v>
      </c>
      <c r="F415" s="1">
        <f t="shared" ca="1" si="46"/>
        <v>59.126766053360328</v>
      </c>
      <c r="G415" s="1">
        <f t="shared" ca="1" si="47"/>
        <v>47</v>
      </c>
      <c r="H415" s="1"/>
      <c r="I415">
        <f t="shared" ca="1" si="48"/>
        <v>2.0794415416798357</v>
      </c>
    </row>
    <row r="416" spans="1:9" x14ac:dyDescent="0.25">
      <c r="A416" t="s">
        <v>43</v>
      </c>
      <c r="B416" s="3">
        <f t="shared" ca="1" si="42"/>
        <v>44022</v>
      </c>
      <c r="C416" s="1">
        <f t="shared" ca="1" si="43"/>
        <v>7553.4266011038153</v>
      </c>
      <c r="D416" s="1">
        <f t="shared" ca="1" si="44"/>
        <v>148.10640394321206</v>
      </c>
      <c r="E416" s="2">
        <f t="shared" ca="1" si="45"/>
        <v>51</v>
      </c>
      <c r="F416" s="1">
        <f t="shared" ca="1" si="46"/>
        <v>75.106403943212072</v>
      </c>
      <c r="G416" s="1">
        <f t="shared" ca="1" si="47"/>
        <v>73</v>
      </c>
      <c r="H416" s="1"/>
      <c r="I416">
        <f t="shared" ca="1" si="48"/>
        <v>3.9318256327243257</v>
      </c>
    </row>
    <row r="417" spans="1:9" x14ac:dyDescent="0.25">
      <c r="A417" t="s">
        <v>16</v>
      </c>
      <c r="B417" s="3">
        <f t="shared" ca="1" si="42"/>
        <v>44008</v>
      </c>
      <c r="C417" s="1">
        <f t="shared" ca="1" si="43"/>
        <v>2425.2705194958676</v>
      </c>
      <c r="D417" s="1">
        <f t="shared" ca="1" si="44"/>
        <v>220.47913813598797</v>
      </c>
      <c r="E417" s="2">
        <f t="shared" ca="1" si="45"/>
        <v>11</v>
      </c>
      <c r="F417" s="1">
        <f t="shared" ca="1" si="46"/>
        <v>88.479138135987952</v>
      </c>
      <c r="G417" s="1">
        <f t="shared" ca="1" si="47"/>
        <v>132</v>
      </c>
      <c r="H417" s="1"/>
      <c r="I417">
        <f t="shared" ca="1" si="48"/>
        <v>2.3978952727983707</v>
      </c>
    </row>
    <row r="418" spans="1:9" x14ac:dyDescent="0.25">
      <c r="A418" t="s">
        <v>16</v>
      </c>
      <c r="B418" s="3">
        <f t="shared" ca="1" si="42"/>
        <v>43171</v>
      </c>
      <c r="C418" s="1">
        <f t="shared" ca="1" si="43"/>
        <v>3710.3687154518689</v>
      </c>
      <c r="D418" s="1">
        <f t="shared" ca="1" si="44"/>
        <v>112.4354156197536</v>
      </c>
      <c r="E418" s="2">
        <f t="shared" ca="1" si="45"/>
        <v>33</v>
      </c>
      <c r="F418" s="1">
        <f t="shared" ca="1" si="46"/>
        <v>65.435415619753599</v>
      </c>
      <c r="G418" s="1">
        <f t="shared" ca="1" si="47"/>
        <v>47</v>
      </c>
      <c r="H418" s="1"/>
      <c r="I418">
        <f t="shared" ca="1" si="48"/>
        <v>3.4965075614664802</v>
      </c>
    </row>
    <row r="419" spans="1:9" x14ac:dyDescent="0.25">
      <c r="A419" t="s">
        <v>33</v>
      </c>
      <c r="B419" s="3">
        <f t="shared" ca="1" si="42"/>
        <v>42492</v>
      </c>
      <c r="C419" s="1">
        <f t="shared" ca="1" si="43"/>
        <v>5741.5641450021649</v>
      </c>
      <c r="D419" s="1">
        <f t="shared" ca="1" si="44"/>
        <v>102.52793116075294</v>
      </c>
      <c r="E419" s="2">
        <f t="shared" ca="1" si="45"/>
        <v>56</v>
      </c>
      <c r="F419" s="1">
        <f t="shared" ca="1" si="46"/>
        <v>58.527931160752942</v>
      </c>
      <c r="G419" s="1">
        <f t="shared" ca="1" si="47"/>
        <v>44</v>
      </c>
      <c r="H419" s="1"/>
      <c r="I419">
        <f t="shared" ca="1" si="48"/>
        <v>4.0253516907351496</v>
      </c>
    </row>
    <row r="420" spans="1:9" x14ac:dyDescent="0.25">
      <c r="A420" t="s">
        <v>28</v>
      </c>
      <c r="B420" s="3">
        <f t="shared" ca="1" si="42"/>
        <v>41201</v>
      </c>
      <c r="C420" s="1">
        <f t="shared" ca="1" si="43"/>
        <v>4233.9640126196991</v>
      </c>
      <c r="D420" s="1">
        <f t="shared" ca="1" si="44"/>
        <v>88.207583596243722</v>
      </c>
      <c r="E420" s="2">
        <f t="shared" ca="1" si="45"/>
        <v>48</v>
      </c>
      <c r="F420" s="1">
        <f t="shared" ca="1" si="46"/>
        <v>54.207583596243722</v>
      </c>
      <c r="G420" s="1">
        <f t="shared" ca="1" si="47"/>
        <v>34</v>
      </c>
      <c r="H420" s="1"/>
      <c r="I420">
        <f t="shared" ca="1" si="48"/>
        <v>3.8712010109078911</v>
      </c>
    </row>
    <row r="421" spans="1:9" x14ac:dyDescent="0.25">
      <c r="A421" t="s">
        <v>32</v>
      </c>
      <c r="B421" s="3">
        <f t="shared" ca="1" si="42"/>
        <v>40272</v>
      </c>
      <c r="C421" s="1">
        <f t="shared" ca="1" si="43"/>
        <v>4930.8144631786618</v>
      </c>
      <c r="D421" s="1">
        <f t="shared" ca="1" si="44"/>
        <v>145.0239547993724</v>
      </c>
      <c r="E421" s="2">
        <f t="shared" ca="1" si="45"/>
        <v>34</v>
      </c>
      <c r="F421" s="1">
        <f t="shared" ca="1" si="46"/>
        <v>86.023954799372419</v>
      </c>
      <c r="G421" s="1">
        <f t="shared" ca="1" si="47"/>
        <v>59</v>
      </c>
      <c r="H421" s="1"/>
      <c r="I421">
        <f t="shared" ca="1" si="48"/>
        <v>3.5263605246161616</v>
      </c>
    </row>
    <row r="422" spans="1:9" x14ac:dyDescent="0.25">
      <c r="A422" t="s">
        <v>37</v>
      </c>
      <c r="B422" s="3">
        <f t="shared" ca="1" si="42"/>
        <v>40730</v>
      </c>
      <c r="C422" s="1">
        <f t="shared" ca="1" si="43"/>
        <v>1826.2477207364464</v>
      </c>
      <c r="D422" s="1">
        <f t="shared" ca="1" si="44"/>
        <v>91.312386036822318</v>
      </c>
      <c r="E422" s="2">
        <f t="shared" ca="1" si="45"/>
        <v>20</v>
      </c>
      <c r="F422" s="1">
        <f t="shared" ca="1" si="46"/>
        <v>37.312386036822325</v>
      </c>
      <c r="G422" s="1">
        <f t="shared" ca="1" si="47"/>
        <v>54</v>
      </c>
      <c r="H422" s="1"/>
      <c r="I422">
        <f t="shared" ca="1" si="48"/>
        <v>2.9957322735539909</v>
      </c>
    </row>
    <row r="423" spans="1:9" x14ac:dyDescent="0.25">
      <c r="A423" t="s">
        <v>12</v>
      </c>
      <c r="B423" s="3">
        <f t="shared" ca="1" si="42"/>
        <v>41369</v>
      </c>
      <c r="C423" s="1">
        <f t="shared" ca="1" si="43"/>
        <v>1228.7155291905981</v>
      </c>
      <c r="D423" s="1">
        <f t="shared" ca="1" si="44"/>
        <v>94.516579168507548</v>
      </c>
      <c r="E423" s="2">
        <f t="shared" ca="1" si="45"/>
        <v>13</v>
      </c>
      <c r="F423" s="1">
        <f t="shared" ca="1" si="46"/>
        <v>52.516579168507548</v>
      </c>
      <c r="G423" s="1">
        <f t="shared" ca="1" si="47"/>
        <v>42</v>
      </c>
      <c r="H423" s="1"/>
      <c r="I423">
        <f t="shared" ca="1" si="48"/>
        <v>2.5649493574615367</v>
      </c>
    </row>
    <row r="424" spans="1:9" x14ac:dyDescent="0.25">
      <c r="A424" t="s">
        <v>26</v>
      </c>
      <c r="B424" s="3">
        <f t="shared" ca="1" si="42"/>
        <v>43635</v>
      </c>
      <c r="C424" s="1">
        <f t="shared" ca="1" si="43"/>
        <v>140.84820249678543</v>
      </c>
      <c r="D424" s="1">
        <f t="shared" ca="1" si="44"/>
        <v>46.949400832261809</v>
      </c>
      <c r="E424" s="2">
        <f t="shared" ca="1" si="45"/>
        <v>3</v>
      </c>
      <c r="F424" s="1">
        <f t="shared" ca="1" si="46"/>
        <v>20.949400832261809</v>
      </c>
      <c r="G424" s="1">
        <f t="shared" ca="1" si="47"/>
        <v>26</v>
      </c>
      <c r="H424" s="1"/>
      <c r="I424">
        <f t="shared" ca="1" si="48"/>
        <v>1.0986122886681098</v>
      </c>
    </row>
    <row r="425" spans="1:9" x14ac:dyDescent="0.25">
      <c r="A425" t="s">
        <v>45</v>
      </c>
      <c r="B425" s="3">
        <f t="shared" ca="1" si="42"/>
        <v>41271</v>
      </c>
      <c r="C425" s="1">
        <f t="shared" ca="1" si="43"/>
        <v>401.91980773199793</v>
      </c>
      <c r="D425" s="1">
        <f t="shared" ca="1" si="44"/>
        <v>133.97326924399931</v>
      </c>
      <c r="E425" s="2">
        <f t="shared" ca="1" si="45"/>
        <v>3</v>
      </c>
      <c r="F425" s="1">
        <f t="shared" ca="1" si="46"/>
        <v>64.973269243999326</v>
      </c>
      <c r="G425" s="1">
        <f t="shared" ca="1" si="47"/>
        <v>69</v>
      </c>
      <c r="H425" s="1"/>
      <c r="I425">
        <f t="shared" ca="1" si="48"/>
        <v>1.0986122886681098</v>
      </c>
    </row>
    <row r="426" spans="1:9" x14ac:dyDescent="0.25">
      <c r="A426" t="s">
        <v>36</v>
      </c>
      <c r="B426" s="3">
        <f t="shared" ca="1" si="42"/>
        <v>42281</v>
      </c>
      <c r="C426" s="1">
        <f t="shared" ca="1" si="43"/>
        <v>2122.5827911658744</v>
      </c>
      <c r="D426" s="1">
        <f t="shared" ca="1" si="44"/>
        <v>117.9212661758819</v>
      </c>
      <c r="E426" s="2">
        <f t="shared" ca="1" si="45"/>
        <v>18</v>
      </c>
      <c r="F426" s="1">
        <f t="shared" ca="1" si="46"/>
        <v>52.921266175881904</v>
      </c>
      <c r="G426" s="1">
        <f t="shared" ca="1" si="47"/>
        <v>65</v>
      </c>
      <c r="H426" s="1"/>
      <c r="I426">
        <f t="shared" ca="1" si="48"/>
        <v>2.8903717578961645</v>
      </c>
    </row>
    <row r="427" spans="1:9" x14ac:dyDescent="0.25">
      <c r="A427" t="s">
        <v>20</v>
      </c>
      <c r="B427" s="3">
        <f t="shared" ca="1" si="42"/>
        <v>42442</v>
      </c>
      <c r="C427" s="1">
        <f t="shared" ca="1" si="43"/>
        <v>1182.6458309310392</v>
      </c>
      <c r="D427" s="1">
        <f t="shared" ca="1" si="44"/>
        <v>118.26458309310391</v>
      </c>
      <c r="E427" s="2">
        <f t="shared" ca="1" si="45"/>
        <v>10</v>
      </c>
      <c r="F427" s="1">
        <f t="shared" ca="1" si="46"/>
        <v>48.264583093103909</v>
      </c>
      <c r="G427" s="1">
        <f t="shared" ca="1" si="47"/>
        <v>70</v>
      </c>
      <c r="H427" s="1"/>
      <c r="I427">
        <f t="shared" ca="1" si="48"/>
        <v>2.3025850929940459</v>
      </c>
    </row>
    <row r="428" spans="1:9" x14ac:dyDescent="0.25">
      <c r="A428" t="s">
        <v>16</v>
      </c>
      <c r="B428" s="3">
        <f t="shared" ca="1" si="42"/>
        <v>43527</v>
      </c>
      <c r="C428" s="1">
        <f t="shared" ca="1" si="43"/>
        <v>3474.7711776511255</v>
      </c>
      <c r="D428" s="1">
        <f t="shared" ca="1" si="44"/>
        <v>248.19794126079469</v>
      </c>
      <c r="E428" s="2">
        <f t="shared" ca="1" si="45"/>
        <v>14</v>
      </c>
      <c r="F428" s="1">
        <f t="shared" ca="1" si="46"/>
        <v>123.19794126079469</v>
      </c>
      <c r="G428" s="1">
        <f t="shared" ca="1" si="47"/>
        <v>125</v>
      </c>
      <c r="H428" s="1"/>
      <c r="I428">
        <f t="shared" ca="1" si="48"/>
        <v>2.6390573296152584</v>
      </c>
    </row>
    <row r="429" spans="1:9" x14ac:dyDescent="0.25">
      <c r="A429" t="s">
        <v>44</v>
      </c>
      <c r="B429" s="3">
        <f t="shared" ca="1" si="42"/>
        <v>41950</v>
      </c>
      <c r="C429" s="1">
        <f t="shared" ca="1" si="43"/>
        <v>1708.1674117541361</v>
      </c>
      <c r="D429" s="1">
        <f t="shared" ca="1" si="44"/>
        <v>81.341305321625526</v>
      </c>
      <c r="E429" s="2">
        <f t="shared" ca="1" si="45"/>
        <v>21</v>
      </c>
      <c r="F429" s="1">
        <f t="shared" ca="1" si="46"/>
        <v>51.341305321625534</v>
      </c>
      <c r="G429" s="1">
        <f t="shared" ca="1" si="47"/>
        <v>30</v>
      </c>
      <c r="H429" s="1"/>
      <c r="I429">
        <f t="shared" ca="1" si="48"/>
        <v>3.044522437723423</v>
      </c>
    </row>
    <row r="430" spans="1:9" x14ac:dyDescent="0.25">
      <c r="A430" t="s">
        <v>38</v>
      </c>
      <c r="B430" s="3">
        <f t="shared" ca="1" si="42"/>
        <v>41712</v>
      </c>
      <c r="C430" s="1">
        <f t="shared" ca="1" si="43"/>
        <v>2398.6019228907153</v>
      </c>
      <c r="D430" s="1">
        <f t="shared" ca="1" si="44"/>
        <v>159.90679485938102</v>
      </c>
      <c r="E430" s="2">
        <f t="shared" ca="1" si="45"/>
        <v>15</v>
      </c>
      <c r="F430" s="1">
        <f t="shared" ca="1" si="46"/>
        <v>75.906794859381023</v>
      </c>
      <c r="G430" s="1">
        <f t="shared" ca="1" si="47"/>
        <v>84</v>
      </c>
      <c r="H430" s="1"/>
      <c r="I430">
        <f t="shared" ca="1" si="48"/>
        <v>2.7080502011022101</v>
      </c>
    </row>
    <row r="431" spans="1:9" x14ac:dyDescent="0.25">
      <c r="A431" t="s">
        <v>21</v>
      </c>
      <c r="B431" s="3">
        <f t="shared" ca="1" si="42"/>
        <v>44181</v>
      </c>
      <c r="C431" s="1">
        <f t="shared" ca="1" si="43"/>
        <v>660.70578007800839</v>
      </c>
      <c r="D431" s="1">
        <f t="shared" ca="1" si="44"/>
        <v>94.386540011144049</v>
      </c>
      <c r="E431" s="2">
        <f t="shared" ca="1" si="45"/>
        <v>7</v>
      </c>
      <c r="F431" s="1">
        <f t="shared" ca="1" si="46"/>
        <v>53.386540011144049</v>
      </c>
      <c r="G431" s="1">
        <f t="shared" ca="1" si="47"/>
        <v>41</v>
      </c>
      <c r="H431" s="1"/>
      <c r="I431">
        <f t="shared" ca="1" si="48"/>
        <v>1.9459101490553132</v>
      </c>
    </row>
    <row r="432" spans="1:9" x14ac:dyDescent="0.25">
      <c r="A432" t="s">
        <v>38</v>
      </c>
      <c r="B432" s="3">
        <f t="shared" ca="1" si="42"/>
        <v>41925</v>
      </c>
      <c r="C432" s="1">
        <f t="shared" ca="1" si="43"/>
        <v>449.26459260805746</v>
      </c>
      <c r="D432" s="1">
        <f t="shared" ca="1" si="44"/>
        <v>74.877432101342905</v>
      </c>
      <c r="E432" s="2">
        <f t="shared" ca="1" si="45"/>
        <v>6</v>
      </c>
      <c r="F432" s="1">
        <f t="shared" ca="1" si="46"/>
        <v>39.877432101342905</v>
      </c>
      <c r="G432" s="1">
        <f t="shared" ca="1" si="47"/>
        <v>35</v>
      </c>
      <c r="H432" s="1"/>
      <c r="I432">
        <f t="shared" ca="1" si="48"/>
        <v>1.791759469228055</v>
      </c>
    </row>
    <row r="433" spans="1:9" x14ac:dyDescent="0.25">
      <c r="A433" t="s">
        <v>33</v>
      </c>
      <c r="B433" s="3">
        <f t="shared" ca="1" si="42"/>
        <v>42548</v>
      </c>
      <c r="C433" s="1">
        <f t="shared" ca="1" si="43"/>
        <v>3876.8889880583338</v>
      </c>
      <c r="D433" s="1">
        <f t="shared" ca="1" si="44"/>
        <v>125.06093509865593</v>
      </c>
      <c r="E433" s="2">
        <f t="shared" ca="1" si="45"/>
        <v>31</v>
      </c>
      <c r="F433" s="1">
        <f t="shared" ca="1" si="46"/>
        <v>57.060935098655939</v>
      </c>
      <c r="G433" s="1">
        <f t="shared" ca="1" si="47"/>
        <v>68</v>
      </c>
      <c r="H433" s="1"/>
      <c r="I433">
        <f t="shared" ca="1" si="48"/>
        <v>3.4339872044851463</v>
      </c>
    </row>
    <row r="434" spans="1:9" x14ac:dyDescent="0.25">
      <c r="A434" t="s">
        <v>37</v>
      </c>
      <c r="B434" s="3">
        <f t="shared" ca="1" si="42"/>
        <v>43499</v>
      </c>
      <c r="C434" s="1">
        <f t="shared" ca="1" si="43"/>
        <v>6415.4075100571645</v>
      </c>
      <c r="D434" s="1">
        <f t="shared" ca="1" si="44"/>
        <v>85.53876680076219</v>
      </c>
      <c r="E434" s="2">
        <f t="shared" ca="1" si="45"/>
        <v>75</v>
      </c>
      <c r="F434" s="1">
        <f t="shared" ca="1" si="46"/>
        <v>35.53876680076219</v>
      </c>
      <c r="G434" s="1">
        <f t="shared" ca="1" si="47"/>
        <v>50</v>
      </c>
      <c r="H434" s="1"/>
      <c r="I434">
        <f t="shared" ca="1" si="48"/>
        <v>4.3174881135363101</v>
      </c>
    </row>
    <row r="435" spans="1:9" x14ac:dyDescent="0.25">
      <c r="A435" t="s">
        <v>48</v>
      </c>
      <c r="B435" s="3">
        <f t="shared" ca="1" si="42"/>
        <v>42125</v>
      </c>
      <c r="C435" s="1">
        <f t="shared" ca="1" si="43"/>
        <v>1600.6560476969842</v>
      </c>
      <c r="D435" s="1">
        <f t="shared" ca="1" si="44"/>
        <v>84.245055141946537</v>
      </c>
      <c r="E435" s="2">
        <f t="shared" ca="1" si="45"/>
        <v>19</v>
      </c>
      <c r="F435" s="1">
        <f t="shared" ca="1" si="46"/>
        <v>53.245055141946537</v>
      </c>
      <c r="G435" s="1">
        <f t="shared" ca="1" si="47"/>
        <v>31</v>
      </c>
      <c r="H435" s="1"/>
      <c r="I435">
        <f t="shared" ca="1" si="48"/>
        <v>2.9444389791664403</v>
      </c>
    </row>
    <row r="436" spans="1:9" x14ac:dyDescent="0.25">
      <c r="A436" t="s">
        <v>28</v>
      </c>
      <c r="B436" s="3">
        <f t="shared" ca="1" si="42"/>
        <v>43664</v>
      </c>
      <c r="C436" s="1">
        <f t="shared" ca="1" si="43"/>
        <v>18067.043208702256</v>
      </c>
      <c r="D436" s="1">
        <f t="shared" ca="1" si="44"/>
        <v>190.17940219686585</v>
      </c>
      <c r="E436" s="2">
        <f t="shared" ca="1" si="45"/>
        <v>95</v>
      </c>
      <c r="F436" s="1">
        <f t="shared" ca="1" si="46"/>
        <v>86.179402196865865</v>
      </c>
      <c r="G436" s="1">
        <f t="shared" ca="1" si="47"/>
        <v>104</v>
      </c>
      <c r="H436" s="1"/>
      <c r="I436">
        <f t="shared" ca="1" si="48"/>
        <v>4.5538768916005408</v>
      </c>
    </row>
    <row r="437" spans="1:9" x14ac:dyDescent="0.25">
      <c r="A437" t="s">
        <v>41</v>
      </c>
      <c r="B437" s="3">
        <f t="shared" ca="1" si="42"/>
        <v>41410</v>
      </c>
      <c r="C437" s="1">
        <f t="shared" ca="1" si="43"/>
        <v>1323.3525471135104</v>
      </c>
      <c r="D437" s="1">
        <f t="shared" ca="1" si="44"/>
        <v>55.139689463062936</v>
      </c>
      <c r="E437" s="2">
        <f t="shared" ca="1" si="45"/>
        <v>24</v>
      </c>
      <c r="F437" s="1">
        <f t="shared" ca="1" si="46"/>
        <v>36.139689463062936</v>
      </c>
      <c r="G437" s="1">
        <f t="shared" ca="1" si="47"/>
        <v>19</v>
      </c>
      <c r="H437" s="1"/>
      <c r="I437">
        <f t="shared" ca="1" si="48"/>
        <v>3.1780538303479458</v>
      </c>
    </row>
    <row r="438" spans="1:9" x14ac:dyDescent="0.25">
      <c r="A438" t="s">
        <v>25</v>
      </c>
      <c r="B438" s="3">
        <f t="shared" ca="1" si="42"/>
        <v>41102</v>
      </c>
      <c r="C438" s="1">
        <f t="shared" ca="1" si="43"/>
        <v>8256.8959034922318</v>
      </c>
      <c r="D438" s="1">
        <f t="shared" ca="1" si="44"/>
        <v>217.28673430242713</v>
      </c>
      <c r="E438" s="2">
        <f t="shared" ca="1" si="45"/>
        <v>38</v>
      </c>
      <c r="F438" s="1">
        <f t="shared" ca="1" si="46"/>
        <v>110.28673430242713</v>
      </c>
      <c r="G438" s="1">
        <f t="shared" ca="1" si="47"/>
        <v>107</v>
      </c>
      <c r="H438" s="1"/>
      <c r="I438">
        <f t="shared" ca="1" si="48"/>
        <v>3.6375861597263857</v>
      </c>
    </row>
    <row r="439" spans="1:9" x14ac:dyDescent="0.25">
      <c r="A439" t="s">
        <v>31</v>
      </c>
      <c r="B439" s="3">
        <f t="shared" ca="1" si="42"/>
        <v>43594</v>
      </c>
      <c r="C439" s="1">
        <f t="shared" ca="1" si="43"/>
        <v>1829.2133113123671</v>
      </c>
      <c r="D439" s="1">
        <f t="shared" ca="1" si="44"/>
        <v>83.146059605107595</v>
      </c>
      <c r="E439" s="2">
        <f t="shared" ca="1" si="45"/>
        <v>22</v>
      </c>
      <c r="F439" s="1">
        <f t="shared" ca="1" si="46"/>
        <v>48.146059605107595</v>
      </c>
      <c r="G439" s="1">
        <f t="shared" ca="1" si="47"/>
        <v>35</v>
      </c>
      <c r="H439" s="1"/>
      <c r="I439">
        <f t="shared" ca="1" si="48"/>
        <v>3.0910424533583161</v>
      </c>
    </row>
    <row r="440" spans="1:9" x14ac:dyDescent="0.25">
      <c r="A440" t="s">
        <v>29</v>
      </c>
      <c r="B440" s="3">
        <f t="shared" ca="1" si="42"/>
        <v>42917</v>
      </c>
      <c r="C440" s="1">
        <f t="shared" ca="1" si="43"/>
        <v>1330.5504502339229</v>
      </c>
      <c r="D440" s="1">
        <f t="shared" ca="1" si="44"/>
        <v>133.0550450233923</v>
      </c>
      <c r="E440" s="2">
        <f t="shared" ca="1" si="45"/>
        <v>10</v>
      </c>
      <c r="F440" s="1">
        <f t="shared" ca="1" si="46"/>
        <v>74.055045023392296</v>
      </c>
      <c r="G440" s="1">
        <f t="shared" ca="1" si="47"/>
        <v>59</v>
      </c>
      <c r="H440" s="1"/>
      <c r="I440">
        <f t="shared" ca="1" si="48"/>
        <v>2.3025850929940459</v>
      </c>
    </row>
    <row r="441" spans="1:9" x14ac:dyDescent="0.25">
      <c r="A441" t="s">
        <v>12</v>
      </c>
      <c r="B441" s="3">
        <f t="shared" ca="1" si="42"/>
        <v>41702</v>
      </c>
      <c r="C441" s="1">
        <f t="shared" ca="1" si="43"/>
        <v>6523.712743547957</v>
      </c>
      <c r="D441" s="1">
        <f t="shared" ca="1" si="44"/>
        <v>171.67665114599887</v>
      </c>
      <c r="E441" s="2">
        <f t="shared" ca="1" si="45"/>
        <v>38</v>
      </c>
      <c r="F441" s="1">
        <f t="shared" ca="1" si="46"/>
        <v>78.676651145998875</v>
      </c>
      <c r="G441" s="1">
        <f t="shared" ca="1" si="47"/>
        <v>93</v>
      </c>
      <c r="H441" s="1"/>
      <c r="I441">
        <f t="shared" ca="1" si="48"/>
        <v>3.6375861597263857</v>
      </c>
    </row>
    <row r="442" spans="1:9" x14ac:dyDescent="0.25">
      <c r="A442" t="s">
        <v>40</v>
      </c>
      <c r="B442" s="3">
        <f t="shared" ca="1" si="42"/>
        <v>41767</v>
      </c>
      <c r="C442" s="1">
        <f t="shared" ca="1" si="43"/>
        <v>6659.2842540484471</v>
      </c>
      <c r="D442" s="1">
        <f t="shared" ca="1" si="44"/>
        <v>116.82954831663942</v>
      </c>
      <c r="E442" s="2">
        <f t="shared" ca="1" si="45"/>
        <v>57</v>
      </c>
      <c r="F442" s="1">
        <f t="shared" ca="1" si="46"/>
        <v>50.829548316639418</v>
      </c>
      <c r="G442" s="1">
        <f t="shared" ca="1" si="47"/>
        <v>66</v>
      </c>
      <c r="H442" s="1"/>
      <c r="I442">
        <f t="shared" ca="1" si="48"/>
        <v>4.0430512678345503</v>
      </c>
    </row>
    <row r="443" spans="1:9" x14ac:dyDescent="0.25">
      <c r="A443" t="s">
        <v>20</v>
      </c>
      <c r="B443" s="3">
        <f t="shared" ca="1" si="42"/>
        <v>42113</v>
      </c>
      <c r="C443" s="1">
        <f t="shared" ca="1" si="43"/>
        <v>2190.2048835538681</v>
      </c>
      <c r="D443" s="1">
        <f t="shared" ca="1" si="44"/>
        <v>104.29547064542228</v>
      </c>
      <c r="E443" s="2">
        <f t="shared" ca="1" si="45"/>
        <v>21</v>
      </c>
      <c r="F443" s="1">
        <f t="shared" ca="1" si="46"/>
        <v>58.295470645422284</v>
      </c>
      <c r="G443" s="1">
        <f t="shared" ca="1" si="47"/>
        <v>46</v>
      </c>
      <c r="H443" s="1"/>
      <c r="I443">
        <f t="shared" ca="1" si="48"/>
        <v>3.044522437723423</v>
      </c>
    </row>
    <row r="444" spans="1:9" x14ac:dyDescent="0.25">
      <c r="A444" t="s">
        <v>46</v>
      </c>
      <c r="B444" s="3">
        <f t="shared" ca="1" si="42"/>
        <v>41107</v>
      </c>
      <c r="C444" s="1">
        <f t="shared" ca="1" si="43"/>
        <v>12885.896904245286</v>
      </c>
      <c r="D444" s="1">
        <f t="shared" ca="1" si="44"/>
        <v>181.49150569359557</v>
      </c>
      <c r="E444" s="2">
        <f t="shared" ca="1" si="45"/>
        <v>71</v>
      </c>
      <c r="F444" s="1">
        <f t="shared" ca="1" si="46"/>
        <v>97.491505693595556</v>
      </c>
      <c r="G444" s="1">
        <f t="shared" ca="1" si="47"/>
        <v>84</v>
      </c>
      <c r="H444" s="1"/>
      <c r="I444">
        <f t="shared" ca="1" si="48"/>
        <v>4.2626798770413155</v>
      </c>
    </row>
    <row r="445" spans="1:9" x14ac:dyDescent="0.25">
      <c r="A445" t="s">
        <v>12</v>
      </c>
      <c r="B445" s="3">
        <f t="shared" ca="1" si="42"/>
        <v>41452</v>
      </c>
      <c r="C445" s="1">
        <f t="shared" ca="1" si="43"/>
        <v>2170.428478661494</v>
      </c>
      <c r="D445" s="1">
        <f t="shared" ca="1" si="44"/>
        <v>70.013821892306254</v>
      </c>
      <c r="E445" s="2">
        <f t="shared" ca="1" si="45"/>
        <v>31</v>
      </c>
      <c r="F445" s="1">
        <f t="shared" ca="1" si="46"/>
        <v>41.013821892306247</v>
      </c>
      <c r="G445" s="1">
        <f t="shared" ca="1" si="47"/>
        <v>29</v>
      </c>
      <c r="H445" s="1"/>
      <c r="I445">
        <f t="shared" ca="1" si="48"/>
        <v>3.4339872044851463</v>
      </c>
    </row>
    <row r="446" spans="1:9" x14ac:dyDescent="0.25">
      <c r="A446" t="s">
        <v>44</v>
      </c>
      <c r="B446" s="3">
        <f t="shared" ca="1" si="42"/>
        <v>42277</v>
      </c>
      <c r="C446" s="1">
        <f t="shared" ca="1" si="43"/>
        <v>91.103858250056703</v>
      </c>
      <c r="D446" s="1">
        <f t="shared" ca="1" si="44"/>
        <v>91.103858250056703</v>
      </c>
      <c r="E446" s="2">
        <f t="shared" ca="1" si="45"/>
        <v>1</v>
      </c>
      <c r="F446" s="1">
        <f t="shared" ca="1" si="46"/>
        <v>51.10385825005671</v>
      </c>
      <c r="G446" s="1">
        <f t="shared" ca="1" si="47"/>
        <v>40</v>
      </c>
      <c r="H446" s="1"/>
      <c r="I446">
        <f t="shared" ca="1" si="48"/>
        <v>0</v>
      </c>
    </row>
    <row r="447" spans="1:9" x14ac:dyDescent="0.25">
      <c r="A447" t="s">
        <v>28</v>
      </c>
      <c r="B447" s="3">
        <f t="shared" ca="1" si="42"/>
        <v>40630</v>
      </c>
      <c r="C447" s="1">
        <f t="shared" ca="1" si="43"/>
        <v>1522.6861771289109</v>
      </c>
      <c r="D447" s="1">
        <f t="shared" ca="1" si="44"/>
        <v>80.14137774362689</v>
      </c>
      <c r="E447" s="2">
        <f t="shared" ca="1" si="45"/>
        <v>19</v>
      </c>
      <c r="F447" s="1">
        <f t="shared" ca="1" si="46"/>
        <v>36.141377743626897</v>
      </c>
      <c r="G447" s="1">
        <f t="shared" ca="1" si="47"/>
        <v>44</v>
      </c>
      <c r="H447" s="1"/>
      <c r="I447">
        <f t="shared" ca="1" si="48"/>
        <v>2.9444389791664403</v>
      </c>
    </row>
    <row r="448" spans="1:9" x14ac:dyDescent="0.25">
      <c r="A448" t="s">
        <v>33</v>
      </c>
      <c r="B448" s="3">
        <f t="shared" ca="1" si="42"/>
        <v>41808</v>
      </c>
      <c r="C448" s="1">
        <f t="shared" ca="1" si="43"/>
        <v>774.29436822630294</v>
      </c>
      <c r="D448" s="1">
        <f t="shared" ca="1" si="44"/>
        <v>110.61348117518614</v>
      </c>
      <c r="E448" s="2">
        <f t="shared" ca="1" si="45"/>
        <v>7</v>
      </c>
      <c r="F448" s="1">
        <f t="shared" ca="1" si="46"/>
        <v>47.613481175186145</v>
      </c>
      <c r="G448" s="1">
        <f t="shared" ca="1" si="47"/>
        <v>63</v>
      </c>
      <c r="H448" s="1"/>
      <c r="I448">
        <f t="shared" ca="1" si="48"/>
        <v>1.9459101490553132</v>
      </c>
    </row>
    <row r="449" spans="1:9" x14ac:dyDescent="0.25">
      <c r="A449" t="s">
        <v>48</v>
      </c>
      <c r="B449" s="3">
        <f t="shared" ca="1" si="42"/>
        <v>40963</v>
      </c>
      <c r="C449" s="1">
        <f t="shared" ca="1" si="43"/>
        <v>949.46201566055163</v>
      </c>
      <c r="D449" s="1">
        <f t="shared" ca="1" si="44"/>
        <v>94.946201566055166</v>
      </c>
      <c r="E449" s="2">
        <f t="shared" ca="1" si="45"/>
        <v>10</v>
      </c>
      <c r="F449" s="1">
        <f t="shared" ca="1" si="46"/>
        <v>43.946201566055166</v>
      </c>
      <c r="G449" s="1">
        <f t="shared" ca="1" si="47"/>
        <v>51</v>
      </c>
      <c r="H449" s="1"/>
      <c r="I449">
        <f t="shared" ca="1" si="48"/>
        <v>2.3025850929940459</v>
      </c>
    </row>
    <row r="450" spans="1:9" x14ac:dyDescent="0.25">
      <c r="A450" t="s">
        <v>23</v>
      </c>
      <c r="B450" s="3">
        <f t="shared" ca="1" si="42"/>
        <v>41336</v>
      </c>
      <c r="C450" s="1">
        <f t="shared" ca="1" si="43"/>
        <v>2161.4194496867226</v>
      </c>
      <c r="D450" s="1">
        <f t="shared" ca="1" si="44"/>
        <v>86.456777987468911</v>
      </c>
      <c r="E450" s="2">
        <f t="shared" ca="1" si="45"/>
        <v>25</v>
      </c>
      <c r="F450" s="1">
        <f t="shared" ca="1" si="46"/>
        <v>38.456777987468904</v>
      </c>
      <c r="G450" s="1">
        <f t="shared" ca="1" si="47"/>
        <v>48</v>
      </c>
      <c r="H450" s="1"/>
      <c r="I450">
        <f t="shared" ca="1" si="48"/>
        <v>3.2188758248682006</v>
      </c>
    </row>
    <row r="451" spans="1:9" x14ac:dyDescent="0.25">
      <c r="A451" t="s">
        <v>28</v>
      </c>
      <c r="B451" s="3">
        <f t="shared" ref="B451:B502" ca="1" si="49">DATE(RANDBETWEEN(2010, 2020),RANDBETWEEN(1,12),RANDBETWEEN(1,31))</f>
        <v>40908</v>
      </c>
      <c r="C451" s="1">
        <f t="shared" ref="C451:C502" ca="1" si="50">+E451*D451</f>
        <v>868.89721637854871</v>
      </c>
      <c r="D451" s="1">
        <f t="shared" ref="D451:D502" ca="1" si="51">+F451+G451</f>
        <v>96.544135153172078</v>
      </c>
      <c r="E451" s="2">
        <f t="shared" ref="E451:E502" ca="1" si="52">INT(_xlfn.LOGNORM.INV(RAND(),3,1))</f>
        <v>9</v>
      </c>
      <c r="F451" s="1">
        <f t="shared" ref="F451:F502" ca="1" si="53">_xlfn.GAMMA.INV(RAND(),7,9)</f>
        <v>41.544135153172085</v>
      </c>
      <c r="G451" s="1">
        <f t="shared" ref="G451:G502" ca="1" si="54">+RANDBETWEEN(0.5*F451,1.5*F451)</f>
        <v>55</v>
      </c>
      <c r="H451" s="1"/>
      <c r="I451">
        <f t="shared" ca="1" si="48"/>
        <v>2.1972245773362196</v>
      </c>
    </row>
    <row r="452" spans="1:9" x14ac:dyDescent="0.25">
      <c r="A452" t="s">
        <v>34</v>
      </c>
      <c r="B452" s="3">
        <f t="shared" ca="1" si="49"/>
        <v>40837</v>
      </c>
      <c r="C452" s="1">
        <f t="shared" ca="1" si="50"/>
        <v>661.13428026207782</v>
      </c>
      <c r="D452" s="1">
        <f t="shared" ca="1" si="51"/>
        <v>110.1890467103463</v>
      </c>
      <c r="E452" s="2">
        <f t="shared" ca="1" si="52"/>
        <v>6</v>
      </c>
      <c r="F452" s="1">
        <f t="shared" ca="1" si="53"/>
        <v>68.189046710346304</v>
      </c>
      <c r="G452" s="1">
        <f t="shared" ca="1" si="54"/>
        <v>42</v>
      </c>
      <c r="H452" s="1"/>
      <c r="I452">
        <f t="shared" ref="I452:I502" ca="1" si="55">+LN(E452)</f>
        <v>1.791759469228055</v>
      </c>
    </row>
    <row r="453" spans="1:9" x14ac:dyDescent="0.25">
      <c r="A453" t="s">
        <v>47</v>
      </c>
      <c r="B453" s="3">
        <f t="shared" ca="1" si="49"/>
        <v>41558</v>
      </c>
      <c r="C453" s="1">
        <f t="shared" ca="1" si="50"/>
        <v>1964.3845804398934</v>
      </c>
      <c r="D453" s="1">
        <f t="shared" ca="1" si="51"/>
        <v>115.55203414352314</v>
      </c>
      <c r="E453" s="2">
        <f t="shared" ca="1" si="52"/>
        <v>17</v>
      </c>
      <c r="F453" s="1">
        <f t="shared" ca="1" si="53"/>
        <v>72.552034143523144</v>
      </c>
      <c r="G453" s="1">
        <f t="shared" ca="1" si="54"/>
        <v>43</v>
      </c>
      <c r="H453" s="1"/>
      <c r="I453">
        <f t="shared" ca="1" si="55"/>
        <v>2.8332133440562162</v>
      </c>
    </row>
    <row r="454" spans="1:9" x14ac:dyDescent="0.25">
      <c r="A454" t="s">
        <v>48</v>
      </c>
      <c r="B454" s="3">
        <f t="shared" ca="1" si="49"/>
        <v>40995</v>
      </c>
      <c r="C454" s="1">
        <f t="shared" ca="1" si="50"/>
        <v>5706.9967579281474</v>
      </c>
      <c r="D454" s="1">
        <f t="shared" ca="1" si="51"/>
        <v>196.79299165269475</v>
      </c>
      <c r="E454" s="2">
        <f t="shared" ca="1" si="52"/>
        <v>29</v>
      </c>
      <c r="F454" s="1">
        <f t="shared" ca="1" si="53"/>
        <v>89.792991652694738</v>
      </c>
      <c r="G454" s="1">
        <f t="shared" ca="1" si="54"/>
        <v>107</v>
      </c>
      <c r="H454" s="1"/>
      <c r="I454">
        <f t="shared" ca="1" si="55"/>
        <v>3.3672958299864741</v>
      </c>
    </row>
    <row r="455" spans="1:9" x14ac:dyDescent="0.25">
      <c r="A455" t="s">
        <v>15</v>
      </c>
      <c r="B455" s="3">
        <f t="shared" ca="1" si="49"/>
        <v>41968</v>
      </c>
      <c r="C455" s="1">
        <f t="shared" ca="1" si="50"/>
        <v>357.51470704914993</v>
      </c>
      <c r="D455" s="1">
        <f t="shared" ca="1" si="51"/>
        <v>51.073529578449993</v>
      </c>
      <c r="E455" s="2">
        <f t="shared" ca="1" si="52"/>
        <v>7</v>
      </c>
      <c r="F455" s="1">
        <f t="shared" ca="1" si="53"/>
        <v>31.073529578449989</v>
      </c>
      <c r="G455" s="1">
        <f t="shared" ca="1" si="54"/>
        <v>20</v>
      </c>
      <c r="H455" s="1"/>
      <c r="I455">
        <f t="shared" ca="1" si="55"/>
        <v>1.9459101490553132</v>
      </c>
    </row>
    <row r="456" spans="1:9" x14ac:dyDescent="0.25">
      <c r="A456" t="s">
        <v>41</v>
      </c>
      <c r="B456" s="3">
        <f t="shared" ca="1" si="49"/>
        <v>41672</v>
      </c>
      <c r="C456" s="1">
        <f t="shared" ca="1" si="50"/>
        <v>9811.4692350624446</v>
      </c>
      <c r="D456" s="1">
        <f t="shared" ca="1" si="51"/>
        <v>121.12924981558574</v>
      </c>
      <c r="E456" s="2">
        <f t="shared" ca="1" si="52"/>
        <v>81</v>
      </c>
      <c r="F456" s="1">
        <f t="shared" ca="1" si="53"/>
        <v>57.129249815585737</v>
      </c>
      <c r="G456" s="1">
        <f t="shared" ca="1" si="54"/>
        <v>64</v>
      </c>
      <c r="H456" s="1"/>
      <c r="I456">
        <f t="shared" ca="1" si="55"/>
        <v>4.3944491546724391</v>
      </c>
    </row>
    <row r="457" spans="1:9" x14ac:dyDescent="0.25">
      <c r="A457" t="s">
        <v>47</v>
      </c>
      <c r="B457" s="3">
        <f t="shared" ca="1" si="49"/>
        <v>43496</v>
      </c>
      <c r="C457" s="1">
        <f t="shared" ca="1" si="50"/>
        <v>1629.8266788650401</v>
      </c>
      <c r="D457" s="1">
        <f t="shared" ca="1" si="51"/>
        <v>116.41619134750286</v>
      </c>
      <c r="E457" s="2">
        <f t="shared" ca="1" si="52"/>
        <v>14</v>
      </c>
      <c r="F457" s="1">
        <f t="shared" ca="1" si="53"/>
        <v>63.41619134750286</v>
      </c>
      <c r="G457" s="1">
        <f t="shared" ca="1" si="54"/>
        <v>53</v>
      </c>
      <c r="H457" s="1"/>
      <c r="I457">
        <f t="shared" ca="1" si="55"/>
        <v>2.6390573296152584</v>
      </c>
    </row>
    <row r="458" spans="1:9" x14ac:dyDescent="0.25">
      <c r="A458" t="s">
        <v>38</v>
      </c>
      <c r="B458" s="3">
        <f t="shared" ca="1" si="49"/>
        <v>42444</v>
      </c>
      <c r="C458" s="1">
        <f t="shared" ca="1" si="50"/>
        <v>9559.78069316234</v>
      </c>
      <c r="D458" s="1">
        <f t="shared" ca="1" si="51"/>
        <v>116.58269138002854</v>
      </c>
      <c r="E458" s="2">
        <f t="shared" ca="1" si="52"/>
        <v>82</v>
      </c>
      <c r="F458" s="1">
        <f t="shared" ca="1" si="53"/>
        <v>61.582691380028528</v>
      </c>
      <c r="G458" s="1">
        <f t="shared" ca="1" si="54"/>
        <v>55</v>
      </c>
      <c r="H458" s="1"/>
      <c r="I458">
        <f t="shared" ca="1" si="55"/>
        <v>4.4067192472642533</v>
      </c>
    </row>
    <row r="459" spans="1:9" x14ac:dyDescent="0.25">
      <c r="A459" t="s">
        <v>13</v>
      </c>
      <c r="B459" s="3">
        <f t="shared" ca="1" si="49"/>
        <v>42891</v>
      </c>
      <c r="C459" s="1">
        <f t="shared" ca="1" si="50"/>
        <v>6361.5374568670031</v>
      </c>
      <c r="D459" s="1">
        <f t="shared" ca="1" si="51"/>
        <v>88.354686900930602</v>
      </c>
      <c r="E459" s="2">
        <f t="shared" ca="1" si="52"/>
        <v>72</v>
      </c>
      <c r="F459" s="1">
        <f t="shared" ca="1" si="53"/>
        <v>56.354686900930609</v>
      </c>
      <c r="G459" s="1">
        <f t="shared" ca="1" si="54"/>
        <v>32</v>
      </c>
      <c r="H459" s="1"/>
      <c r="I459">
        <f t="shared" ca="1" si="55"/>
        <v>4.2766661190160553</v>
      </c>
    </row>
    <row r="460" spans="1:9" x14ac:dyDescent="0.25">
      <c r="A460" t="s">
        <v>17</v>
      </c>
      <c r="B460" s="3">
        <f t="shared" ca="1" si="49"/>
        <v>40462</v>
      </c>
      <c r="C460" s="1">
        <f t="shared" ca="1" si="50"/>
        <v>3923.2644705731282</v>
      </c>
      <c r="D460" s="1">
        <f t="shared" ca="1" si="51"/>
        <v>89.16510160393473</v>
      </c>
      <c r="E460" s="2">
        <f t="shared" ca="1" si="52"/>
        <v>44</v>
      </c>
      <c r="F460" s="1">
        <f t="shared" ca="1" si="53"/>
        <v>44.16510160393473</v>
      </c>
      <c r="G460" s="1">
        <f t="shared" ca="1" si="54"/>
        <v>45</v>
      </c>
      <c r="H460" s="1"/>
      <c r="I460">
        <f t="shared" ca="1" si="55"/>
        <v>3.784189633918261</v>
      </c>
    </row>
    <row r="461" spans="1:9" x14ac:dyDescent="0.25">
      <c r="A461" t="s">
        <v>48</v>
      </c>
      <c r="B461" s="3">
        <f t="shared" ca="1" si="49"/>
        <v>41365</v>
      </c>
      <c r="C461" s="1">
        <f t="shared" ca="1" si="50"/>
        <v>4268.236044440313</v>
      </c>
      <c r="D461" s="1">
        <f t="shared" ca="1" si="51"/>
        <v>50.214541699297797</v>
      </c>
      <c r="E461" s="2">
        <f t="shared" ca="1" si="52"/>
        <v>85</v>
      </c>
      <c r="F461" s="1">
        <f t="shared" ca="1" si="53"/>
        <v>27.214541699297794</v>
      </c>
      <c r="G461" s="1">
        <f t="shared" ca="1" si="54"/>
        <v>23</v>
      </c>
      <c r="H461" s="1"/>
      <c r="I461">
        <f t="shared" ca="1" si="55"/>
        <v>4.4426512564903167</v>
      </c>
    </row>
    <row r="462" spans="1:9" x14ac:dyDescent="0.25">
      <c r="A462" t="s">
        <v>22</v>
      </c>
      <c r="B462" s="3">
        <f t="shared" ca="1" si="49"/>
        <v>43129</v>
      </c>
      <c r="C462" s="1">
        <f t="shared" ca="1" si="50"/>
        <v>1478.8485264247274</v>
      </c>
      <c r="D462" s="1">
        <f t="shared" ca="1" si="51"/>
        <v>70.4213584011775</v>
      </c>
      <c r="E462" s="2">
        <f t="shared" ca="1" si="52"/>
        <v>21</v>
      </c>
      <c r="F462" s="1">
        <f t="shared" ca="1" si="53"/>
        <v>40.4213584011775</v>
      </c>
      <c r="G462" s="1">
        <f t="shared" ca="1" si="54"/>
        <v>30</v>
      </c>
      <c r="H462" s="1"/>
      <c r="I462">
        <f t="shared" ca="1" si="55"/>
        <v>3.044522437723423</v>
      </c>
    </row>
    <row r="463" spans="1:9" x14ac:dyDescent="0.25">
      <c r="A463" t="s">
        <v>18</v>
      </c>
      <c r="B463" s="3">
        <f t="shared" ca="1" si="49"/>
        <v>44033</v>
      </c>
      <c r="C463" s="1">
        <f t="shared" ca="1" si="50"/>
        <v>2526.0967237405353</v>
      </c>
      <c r="D463" s="1">
        <f t="shared" ca="1" si="51"/>
        <v>126.30483618702677</v>
      </c>
      <c r="E463" s="2">
        <f t="shared" ca="1" si="52"/>
        <v>20</v>
      </c>
      <c r="F463" s="1">
        <f t="shared" ca="1" si="53"/>
        <v>81.304836187026766</v>
      </c>
      <c r="G463" s="1">
        <f t="shared" ca="1" si="54"/>
        <v>45</v>
      </c>
      <c r="H463" s="1"/>
      <c r="I463">
        <f t="shared" ca="1" si="55"/>
        <v>2.9957322735539909</v>
      </c>
    </row>
    <row r="464" spans="1:9" x14ac:dyDescent="0.25">
      <c r="A464" t="s">
        <v>41</v>
      </c>
      <c r="B464" s="3">
        <f t="shared" ca="1" si="49"/>
        <v>43592</v>
      </c>
      <c r="C464" s="1">
        <f t="shared" ca="1" si="50"/>
        <v>764.82152437150637</v>
      </c>
      <c r="D464" s="1">
        <f t="shared" ca="1" si="51"/>
        <v>127.47025406191773</v>
      </c>
      <c r="E464" s="2">
        <f t="shared" ca="1" si="52"/>
        <v>6</v>
      </c>
      <c r="F464" s="1">
        <f t="shared" ca="1" si="53"/>
        <v>56.470254061917736</v>
      </c>
      <c r="G464" s="1">
        <f t="shared" ca="1" si="54"/>
        <v>71</v>
      </c>
      <c r="H464" s="1"/>
      <c r="I464">
        <f t="shared" ca="1" si="55"/>
        <v>1.791759469228055</v>
      </c>
    </row>
    <row r="465" spans="1:9" x14ac:dyDescent="0.25">
      <c r="A465" t="s">
        <v>30</v>
      </c>
      <c r="B465" s="3">
        <f t="shared" ca="1" si="49"/>
        <v>42599</v>
      </c>
      <c r="C465" s="1">
        <f t="shared" ca="1" si="50"/>
        <v>299.95879529161812</v>
      </c>
      <c r="D465" s="1">
        <f t="shared" ca="1" si="51"/>
        <v>149.97939764580906</v>
      </c>
      <c r="E465" s="2">
        <f t="shared" ca="1" si="52"/>
        <v>2</v>
      </c>
      <c r="F465" s="1">
        <f t="shared" ca="1" si="53"/>
        <v>72.979397645809073</v>
      </c>
      <c r="G465" s="1">
        <f t="shared" ca="1" si="54"/>
        <v>77</v>
      </c>
      <c r="H465" s="1"/>
      <c r="I465">
        <f t="shared" ca="1" si="55"/>
        <v>0.69314718055994529</v>
      </c>
    </row>
    <row r="466" spans="1:9" x14ac:dyDescent="0.25">
      <c r="A466" t="s">
        <v>34</v>
      </c>
      <c r="B466" s="3">
        <f t="shared" ca="1" si="49"/>
        <v>43143</v>
      </c>
      <c r="C466" s="1">
        <f t="shared" ca="1" si="50"/>
        <v>1630.6305500700746</v>
      </c>
      <c r="D466" s="1">
        <f t="shared" ca="1" si="51"/>
        <v>85.82266053000393</v>
      </c>
      <c r="E466" s="2">
        <f t="shared" ca="1" si="52"/>
        <v>19</v>
      </c>
      <c r="F466" s="1">
        <f t="shared" ca="1" si="53"/>
        <v>39.82266053000393</v>
      </c>
      <c r="G466" s="1">
        <f t="shared" ca="1" si="54"/>
        <v>46</v>
      </c>
      <c r="H466" s="1"/>
      <c r="I466">
        <f t="shared" ca="1" si="55"/>
        <v>2.9444389791664403</v>
      </c>
    </row>
    <row r="467" spans="1:9" x14ac:dyDescent="0.25">
      <c r="A467" t="s">
        <v>12</v>
      </c>
      <c r="B467" s="3">
        <f t="shared" ca="1" si="49"/>
        <v>44123</v>
      </c>
      <c r="C467" s="1">
        <f t="shared" ca="1" si="50"/>
        <v>1745.2237405180995</v>
      </c>
      <c r="D467" s="1">
        <f t="shared" ca="1" si="51"/>
        <v>102.66022003047644</v>
      </c>
      <c r="E467" s="2">
        <f t="shared" ca="1" si="52"/>
        <v>17</v>
      </c>
      <c r="F467" s="1">
        <f t="shared" ca="1" si="53"/>
        <v>47.660220030476431</v>
      </c>
      <c r="G467" s="1">
        <f t="shared" ca="1" si="54"/>
        <v>55</v>
      </c>
      <c r="H467" s="1"/>
      <c r="I467">
        <f t="shared" ca="1" si="55"/>
        <v>2.8332133440562162</v>
      </c>
    </row>
    <row r="468" spans="1:9" x14ac:dyDescent="0.25">
      <c r="A468" t="s">
        <v>44</v>
      </c>
      <c r="B468" s="3">
        <f t="shared" ca="1" si="49"/>
        <v>42396</v>
      </c>
      <c r="C468" s="1">
        <f t="shared" ca="1" si="50"/>
        <v>1560.9841200904441</v>
      </c>
      <c r="D468" s="1">
        <f t="shared" ca="1" si="51"/>
        <v>130.08201000753701</v>
      </c>
      <c r="E468" s="2">
        <f t="shared" ca="1" si="52"/>
        <v>12</v>
      </c>
      <c r="F468" s="1">
        <f t="shared" ca="1" si="53"/>
        <v>53.082010007537008</v>
      </c>
      <c r="G468" s="1">
        <f t="shared" ca="1" si="54"/>
        <v>77</v>
      </c>
      <c r="H468" s="1"/>
      <c r="I468">
        <f t="shared" ca="1" si="55"/>
        <v>2.4849066497880004</v>
      </c>
    </row>
    <row r="469" spans="1:9" x14ac:dyDescent="0.25">
      <c r="A469" t="s">
        <v>16</v>
      </c>
      <c r="B469" s="3">
        <f t="shared" ca="1" si="49"/>
        <v>42024</v>
      </c>
      <c r="C469" s="1">
        <f t="shared" ca="1" si="50"/>
        <v>5233.9312444988773</v>
      </c>
      <c r="D469" s="1">
        <f t="shared" ca="1" si="51"/>
        <v>218.08046852078655</v>
      </c>
      <c r="E469" s="2">
        <f t="shared" ca="1" si="52"/>
        <v>24</v>
      </c>
      <c r="F469" s="1">
        <f t="shared" ca="1" si="53"/>
        <v>98.080468520786567</v>
      </c>
      <c r="G469" s="1">
        <f t="shared" ca="1" si="54"/>
        <v>120</v>
      </c>
      <c r="H469" s="1"/>
      <c r="I469">
        <f t="shared" ca="1" si="55"/>
        <v>3.1780538303479458</v>
      </c>
    </row>
    <row r="470" spans="1:9" x14ac:dyDescent="0.25">
      <c r="A470" t="s">
        <v>34</v>
      </c>
      <c r="B470" s="3">
        <f t="shared" ca="1" si="49"/>
        <v>43307</v>
      </c>
      <c r="C470" s="1">
        <f t="shared" ca="1" si="50"/>
        <v>9082.6295603505259</v>
      </c>
      <c r="D470" s="1">
        <f t="shared" ca="1" si="51"/>
        <v>185.3597869459291</v>
      </c>
      <c r="E470" s="2">
        <f t="shared" ca="1" si="52"/>
        <v>49</v>
      </c>
      <c r="F470" s="1">
        <f t="shared" ca="1" si="53"/>
        <v>112.3597869459291</v>
      </c>
      <c r="G470" s="1">
        <f t="shared" ca="1" si="54"/>
        <v>73</v>
      </c>
      <c r="H470" s="1"/>
      <c r="I470">
        <f t="shared" ca="1" si="55"/>
        <v>3.8918202981106265</v>
      </c>
    </row>
    <row r="471" spans="1:9" x14ac:dyDescent="0.25">
      <c r="A471" t="s">
        <v>14</v>
      </c>
      <c r="B471" s="3">
        <f t="shared" ca="1" si="49"/>
        <v>40896</v>
      </c>
      <c r="C471" s="1">
        <f t="shared" ca="1" si="50"/>
        <v>84.220649885778968</v>
      </c>
      <c r="D471" s="1">
        <f t="shared" ca="1" si="51"/>
        <v>42.110324942889484</v>
      </c>
      <c r="E471" s="2">
        <f t="shared" ca="1" si="52"/>
        <v>2</v>
      </c>
      <c r="F471" s="1">
        <f t="shared" ca="1" si="53"/>
        <v>27.110324942889484</v>
      </c>
      <c r="G471" s="1">
        <f t="shared" ca="1" si="54"/>
        <v>15</v>
      </c>
      <c r="H471" s="1"/>
      <c r="I471">
        <f t="shared" ca="1" si="55"/>
        <v>0.69314718055994529</v>
      </c>
    </row>
    <row r="472" spans="1:9" x14ac:dyDescent="0.25">
      <c r="A472" t="s">
        <v>36</v>
      </c>
      <c r="B472" s="3">
        <f t="shared" ca="1" si="49"/>
        <v>41391</v>
      </c>
      <c r="C472" s="1">
        <f t="shared" ca="1" si="50"/>
        <v>2518.5068734736369</v>
      </c>
      <c r="D472" s="1">
        <f t="shared" ca="1" si="51"/>
        <v>279.8340970526263</v>
      </c>
      <c r="E472" s="2">
        <f t="shared" ca="1" si="52"/>
        <v>9</v>
      </c>
      <c r="F472" s="1">
        <f t="shared" ca="1" si="53"/>
        <v>131.8340970526263</v>
      </c>
      <c r="G472" s="1">
        <f t="shared" ca="1" si="54"/>
        <v>148</v>
      </c>
      <c r="H472" s="1"/>
      <c r="I472">
        <f t="shared" ca="1" si="55"/>
        <v>2.1972245773362196</v>
      </c>
    </row>
    <row r="473" spans="1:9" x14ac:dyDescent="0.25">
      <c r="A473" t="s">
        <v>49</v>
      </c>
      <c r="B473" s="3">
        <f t="shared" ca="1" si="49"/>
        <v>41232</v>
      </c>
      <c r="C473" s="1">
        <f t="shared" ca="1" si="50"/>
        <v>10696.965473021784</v>
      </c>
      <c r="D473" s="1">
        <f t="shared" ca="1" si="51"/>
        <v>135.40462624078208</v>
      </c>
      <c r="E473" s="2">
        <f t="shared" ca="1" si="52"/>
        <v>79</v>
      </c>
      <c r="F473" s="1">
        <f t="shared" ca="1" si="53"/>
        <v>54.404626240782065</v>
      </c>
      <c r="G473" s="1">
        <f t="shared" ca="1" si="54"/>
        <v>81</v>
      </c>
      <c r="H473" s="1"/>
      <c r="I473">
        <f t="shared" ca="1" si="55"/>
        <v>4.3694478524670215</v>
      </c>
    </row>
    <row r="474" spans="1:9" x14ac:dyDescent="0.25">
      <c r="A474" t="s">
        <v>48</v>
      </c>
      <c r="B474" s="3">
        <f t="shared" ca="1" si="49"/>
        <v>41769</v>
      </c>
      <c r="C474" s="1">
        <f t="shared" ca="1" si="50"/>
        <v>1849.280302190502</v>
      </c>
      <c r="D474" s="1">
        <f t="shared" ca="1" si="51"/>
        <v>205.475589132278</v>
      </c>
      <c r="E474" s="2">
        <f t="shared" ca="1" si="52"/>
        <v>9</v>
      </c>
      <c r="F474" s="1">
        <f t="shared" ca="1" si="53"/>
        <v>93.475589132277989</v>
      </c>
      <c r="G474" s="1">
        <f t="shared" ca="1" si="54"/>
        <v>112</v>
      </c>
      <c r="H474" s="1"/>
      <c r="I474">
        <f t="shared" ca="1" si="55"/>
        <v>2.1972245773362196</v>
      </c>
    </row>
    <row r="475" spans="1:9" x14ac:dyDescent="0.25">
      <c r="A475" t="s">
        <v>35</v>
      </c>
      <c r="B475" s="3">
        <f t="shared" ca="1" si="49"/>
        <v>42906</v>
      </c>
      <c r="C475" s="1">
        <f t="shared" ca="1" si="50"/>
        <v>795.38294026430515</v>
      </c>
      <c r="D475" s="1">
        <f t="shared" ca="1" si="51"/>
        <v>61.183303097254239</v>
      </c>
      <c r="E475" s="2">
        <f t="shared" ca="1" si="52"/>
        <v>13</v>
      </c>
      <c r="F475" s="1">
        <f t="shared" ca="1" si="53"/>
        <v>38.183303097254239</v>
      </c>
      <c r="G475" s="1">
        <f t="shared" ca="1" si="54"/>
        <v>23</v>
      </c>
      <c r="H475" s="1"/>
      <c r="I475">
        <f t="shared" ca="1" si="55"/>
        <v>2.5649493574615367</v>
      </c>
    </row>
    <row r="476" spans="1:9" x14ac:dyDescent="0.25">
      <c r="A476" t="s">
        <v>32</v>
      </c>
      <c r="B476" s="3">
        <f t="shared" ca="1" si="49"/>
        <v>41857</v>
      </c>
      <c r="C476" s="1">
        <f t="shared" ca="1" si="50"/>
        <v>294.98628997954722</v>
      </c>
      <c r="D476" s="1">
        <f t="shared" ca="1" si="51"/>
        <v>147.49314498977361</v>
      </c>
      <c r="E476" s="2">
        <f t="shared" ca="1" si="52"/>
        <v>2</v>
      </c>
      <c r="F476" s="1">
        <f t="shared" ca="1" si="53"/>
        <v>60.493144989773597</v>
      </c>
      <c r="G476" s="1">
        <f t="shared" ca="1" si="54"/>
        <v>87</v>
      </c>
      <c r="H476" s="1"/>
      <c r="I476">
        <f t="shared" ca="1" si="55"/>
        <v>0.69314718055994529</v>
      </c>
    </row>
    <row r="477" spans="1:9" x14ac:dyDescent="0.25">
      <c r="A477" t="s">
        <v>22</v>
      </c>
      <c r="B477" s="3">
        <f t="shared" ca="1" si="49"/>
        <v>40373</v>
      </c>
      <c r="C477" s="1">
        <f t="shared" ca="1" si="50"/>
        <v>1032.7539257927635</v>
      </c>
      <c r="D477" s="1">
        <f t="shared" ca="1" si="51"/>
        <v>51.637696289638178</v>
      </c>
      <c r="E477" s="2">
        <f t="shared" ca="1" si="52"/>
        <v>20</v>
      </c>
      <c r="F477" s="1">
        <f t="shared" ca="1" si="53"/>
        <v>27.637696289638178</v>
      </c>
      <c r="G477" s="1">
        <f t="shared" ca="1" si="54"/>
        <v>24</v>
      </c>
      <c r="H477" s="1"/>
      <c r="I477">
        <f t="shared" ca="1" si="55"/>
        <v>2.9957322735539909</v>
      </c>
    </row>
    <row r="478" spans="1:9" x14ac:dyDescent="0.25">
      <c r="A478" t="s">
        <v>23</v>
      </c>
      <c r="B478" s="3">
        <f t="shared" ca="1" si="49"/>
        <v>40411</v>
      </c>
      <c r="C478" s="1">
        <f t="shared" ca="1" si="50"/>
        <v>406.43726231103784</v>
      </c>
      <c r="D478" s="1">
        <f t="shared" ca="1" si="51"/>
        <v>81.287452462207568</v>
      </c>
      <c r="E478" s="2">
        <f t="shared" ca="1" si="52"/>
        <v>5</v>
      </c>
      <c r="F478" s="1">
        <f t="shared" ca="1" si="53"/>
        <v>44.287452462207575</v>
      </c>
      <c r="G478" s="1">
        <f t="shared" ca="1" si="54"/>
        <v>37</v>
      </c>
      <c r="H478" s="1"/>
      <c r="I478">
        <f t="shared" ca="1" si="55"/>
        <v>1.6094379124341003</v>
      </c>
    </row>
    <row r="479" spans="1:9" x14ac:dyDescent="0.25">
      <c r="A479" t="s">
        <v>34</v>
      </c>
      <c r="B479" s="3">
        <f t="shared" ca="1" si="49"/>
        <v>42359</v>
      </c>
      <c r="C479" s="1">
        <f t="shared" ca="1" si="50"/>
        <v>1806.6552719386809</v>
      </c>
      <c r="D479" s="1">
        <f t="shared" ca="1" si="51"/>
        <v>164.2413883580619</v>
      </c>
      <c r="E479" s="2">
        <f t="shared" ca="1" si="52"/>
        <v>11</v>
      </c>
      <c r="F479" s="1">
        <f t="shared" ca="1" si="53"/>
        <v>104.24138835806191</v>
      </c>
      <c r="G479" s="1">
        <f t="shared" ca="1" si="54"/>
        <v>60</v>
      </c>
      <c r="H479" s="1"/>
      <c r="I479">
        <f t="shared" ca="1" si="55"/>
        <v>2.3978952727983707</v>
      </c>
    </row>
    <row r="480" spans="1:9" x14ac:dyDescent="0.25">
      <c r="A480" t="s">
        <v>17</v>
      </c>
      <c r="B480" s="3">
        <f t="shared" ca="1" si="49"/>
        <v>41528</v>
      </c>
      <c r="C480" s="1">
        <f t="shared" ca="1" si="50"/>
        <v>547.40077854944275</v>
      </c>
      <c r="D480" s="1">
        <f t="shared" ca="1" si="51"/>
        <v>91.233463091573782</v>
      </c>
      <c r="E480" s="2">
        <f t="shared" ca="1" si="52"/>
        <v>6</v>
      </c>
      <c r="F480" s="1">
        <f t="shared" ca="1" si="53"/>
        <v>44.233463091573789</v>
      </c>
      <c r="G480" s="1">
        <f t="shared" ca="1" si="54"/>
        <v>47</v>
      </c>
      <c r="H480" s="1"/>
      <c r="I480">
        <f t="shared" ca="1" si="55"/>
        <v>1.791759469228055</v>
      </c>
    </row>
    <row r="481" spans="1:9" x14ac:dyDescent="0.25">
      <c r="A481" t="s">
        <v>23</v>
      </c>
      <c r="B481" s="3">
        <f t="shared" ca="1" si="49"/>
        <v>41411</v>
      </c>
      <c r="C481" s="1">
        <f t="shared" ca="1" si="50"/>
        <v>3664.9202452246113</v>
      </c>
      <c r="D481" s="1">
        <f t="shared" ca="1" si="51"/>
        <v>135.73778686017079</v>
      </c>
      <c r="E481" s="2">
        <f t="shared" ca="1" si="52"/>
        <v>27</v>
      </c>
      <c r="F481" s="1">
        <f t="shared" ca="1" si="53"/>
        <v>56.7377868601708</v>
      </c>
      <c r="G481" s="1">
        <f t="shared" ca="1" si="54"/>
        <v>79</v>
      </c>
      <c r="H481" s="1"/>
      <c r="I481">
        <f t="shared" ca="1" si="55"/>
        <v>3.2958368660043291</v>
      </c>
    </row>
    <row r="482" spans="1:9" x14ac:dyDescent="0.25">
      <c r="A482" t="s">
        <v>39</v>
      </c>
      <c r="B482" s="3">
        <f t="shared" ca="1" si="49"/>
        <v>40472</v>
      </c>
      <c r="C482" s="1">
        <f t="shared" ca="1" si="50"/>
        <v>3199.1505718160442</v>
      </c>
      <c r="D482" s="1">
        <f t="shared" ca="1" si="51"/>
        <v>94.092663876942481</v>
      </c>
      <c r="E482" s="2">
        <f t="shared" ca="1" si="52"/>
        <v>34</v>
      </c>
      <c r="F482" s="1">
        <f t="shared" ca="1" si="53"/>
        <v>54.092663876942488</v>
      </c>
      <c r="G482" s="1">
        <f t="shared" ca="1" si="54"/>
        <v>40</v>
      </c>
      <c r="H482" s="1"/>
      <c r="I482">
        <f t="shared" ca="1" si="55"/>
        <v>3.5263605246161616</v>
      </c>
    </row>
    <row r="483" spans="1:9" x14ac:dyDescent="0.25">
      <c r="A483" t="s">
        <v>17</v>
      </c>
      <c r="B483" s="3">
        <f t="shared" ca="1" si="49"/>
        <v>43096</v>
      </c>
      <c r="C483" s="1">
        <f t="shared" ca="1" si="50"/>
        <v>830.42277360046751</v>
      </c>
      <c r="D483" s="1">
        <f t="shared" ca="1" si="51"/>
        <v>166.08455472009351</v>
      </c>
      <c r="E483" s="2">
        <f t="shared" ca="1" si="52"/>
        <v>5</v>
      </c>
      <c r="F483" s="1">
        <f t="shared" ca="1" si="53"/>
        <v>78.084554720093507</v>
      </c>
      <c r="G483" s="1">
        <f t="shared" ca="1" si="54"/>
        <v>88</v>
      </c>
      <c r="H483" s="1"/>
      <c r="I483">
        <f t="shared" ca="1" si="55"/>
        <v>1.6094379124341003</v>
      </c>
    </row>
    <row r="484" spans="1:9" x14ac:dyDescent="0.25">
      <c r="A484" t="s">
        <v>20</v>
      </c>
      <c r="B484" s="3">
        <f t="shared" ca="1" si="49"/>
        <v>41430</v>
      </c>
      <c r="C484" s="1">
        <f t="shared" ca="1" si="50"/>
        <v>2033.0145566058707</v>
      </c>
      <c r="D484" s="1">
        <f t="shared" ca="1" si="51"/>
        <v>127.06340978786692</v>
      </c>
      <c r="E484" s="2">
        <f t="shared" ca="1" si="52"/>
        <v>16</v>
      </c>
      <c r="F484" s="1">
        <f t="shared" ca="1" si="53"/>
        <v>66.063409787866917</v>
      </c>
      <c r="G484" s="1">
        <f t="shared" ca="1" si="54"/>
        <v>61</v>
      </c>
      <c r="H484" s="1"/>
      <c r="I484">
        <f t="shared" ca="1" si="55"/>
        <v>2.7725887222397811</v>
      </c>
    </row>
    <row r="485" spans="1:9" x14ac:dyDescent="0.25">
      <c r="A485" t="s">
        <v>14</v>
      </c>
      <c r="B485" s="3">
        <f t="shared" ca="1" si="49"/>
        <v>40527</v>
      </c>
      <c r="C485" s="1">
        <f t="shared" ca="1" si="50"/>
        <v>3425.4553481017392</v>
      </c>
      <c r="D485" s="1">
        <f t="shared" ca="1" si="51"/>
        <v>131.74828261929767</v>
      </c>
      <c r="E485" s="2">
        <f t="shared" ca="1" si="52"/>
        <v>26</v>
      </c>
      <c r="F485" s="1">
        <f t="shared" ca="1" si="53"/>
        <v>64.748282619297669</v>
      </c>
      <c r="G485" s="1">
        <f t="shared" ca="1" si="54"/>
        <v>67</v>
      </c>
      <c r="H485" s="1"/>
      <c r="I485">
        <f t="shared" ca="1" si="55"/>
        <v>3.2580965380214821</v>
      </c>
    </row>
    <row r="486" spans="1:9" x14ac:dyDescent="0.25">
      <c r="A486" t="s">
        <v>18</v>
      </c>
      <c r="B486" s="3">
        <f t="shared" ca="1" si="49"/>
        <v>41462</v>
      </c>
      <c r="C486" s="1">
        <f t="shared" ca="1" si="50"/>
        <v>3402.9557018928613</v>
      </c>
      <c r="D486" s="1">
        <f t="shared" ca="1" si="51"/>
        <v>87.255274407509262</v>
      </c>
      <c r="E486" s="2">
        <f t="shared" ca="1" si="52"/>
        <v>39</v>
      </c>
      <c r="F486" s="1">
        <f t="shared" ca="1" si="53"/>
        <v>48.255274407509255</v>
      </c>
      <c r="G486" s="1">
        <f t="shared" ca="1" si="54"/>
        <v>39</v>
      </c>
      <c r="H486" s="1"/>
      <c r="I486">
        <f t="shared" ca="1" si="55"/>
        <v>3.6635616461296463</v>
      </c>
    </row>
    <row r="487" spans="1:9" x14ac:dyDescent="0.25">
      <c r="A487" t="s">
        <v>25</v>
      </c>
      <c r="B487" s="3">
        <f t="shared" ca="1" si="49"/>
        <v>43807</v>
      </c>
      <c r="C487" s="1">
        <f t="shared" ca="1" si="50"/>
        <v>3186.5141738901252</v>
      </c>
      <c r="D487" s="1">
        <f t="shared" ca="1" si="51"/>
        <v>245.116474914625</v>
      </c>
      <c r="E487" s="2">
        <f t="shared" ca="1" si="52"/>
        <v>13</v>
      </c>
      <c r="F487" s="1">
        <f t="shared" ca="1" si="53"/>
        <v>101.116474914625</v>
      </c>
      <c r="G487" s="1">
        <f t="shared" ca="1" si="54"/>
        <v>144</v>
      </c>
      <c r="H487" s="1"/>
      <c r="I487">
        <f t="shared" ca="1" si="55"/>
        <v>2.5649493574615367</v>
      </c>
    </row>
    <row r="488" spans="1:9" x14ac:dyDescent="0.25">
      <c r="A488" t="s">
        <v>27</v>
      </c>
      <c r="B488" s="3">
        <f t="shared" ca="1" si="49"/>
        <v>43279</v>
      </c>
      <c r="C488" s="1">
        <f t="shared" ca="1" si="50"/>
        <v>276.8998088176827</v>
      </c>
      <c r="D488" s="1">
        <f t="shared" ca="1" si="51"/>
        <v>69.224952204420674</v>
      </c>
      <c r="E488" s="2">
        <f t="shared" ca="1" si="52"/>
        <v>4</v>
      </c>
      <c r="F488" s="1">
        <f t="shared" ca="1" si="53"/>
        <v>45.224952204420667</v>
      </c>
      <c r="G488" s="1">
        <f t="shared" ca="1" si="54"/>
        <v>24</v>
      </c>
      <c r="H488" s="1"/>
      <c r="I488">
        <f t="shared" ca="1" si="55"/>
        <v>1.3862943611198906</v>
      </c>
    </row>
    <row r="489" spans="1:9" x14ac:dyDescent="0.25">
      <c r="A489" t="s">
        <v>36</v>
      </c>
      <c r="B489" s="3">
        <f t="shared" ca="1" si="49"/>
        <v>40239</v>
      </c>
      <c r="C489" s="1">
        <f t="shared" ca="1" si="50"/>
        <v>1154.5038465995972</v>
      </c>
      <c r="D489" s="1">
        <f t="shared" ca="1" si="51"/>
        <v>164.92912094279961</v>
      </c>
      <c r="E489" s="2">
        <f t="shared" ca="1" si="52"/>
        <v>7</v>
      </c>
      <c r="F489" s="1">
        <f t="shared" ca="1" si="53"/>
        <v>90.929120942799599</v>
      </c>
      <c r="G489" s="1">
        <f t="shared" ca="1" si="54"/>
        <v>74</v>
      </c>
      <c r="H489" s="1"/>
      <c r="I489">
        <f t="shared" ca="1" si="55"/>
        <v>1.9459101490553132</v>
      </c>
    </row>
    <row r="490" spans="1:9" x14ac:dyDescent="0.25">
      <c r="A490" t="s">
        <v>36</v>
      </c>
      <c r="B490" s="3">
        <f t="shared" ca="1" si="49"/>
        <v>43925</v>
      </c>
      <c r="C490" s="1">
        <f t="shared" ca="1" si="50"/>
        <v>10881.480596885947</v>
      </c>
      <c r="D490" s="1">
        <f t="shared" ca="1" si="51"/>
        <v>145.0864079584793</v>
      </c>
      <c r="E490" s="2">
        <f t="shared" ca="1" si="52"/>
        <v>75</v>
      </c>
      <c r="F490" s="1">
        <f t="shared" ca="1" si="53"/>
        <v>64.086407958479285</v>
      </c>
      <c r="G490" s="1">
        <f t="shared" ca="1" si="54"/>
        <v>81</v>
      </c>
      <c r="H490" s="1"/>
      <c r="I490">
        <f t="shared" ca="1" si="55"/>
        <v>4.3174881135363101</v>
      </c>
    </row>
    <row r="491" spans="1:9" x14ac:dyDescent="0.25">
      <c r="A491" t="s">
        <v>34</v>
      </c>
      <c r="B491" s="3">
        <f t="shared" ca="1" si="49"/>
        <v>40599</v>
      </c>
      <c r="C491" s="1">
        <f t="shared" ca="1" si="50"/>
        <v>1728.2540594461948</v>
      </c>
      <c r="D491" s="1">
        <f t="shared" ca="1" si="51"/>
        <v>96.01411441367749</v>
      </c>
      <c r="E491" s="2">
        <f t="shared" ca="1" si="52"/>
        <v>18</v>
      </c>
      <c r="F491" s="1">
        <f t="shared" ca="1" si="53"/>
        <v>58.01411441367749</v>
      </c>
      <c r="G491" s="1">
        <f t="shared" ca="1" si="54"/>
        <v>38</v>
      </c>
      <c r="H491" s="1"/>
      <c r="I491">
        <f t="shared" ca="1" si="55"/>
        <v>2.8903717578961645</v>
      </c>
    </row>
    <row r="492" spans="1:9" x14ac:dyDescent="0.25">
      <c r="A492" t="s">
        <v>41</v>
      </c>
      <c r="B492" s="3">
        <f t="shared" ca="1" si="49"/>
        <v>43071</v>
      </c>
      <c r="C492" s="1">
        <f t="shared" ca="1" si="50"/>
        <v>4290.097811595333</v>
      </c>
      <c r="D492" s="1">
        <f t="shared" ca="1" si="51"/>
        <v>153.21777898554762</v>
      </c>
      <c r="E492" s="2">
        <f t="shared" ca="1" si="52"/>
        <v>28</v>
      </c>
      <c r="F492" s="1">
        <f t="shared" ca="1" si="53"/>
        <v>86.217778985547625</v>
      </c>
      <c r="G492" s="1">
        <f t="shared" ca="1" si="54"/>
        <v>67</v>
      </c>
      <c r="H492" s="1"/>
      <c r="I492">
        <f t="shared" ca="1" si="55"/>
        <v>3.3322045101752038</v>
      </c>
    </row>
    <row r="493" spans="1:9" x14ac:dyDescent="0.25">
      <c r="A493" t="s">
        <v>30</v>
      </c>
      <c r="B493" s="3">
        <f t="shared" ca="1" si="49"/>
        <v>41230</v>
      </c>
      <c r="C493" s="1">
        <f t="shared" ca="1" si="50"/>
        <v>4005.5047719540507</v>
      </c>
      <c r="D493" s="1">
        <f t="shared" ca="1" si="51"/>
        <v>102.70525056292438</v>
      </c>
      <c r="E493" s="2">
        <f t="shared" ca="1" si="52"/>
        <v>39</v>
      </c>
      <c r="F493" s="1">
        <f t="shared" ca="1" si="53"/>
        <v>66.705250562924377</v>
      </c>
      <c r="G493" s="1">
        <f t="shared" ca="1" si="54"/>
        <v>36</v>
      </c>
      <c r="H493" s="1"/>
      <c r="I493">
        <f t="shared" ca="1" si="55"/>
        <v>3.6635616461296463</v>
      </c>
    </row>
    <row r="494" spans="1:9" x14ac:dyDescent="0.25">
      <c r="A494" t="s">
        <v>32</v>
      </c>
      <c r="B494" s="3">
        <f t="shared" ca="1" si="49"/>
        <v>41592</v>
      </c>
      <c r="C494" s="1">
        <f t="shared" ca="1" si="50"/>
        <v>1525.343586981676</v>
      </c>
      <c r="D494" s="1">
        <f t="shared" ca="1" si="51"/>
        <v>101.68957246544507</v>
      </c>
      <c r="E494" s="2">
        <f t="shared" ca="1" si="52"/>
        <v>15</v>
      </c>
      <c r="F494" s="1">
        <f t="shared" ca="1" si="53"/>
        <v>52.689572465445067</v>
      </c>
      <c r="G494" s="1">
        <f t="shared" ca="1" si="54"/>
        <v>49</v>
      </c>
      <c r="H494" s="1"/>
      <c r="I494">
        <f t="shared" ca="1" si="55"/>
        <v>2.7080502011022101</v>
      </c>
    </row>
    <row r="495" spans="1:9" x14ac:dyDescent="0.25">
      <c r="A495" t="s">
        <v>39</v>
      </c>
      <c r="B495" s="3">
        <f t="shared" ca="1" si="49"/>
        <v>42528</v>
      </c>
      <c r="C495" s="1">
        <f t="shared" ca="1" si="50"/>
        <v>4566.4207930495168</v>
      </c>
      <c r="D495" s="1">
        <f t="shared" ca="1" si="51"/>
        <v>89.53766260881406</v>
      </c>
      <c r="E495" s="2">
        <f t="shared" ca="1" si="52"/>
        <v>51</v>
      </c>
      <c r="F495" s="1">
        <f t="shared" ca="1" si="53"/>
        <v>37.53766260881406</v>
      </c>
      <c r="G495" s="1">
        <f t="shared" ca="1" si="54"/>
        <v>52</v>
      </c>
      <c r="H495" s="1"/>
      <c r="I495">
        <f t="shared" ca="1" si="55"/>
        <v>3.9318256327243257</v>
      </c>
    </row>
    <row r="496" spans="1:9" x14ac:dyDescent="0.25">
      <c r="A496" t="s">
        <v>21</v>
      </c>
      <c r="B496" s="3">
        <f t="shared" ca="1" si="49"/>
        <v>41650</v>
      </c>
      <c r="C496" s="1">
        <f t="shared" ca="1" si="50"/>
        <v>5042.0795289286261</v>
      </c>
      <c r="D496" s="1">
        <f t="shared" ca="1" si="51"/>
        <v>157.56498527901957</v>
      </c>
      <c r="E496" s="2">
        <f t="shared" ca="1" si="52"/>
        <v>32</v>
      </c>
      <c r="F496" s="1">
        <f t="shared" ca="1" si="53"/>
        <v>76.564985279019567</v>
      </c>
      <c r="G496" s="1">
        <f t="shared" ca="1" si="54"/>
        <v>81</v>
      </c>
      <c r="H496" s="1"/>
      <c r="I496">
        <f t="shared" ca="1" si="55"/>
        <v>3.4657359027997265</v>
      </c>
    </row>
    <row r="497" spans="1:9" x14ac:dyDescent="0.25">
      <c r="A497" t="s">
        <v>47</v>
      </c>
      <c r="B497" s="3">
        <f t="shared" ca="1" si="49"/>
        <v>41822</v>
      </c>
      <c r="C497" s="1">
        <f t="shared" ca="1" si="50"/>
        <v>312.62290271354408</v>
      </c>
      <c r="D497" s="1">
        <f t="shared" ca="1" si="51"/>
        <v>52.103817118924013</v>
      </c>
      <c r="E497" s="2">
        <f t="shared" ca="1" si="52"/>
        <v>6</v>
      </c>
      <c r="F497" s="1">
        <f t="shared" ca="1" si="53"/>
        <v>30.103817118924013</v>
      </c>
      <c r="G497" s="1">
        <f t="shared" ca="1" si="54"/>
        <v>22</v>
      </c>
      <c r="H497" s="1"/>
      <c r="I497">
        <f t="shared" ca="1" si="55"/>
        <v>1.791759469228055</v>
      </c>
    </row>
    <row r="498" spans="1:9" x14ac:dyDescent="0.25">
      <c r="A498" t="s">
        <v>48</v>
      </c>
      <c r="B498" s="3">
        <f t="shared" ca="1" si="49"/>
        <v>44158</v>
      </c>
      <c r="C498" s="1">
        <f t="shared" ca="1" si="50"/>
        <v>1739.5857388859097</v>
      </c>
      <c r="D498" s="1">
        <f t="shared" ca="1" si="51"/>
        <v>173.95857388859096</v>
      </c>
      <c r="E498" s="2">
        <f t="shared" ca="1" si="52"/>
        <v>10</v>
      </c>
      <c r="F498" s="1">
        <f t="shared" ca="1" si="53"/>
        <v>83.958573888590962</v>
      </c>
      <c r="G498" s="1">
        <f t="shared" ca="1" si="54"/>
        <v>90</v>
      </c>
      <c r="H498" s="1"/>
      <c r="I498">
        <f t="shared" ca="1" si="55"/>
        <v>2.3025850929940459</v>
      </c>
    </row>
    <row r="499" spans="1:9" x14ac:dyDescent="0.25">
      <c r="A499" t="s">
        <v>11</v>
      </c>
      <c r="B499" s="3">
        <f t="shared" ca="1" si="49"/>
        <v>44146</v>
      </c>
      <c r="C499" s="1">
        <f t="shared" ca="1" si="50"/>
        <v>106.43609663574991</v>
      </c>
      <c r="D499" s="1">
        <f t="shared" ca="1" si="51"/>
        <v>53.218048317874953</v>
      </c>
      <c r="E499" s="2">
        <f t="shared" ca="1" si="52"/>
        <v>2</v>
      </c>
      <c r="F499" s="1">
        <f t="shared" ca="1" si="53"/>
        <v>28.218048317874953</v>
      </c>
      <c r="G499" s="1">
        <f t="shared" ca="1" si="54"/>
        <v>25</v>
      </c>
      <c r="H499" s="1"/>
      <c r="I499">
        <f t="shared" ca="1" si="55"/>
        <v>0.69314718055994529</v>
      </c>
    </row>
    <row r="500" spans="1:9" x14ac:dyDescent="0.25">
      <c r="A500" t="s">
        <v>26</v>
      </c>
      <c r="B500" s="3">
        <f t="shared" ca="1" si="49"/>
        <v>40794</v>
      </c>
      <c r="C500" s="1">
        <f t="shared" ca="1" si="50"/>
        <v>5080.8185894767885</v>
      </c>
      <c r="D500" s="1">
        <f t="shared" ca="1" si="51"/>
        <v>120.97187117801877</v>
      </c>
      <c r="E500" s="2">
        <f t="shared" ca="1" si="52"/>
        <v>42</v>
      </c>
      <c r="F500" s="1">
        <f t="shared" ca="1" si="53"/>
        <v>76.971871178018773</v>
      </c>
      <c r="G500" s="1">
        <f t="shared" ca="1" si="54"/>
        <v>44</v>
      </c>
      <c r="H500" s="1"/>
      <c r="I500">
        <f t="shared" ca="1" si="55"/>
        <v>3.7376696182833684</v>
      </c>
    </row>
    <row r="501" spans="1:9" x14ac:dyDescent="0.25">
      <c r="A501" t="s">
        <v>25</v>
      </c>
      <c r="B501" s="3">
        <f t="shared" ca="1" si="49"/>
        <v>41765</v>
      </c>
      <c r="C501" s="1">
        <f t="shared" ca="1" si="50"/>
        <v>4108.5133140195794</v>
      </c>
      <c r="D501" s="1">
        <f t="shared" ca="1" si="51"/>
        <v>132.5326875490187</v>
      </c>
      <c r="E501" s="2">
        <f t="shared" ca="1" si="52"/>
        <v>31</v>
      </c>
      <c r="F501" s="1">
        <f t="shared" ca="1" si="53"/>
        <v>74.532687549018689</v>
      </c>
      <c r="G501" s="1">
        <f t="shared" ca="1" si="54"/>
        <v>58</v>
      </c>
      <c r="H501" s="1"/>
      <c r="I501">
        <f t="shared" ca="1" si="55"/>
        <v>3.4339872044851463</v>
      </c>
    </row>
    <row r="502" spans="1:9" x14ac:dyDescent="0.25">
      <c r="A502" t="s">
        <v>46</v>
      </c>
      <c r="B502" s="3">
        <f t="shared" ca="1" si="49"/>
        <v>40669</v>
      </c>
      <c r="C502" s="1">
        <f t="shared" ca="1" si="50"/>
        <v>3906.4892019333356</v>
      </c>
      <c r="D502" s="1">
        <f t="shared" ca="1" si="51"/>
        <v>83.116791530496499</v>
      </c>
      <c r="E502" s="2">
        <f t="shared" ca="1" si="52"/>
        <v>47</v>
      </c>
      <c r="F502" s="1">
        <f t="shared" ca="1" si="53"/>
        <v>46.116791530496499</v>
      </c>
      <c r="G502" s="1">
        <f t="shared" ca="1" si="54"/>
        <v>37</v>
      </c>
      <c r="H502" s="1"/>
      <c r="I502">
        <f t="shared" ca="1" si="55"/>
        <v>3.8501476017100584</v>
      </c>
    </row>
    <row r="503" spans="1:9" x14ac:dyDescent="0.25">
      <c r="B503" s="3"/>
      <c r="C503" s="1"/>
      <c r="D503" s="1"/>
      <c r="E503" s="2"/>
      <c r="F503" s="1"/>
      <c r="G503" s="1"/>
    </row>
    <row r="504" spans="1:9" x14ac:dyDescent="0.25">
      <c r="B504" s="3"/>
      <c r="C504" s="1"/>
      <c r="D504" s="1"/>
      <c r="E504" s="2"/>
      <c r="F504" s="1"/>
      <c r="G504" s="1"/>
    </row>
    <row r="505" spans="1:9" x14ac:dyDescent="0.25">
      <c r="B505" s="3"/>
      <c r="C505" s="1"/>
      <c r="D505" s="1"/>
      <c r="E505" s="2"/>
      <c r="F505" s="1"/>
      <c r="G505" s="1"/>
    </row>
    <row r="506" spans="1:9" x14ac:dyDescent="0.25">
      <c r="B506" s="3"/>
      <c r="C506" s="1"/>
      <c r="D506" s="1"/>
      <c r="E506" s="2"/>
      <c r="F506" s="1"/>
      <c r="G506" s="1"/>
    </row>
    <row r="507" spans="1:9" x14ac:dyDescent="0.25">
      <c r="B507" s="3"/>
      <c r="C507" s="1"/>
      <c r="D507" s="1"/>
      <c r="E507" s="2"/>
      <c r="F507" s="1"/>
      <c r="G507" s="1"/>
    </row>
    <row r="508" spans="1:9" x14ac:dyDescent="0.25">
      <c r="B508" s="3"/>
      <c r="C508" s="1"/>
      <c r="D508" s="1"/>
      <c r="E508" s="2"/>
      <c r="F508" s="1"/>
      <c r="G508" s="1"/>
    </row>
    <row r="509" spans="1:9" x14ac:dyDescent="0.25">
      <c r="B509" s="3"/>
      <c r="C509" s="1"/>
      <c r="D509" s="1"/>
      <c r="E509" s="2"/>
      <c r="F509" s="1"/>
      <c r="G509" s="1"/>
    </row>
    <row r="510" spans="1:9" x14ac:dyDescent="0.25">
      <c r="B510" s="3"/>
      <c r="C510" s="1"/>
      <c r="D510" s="1"/>
      <c r="E510" s="2"/>
      <c r="F510" s="1"/>
      <c r="G510" s="1"/>
    </row>
    <row r="511" spans="1:9" x14ac:dyDescent="0.25">
      <c r="B511" s="3"/>
      <c r="C511" s="1"/>
      <c r="D511" s="1"/>
      <c r="E511" s="2"/>
      <c r="F511" s="1"/>
      <c r="G511" s="1"/>
    </row>
    <row r="512" spans="1:9" x14ac:dyDescent="0.25">
      <c r="B512" s="3"/>
      <c r="C512" s="1"/>
      <c r="D512" s="1"/>
      <c r="E512" s="2"/>
      <c r="F512" s="1"/>
      <c r="G512" s="1"/>
    </row>
    <row r="513" spans="2:7" x14ac:dyDescent="0.25">
      <c r="B513" s="3"/>
      <c r="C513" s="1"/>
      <c r="D513" s="1"/>
      <c r="E513" s="2"/>
      <c r="F513" s="1"/>
      <c r="G513" s="1"/>
    </row>
    <row r="514" spans="2:7" x14ac:dyDescent="0.25">
      <c r="B514" s="3"/>
      <c r="C514" s="1"/>
      <c r="D514" s="1"/>
      <c r="E514" s="2"/>
      <c r="F514" s="1"/>
      <c r="G514" s="1"/>
    </row>
    <row r="515" spans="2:7" x14ac:dyDescent="0.25">
      <c r="B515" s="3"/>
      <c r="C515" s="1"/>
      <c r="D515" s="1"/>
      <c r="E515" s="2"/>
      <c r="F515" s="1"/>
      <c r="G515" s="1"/>
    </row>
    <row r="516" spans="2:7" x14ac:dyDescent="0.25">
      <c r="B516" s="3"/>
      <c r="C516" s="1"/>
      <c r="D516" s="1"/>
      <c r="E516" s="2"/>
      <c r="F516" s="1"/>
      <c r="G516" s="1"/>
    </row>
    <row r="517" spans="2:7" x14ac:dyDescent="0.25">
      <c r="B517" s="3"/>
      <c r="C517" s="1"/>
      <c r="D517" s="1"/>
      <c r="E517" s="2"/>
      <c r="F517" s="1"/>
      <c r="G517" s="1"/>
    </row>
    <row r="518" spans="2:7" x14ac:dyDescent="0.25">
      <c r="B518" s="3"/>
      <c r="C518" s="1"/>
      <c r="D518" s="1"/>
      <c r="E518" s="2"/>
      <c r="F518" s="1"/>
      <c r="G518" s="1"/>
    </row>
    <row r="519" spans="2:7" x14ac:dyDescent="0.25">
      <c r="B519" s="3"/>
      <c r="C519" s="1"/>
      <c r="D519" s="1"/>
      <c r="E519" s="2"/>
      <c r="F519" s="1"/>
      <c r="G519" s="1"/>
    </row>
    <row r="520" spans="2:7" x14ac:dyDescent="0.25">
      <c r="B520" s="3"/>
      <c r="C520" s="1"/>
      <c r="D520" s="1"/>
      <c r="E520" s="2"/>
      <c r="F520" s="1"/>
      <c r="G520" s="1"/>
    </row>
  </sheetData>
  <sortState xmlns:xlrd2="http://schemas.microsoft.com/office/spreadsheetml/2017/richdata2" ref="B3:G502">
    <sortCondition descending="1" ref="B3:B50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7E0B-54B6-46F6-BD26-DE979DF034A4}">
  <dimension ref="A1:K520"/>
  <sheetViews>
    <sheetView workbookViewId="0">
      <selection activeCell="C30" sqref="C30"/>
    </sheetView>
  </sheetViews>
  <sheetFormatPr defaultRowHeight="15" x14ac:dyDescent="0.25"/>
  <cols>
    <col min="1" max="1" width="15.140625" bestFit="1" customWidth="1"/>
    <col min="2" max="2" width="11.7109375" bestFit="1" customWidth="1"/>
    <col min="10" max="10" width="17.85546875" bestFit="1" customWidth="1"/>
  </cols>
  <sheetData>
    <row r="1" spans="1:11" x14ac:dyDescent="0.25">
      <c r="G1" t="s">
        <v>0</v>
      </c>
      <c r="H1" t="s">
        <v>1</v>
      </c>
      <c r="I1" t="s">
        <v>2</v>
      </c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50</v>
      </c>
      <c r="F2" t="s">
        <v>51</v>
      </c>
      <c r="G2" t="s">
        <v>7</v>
      </c>
      <c r="H2" t="s">
        <v>8</v>
      </c>
      <c r="I2" t="s">
        <v>9</v>
      </c>
      <c r="J2" t="s">
        <v>10</v>
      </c>
      <c r="K2" t="s">
        <v>52</v>
      </c>
    </row>
    <row r="3" spans="1:11" x14ac:dyDescent="0.25">
      <c r="A3" t="s">
        <v>26</v>
      </c>
      <c r="B3" s="3">
        <v>44196</v>
      </c>
      <c r="C3" s="1">
        <v>1564.407037995232</v>
      </c>
      <c r="D3" s="1">
        <v>173.82300422169246</v>
      </c>
      <c r="E3" s="1">
        <f>+G3*H3</f>
        <v>943.40703799523214</v>
      </c>
      <c r="F3" s="1">
        <f>+G3*I3</f>
        <v>621</v>
      </c>
      <c r="G3" s="2">
        <v>9</v>
      </c>
      <c r="H3" s="1">
        <v>104.82300422169246</v>
      </c>
      <c r="I3" s="1">
        <v>69</v>
      </c>
      <c r="J3" s="1">
        <f>+C3</f>
        <v>1564.407037995232</v>
      </c>
      <c r="K3" s="1">
        <f>+E3</f>
        <v>943.40703799523214</v>
      </c>
    </row>
    <row r="4" spans="1:11" x14ac:dyDescent="0.25">
      <c r="A4" t="s">
        <v>46</v>
      </c>
      <c r="B4" s="3">
        <v>44190</v>
      </c>
      <c r="C4" s="1">
        <v>10830.484273708065</v>
      </c>
      <c r="D4" s="1">
        <v>135.38105342135083</v>
      </c>
      <c r="E4" s="1">
        <f t="shared" ref="E4:E67" si="0">+G4*H4</f>
        <v>6910.4842737080662</v>
      </c>
      <c r="F4" s="1">
        <f t="shared" ref="F4:F67" si="1">+G4*I4</f>
        <v>3920</v>
      </c>
      <c r="G4" s="2">
        <v>80</v>
      </c>
      <c r="H4" s="1">
        <v>86.381053421350828</v>
      </c>
      <c r="I4" s="1">
        <v>49</v>
      </c>
      <c r="J4" s="1">
        <f>+J3+C4</f>
        <v>12394.891311703297</v>
      </c>
      <c r="K4" s="1">
        <f>+K3+E4</f>
        <v>7853.891311703298</v>
      </c>
    </row>
    <row r="5" spans="1:11" x14ac:dyDescent="0.25">
      <c r="A5" t="s">
        <v>11</v>
      </c>
      <c r="B5" s="3">
        <v>44181</v>
      </c>
      <c r="C5" s="1">
        <v>2313.6293014759617</v>
      </c>
      <c r="D5" s="1">
        <v>192.80244178966348</v>
      </c>
      <c r="E5" s="1">
        <f t="shared" si="0"/>
        <v>1233.6293014759617</v>
      </c>
      <c r="F5" s="1">
        <f t="shared" si="1"/>
        <v>1080</v>
      </c>
      <c r="G5" s="2">
        <v>12</v>
      </c>
      <c r="H5" s="1">
        <v>102.80244178966348</v>
      </c>
      <c r="I5" s="1">
        <v>90</v>
      </c>
      <c r="J5" s="1">
        <f t="shared" ref="J5:J68" si="2">+J4+C5</f>
        <v>14708.520613179258</v>
      </c>
      <c r="K5" s="1">
        <f t="shared" ref="K5:K68" si="3">+K4+E5</f>
        <v>9087.5206131792602</v>
      </c>
    </row>
    <row r="6" spans="1:11" x14ac:dyDescent="0.25">
      <c r="A6" t="s">
        <v>41</v>
      </c>
      <c r="B6" s="3">
        <v>44163</v>
      </c>
      <c r="C6" s="1">
        <v>1881.9656178577998</v>
      </c>
      <c r="D6" s="1">
        <v>85.543891720809086</v>
      </c>
      <c r="E6" s="1">
        <f t="shared" si="0"/>
        <v>803.96561785779988</v>
      </c>
      <c r="F6" s="1">
        <f t="shared" si="1"/>
        <v>1078</v>
      </c>
      <c r="G6" s="2">
        <v>22</v>
      </c>
      <c r="H6" s="1">
        <v>36.543891720809086</v>
      </c>
      <c r="I6" s="1">
        <v>49</v>
      </c>
      <c r="J6" s="1">
        <f t="shared" si="2"/>
        <v>16590.486231037059</v>
      </c>
      <c r="K6" s="1">
        <f t="shared" si="3"/>
        <v>9891.4862310370609</v>
      </c>
    </row>
    <row r="7" spans="1:11" x14ac:dyDescent="0.25">
      <c r="A7" t="s">
        <v>13</v>
      </c>
      <c r="B7" s="3">
        <v>44160</v>
      </c>
      <c r="C7" s="1">
        <v>1572.4451189061003</v>
      </c>
      <c r="D7" s="1">
        <v>112.31750849329288</v>
      </c>
      <c r="E7" s="1">
        <f t="shared" si="0"/>
        <v>872.44511890610033</v>
      </c>
      <c r="F7" s="1">
        <f t="shared" si="1"/>
        <v>700</v>
      </c>
      <c r="G7" s="2">
        <v>14</v>
      </c>
      <c r="H7" s="1">
        <v>62.317508493292877</v>
      </c>
      <c r="I7" s="1">
        <v>50</v>
      </c>
      <c r="J7" s="1">
        <f t="shared" si="2"/>
        <v>18162.931349943159</v>
      </c>
      <c r="K7" s="1">
        <f t="shared" si="3"/>
        <v>10763.931349943161</v>
      </c>
    </row>
    <row r="8" spans="1:11" x14ac:dyDescent="0.25">
      <c r="A8" t="s">
        <v>25</v>
      </c>
      <c r="B8" s="3">
        <v>44159</v>
      </c>
      <c r="C8" s="1">
        <v>5581.0923255227844</v>
      </c>
      <c r="D8" s="1">
        <v>139.5273081380696</v>
      </c>
      <c r="E8" s="1">
        <f t="shared" si="0"/>
        <v>2381.092325522784</v>
      </c>
      <c r="F8" s="1">
        <f t="shared" si="1"/>
        <v>3200</v>
      </c>
      <c r="G8" s="2">
        <v>40</v>
      </c>
      <c r="H8" s="1">
        <v>59.5273081380696</v>
      </c>
      <c r="I8" s="1">
        <v>80</v>
      </c>
      <c r="J8" s="1">
        <f t="shared" si="2"/>
        <v>23744.023675465942</v>
      </c>
      <c r="K8" s="1">
        <f t="shared" si="3"/>
        <v>13145.023675465945</v>
      </c>
    </row>
    <row r="9" spans="1:11" x14ac:dyDescent="0.25">
      <c r="A9" t="s">
        <v>21</v>
      </c>
      <c r="B9" s="3">
        <v>44152</v>
      </c>
      <c r="C9" s="1">
        <v>1554.6592951170171</v>
      </c>
      <c r="D9" s="1">
        <v>119.58917654746286</v>
      </c>
      <c r="E9" s="1">
        <f t="shared" si="0"/>
        <v>735.65929511701711</v>
      </c>
      <c r="F9" s="1">
        <f t="shared" si="1"/>
        <v>819</v>
      </c>
      <c r="G9" s="2">
        <v>13</v>
      </c>
      <c r="H9" s="1">
        <v>56.589176547462856</v>
      </c>
      <c r="I9" s="1">
        <v>63</v>
      </c>
      <c r="J9" s="1">
        <f t="shared" si="2"/>
        <v>25298.682970582959</v>
      </c>
      <c r="K9" s="1">
        <f t="shared" si="3"/>
        <v>13880.682970582962</v>
      </c>
    </row>
    <row r="10" spans="1:11" x14ac:dyDescent="0.25">
      <c r="A10" t="s">
        <v>18</v>
      </c>
      <c r="B10" s="3">
        <v>44144</v>
      </c>
      <c r="C10" s="1">
        <v>2018.6707854889869</v>
      </c>
      <c r="D10" s="1">
        <v>100.93353927444934</v>
      </c>
      <c r="E10" s="1">
        <f t="shared" si="0"/>
        <v>1218.6707854889869</v>
      </c>
      <c r="F10" s="1">
        <f t="shared" si="1"/>
        <v>800</v>
      </c>
      <c r="G10" s="2">
        <v>20</v>
      </c>
      <c r="H10" s="1">
        <v>60.933539274449345</v>
      </c>
      <c r="I10" s="1">
        <v>40</v>
      </c>
      <c r="J10" s="1">
        <f t="shared" si="2"/>
        <v>27317.353756071945</v>
      </c>
      <c r="K10" s="1">
        <f t="shared" si="3"/>
        <v>15099.353756071949</v>
      </c>
    </row>
    <row r="11" spans="1:11" x14ac:dyDescent="0.25">
      <c r="A11" t="s">
        <v>24</v>
      </c>
      <c r="B11" s="3">
        <v>44139</v>
      </c>
      <c r="C11" s="1">
        <v>2652.9646937188641</v>
      </c>
      <c r="D11" s="1">
        <v>221.08039114323867</v>
      </c>
      <c r="E11" s="1">
        <f t="shared" si="0"/>
        <v>1272.9646937188643</v>
      </c>
      <c r="F11" s="1">
        <f t="shared" si="1"/>
        <v>1380</v>
      </c>
      <c r="G11" s="2">
        <v>12</v>
      </c>
      <c r="H11" s="1">
        <v>106.08039114323869</v>
      </c>
      <c r="I11" s="1">
        <v>115</v>
      </c>
      <c r="J11" s="1">
        <f t="shared" si="2"/>
        <v>29970.318449790808</v>
      </c>
      <c r="K11" s="1">
        <f t="shared" si="3"/>
        <v>16372.318449790813</v>
      </c>
    </row>
    <row r="12" spans="1:11" x14ac:dyDescent="0.25">
      <c r="A12" t="s">
        <v>31</v>
      </c>
      <c r="B12" s="3">
        <v>44139</v>
      </c>
      <c r="C12" s="1">
        <v>245.94220497104135</v>
      </c>
      <c r="D12" s="1">
        <v>81.980734990347116</v>
      </c>
      <c r="E12" s="1">
        <f t="shared" si="0"/>
        <v>116.94220497104135</v>
      </c>
      <c r="F12" s="1">
        <f t="shared" si="1"/>
        <v>129</v>
      </c>
      <c r="G12" s="2">
        <v>3</v>
      </c>
      <c r="H12" s="1">
        <v>38.980734990347116</v>
      </c>
      <c r="I12" s="1">
        <v>43</v>
      </c>
      <c r="J12" s="1">
        <f t="shared" si="2"/>
        <v>30216.260654761849</v>
      </c>
      <c r="K12" s="1">
        <f t="shared" si="3"/>
        <v>16489.260654761856</v>
      </c>
    </row>
    <row r="13" spans="1:11" x14ac:dyDescent="0.25">
      <c r="A13" t="s">
        <v>40</v>
      </c>
      <c r="B13" s="3">
        <v>44130</v>
      </c>
      <c r="C13" s="1">
        <v>650.94089966994284</v>
      </c>
      <c r="D13" s="1">
        <v>130.18817993398858</v>
      </c>
      <c r="E13" s="1">
        <f t="shared" si="0"/>
        <v>410.94089966994289</v>
      </c>
      <c r="F13" s="1">
        <f t="shared" si="1"/>
        <v>240</v>
      </c>
      <c r="G13" s="2">
        <v>5</v>
      </c>
      <c r="H13" s="1">
        <v>82.188179933988579</v>
      </c>
      <c r="I13" s="1">
        <v>48</v>
      </c>
      <c r="J13" s="1">
        <f t="shared" si="2"/>
        <v>30867.201554431791</v>
      </c>
      <c r="K13" s="1">
        <f t="shared" si="3"/>
        <v>16900.201554431798</v>
      </c>
    </row>
    <row r="14" spans="1:11" x14ac:dyDescent="0.25">
      <c r="A14" t="s">
        <v>39</v>
      </c>
      <c r="B14" s="3">
        <v>44126</v>
      </c>
      <c r="C14" s="1">
        <v>1302.9937884562232</v>
      </c>
      <c r="D14" s="1">
        <v>118.45398076874756</v>
      </c>
      <c r="E14" s="1">
        <f t="shared" si="0"/>
        <v>631.993788456223</v>
      </c>
      <c r="F14" s="1">
        <f t="shared" si="1"/>
        <v>671</v>
      </c>
      <c r="G14" s="2">
        <v>11</v>
      </c>
      <c r="H14" s="1">
        <v>57.453980768747549</v>
      </c>
      <c r="I14" s="1">
        <v>61</v>
      </c>
      <c r="J14" s="1">
        <f t="shared" si="2"/>
        <v>32170.195342888015</v>
      </c>
      <c r="K14" s="1">
        <f t="shared" si="3"/>
        <v>17532.195342888022</v>
      </c>
    </row>
    <row r="15" spans="1:11" x14ac:dyDescent="0.25">
      <c r="A15" t="s">
        <v>39</v>
      </c>
      <c r="B15" s="3">
        <v>44126</v>
      </c>
      <c r="C15" s="1">
        <v>6935.9695605930874</v>
      </c>
      <c r="D15" s="1">
        <v>121.68367650163312</v>
      </c>
      <c r="E15" s="1">
        <f t="shared" si="0"/>
        <v>3857.9695605930874</v>
      </c>
      <c r="F15" s="1">
        <f t="shared" si="1"/>
        <v>3078</v>
      </c>
      <c r="G15" s="2">
        <v>57</v>
      </c>
      <c r="H15" s="1">
        <v>67.683676501633116</v>
      </c>
      <c r="I15" s="1">
        <v>54</v>
      </c>
      <c r="J15" s="1">
        <f t="shared" si="2"/>
        <v>39106.164903481105</v>
      </c>
      <c r="K15" s="1">
        <f t="shared" si="3"/>
        <v>21390.164903481109</v>
      </c>
    </row>
    <row r="16" spans="1:11" x14ac:dyDescent="0.25">
      <c r="A16" t="s">
        <v>42</v>
      </c>
      <c r="B16" s="3">
        <v>44125</v>
      </c>
      <c r="C16" s="1">
        <v>1476.2507396312167</v>
      </c>
      <c r="D16" s="1">
        <v>164.02785995902408</v>
      </c>
      <c r="E16" s="1">
        <f t="shared" si="0"/>
        <v>630.25073963121679</v>
      </c>
      <c r="F16" s="1">
        <f t="shared" si="1"/>
        <v>846</v>
      </c>
      <c r="G16" s="2">
        <v>9</v>
      </c>
      <c r="H16" s="1">
        <v>70.027859959024084</v>
      </c>
      <c r="I16" s="1">
        <v>94</v>
      </c>
      <c r="J16" s="1">
        <f t="shared" si="2"/>
        <v>40582.415643112319</v>
      </c>
      <c r="K16" s="1">
        <f t="shared" si="3"/>
        <v>22020.415643112327</v>
      </c>
    </row>
    <row r="17" spans="1:11" x14ac:dyDescent="0.25">
      <c r="A17" t="s">
        <v>49</v>
      </c>
      <c r="B17" s="3">
        <v>44114</v>
      </c>
      <c r="C17" s="1">
        <v>2455.6378398413908</v>
      </c>
      <c r="D17" s="1">
        <v>68.212162217816413</v>
      </c>
      <c r="E17" s="1">
        <f t="shared" si="0"/>
        <v>1303.6378398413908</v>
      </c>
      <c r="F17" s="1">
        <f t="shared" si="1"/>
        <v>1152</v>
      </c>
      <c r="G17" s="2">
        <v>36</v>
      </c>
      <c r="H17" s="1">
        <v>36.212162217816413</v>
      </c>
      <c r="I17" s="1">
        <v>32</v>
      </c>
      <c r="J17" s="1">
        <f t="shared" si="2"/>
        <v>43038.053482953706</v>
      </c>
      <c r="K17" s="1">
        <f t="shared" si="3"/>
        <v>23324.053482953717</v>
      </c>
    </row>
    <row r="18" spans="1:11" x14ac:dyDescent="0.25">
      <c r="A18" t="s">
        <v>38</v>
      </c>
      <c r="B18" s="3">
        <v>44110</v>
      </c>
      <c r="C18" s="1">
        <v>711.39008698257203</v>
      </c>
      <c r="D18" s="1">
        <v>54.722314383274771</v>
      </c>
      <c r="E18" s="1">
        <f t="shared" si="0"/>
        <v>399.39008698257203</v>
      </c>
      <c r="F18" s="1">
        <f t="shared" si="1"/>
        <v>312</v>
      </c>
      <c r="G18" s="2">
        <v>13</v>
      </c>
      <c r="H18" s="1">
        <v>30.722314383274771</v>
      </c>
      <c r="I18" s="1">
        <v>24</v>
      </c>
      <c r="J18" s="1">
        <f t="shared" si="2"/>
        <v>43749.44356993628</v>
      </c>
      <c r="K18" s="1">
        <f t="shared" si="3"/>
        <v>23723.443569936288</v>
      </c>
    </row>
    <row r="19" spans="1:11" x14ac:dyDescent="0.25">
      <c r="A19" t="s">
        <v>27</v>
      </c>
      <c r="B19" s="3">
        <v>44107</v>
      </c>
      <c r="C19" s="1">
        <v>3489.7514686045552</v>
      </c>
      <c r="D19" s="1">
        <v>87.243786715113885</v>
      </c>
      <c r="E19" s="1">
        <f t="shared" si="0"/>
        <v>1809.7514686045552</v>
      </c>
      <c r="F19" s="1">
        <f t="shared" si="1"/>
        <v>1680</v>
      </c>
      <c r="G19" s="2">
        <v>40</v>
      </c>
      <c r="H19" s="1">
        <v>45.243786715113878</v>
      </c>
      <c r="I19" s="1">
        <v>42</v>
      </c>
      <c r="J19" s="1">
        <f t="shared" si="2"/>
        <v>47239.195038540835</v>
      </c>
      <c r="K19" s="1">
        <f t="shared" si="3"/>
        <v>25533.195038540842</v>
      </c>
    </row>
    <row r="20" spans="1:11" x14ac:dyDescent="0.25">
      <c r="A20" t="s">
        <v>37</v>
      </c>
      <c r="B20" s="3">
        <v>44098</v>
      </c>
      <c r="C20" s="1">
        <v>1154.9985014446413</v>
      </c>
      <c r="D20" s="1">
        <v>128.33316682718237</v>
      </c>
      <c r="E20" s="1">
        <f t="shared" si="0"/>
        <v>560.99850144464142</v>
      </c>
      <c r="F20" s="1">
        <f t="shared" si="1"/>
        <v>594</v>
      </c>
      <c r="G20" s="2">
        <v>9</v>
      </c>
      <c r="H20" s="1">
        <v>62.333166827182374</v>
      </c>
      <c r="I20" s="1">
        <v>66</v>
      </c>
      <c r="J20" s="1">
        <f t="shared" si="2"/>
        <v>48394.193539985477</v>
      </c>
      <c r="K20" s="1">
        <f t="shared" si="3"/>
        <v>26094.193539985485</v>
      </c>
    </row>
    <row r="21" spans="1:11" x14ac:dyDescent="0.25">
      <c r="A21" t="s">
        <v>20</v>
      </c>
      <c r="B21" s="3">
        <v>44097</v>
      </c>
      <c r="C21" s="1">
        <v>2906.9300956130601</v>
      </c>
      <c r="D21" s="1">
        <v>72.673252390326496</v>
      </c>
      <c r="E21" s="1">
        <f t="shared" si="0"/>
        <v>1586.9300956130601</v>
      </c>
      <c r="F21" s="1">
        <f t="shared" si="1"/>
        <v>1320</v>
      </c>
      <c r="G21" s="2">
        <v>40</v>
      </c>
      <c r="H21" s="1">
        <v>39.673252390326503</v>
      </c>
      <c r="I21" s="1">
        <v>33</v>
      </c>
      <c r="J21" s="1">
        <f t="shared" si="2"/>
        <v>51301.123635598538</v>
      </c>
      <c r="K21" s="1">
        <f t="shared" si="3"/>
        <v>27681.123635598546</v>
      </c>
    </row>
    <row r="22" spans="1:11" x14ac:dyDescent="0.25">
      <c r="A22" t="s">
        <v>34</v>
      </c>
      <c r="B22" s="3">
        <v>44092</v>
      </c>
      <c r="C22" s="1">
        <v>544.20837094262833</v>
      </c>
      <c r="D22" s="1">
        <v>108.84167418852567</v>
      </c>
      <c r="E22" s="1">
        <f t="shared" si="0"/>
        <v>309.20837094262833</v>
      </c>
      <c r="F22" s="1">
        <f t="shared" si="1"/>
        <v>235</v>
      </c>
      <c r="G22" s="2">
        <v>5</v>
      </c>
      <c r="H22" s="1">
        <v>61.841674188525673</v>
      </c>
      <c r="I22" s="1">
        <v>47</v>
      </c>
      <c r="J22" s="1">
        <f t="shared" si="2"/>
        <v>51845.332006541168</v>
      </c>
      <c r="K22" s="1">
        <f t="shared" si="3"/>
        <v>27990.332006541175</v>
      </c>
    </row>
    <row r="23" spans="1:11" x14ac:dyDescent="0.25">
      <c r="A23" t="s">
        <v>17</v>
      </c>
      <c r="B23" s="3">
        <v>44075</v>
      </c>
      <c r="C23" s="1">
        <v>3951.0826788260824</v>
      </c>
      <c r="D23" s="1">
        <v>106.78601834665088</v>
      </c>
      <c r="E23" s="1">
        <f t="shared" si="0"/>
        <v>2138.0826788260824</v>
      </c>
      <c r="F23" s="1">
        <f t="shared" si="1"/>
        <v>1813</v>
      </c>
      <c r="G23" s="2">
        <v>37</v>
      </c>
      <c r="H23" s="1">
        <v>57.786018346650877</v>
      </c>
      <c r="I23" s="1">
        <v>49</v>
      </c>
      <c r="J23" s="1">
        <f t="shared" si="2"/>
        <v>55796.41468536725</v>
      </c>
      <c r="K23" s="1">
        <f t="shared" si="3"/>
        <v>30128.414685367257</v>
      </c>
    </row>
    <row r="24" spans="1:11" x14ac:dyDescent="0.25">
      <c r="A24" t="s">
        <v>32</v>
      </c>
      <c r="B24" s="3">
        <v>44073</v>
      </c>
      <c r="C24" s="1">
        <v>310.91565049488042</v>
      </c>
      <c r="D24" s="1">
        <v>103.63855016496015</v>
      </c>
      <c r="E24" s="1">
        <f t="shared" si="0"/>
        <v>199.91565049488045</v>
      </c>
      <c r="F24" s="1">
        <f t="shared" si="1"/>
        <v>111</v>
      </c>
      <c r="G24" s="2">
        <v>3</v>
      </c>
      <c r="H24" s="1">
        <v>66.638550164960151</v>
      </c>
      <c r="I24" s="1">
        <v>37</v>
      </c>
      <c r="J24" s="1">
        <f t="shared" si="2"/>
        <v>56107.330335862127</v>
      </c>
      <c r="K24" s="1">
        <f t="shared" si="3"/>
        <v>30328.330335862138</v>
      </c>
    </row>
    <row r="25" spans="1:11" x14ac:dyDescent="0.25">
      <c r="A25" t="s">
        <v>48</v>
      </c>
      <c r="B25" s="3">
        <v>44063</v>
      </c>
      <c r="C25" s="1">
        <v>1445.2493671282691</v>
      </c>
      <c r="D25" s="1">
        <v>80.291631507126056</v>
      </c>
      <c r="E25" s="1">
        <f t="shared" si="0"/>
        <v>797.24936712826889</v>
      </c>
      <c r="F25" s="1">
        <f t="shared" si="1"/>
        <v>648</v>
      </c>
      <c r="G25" s="2">
        <v>18</v>
      </c>
      <c r="H25" s="1">
        <v>44.291631507126048</v>
      </c>
      <c r="I25" s="1">
        <v>36</v>
      </c>
      <c r="J25" s="1">
        <f t="shared" si="2"/>
        <v>57552.579702990399</v>
      </c>
      <c r="K25" s="1">
        <f t="shared" si="3"/>
        <v>31125.579702990406</v>
      </c>
    </row>
    <row r="26" spans="1:11" x14ac:dyDescent="0.25">
      <c r="A26" t="s">
        <v>45</v>
      </c>
      <c r="B26" s="3">
        <v>44057</v>
      </c>
      <c r="C26" s="1">
        <v>1244.599770314348</v>
      </c>
      <c r="D26" s="1">
        <v>103.71664752619566</v>
      </c>
      <c r="E26" s="1">
        <f t="shared" si="0"/>
        <v>620.59977031434801</v>
      </c>
      <c r="F26" s="1">
        <f t="shared" si="1"/>
        <v>624</v>
      </c>
      <c r="G26" s="2">
        <v>12</v>
      </c>
      <c r="H26" s="1">
        <v>51.716647526195665</v>
      </c>
      <c r="I26" s="1">
        <v>52</v>
      </c>
      <c r="J26" s="1">
        <f t="shared" si="2"/>
        <v>58797.17947330475</v>
      </c>
      <c r="K26" s="1">
        <f t="shared" si="3"/>
        <v>31746.179473304754</v>
      </c>
    </row>
    <row r="27" spans="1:11" x14ac:dyDescent="0.25">
      <c r="A27" t="s">
        <v>12</v>
      </c>
      <c r="B27" s="3">
        <v>44053</v>
      </c>
      <c r="C27" s="1">
        <v>2588.6296693978238</v>
      </c>
      <c r="D27" s="1">
        <v>99.562679592223986</v>
      </c>
      <c r="E27" s="1">
        <f t="shared" si="0"/>
        <v>1288.6296693978234</v>
      </c>
      <c r="F27" s="1">
        <f t="shared" si="1"/>
        <v>1300</v>
      </c>
      <c r="G27" s="2">
        <v>26</v>
      </c>
      <c r="H27" s="1">
        <v>49.562679592223979</v>
      </c>
      <c r="I27" s="1">
        <v>50</v>
      </c>
      <c r="J27" s="1">
        <f t="shared" si="2"/>
        <v>61385.809142702572</v>
      </c>
      <c r="K27" s="1">
        <f t="shared" si="3"/>
        <v>33034.809142702579</v>
      </c>
    </row>
    <row r="28" spans="1:11" x14ac:dyDescent="0.25">
      <c r="A28" t="s">
        <v>41</v>
      </c>
      <c r="B28" s="3">
        <v>44047</v>
      </c>
      <c r="C28" s="1">
        <v>1199.5466961887139</v>
      </c>
      <c r="D28" s="1">
        <v>63.134036641511258</v>
      </c>
      <c r="E28" s="1">
        <f t="shared" si="0"/>
        <v>667.5466961887139</v>
      </c>
      <c r="F28" s="1">
        <f t="shared" si="1"/>
        <v>532</v>
      </c>
      <c r="G28" s="2">
        <v>19</v>
      </c>
      <c r="H28" s="1">
        <v>35.134036641511258</v>
      </c>
      <c r="I28" s="1">
        <v>28</v>
      </c>
      <c r="J28" s="1">
        <f t="shared" si="2"/>
        <v>62585.355838891286</v>
      </c>
      <c r="K28" s="1">
        <f t="shared" si="3"/>
        <v>33702.355838891293</v>
      </c>
    </row>
    <row r="29" spans="1:11" x14ac:dyDescent="0.25">
      <c r="A29" t="s">
        <v>35</v>
      </c>
      <c r="B29" s="3">
        <v>44047</v>
      </c>
      <c r="C29" s="1">
        <v>1913.0348643206573</v>
      </c>
      <c r="D29" s="1">
        <v>112.5314626070975</v>
      </c>
      <c r="E29" s="1">
        <f t="shared" si="0"/>
        <v>1182.0348643206573</v>
      </c>
      <c r="F29" s="1">
        <f t="shared" si="1"/>
        <v>731</v>
      </c>
      <c r="G29" s="2">
        <v>17</v>
      </c>
      <c r="H29" s="1">
        <v>69.531462607097495</v>
      </c>
      <c r="I29" s="1">
        <v>43</v>
      </c>
      <c r="J29" s="1">
        <f t="shared" si="2"/>
        <v>64498.390703211946</v>
      </c>
      <c r="K29" s="1">
        <f t="shared" si="3"/>
        <v>34884.390703211953</v>
      </c>
    </row>
    <row r="30" spans="1:11" x14ac:dyDescent="0.25">
      <c r="A30" t="s">
        <v>21</v>
      </c>
      <c r="B30" s="3">
        <v>44040</v>
      </c>
      <c r="C30" s="1">
        <v>2653.9361438102806</v>
      </c>
      <c r="D30" s="1">
        <v>176.9290762540187</v>
      </c>
      <c r="E30" s="1">
        <f t="shared" si="0"/>
        <v>1243.9361438102806</v>
      </c>
      <c r="F30" s="1">
        <f t="shared" si="1"/>
        <v>1410</v>
      </c>
      <c r="G30" s="2">
        <v>15</v>
      </c>
      <c r="H30" s="1">
        <v>82.92907625401871</v>
      </c>
      <c r="I30" s="1">
        <v>94</v>
      </c>
      <c r="J30" s="1">
        <f t="shared" si="2"/>
        <v>67152.326847022225</v>
      </c>
      <c r="K30" s="1">
        <f t="shared" si="3"/>
        <v>36128.326847022232</v>
      </c>
    </row>
    <row r="31" spans="1:11" x14ac:dyDescent="0.25">
      <c r="A31" t="s">
        <v>25</v>
      </c>
      <c r="B31" s="3">
        <v>44040</v>
      </c>
      <c r="C31" s="1">
        <v>17660.714657337128</v>
      </c>
      <c r="D31" s="1">
        <v>104.50127016175816</v>
      </c>
      <c r="E31" s="1">
        <f t="shared" si="0"/>
        <v>9548.7146573371283</v>
      </c>
      <c r="F31" s="1">
        <f t="shared" si="1"/>
        <v>8112</v>
      </c>
      <c r="G31" s="2">
        <v>169</v>
      </c>
      <c r="H31" s="1">
        <v>56.501270161758157</v>
      </c>
      <c r="I31" s="1">
        <v>48</v>
      </c>
      <c r="J31" s="1">
        <f t="shared" si="2"/>
        <v>84813.041504359353</v>
      </c>
      <c r="K31" s="1">
        <f t="shared" si="3"/>
        <v>45677.04150435936</v>
      </c>
    </row>
    <row r="32" spans="1:11" x14ac:dyDescent="0.25">
      <c r="A32" t="s">
        <v>23</v>
      </c>
      <c r="B32" s="3">
        <v>44032</v>
      </c>
      <c r="C32" s="1">
        <v>8013.1626361673489</v>
      </c>
      <c r="D32" s="1">
        <v>82.609924084199477</v>
      </c>
      <c r="E32" s="1">
        <f t="shared" si="0"/>
        <v>3939.1626361673493</v>
      </c>
      <c r="F32" s="1">
        <f t="shared" si="1"/>
        <v>4074</v>
      </c>
      <c r="G32" s="2">
        <v>97</v>
      </c>
      <c r="H32" s="1">
        <v>40.609924084199477</v>
      </c>
      <c r="I32" s="1">
        <v>42</v>
      </c>
      <c r="J32" s="1">
        <f t="shared" si="2"/>
        <v>92826.204140526708</v>
      </c>
      <c r="K32" s="1">
        <f t="shared" si="3"/>
        <v>49616.204140526708</v>
      </c>
    </row>
    <row r="33" spans="1:11" x14ac:dyDescent="0.25">
      <c r="A33" t="s">
        <v>16</v>
      </c>
      <c r="B33" s="3">
        <v>44027</v>
      </c>
      <c r="C33" s="1">
        <v>3341.5941748718797</v>
      </c>
      <c r="D33" s="1">
        <v>167.07970874359398</v>
      </c>
      <c r="E33" s="1">
        <f t="shared" si="0"/>
        <v>2061.5941748718792</v>
      </c>
      <c r="F33" s="1">
        <f t="shared" si="1"/>
        <v>1280</v>
      </c>
      <c r="G33" s="2">
        <v>20</v>
      </c>
      <c r="H33" s="1">
        <v>103.07970874359397</v>
      </c>
      <c r="I33" s="1">
        <v>64</v>
      </c>
      <c r="J33" s="1">
        <f t="shared" si="2"/>
        <v>96167.798315398584</v>
      </c>
      <c r="K33" s="1">
        <f t="shared" si="3"/>
        <v>51677.798315398584</v>
      </c>
    </row>
    <row r="34" spans="1:11" x14ac:dyDescent="0.25">
      <c r="A34" t="s">
        <v>36</v>
      </c>
      <c r="B34" s="3">
        <v>44019</v>
      </c>
      <c r="C34" s="1">
        <v>3886.4900564452028</v>
      </c>
      <c r="D34" s="1">
        <v>155.45960225780811</v>
      </c>
      <c r="E34" s="1">
        <f t="shared" si="0"/>
        <v>1736.4900564452032</v>
      </c>
      <c r="F34" s="1">
        <f t="shared" si="1"/>
        <v>2150</v>
      </c>
      <c r="G34" s="2">
        <v>25</v>
      </c>
      <c r="H34" s="1">
        <v>69.459602257808129</v>
      </c>
      <c r="I34" s="1">
        <v>86</v>
      </c>
      <c r="J34" s="1">
        <f t="shared" si="2"/>
        <v>100054.28837184378</v>
      </c>
      <c r="K34" s="1">
        <f t="shared" si="3"/>
        <v>53414.288371843788</v>
      </c>
    </row>
    <row r="35" spans="1:11" x14ac:dyDescent="0.25">
      <c r="A35" t="s">
        <v>14</v>
      </c>
      <c r="B35" s="3">
        <v>44018</v>
      </c>
      <c r="C35" s="1">
        <v>640.82245502530009</v>
      </c>
      <c r="D35" s="1">
        <v>64.082245502530014</v>
      </c>
      <c r="E35" s="1">
        <f t="shared" si="0"/>
        <v>370.82245502530014</v>
      </c>
      <c r="F35" s="1">
        <f t="shared" si="1"/>
        <v>270</v>
      </c>
      <c r="G35" s="2">
        <v>10</v>
      </c>
      <c r="H35" s="1">
        <v>37.082245502530014</v>
      </c>
      <c r="I35" s="1">
        <v>27</v>
      </c>
      <c r="J35" s="1">
        <f t="shared" si="2"/>
        <v>100695.11082686909</v>
      </c>
      <c r="K35" s="1">
        <f t="shared" si="3"/>
        <v>53785.110826869088</v>
      </c>
    </row>
    <row r="36" spans="1:11" x14ac:dyDescent="0.25">
      <c r="A36" t="s">
        <v>33</v>
      </c>
      <c r="B36" s="3">
        <v>44014</v>
      </c>
      <c r="C36" s="1">
        <v>67.276980287112735</v>
      </c>
      <c r="D36" s="1">
        <v>67.276980287112735</v>
      </c>
      <c r="E36" s="1">
        <f t="shared" si="0"/>
        <v>27.276980287112735</v>
      </c>
      <c r="F36" s="1">
        <f t="shared" si="1"/>
        <v>40</v>
      </c>
      <c r="G36" s="2">
        <v>1</v>
      </c>
      <c r="H36" s="1">
        <v>27.276980287112735</v>
      </c>
      <c r="I36" s="1">
        <v>40</v>
      </c>
      <c r="J36" s="1">
        <f t="shared" si="2"/>
        <v>100762.38780715621</v>
      </c>
      <c r="K36" s="1">
        <f t="shared" si="3"/>
        <v>53812.387807156199</v>
      </c>
    </row>
    <row r="37" spans="1:11" x14ac:dyDescent="0.25">
      <c r="A37" t="s">
        <v>33</v>
      </c>
      <c r="B37" s="3">
        <v>44010</v>
      </c>
      <c r="C37" s="1">
        <v>1425.817332512536</v>
      </c>
      <c r="D37" s="1">
        <v>109.67825634711816</v>
      </c>
      <c r="E37" s="1">
        <f t="shared" si="0"/>
        <v>840.81733251253615</v>
      </c>
      <c r="F37" s="1">
        <f t="shared" si="1"/>
        <v>585</v>
      </c>
      <c r="G37" s="2">
        <v>13</v>
      </c>
      <c r="H37" s="1">
        <v>64.678256347118165</v>
      </c>
      <c r="I37" s="1">
        <v>45</v>
      </c>
      <c r="J37" s="1">
        <f t="shared" si="2"/>
        <v>102188.20513966875</v>
      </c>
      <c r="K37" s="1">
        <f t="shared" si="3"/>
        <v>54653.205139668738</v>
      </c>
    </row>
    <row r="38" spans="1:11" x14ac:dyDescent="0.25">
      <c r="A38" t="s">
        <v>11</v>
      </c>
      <c r="B38" s="3">
        <v>43998</v>
      </c>
      <c r="C38" s="1">
        <v>1115.9977374340422</v>
      </c>
      <c r="D38" s="1">
        <v>185.9996229056737</v>
      </c>
      <c r="E38" s="1">
        <f t="shared" si="0"/>
        <v>509.99773743404222</v>
      </c>
      <c r="F38" s="1">
        <f t="shared" si="1"/>
        <v>606</v>
      </c>
      <c r="G38" s="2">
        <v>6</v>
      </c>
      <c r="H38" s="1">
        <v>84.999622905673704</v>
      </c>
      <c r="I38" s="1">
        <v>101</v>
      </c>
      <c r="J38" s="1">
        <f t="shared" si="2"/>
        <v>103304.20287710278</v>
      </c>
      <c r="K38" s="1">
        <f t="shared" si="3"/>
        <v>55163.202877102784</v>
      </c>
    </row>
    <row r="39" spans="1:11" x14ac:dyDescent="0.25">
      <c r="A39" t="s">
        <v>39</v>
      </c>
      <c r="B39" s="3">
        <v>43983</v>
      </c>
      <c r="C39" s="1">
        <v>1281.8884245408519</v>
      </c>
      <c r="D39" s="1">
        <v>67.467811817939577</v>
      </c>
      <c r="E39" s="1">
        <f t="shared" si="0"/>
        <v>711.88842454085193</v>
      </c>
      <c r="F39" s="1">
        <f t="shared" si="1"/>
        <v>570</v>
      </c>
      <c r="G39" s="2">
        <v>19</v>
      </c>
      <c r="H39" s="1">
        <v>37.467811817939577</v>
      </c>
      <c r="I39" s="1">
        <v>30</v>
      </c>
      <c r="J39" s="1">
        <f t="shared" si="2"/>
        <v>104586.09130164364</v>
      </c>
      <c r="K39" s="1">
        <f t="shared" si="3"/>
        <v>55875.091301643639</v>
      </c>
    </row>
    <row r="40" spans="1:11" x14ac:dyDescent="0.25">
      <c r="A40" t="s">
        <v>14</v>
      </c>
      <c r="B40" s="3">
        <v>43978</v>
      </c>
      <c r="C40" s="1">
        <v>2729.8777102530426</v>
      </c>
      <c r="D40" s="1">
        <v>209.9905930963879</v>
      </c>
      <c r="E40" s="1">
        <f t="shared" si="0"/>
        <v>1143.8777102530426</v>
      </c>
      <c r="F40" s="1">
        <f t="shared" si="1"/>
        <v>1586</v>
      </c>
      <c r="G40" s="2">
        <v>13</v>
      </c>
      <c r="H40" s="1">
        <v>87.990593096387883</v>
      </c>
      <c r="I40" s="1">
        <v>122</v>
      </c>
      <c r="J40" s="1">
        <f t="shared" si="2"/>
        <v>107315.96901189668</v>
      </c>
      <c r="K40" s="1">
        <f t="shared" si="3"/>
        <v>57018.969011896683</v>
      </c>
    </row>
    <row r="41" spans="1:11" x14ac:dyDescent="0.25">
      <c r="A41" t="s">
        <v>20</v>
      </c>
      <c r="B41" s="3">
        <v>43977</v>
      </c>
      <c r="C41" s="1">
        <v>14368.867018885629</v>
      </c>
      <c r="D41" s="1">
        <v>104.12222477453354</v>
      </c>
      <c r="E41" s="1">
        <f t="shared" si="0"/>
        <v>6502.8670188856277</v>
      </c>
      <c r="F41" s="1">
        <f t="shared" si="1"/>
        <v>7866</v>
      </c>
      <c r="G41" s="2">
        <v>138</v>
      </c>
      <c r="H41" s="1">
        <v>47.122224774533535</v>
      </c>
      <c r="I41" s="1">
        <v>57</v>
      </c>
      <c r="J41" s="1">
        <f t="shared" si="2"/>
        <v>121684.83603078232</v>
      </c>
      <c r="K41" s="1">
        <f t="shared" si="3"/>
        <v>63521.83603078231</v>
      </c>
    </row>
    <row r="42" spans="1:11" x14ac:dyDescent="0.25">
      <c r="A42" t="s">
        <v>48</v>
      </c>
      <c r="B42" s="3">
        <v>43959</v>
      </c>
      <c r="C42" s="1">
        <v>2049.7136956396153</v>
      </c>
      <c r="D42" s="1">
        <v>70.679782608262599</v>
      </c>
      <c r="E42" s="1">
        <f t="shared" si="0"/>
        <v>1324.7136956396153</v>
      </c>
      <c r="F42" s="1">
        <f t="shared" si="1"/>
        <v>725</v>
      </c>
      <c r="G42" s="2">
        <v>29</v>
      </c>
      <c r="H42" s="1">
        <v>45.679782608262592</v>
      </c>
      <c r="I42" s="1">
        <v>25</v>
      </c>
      <c r="J42" s="1">
        <f t="shared" si="2"/>
        <v>123734.54972642193</v>
      </c>
      <c r="K42" s="1">
        <f t="shared" si="3"/>
        <v>64846.549726421923</v>
      </c>
    </row>
    <row r="43" spans="1:11" x14ac:dyDescent="0.25">
      <c r="A43" t="s">
        <v>16</v>
      </c>
      <c r="B43" s="3">
        <v>43958</v>
      </c>
      <c r="C43" s="1">
        <v>12091.262715702564</v>
      </c>
      <c r="D43" s="1">
        <v>172.73232451003662</v>
      </c>
      <c r="E43" s="1">
        <f t="shared" si="0"/>
        <v>5861.2627157025636</v>
      </c>
      <c r="F43" s="1">
        <f t="shared" si="1"/>
        <v>6230</v>
      </c>
      <c r="G43" s="2">
        <v>70</v>
      </c>
      <c r="H43" s="1">
        <v>83.732324510036619</v>
      </c>
      <c r="I43" s="1">
        <v>89</v>
      </c>
      <c r="J43" s="1">
        <f t="shared" si="2"/>
        <v>135825.8124421245</v>
      </c>
      <c r="K43" s="1">
        <f t="shared" si="3"/>
        <v>70707.812442124487</v>
      </c>
    </row>
    <row r="44" spans="1:11" x14ac:dyDescent="0.25">
      <c r="A44" t="s">
        <v>33</v>
      </c>
      <c r="B44" s="3">
        <v>43957</v>
      </c>
      <c r="C44" s="1">
        <v>3705.2320970096976</v>
      </c>
      <c r="D44" s="1">
        <v>65.004071877363117</v>
      </c>
      <c r="E44" s="1">
        <f t="shared" si="0"/>
        <v>2223.232097009698</v>
      </c>
      <c r="F44" s="1">
        <f t="shared" si="1"/>
        <v>1482</v>
      </c>
      <c r="G44" s="2">
        <v>57</v>
      </c>
      <c r="H44" s="1">
        <v>39.004071877363124</v>
      </c>
      <c r="I44" s="1">
        <v>26</v>
      </c>
      <c r="J44" s="1">
        <f t="shared" si="2"/>
        <v>139531.04453913419</v>
      </c>
      <c r="K44" s="1">
        <f t="shared" si="3"/>
        <v>72931.044539134178</v>
      </c>
    </row>
    <row r="45" spans="1:11" x14ac:dyDescent="0.25">
      <c r="A45" t="s">
        <v>21</v>
      </c>
      <c r="B45" s="3">
        <v>43952</v>
      </c>
      <c r="C45" s="1">
        <v>3477.6965034467839</v>
      </c>
      <c r="D45" s="1">
        <v>217.356031465424</v>
      </c>
      <c r="E45" s="1">
        <f t="shared" si="0"/>
        <v>1445.6965034467842</v>
      </c>
      <c r="F45" s="1">
        <f t="shared" si="1"/>
        <v>2032</v>
      </c>
      <c r="G45" s="2">
        <v>16</v>
      </c>
      <c r="H45" s="1">
        <v>90.35603146542401</v>
      </c>
      <c r="I45" s="1">
        <v>127</v>
      </c>
      <c r="J45" s="1">
        <f t="shared" si="2"/>
        <v>143008.74104258098</v>
      </c>
      <c r="K45" s="1">
        <f t="shared" si="3"/>
        <v>74376.741042580965</v>
      </c>
    </row>
    <row r="46" spans="1:11" x14ac:dyDescent="0.25">
      <c r="A46" t="s">
        <v>15</v>
      </c>
      <c r="B46" s="3">
        <v>43951</v>
      </c>
      <c r="C46" s="1">
        <v>3783.5765732582181</v>
      </c>
      <c r="D46" s="1">
        <v>199.13560911885358</v>
      </c>
      <c r="E46" s="1">
        <f t="shared" si="0"/>
        <v>1902.5765732582181</v>
      </c>
      <c r="F46" s="1">
        <f t="shared" si="1"/>
        <v>1881</v>
      </c>
      <c r="G46" s="2">
        <v>19</v>
      </c>
      <c r="H46" s="1">
        <v>100.13560911885358</v>
      </c>
      <c r="I46" s="1">
        <v>99</v>
      </c>
      <c r="J46" s="1">
        <f t="shared" si="2"/>
        <v>146792.31761583919</v>
      </c>
      <c r="K46" s="1">
        <f t="shared" si="3"/>
        <v>76279.317615839187</v>
      </c>
    </row>
    <row r="47" spans="1:11" x14ac:dyDescent="0.25">
      <c r="A47" t="s">
        <v>24</v>
      </c>
      <c r="B47" s="3">
        <v>43951</v>
      </c>
      <c r="C47" s="1">
        <v>12544.533461631529</v>
      </c>
      <c r="D47" s="1">
        <v>212.6192112140937</v>
      </c>
      <c r="E47" s="1">
        <f t="shared" si="0"/>
        <v>5169.5334616315276</v>
      </c>
      <c r="F47" s="1">
        <f t="shared" si="1"/>
        <v>7375</v>
      </c>
      <c r="G47" s="2">
        <v>59</v>
      </c>
      <c r="H47" s="1">
        <v>87.619211214093696</v>
      </c>
      <c r="I47" s="1">
        <v>125</v>
      </c>
      <c r="J47" s="1">
        <f t="shared" si="2"/>
        <v>159336.85107747072</v>
      </c>
      <c r="K47" s="1">
        <f t="shared" si="3"/>
        <v>81448.85107747071</v>
      </c>
    </row>
    <row r="48" spans="1:11" x14ac:dyDescent="0.25">
      <c r="A48" t="s">
        <v>46</v>
      </c>
      <c r="B48" s="3">
        <v>43929</v>
      </c>
      <c r="C48" s="1">
        <v>3965.8397738484996</v>
      </c>
      <c r="D48" s="1">
        <v>120.17696284389393</v>
      </c>
      <c r="E48" s="1">
        <f t="shared" si="0"/>
        <v>2051.8397738484996</v>
      </c>
      <c r="F48" s="1">
        <f t="shared" si="1"/>
        <v>1914</v>
      </c>
      <c r="G48" s="2">
        <v>33</v>
      </c>
      <c r="H48" s="1">
        <v>62.176962843893925</v>
      </c>
      <c r="I48" s="1">
        <v>58</v>
      </c>
      <c r="J48" s="1">
        <f t="shared" si="2"/>
        <v>163302.69085131923</v>
      </c>
      <c r="K48" s="1">
        <f t="shared" si="3"/>
        <v>83500.690851319203</v>
      </c>
    </row>
    <row r="49" spans="1:11" x14ac:dyDescent="0.25">
      <c r="A49" t="s">
        <v>36</v>
      </c>
      <c r="B49" s="3">
        <v>43921</v>
      </c>
      <c r="C49" s="1">
        <v>2556.1909525132673</v>
      </c>
      <c r="D49" s="1">
        <v>77.460331894341437</v>
      </c>
      <c r="E49" s="1">
        <f t="shared" si="0"/>
        <v>1269.1909525132673</v>
      </c>
      <c r="F49" s="1">
        <f t="shared" si="1"/>
        <v>1287</v>
      </c>
      <c r="G49" s="2">
        <v>33</v>
      </c>
      <c r="H49" s="1">
        <v>38.460331894341437</v>
      </c>
      <c r="I49" s="1">
        <v>39</v>
      </c>
      <c r="J49" s="1">
        <f t="shared" si="2"/>
        <v>165858.88180383251</v>
      </c>
      <c r="K49" s="1">
        <f t="shared" si="3"/>
        <v>84769.881803832468</v>
      </c>
    </row>
    <row r="50" spans="1:11" x14ac:dyDescent="0.25">
      <c r="A50" t="s">
        <v>31</v>
      </c>
      <c r="B50" s="3">
        <v>43921</v>
      </c>
      <c r="C50" s="1">
        <v>7698.319721367141</v>
      </c>
      <c r="D50" s="1">
        <v>240.57249129272316</v>
      </c>
      <c r="E50" s="1">
        <f t="shared" si="0"/>
        <v>4850.319721367141</v>
      </c>
      <c r="F50" s="1">
        <f t="shared" si="1"/>
        <v>2848</v>
      </c>
      <c r="G50" s="2">
        <v>32</v>
      </c>
      <c r="H50" s="1">
        <v>151.57249129272316</v>
      </c>
      <c r="I50" s="1">
        <v>89</v>
      </c>
      <c r="J50" s="1">
        <f t="shared" si="2"/>
        <v>173557.20152519966</v>
      </c>
      <c r="K50" s="1">
        <f t="shared" si="3"/>
        <v>89620.201525199605</v>
      </c>
    </row>
    <row r="51" spans="1:11" x14ac:dyDescent="0.25">
      <c r="A51" t="s">
        <v>29</v>
      </c>
      <c r="B51" s="3">
        <v>43914</v>
      </c>
      <c r="C51" s="1">
        <v>5038.0325671094843</v>
      </c>
      <c r="D51" s="1">
        <v>48.442620837591193</v>
      </c>
      <c r="E51" s="1">
        <f t="shared" si="0"/>
        <v>2334.0325671094843</v>
      </c>
      <c r="F51" s="1">
        <f t="shared" si="1"/>
        <v>2704</v>
      </c>
      <c r="G51" s="2">
        <v>104</v>
      </c>
      <c r="H51" s="1">
        <v>22.442620837591193</v>
      </c>
      <c r="I51" s="1">
        <v>26</v>
      </c>
      <c r="J51" s="1">
        <f t="shared" si="2"/>
        <v>178595.23409230914</v>
      </c>
      <c r="K51" s="1">
        <f t="shared" si="3"/>
        <v>91954.234092309096</v>
      </c>
    </row>
    <row r="52" spans="1:11" x14ac:dyDescent="0.25">
      <c r="A52" t="s">
        <v>35</v>
      </c>
      <c r="B52" s="3">
        <v>43911</v>
      </c>
      <c r="C52" s="1">
        <v>148.42228232490095</v>
      </c>
      <c r="D52" s="1">
        <v>148.42228232490095</v>
      </c>
      <c r="E52" s="1">
        <f t="shared" si="0"/>
        <v>89.422282324900962</v>
      </c>
      <c r="F52" s="1">
        <f t="shared" si="1"/>
        <v>59</v>
      </c>
      <c r="G52" s="2">
        <v>1</v>
      </c>
      <c r="H52" s="1">
        <v>89.422282324900962</v>
      </c>
      <c r="I52" s="1">
        <v>59</v>
      </c>
      <c r="J52" s="1">
        <f t="shared" si="2"/>
        <v>178743.65637463404</v>
      </c>
      <c r="K52" s="1">
        <f t="shared" si="3"/>
        <v>92043.656374633996</v>
      </c>
    </row>
    <row r="53" spans="1:11" x14ac:dyDescent="0.25">
      <c r="A53" t="s">
        <v>17</v>
      </c>
      <c r="B53" s="3">
        <v>43902</v>
      </c>
      <c r="C53" s="1">
        <v>409.31037777159486</v>
      </c>
      <c r="D53" s="1">
        <v>40.931037777159489</v>
      </c>
      <c r="E53" s="1">
        <f t="shared" si="0"/>
        <v>229.31037777159486</v>
      </c>
      <c r="F53" s="1">
        <f t="shared" si="1"/>
        <v>180</v>
      </c>
      <c r="G53" s="2">
        <v>10</v>
      </c>
      <c r="H53" s="1">
        <v>22.931037777159485</v>
      </c>
      <c r="I53" s="1">
        <v>18</v>
      </c>
      <c r="J53" s="1">
        <f t="shared" si="2"/>
        <v>179152.96675240563</v>
      </c>
      <c r="K53" s="1">
        <f t="shared" si="3"/>
        <v>92272.966752405584</v>
      </c>
    </row>
    <row r="54" spans="1:11" x14ac:dyDescent="0.25">
      <c r="A54" t="s">
        <v>32</v>
      </c>
      <c r="B54" s="3">
        <v>43895</v>
      </c>
      <c r="C54" s="1">
        <v>345.60279479222953</v>
      </c>
      <c r="D54" s="1">
        <v>26.584830368633042</v>
      </c>
      <c r="E54" s="1">
        <f t="shared" si="0"/>
        <v>228.60279479222956</v>
      </c>
      <c r="F54" s="1">
        <f t="shared" si="1"/>
        <v>117</v>
      </c>
      <c r="G54" s="2">
        <v>13</v>
      </c>
      <c r="H54" s="1">
        <v>17.584830368633042</v>
      </c>
      <c r="I54" s="1">
        <v>9</v>
      </c>
      <c r="J54" s="1">
        <f t="shared" si="2"/>
        <v>179498.56954719787</v>
      </c>
      <c r="K54" s="1">
        <f t="shared" si="3"/>
        <v>92501.569547197811</v>
      </c>
    </row>
    <row r="55" spans="1:11" x14ac:dyDescent="0.25">
      <c r="A55" t="s">
        <v>32</v>
      </c>
      <c r="B55" s="3">
        <v>43893</v>
      </c>
      <c r="C55" s="1">
        <v>40778.394586111419</v>
      </c>
      <c r="D55" s="1">
        <v>163.11357834444567</v>
      </c>
      <c r="E55" s="1">
        <f t="shared" si="0"/>
        <v>17278.394586111419</v>
      </c>
      <c r="F55" s="1">
        <f t="shared" si="1"/>
        <v>23500</v>
      </c>
      <c r="G55" s="2">
        <v>250</v>
      </c>
      <c r="H55" s="1">
        <v>69.113578344445671</v>
      </c>
      <c r="I55" s="1">
        <v>94</v>
      </c>
      <c r="J55" s="1">
        <f t="shared" si="2"/>
        <v>220276.96413330929</v>
      </c>
      <c r="K55" s="1">
        <f t="shared" si="3"/>
        <v>109779.96413330923</v>
      </c>
    </row>
    <row r="56" spans="1:11" x14ac:dyDescent="0.25">
      <c r="A56" t="s">
        <v>28</v>
      </c>
      <c r="B56" s="3">
        <v>43892</v>
      </c>
      <c r="C56" s="1">
        <v>2648.402206841231</v>
      </c>
      <c r="D56" s="1">
        <v>115.14792203657527</v>
      </c>
      <c r="E56" s="1">
        <f t="shared" si="0"/>
        <v>1314.4022068412312</v>
      </c>
      <c r="F56" s="1">
        <f t="shared" si="1"/>
        <v>1334</v>
      </c>
      <c r="G56" s="2">
        <v>23</v>
      </c>
      <c r="H56" s="1">
        <v>57.147922036575274</v>
      </c>
      <c r="I56" s="1">
        <v>58</v>
      </c>
      <c r="J56" s="1">
        <f t="shared" si="2"/>
        <v>222925.36634015053</v>
      </c>
      <c r="K56" s="1">
        <f t="shared" si="3"/>
        <v>111094.36634015046</v>
      </c>
    </row>
    <row r="57" spans="1:11" x14ac:dyDescent="0.25">
      <c r="A57" t="s">
        <v>44</v>
      </c>
      <c r="B57" s="3">
        <v>43885</v>
      </c>
      <c r="C57" s="1">
        <v>3587.8882062967368</v>
      </c>
      <c r="D57" s="1">
        <v>137.99570024218218</v>
      </c>
      <c r="E57" s="1">
        <f t="shared" si="0"/>
        <v>1793.8882062967364</v>
      </c>
      <c r="F57" s="1">
        <f t="shared" si="1"/>
        <v>1794</v>
      </c>
      <c r="G57" s="2">
        <v>26</v>
      </c>
      <c r="H57" s="1">
        <v>68.995700242182167</v>
      </c>
      <c r="I57" s="1">
        <v>69</v>
      </c>
      <c r="J57" s="1">
        <f t="shared" si="2"/>
        <v>226513.25454644728</v>
      </c>
      <c r="K57" s="1">
        <f t="shared" si="3"/>
        <v>112888.25454644719</v>
      </c>
    </row>
    <row r="58" spans="1:11" x14ac:dyDescent="0.25">
      <c r="A58" t="s">
        <v>12</v>
      </c>
      <c r="B58" s="3">
        <v>43877</v>
      </c>
      <c r="C58" s="1">
        <v>339.4761387111115</v>
      </c>
      <c r="D58" s="1">
        <v>33.947613871111152</v>
      </c>
      <c r="E58" s="1">
        <f t="shared" si="0"/>
        <v>219.4761387111115</v>
      </c>
      <c r="F58" s="1">
        <f t="shared" si="1"/>
        <v>120</v>
      </c>
      <c r="G58" s="2">
        <v>10</v>
      </c>
      <c r="H58" s="1">
        <v>21.947613871111152</v>
      </c>
      <c r="I58" s="1">
        <v>12</v>
      </c>
      <c r="J58" s="1">
        <f t="shared" si="2"/>
        <v>226852.7306851584</v>
      </c>
      <c r="K58" s="1">
        <f t="shared" si="3"/>
        <v>113107.7306851583</v>
      </c>
    </row>
    <row r="59" spans="1:11" x14ac:dyDescent="0.25">
      <c r="A59" t="s">
        <v>30</v>
      </c>
      <c r="B59" s="3">
        <v>43874</v>
      </c>
      <c r="C59" s="1">
        <v>1511.1074924847967</v>
      </c>
      <c r="D59" s="1">
        <v>53.968124731599879</v>
      </c>
      <c r="E59" s="1">
        <f t="shared" si="0"/>
        <v>951.10749248479658</v>
      </c>
      <c r="F59" s="1">
        <f t="shared" si="1"/>
        <v>560</v>
      </c>
      <c r="G59" s="2">
        <v>28</v>
      </c>
      <c r="H59" s="1">
        <v>33.968124731599879</v>
      </c>
      <c r="I59" s="1">
        <v>20</v>
      </c>
      <c r="J59" s="1">
        <f t="shared" si="2"/>
        <v>228363.83817764319</v>
      </c>
      <c r="K59" s="1">
        <f t="shared" si="3"/>
        <v>114058.83817764309</v>
      </c>
    </row>
    <row r="60" spans="1:11" x14ac:dyDescent="0.25">
      <c r="A60" t="s">
        <v>19</v>
      </c>
      <c r="B60" s="3">
        <v>43868</v>
      </c>
      <c r="C60" s="1">
        <v>1149.9483740454452</v>
      </c>
      <c r="D60" s="1">
        <v>95.829031170453774</v>
      </c>
      <c r="E60" s="1">
        <f t="shared" si="0"/>
        <v>705.94837404544523</v>
      </c>
      <c r="F60" s="1">
        <f t="shared" si="1"/>
        <v>444</v>
      </c>
      <c r="G60" s="2">
        <v>12</v>
      </c>
      <c r="H60" s="1">
        <v>58.829031170453774</v>
      </c>
      <c r="I60" s="1">
        <v>37</v>
      </c>
      <c r="J60" s="1">
        <f t="shared" si="2"/>
        <v>229513.78655168862</v>
      </c>
      <c r="K60" s="1">
        <f t="shared" si="3"/>
        <v>114764.78655168854</v>
      </c>
    </row>
    <row r="61" spans="1:11" x14ac:dyDescent="0.25">
      <c r="A61" t="s">
        <v>30</v>
      </c>
      <c r="B61" s="3">
        <v>43867</v>
      </c>
      <c r="C61" s="1">
        <v>1349.277276540362</v>
      </c>
      <c r="D61" s="1">
        <v>103.79055973387401</v>
      </c>
      <c r="E61" s="1">
        <f t="shared" si="0"/>
        <v>569.27727654036221</v>
      </c>
      <c r="F61" s="1">
        <f t="shared" si="1"/>
        <v>780</v>
      </c>
      <c r="G61" s="2">
        <v>13</v>
      </c>
      <c r="H61" s="1">
        <v>43.790559733874012</v>
      </c>
      <c r="I61" s="1">
        <v>60</v>
      </c>
      <c r="J61" s="1">
        <f t="shared" si="2"/>
        <v>230863.06382822897</v>
      </c>
      <c r="K61" s="1">
        <f t="shared" si="3"/>
        <v>115334.0638282289</v>
      </c>
    </row>
    <row r="62" spans="1:11" x14ac:dyDescent="0.25">
      <c r="A62" t="s">
        <v>22</v>
      </c>
      <c r="B62" s="3">
        <v>43865</v>
      </c>
      <c r="C62" s="1">
        <v>4942.1346800228612</v>
      </c>
      <c r="D62" s="1">
        <v>98.842693600457224</v>
      </c>
      <c r="E62" s="1">
        <f t="shared" si="0"/>
        <v>3242.1346800228612</v>
      </c>
      <c r="F62" s="1">
        <f t="shared" si="1"/>
        <v>1700</v>
      </c>
      <c r="G62" s="2">
        <v>50</v>
      </c>
      <c r="H62" s="1">
        <v>64.842693600457224</v>
      </c>
      <c r="I62" s="1">
        <v>34</v>
      </c>
      <c r="J62" s="1">
        <f t="shared" si="2"/>
        <v>235805.19850825184</v>
      </c>
      <c r="K62" s="1">
        <f t="shared" si="3"/>
        <v>118576.19850825176</v>
      </c>
    </row>
    <row r="63" spans="1:11" x14ac:dyDescent="0.25">
      <c r="A63" t="s">
        <v>43</v>
      </c>
      <c r="B63" s="3">
        <v>43859</v>
      </c>
      <c r="C63" s="1">
        <v>1523.6648389046331</v>
      </c>
      <c r="D63" s="1">
        <v>190.45810486307914</v>
      </c>
      <c r="E63" s="1">
        <f t="shared" si="0"/>
        <v>739.66483890463314</v>
      </c>
      <c r="F63" s="1">
        <f t="shared" si="1"/>
        <v>784</v>
      </c>
      <c r="G63" s="2">
        <v>8</v>
      </c>
      <c r="H63" s="1">
        <v>92.458104863079143</v>
      </c>
      <c r="I63" s="1">
        <v>98</v>
      </c>
      <c r="J63" s="1">
        <f t="shared" si="2"/>
        <v>237328.86334715647</v>
      </c>
      <c r="K63" s="1">
        <f t="shared" si="3"/>
        <v>119315.8633471564</v>
      </c>
    </row>
    <row r="64" spans="1:11" x14ac:dyDescent="0.25">
      <c r="A64" t="s">
        <v>28</v>
      </c>
      <c r="B64" s="3">
        <v>43859</v>
      </c>
      <c r="C64" s="1">
        <v>10651.565968190027</v>
      </c>
      <c r="D64" s="1">
        <v>138.33202556090944</v>
      </c>
      <c r="E64" s="1">
        <f t="shared" si="0"/>
        <v>4568.5659681900279</v>
      </c>
      <c r="F64" s="1">
        <f t="shared" si="1"/>
        <v>6083</v>
      </c>
      <c r="G64" s="2">
        <v>77</v>
      </c>
      <c r="H64" s="1">
        <v>59.33202556090945</v>
      </c>
      <c r="I64" s="1">
        <v>79</v>
      </c>
      <c r="J64" s="1">
        <f t="shared" si="2"/>
        <v>247980.4293153465</v>
      </c>
      <c r="K64" s="1">
        <f t="shared" si="3"/>
        <v>123884.42931534642</v>
      </c>
    </row>
    <row r="65" spans="1:11" x14ac:dyDescent="0.25">
      <c r="A65" t="s">
        <v>22</v>
      </c>
      <c r="B65" s="3">
        <v>43849</v>
      </c>
      <c r="C65" s="1">
        <v>4025.4957237476124</v>
      </c>
      <c r="D65" s="1">
        <v>118.39693305140037</v>
      </c>
      <c r="E65" s="1">
        <f t="shared" si="0"/>
        <v>2597.4957237476124</v>
      </c>
      <c r="F65" s="1">
        <f t="shared" si="1"/>
        <v>1428</v>
      </c>
      <c r="G65" s="2">
        <v>34</v>
      </c>
      <c r="H65" s="1">
        <v>76.396933051400367</v>
      </c>
      <c r="I65" s="1">
        <v>42</v>
      </c>
      <c r="J65" s="1">
        <f t="shared" si="2"/>
        <v>252005.92503909412</v>
      </c>
      <c r="K65" s="1">
        <f t="shared" si="3"/>
        <v>126481.92503909404</v>
      </c>
    </row>
    <row r="66" spans="1:11" x14ac:dyDescent="0.25">
      <c r="A66" t="s">
        <v>15</v>
      </c>
      <c r="B66" s="3">
        <v>43845</v>
      </c>
      <c r="C66" s="1">
        <v>2152.883115525522</v>
      </c>
      <c r="D66" s="1">
        <v>179.4069262937935</v>
      </c>
      <c r="E66" s="1">
        <f t="shared" si="0"/>
        <v>892.88311552552182</v>
      </c>
      <c r="F66" s="1">
        <f t="shared" si="1"/>
        <v>1260</v>
      </c>
      <c r="G66" s="2">
        <v>12</v>
      </c>
      <c r="H66" s="1">
        <v>74.406926293793489</v>
      </c>
      <c r="I66" s="1">
        <v>105</v>
      </c>
      <c r="J66" s="1">
        <f t="shared" si="2"/>
        <v>254158.80815461965</v>
      </c>
      <c r="K66" s="1">
        <f t="shared" si="3"/>
        <v>127374.80815461956</v>
      </c>
    </row>
    <row r="67" spans="1:11" x14ac:dyDescent="0.25">
      <c r="A67" t="s">
        <v>46</v>
      </c>
      <c r="B67" s="3">
        <v>43840</v>
      </c>
      <c r="C67" s="1">
        <v>228.44562516672124</v>
      </c>
      <c r="D67" s="1">
        <v>57.111406291680311</v>
      </c>
      <c r="E67" s="1">
        <f t="shared" si="0"/>
        <v>148.44562516672124</v>
      </c>
      <c r="F67" s="1">
        <f t="shared" si="1"/>
        <v>80</v>
      </c>
      <c r="G67" s="2">
        <v>4</v>
      </c>
      <c r="H67" s="1">
        <v>37.111406291680311</v>
      </c>
      <c r="I67" s="1">
        <v>20</v>
      </c>
      <c r="J67" s="1">
        <f t="shared" si="2"/>
        <v>254387.25377978638</v>
      </c>
      <c r="K67" s="1">
        <f t="shared" si="3"/>
        <v>127523.25377978628</v>
      </c>
    </row>
    <row r="68" spans="1:11" x14ac:dyDescent="0.25">
      <c r="A68" t="s">
        <v>26</v>
      </c>
      <c r="B68" s="3">
        <v>43839</v>
      </c>
      <c r="C68" s="1">
        <v>2662.8484006213589</v>
      </c>
      <c r="D68" s="1">
        <v>91.82235864211583</v>
      </c>
      <c r="E68" s="1">
        <f t="shared" ref="E68:E131" si="4">+G68*H68</f>
        <v>1589.8484006213591</v>
      </c>
      <c r="F68" s="1">
        <f t="shared" ref="F68:F131" si="5">+G68*I68</f>
        <v>1073</v>
      </c>
      <c r="G68" s="2">
        <v>29</v>
      </c>
      <c r="H68" s="1">
        <v>54.82235864211583</v>
      </c>
      <c r="I68" s="1">
        <v>37</v>
      </c>
      <c r="J68" s="1">
        <f t="shared" si="2"/>
        <v>257050.10218040773</v>
      </c>
      <c r="K68" s="1">
        <f t="shared" si="3"/>
        <v>129113.10218040763</v>
      </c>
    </row>
    <row r="69" spans="1:11" x14ac:dyDescent="0.25">
      <c r="A69" t="s">
        <v>29</v>
      </c>
      <c r="B69" s="3">
        <v>43835</v>
      </c>
      <c r="C69" s="1">
        <v>1284.1485061504968</v>
      </c>
      <c r="D69" s="1">
        <v>128.41485061504969</v>
      </c>
      <c r="E69" s="1">
        <f t="shared" si="4"/>
        <v>614.14850615049681</v>
      </c>
      <c r="F69" s="1">
        <f t="shared" si="5"/>
        <v>670</v>
      </c>
      <c r="G69" s="2">
        <v>10</v>
      </c>
      <c r="H69" s="1">
        <v>61.414850615049687</v>
      </c>
      <c r="I69" s="1">
        <v>67</v>
      </c>
      <c r="J69" s="1">
        <f t="shared" ref="J69:J132" si="6">+J68+C69</f>
        <v>258334.25068655823</v>
      </c>
      <c r="K69" s="1">
        <f t="shared" ref="K69:K132" si="7">+K68+E69</f>
        <v>129727.25068655812</v>
      </c>
    </row>
    <row r="70" spans="1:11" x14ac:dyDescent="0.25">
      <c r="A70" t="s">
        <v>18</v>
      </c>
      <c r="B70" s="3">
        <v>43830</v>
      </c>
      <c r="C70" s="1">
        <v>5927.4676444662664</v>
      </c>
      <c r="D70" s="1">
        <v>144.57238157234795</v>
      </c>
      <c r="E70" s="1">
        <f t="shared" si="4"/>
        <v>3180.4676444662659</v>
      </c>
      <c r="F70" s="1">
        <f t="shared" si="5"/>
        <v>2747</v>
      </c>
      <c r="G70" s="2">
        <v>41</v>
      </c>
      <c r="H70" s="1">
        <v>77.57238157234795</v>
      </c>
      <c r="I70" s="1">
        <v>67</v>
      </c>
      <c r="J70" s="1">
        <f t="shared" si="6"/>
        <v>264261.71833102452</v>
      </c>
      <c r="K70" s="1">
        <f t="shared" si="7"/>
        <v>132907.7183310244</v>
      </c>
    </row>
    <row r="71" spans="1:11" x14ac:dyDescent="0.25">
      <c r="A71" t="s">
        <v>44</v>
      </c>
      <c r="B71" s="3">
        <v>43809</v>
      </c>
      <c r="C71" s="1">
        <v>7412.7421929311422</v>
      </c>
      <c r="D71" s="1">
        <v>176.49386173645576</v>
      </c>
      <c r="E71" s="1">
        <f t="shared" si="4"/>
        <v>3632.7421929311413</v>
      </c>
      <c r="F71" s="1">
        <f t="shared" si="5"/>
        <v>3780</v>
      </c>
      <c r="G71" s="2">
        <v>42</v>
      </c>
      <c r="H71" s="1">
        <v>86.493861736455742</v>
      </c>
      <c r="I71" s="1">
        <v>90</v>
      </c>
      <c r="J71" s="1">
        <f t="shared" si="6"/>
        <v>271674.46052395564</v>
      </c>
      <c r="K71" s="1">
        <f t="shared" si="7"/>
        <v>136540.46052395555</v>
      </c>
    </row>
    <row r="72" spans="1:11" x14ac:dyDescent="0.25">
      <c r="A72" t="s">
        <v>42</v>
      </c>
      <c r="B72" s="3">
        <v>43809</v>
      </c>
      <c r="C72" s="1">
        <v>6144.2860188286268</v>
      </c>
      <c r="D72" s="1">
        <v>130.7294897623112</v>
      </c>
      <c r="E72" s="1">
        <f t="shared" si="4"/>
        <v>2854.2860188286268</v>
      </c>
      <c r="F72" s="1">
        <f t="shared" si="5"/>
        <v>3290</v>
      </c>
      <c r="G72" s="2">
        <v>47</v>
      </c>
      <c r="H72" s="1">
        <v>60.729489762311211</v>
      </c>
      <c r="I72" s="1">
        <v>70</v>
      </c>
      <c r="J72" s="1">
        <f t="shared" si="6"/>
        <v>277818.74654278427</v>
      </c>
      <c r="K72" s="1">
        <f t="shared" si="7"/>
        <v>139394.74654278418</v>
      </c>
    </row>
    <row r="73" spans="1:11" x14ac:dyDescent="0.25">
      <c r="A73" t="s">
        <v>40</v>
      </c>
      <c r="B73" s="3">
        <v>43805</v>
      </c>
      <c r="C73" s="1">
        <v>669.2251267216584</v>
      </c>
      <c r="D73" s="1">
        <v>74.358347413517606</v>
      </c>
      <c r="E73" s="1">
        <f t="shared" si="4"/>
        <v>273.22512672165846</v>
      </c>
      <c r="F73" s="1">
        <f t="shared" si="5"/>
        <v>396</v>
      </c>
      <c r="G73" s="2">
        <v>9</v>
      </c>
      <c r="H73" s="1">
        <v>30.358347413517606</v>
      </c>
      <c r="I73" s="1">
        <v>44</v>
      </c>
      <c r="J73" s="1">
        <f t="shared" si="6"/>
        <v>278487.97166950593</v>
      </c>
      <c r="K73" s="1">
        <f t="shared" si="7"/>
        <v>139667.97166950585</v>
      </c>
    </row>
    <row r="74" spans="1:11" x14ac:dyDescent="0.25">
      <c r="A74" t="s">
        <v>40</v>
      </c>
      <c r="B74" s="3">
        <v>43800</v>
      </c>
      <c r="C74" s="1">
        <v>11338.617086275133</v>
      </c>
      <c r="D74" s="1">
        <v>213.93617143915347</v>
      </c>
      <c r="E74" s="1">
        <f t="shared" si="4"/>
        <v>4819.6170862751342</v>
      </c>
      <c r="F74" s="1">
        <f t="shared" si="5"/>
        <v>6519</v>
      </c>
      <c r="G74" s="2">
        <v>53</v>
      </c>
      <c r="H74" s="1">
        <v>90.936171439153469</v>
      </c>
      <c r="I74" s="1">
        <v>123</v>
      </c>
      <c r="J74" s="1">
        <f t="shared" si="6"/>
        <v>289826.58875578106</v>
      </c>
      <c r="K74" s="1">
        <f t="shared" si="7"/>
        <v>144487.58875578098</v>
      </c>
    </row>
    <row r="75" spans="1:11" x14ac:dyDescent="0.25">
      <c r="A75" t="s">
        <v>29</v>
      </c>
      <c r="B75" s="3">
        <v>43795</v>
      </c>
      <c r="C75" s="1">
        <v>16488.562551013834</v>
      </c>
      <c r="D75" s="1">
        <v>222.81841285153828</v>
      </c>
      <c r="E75" s="1">
        <f t="shared" si="4"/>
        <v>7090.5625510138334</v>
      </c>
      <c r="F75" s="1">
        <f t="shared" si="5"/>
        <v>9398</v>
      </c>
      <c r="G75" s="2">
        <v>74</v>
      </c>
      <c r="H75" s="1">
        <v>95.818412851538284</v>
      </c>
      <c r="I75" s="1">
        <v>127</v>
      </c>
      <c r="J75" s="1">
        <f t="shared" si="6"/>
        <v>306315.1513067949</v>
      </c>
      <c r="K75" s="1">
        <f t="shared" si="7"/>
        <v>151578.15130679481</v>
      </c>
    </row>
    <row r="76" spans="1:11" x14ac:dyDescent="0.25">
      <c r="A76" t="s">
        <v>47</v>
      </c>
      <c r="B76" s="3">
        <v>43778</v>
      </c>
      <c r="C76" s="1">
        <v>672.70777424220068</v>
      </c>
      <c r="D76" s="1">
        <v>168.17694356055017</v>
      </c>
      <c r="E76" s="1">
        <f t="shared" si="4"/>
        <v>440.70777424220074</v>
      </c>
      <c r="F76" s="1">
        <f t="shared" si="5"/>
        <v>232</v>
      </c>
      <c r="G76" s="2">
        <v>4</v>
      </c>
      <c r="H76" s="1">
        <v>110.17694356055019</v>
      </c>
      <c r="I76" s="1">
        <v>58</v>
      </c>
      <c r="J76" s="1">
        <f t="shared" si="6"/>
        <v>306987.85908103711</v>
      </c>
      <c r="K76" s="1">
        <f t="shared" si="7"/>
        <v>152018.85908103702</v>
      </c>
    </row>
    <row r="77" spans="1:11" x14ac:dyDescent="0.25">
      <c r="A77" t="s">
        <v>11</v>
      </c>
      <c r="B77" s="3">
        <v>43772</v>
      </c>
      <c r="C77" s="1">
        <v>2156.6295785401176</v>
      </c>
      <c r="D77" s="1">
        <v>165.89458296462442</v>
      </c>
      <c r="E77" s="1">
        <f t="shared" si="4"/>
        <v>1233.6295785401173</v>
      </c>
      <c r="F77" s="1">
        <f t="shared" si="5"/>
        <v>923</v>
      </c>
      <c r="G77" s="2">
        <v>13</v>
      </c>
      <c r="H77" s="1">
        <v>94.894582964624405</v>
      </c>
      <c r="I77" s="1">
        <v>71</v>
      </c>
      <c r="J77" s="1">
        <f t="shared" si="6"/>
        <v>309144.48865957721</v>
      </c>
      <c r="K77" s="1">
        <f t="shared" si="7"/>
        <v>153252.48865957715</v>
      </c>
    </row>
    <row r="78" spans="1:11" x14ac:dyDescent="0.25">
      <c r="A78" t="s">
        <v>23</v>
      </c>
      <c r="B78" s="3">
        <v>43769</v>
      </c>
      <c r="C78" s="1">
        <v>6493.7021186141874</v>
      </c>
      <c r="D78" s="1">
        <v>129.87404237228375</v>
      </c>
      <c r="E78" s="1">
        <f t="shared" si="4"/>
        <v>4193.7021186141874</v>
      </c>
      <c r="F78" s="1">
        <f t="shared" si="5"/>
        <v>2300</v>
      </c>
      <c r="G78" s="2">
        <v>50</v>
      </c>
      <c r="H78" s="1">
        <v>83.874042372283753</v>
      </c>
      <c r="I78" s="1">
        <v>46</v>
      </c>
      <c r="J78" s="1">
        <f t="shared" si="6"/>
        <v>315638.19077819138</v>
      </c>
      <c r="K78" s="1">
        <f t="shared" si="7"/>
        <v>157446.19077819135</v>
      </c>
    </row>
    <row r="79" spans="1:11" x14ac:dyDescent="0.25">
      <c r="A79" t="s">
        <v>31</v>
      </c>
      <c r="B79" s="3">
        <v>43767</v>
      </c>
      <c r="C79" s="1">
        <v>2441.9790265776096</v>
      </c>
      <c r="D79" s="1">
        <v>81.399300885920326</v>
      </c>
      <c r="E79" s="1">
        <f t="shared" si="4"/>
        <v>1331.9790265776098</v>
      </c>
      <c r="F79" s="1">
        <f t="shared" si="5"/>
        <v>1110</v>
      </c>
      <c r="G79" s="2">
        <v>30</v>
      </c>
      <c r="H79" s="1">
        <v>44.399300885920326</v>
      </c>
      <c r="I79" s="1">
        <v>37</v>
      </c>
      <c r="J79" s="1">
        <f t="shared" si="6"/>
        <v>318080.16980476899</v>
      </c>
      <c r="K79" s="1">
        <f t="shared" si="7"/>
        <v>158778.16980476896</v>
      </c>
    </row>
    <row r="80" spans="1:11" x14ac:dyDescent="0.25">
      <c r="A80" t="s">
        <v>24</v>
      </c>
      <c r="B80" s="3">
        <v>43754</v>
      </c>
      <c r="C80" s="1">
        <v>2371.5315376163821</v>
      </c>
      <c r="D80" s="1">
        <v>139.50185515390484</v>
      </c>
      <c r="E80" s="1">
        <f t="shared" si="4"/>
        <v>1215.5315376163824</v>
      </c>
      <c r="F80" s="1">
        <f t="shared" si="5"/>
        <v>1156</v>
      </c>
      <c r="G80" s="2">
        <v>17</v>
      </c>
      <c r="H80" s="1">
        <v>71.501855153904842</v>
      </c>
      <c r="I80" s="1">
        <v>68</v>
      </c>
      <c r="J80" s="1">
        <f t="shared" si="6"/>
        <v>320451.70134238538</v>
      </c>
      <c r="K80" s="1">
        <f t="shared" si="7"/>
        <v>159993.70134238535</v>
      </c>
    </row>
    <row r="81" spans="1:11" x14ac:dyDescent="0.25">
      <c r="A81" t="s">
        <v>33</v>
      </c>
      <c r="B81" s="3">
        <v>43745</v>
      </c>
      <c r="C81" s="1">
        <v>4965.4466596933989</v>
      </c>
      <c r="D81" s="1">
        <v>236.44984093778089</v>
      </c>
      <c r="E81" s="1">
        <f t="shared" si="4"/>
        <v>2319.4466596933989</v>
      </c>
      <c r="F81" s="1">
        <f t="shared" si="5"/>
        <v>2646</v>
      </c>
      <c r="G81" s="2">
        <v>21</v>
      </c>
      <c r="H81" s="1">
        <v>110.44984093778091</v>
      </c>
      <c r="I81" s="1">
        <v>126</v>
      </c>
      <c r="J81" s="1">
        <f t="shared" si="6"/>
        <v>325417.14800207876</v>
      </c>
      <c r="K81" s="1">
        <f t="shared" si="7"/>
        <v>162313.14800207876</v>
      </c>
    </row>
    <row r="82" spans="1:11" x14ac:dyDescent="0.25">
      <c r="A82" t="s">
        <v>17</v>
      </c>
      <c r="B82" s="3">
        <v>43739</v>
      </c>
      <c r="C82" s="1">
        <v>3517.5705064492572</v>
      </c>
      <c r="D82" s="1">
        <v>146.56543776871905</v>
      </c>
      <c r="E82" s="1">
        <f t="shared" si="4"/>
        <v>2149.5705064492568</v>
      </c>
      <c r="F82" s="1">
        <f t="shared" si="5"/>
        <v>1368</v>
      </c>
      <c r="G82" s="2">
        <v>24</v>
      </c>
      <c r="H82" s="1">
        <v>89.565437768719036</v>
      </c>
      <c r="I82" s="1">
        <v>57</v>
      </c>
      <c r="J82" s="1">
        <f t="shared" si="6"/>
        <v>328934.71850852802</v>
      </c>
      <c r="K82" s="1">
        <f t="shared" si="7"/>
        <v>164462.71850852802</v>
      </c>
    </row>
    <row r="83" spans="1:11" x14ac:dyDescent="0.25">
      <c r="A83" t="s">
        <v>35</v>
      </c>
      <c r="B83" s="3">
        <v>43735</v>
      </c>
      <c r="C83" s="1">
        <v>2286.4925467420835</v>
      </c>
      <c r="D83" s="1">
        <v>207.86295879473488</v>
      </c>
      <c r="E83" s="1">
        <f t="shared" si="4"/>
        <v>1142.4925467420837</v>
      </c>
      <c r="F83" s="1">
        <f t="shared" si="5"/>
        <v>1144</v>
      </c>
      <c r="G83" s="2">
        <v>11</v>
      </c>
      <c r="H83" s="1">
        <v>103.86295879473489</v>
      </c>
      <c r="I83" s="1">
        <v>104</v>
      </c>
      <c r="J83" s="1">
        <f t="shared" si="6"/>
        <v>331221.21105527011</v>
      </c>
      <c r="K83" s="1">
        <f t="shared" si="7"/>
        <v>165605.21105527011</v>
      </c>
    </row>
    <row r="84" spans="1:11" x14ac:dyDescent="0.25">
      <c r="A84" t="s">
        <v>16</v>
      </c>
      <c r="B84" s="3">
        <v>43734</v>
      </c>
      <c r="C84" s="1">
        <v>383.53254678173693</v>
      </c>
      <c r="D84" s="1">
        <v>95.883136695434231</v>
      </c>
      <c r="E84" s="1">
        <f t="shared" si="4"/>
        <v>175.53254678173693</v>
      </c>
      <c r="F84" s="1">
        <f t="shared" si="5"/>
        <v>208</v>
      </c>
      <c r="G84" s="2">
        <v>4</v>
      </c>
      <c r="H84" s="1">
        <v>43.883136695434231</v>
      </c>
      <c r="I84" s="1">
        <v>52</v>
      </c>
      <c r="J84" s="1">
        <f t="shared" si="6"/>
        <v>331604.74360205187</v>
      </c>
      <c r="K84" s="1">
        <f t="shared" si="7"/>
        <v>165780.74360205184</v>
      </c>
    </row>
    <row r="85" spans="1:11" x14ac:dyDescent="0.25">
      <c r="A85" t="s">
        <v>29</v>
      </c>
      <c r="B85" s="3">
        <v>43731</v>
      </c>
      <c r="C85" s="1">
        <v>63613.49461122472</v>
      </c>
      <c r="D85" s="1">
        <v>78.149256279145845</v>
      </c>
      <c r="E85" s="1">
        <f t="shared" si="4"/>
        <v>28611.494611224723</v>
      </c>
      <c r="F85" s="1">
        <f t="shared" si="5"/>
        <v>35002</v>
      </c>
      <c r="G85" s="2">
        <v>814</v>
      </c>
      <c r="H85" s="1">
        <v>35.149256279145852</v>
      </c>
      <c r="I85" s="1">
        <v>43</v>
      </c>
      <c r="J85" s="1">
        <f t="shared" si="6"/>
        <v>395218.23821327661</v>
      </c>
      <c r="K85" s="1">
        <f t="shared" si="7"/>
        <v>194392.23821327655</v>
      </c>
    </row>
    <row r="86" spans="1:11" x14ac:dyDescent="0.25">
      <c r="A86" t="s">
        <v>24</v>
      </c>
      <c r="B86" s="3">
        <v>43730</v>
      </c>
      <c r="C86" s="1">
        <v>6622.5526727896731</v>
      </c>
      <c r="D86" s="1">
        <v>194.78096096440214</v>
      </c>
      <c r="E86" s="1">
        <f t="shared" si="4"/>
        <v>2814.5526727896727</v>
      </c>
      <c r="F86" s="1">
        <f t="shared" si="5"/>
        <v>3808</v>
      </c>
      <c r="G86" s="2">
        <v>34</v>
      </c>
      <c r="H86" s="1">
        <v>82.780960964402141</v>
      </c>
      <c r="I86" s="1">
        <v>112</v>
      </c>
      <c r="J86" s="1">
        <f t="shared" si="6"/>
        <v>401840.79088606627</v>
      </c>
      <c r="K86" s="1">
        <f t="shared" si="7"/>
        <v>197206.79088606621</v>
      </c>
    </row>
    <row r="87" spans="1:11" x14ac:dyDescent="0.25">
      <c r="A87" t="s">
        <v>25</v>
      </c>
      <c r="B87" s="3">
        <v>43717</v>
      </c>
      <c r="C87" s="1">
        <v>4146.8824297572364</v>
      </c>
      <c r="D87" s="1">
        <v>148.10294391990129</v>
      </c>
      <c r="E87" s="1">
        <f t="shared" si="4"/>
        <v>2550.8824297572364</v>
      </c>
      <c r="F87" s="1">
        <f t="shared" si="5"/>
        <v>1596</v>
      </c>
      <c r="G87" s="2">
        <v>28</v>
      </c>
      <c r="H87" s="1">
        <v>91.102943919901307</v>
      </c>
      <c r="I87" s="1">
        <v>57</v>
      </c>
      <c r="J87" s="1">
        <f t="shared" si="6"/>
        <v>405987.67331582349</v>
      </c>
      <c r="K87" s="1">
        <f t="shared" si="7"/>
        <v>199757.67331582346</v>
      </c>
    </row>
    <row r="88" spans="1:11" x14ac:dyDescent="0.25">
      <c r="A88" t="s">
        <v>48</v>
      </c>
      <c r="B88" s="3">
        <v>43714</v>
      </c>
      <c r="C88" s="1">
        <v>475.03080785226382</v>
      </c>
      <c r="D88" s="1">
        <v>118.75770196306595</v>
      </c>
      <c r="E88" s="1">
        <f t="shared" si="4"/>
        <v>247.03080785226385</v>
      </c>
      <c r="F88" s="1">
        <f t="shared" si="5"/>
        <v>228</v>
      </c>
      <c r="G88" s="2">
        <v>4</v>
      </c>
      <c r="H88" s="1">
        <v>61.757701963065962</v>
      </c>
      <c r="I88" s="1">
        <v>57</v>
      </c>
      <c r="J88" s="1">
        <f t="shared" si="6"/>
        <v>406462.70412367577</v>
      </c>
      <c r="K88" s="1">
        <f t="shared" si="7"/>
        <v>200004.70412367571</v>
      </c>
    </row>
    <row r="89" spans="1:11" x14ac:dyDescent="0.25">
      <c r="A89" t="s">
        <v>32</v>
      </c>
      <c r="B89" s="3">
        <v>43712</v>
      </c>
      <c r="C89" s="1">
        <v>879.72177538792766</v>
      </c>
      <c r="D89" s="1">
        <v>97.746863931991967</v>
      </c>
      <c r="E89" s="1">
        <f t="shared" si="4"/>
        <v>501.72177538792772</v>
      </c>
      <c r="F89" s="1">
        <f t="shared" si="5"/>
        <v>378</v>
      </c>
      <c r="G89" s="2">
        <v>9</v>
      </c>
      <c r="H89" s="1">
        <v>55.746863931991967</v>
      </c>
      <c r="I89" s="1">
        <v>42</v>
      </c>
      <c r="J89" s="1">
        <f t="shared" si="6"/>
        <v>407342.4258990637</v>
      </c>
      <c r="K89" s="1">
        <f t="shared" si="7"/>
        <v>200506.42589906364</v>
      </c>
    </row>
    <row r="90" spans="1:11" x14ac:dyDescent="0.25">
      <c r="A90" t="s">
        <v>49</v>
      </c>
      <c r="B90" s="3">
        <v>43678</v>
      </c>
      <c r="C90" s="1">
        <v>313.89895318498077</v>
      </c>
      <c r="D90" s="1">
        <v>78.474738296245192</v>
      </c>
      <c r="E90" s="1">
        <f t="shared" si="4"/>
        <v>137.89895318498074</v>
      </c>
      <c r="F90" s="1">
        <f t="shared" si="5"/>
        <v>176</v>
      </c>
      <c r="G90" s="2">
        <v>4</v>
      </c>
      <c r="H90" s="1">
        <v>34.474738296245185</v>
      </c>
      <c r="I90" s="1">
        <v>44</v>
      </c>
      <c r="J90" s="1">
        <f t="shared" si="6"/>
        <v>407656.32485224871</v>
      </c>
      <c r="K90" s="1">
        <f t="shared" si="7"/>
        <v>200644.32485224862</v>
      </c>
    </row>
    <row r="91" spans="1:11" x14ac:dyDescent="0.25">
      <c r="A91" t="s">
        <v>25</v>
      </c>
      <c r="B91" s="3">
        <v>43662</v>
      </c>
      <c r="C91" s="1">
        <v>1056.8216422404171</v>
      </c>
      <c r="D91" s="1">
        <v>105.6821642240417</v>
      </c>
      <c r="E91" s="1">
        <f t="shared" si="4"/>
        <v>466.82164224041696</v>
      </c>
      <c r="F91" s="1">
        <f t="shared" si="5"/>
        <v>590</v>
      </c>
      <c r="G91" s="2">
        <v>10</v>
      </c>
      <c r="H91" s="1">
        <v>46.682164224041699</v>
      </c>
      <c r="I91" s="1">
        <v>59</v>
      </c>
      <c r="J91" s="1">
        <f t="shared" si="6"/>
        <v>408713.1464944891</v>
      </c>
      <c r="K91" s="1">
        <f t="shared" si="7"/>
        <v>201111.14649448905</v>
      </c>
    </row>
    <row r="92" spans="1:11" x14ac:dyDescent="0.25">
      <c r="A92" t="s">
        <v>15</v>
      </c>
      <c r="B92" s="3">
        <v>43655</v>
      </c>
      <c r="C92" s="1">
        <v>8467.7346029795426</v>
      </c>
      <c r="D92" s="1">
        <v>115.9963644243773</v>
      </c>
      <c r="E92" s="1">
        <f t="shared" si="4"/>
        <v>3649.7346029795431</v>
      </c>
      <c r="F92" s="1">
        <f t="shared" si="5"/>
        <v>4818</v>
      </c>
      <c r="G92" s="2">
        <v>73</v>
      </c>
      <c r="H92" s="1">
        <v>49.996364424377305</v>
      </c>
      <c r="I92" s="1">
        <v>66</v>
      </c>
      <c r="J92" s="1">
        <f t="shared" si="6"/>
        <v>417180.88109746866</v>
      </c>
      <c r="K92" s="1">
        <f t="shared" si="7"/>
        <v>204760.88109746858</v>
      </c>
    </row>
    <row r="93" spans="1:11" x14ac:dyDescent="0.25">
      <c r="A93" t="s">
        <v>27</v>
      </c>
      <c r="B93" s="3">
        <v>43653</v>
      </c>
      <c r="C93" s="1">
        <v>469.61715803202941</v>
      </c>
      <c r="D93" s="1">
        <v>156.53905267734314</v>
      </c>
      <c r="E93" s="1">
        <f t="shared" si="4"/>
        <v>232.61715803202941</v>
      </c>
      <c r="F93" s="1">
        <f t="shared" si="5"/>
        <v>237</v>
      </c>
      <c r="G93" s="2">
        <v>3</v>
      </c>
      <c r="H93" s="1">
        <v>77.539052677343136</v>
      </c>
      <c r="I93" s="1">
        <v>79</v>
      </c>
      <c r="J93" s="1">
        <f t="shared" si="6"/>
        <v>417650.49825550069</v>
      </c>
      <c r="K93" s="1">
        <f t="shared" si="7"/>
        <v>204993.4982555006</v>
      </c>
    </row>
    <row r="94" spans="1:11" x14ac:dyDescent="0.25">
      <c r="A94" t="s">
        <v>17</v>
      </c>
      <c r="B94" s="3">
        <v>43650</v>
      </c>
      <c r="C94" s="1">
        <v>568.69068459811206</v>
      </c>
      <c r="D94" s="1">
        <v>81.241526371158869</v>
      </c>
      <c r="E94" s="1">
        <f t="shared" si="4"/>
        <v>281.69068459811211</v>
      </c>
      <c r="F94" s="1">
        <f t="shared" si="5"/>
        <v>287</v>
      </c>
      <c r="G94" s="2">
        <v>7</v>
      </c>
      <c r="H94" s="1">
        <v>40.241526371158876</v>
      </c>
      <c r="I94" s="1">
        <v>41</v>
      </c>
      <c r="J94" s="1">
        <f t="shared" si="6"/>
        <v>418219.1889400988</v>
      </c>
      <c r="K94" s="1">
        <f t="shared" si="7"/>
        <v>205275.18894009871</v>
      </c>
    </row>
    <row r="95" spans="1:11" x14ac:dyDescent="0.25">
      <c r="A95" t="s">
        <v>26</v>
      </c>
      <c r="B95" s="3">
        <v>43629</v>
      </c>
      <c r="C95" s="1">
        <v>667.43215316018927</v>
      </c>
      <c r="D95" s="1">
        <v>74.159128128909913</v>
      </c>
      <c r="E95" s="1">
        <f t="shared" si="4"/>
        <v>334.43215316018922</v>
      </c>
      <c r="F95" s="1">
        <f t="shared" si="5"/>
        <v>333</v>
      </c>
      <c r="G95" s="2">
        <v>9</v>
      </c>
      <c r="H95" s="1">
        <v>37.159128128909913</v>
      </c>
      <c r="I95" s="1">
        <v>37</v>
      </c>
      <c r="J95" s="1">
        <f t="shared" si="6"/>
        <v>418886.62109325902</v>
      </c>
      <c r="K95" s="1">
        <f t="shared" si="7"/>
        <v>205609.6210932589</v>
      </c>
    </row>
    <row r="96" spans="1:11" x14ac:dyDescent="0.25">
      <c r="A96" t="s">
        <v>39</v>
      </c>
      <c r="B96" s="3">
        <v>43620</v>
      </c>
      <c r="C96" s="1">
        <v>1684.1198470002232</v>
      </c>
      <c r="D96" s="1">
        <v>105.25749043751395</v>
      </c>
      <c r="E96" s="1">
        <f t="shared" si="4"/>
        <v>916.11984700022322</v>
      </c>
      <c r="F96" s="1">
        <f t="shared" si="5"/>
        <v>768</v>
      </c>
      <c r="G96" s="2">
        <v>16</v>
      </c>
      <c r="H96" s="1">
        <v>57.257490437513951</v>
      </c>
      <c r="I96" s="1">
        <v>48</v>
      </c>
      <c r="J96" s="1">
        <f t="shared" si="6"/>
        <v>420570.74094025925</v>
      </c>
      <c r="K96" s="1">
        <f t="shared" si="7"/>
        <v>206525.74094025913</v>
      </c>
    </row>
    <row r="97" spans="1:11" x14ac:dyDescent="0.25">
      <c r="A97" t="s">
        <v>24</v>
      </c>
      <c r="B97" s="3">
        <v>43616</v>
      </c>
      <c r="C97" s="1">
        <v>4407.5414197857708</v>
      </c>
      <c r="D97" s="1">
        <v>119.1227410752911</v>
      </c>
      <c r="E97" s="1">
        <f t="shared" si="4"/>
        <v>2668.5414197857708</v>
      </c>
      <c r="F97" s="1">
        <f t="shared" si="5"/>
        <v>1739</v>
      </c>
      <c r="G97" s="2">
        <v>37</v>
      </c>
      <c r="H97" s="1">
        <v>72.122741075291103</v>
      </c>
      <c r="I97" s="1">
        <v>47</v>
      </c>
      <c r="J97" s="1">
        <f t="shared" si="6"/>
        <v>424978.28236004501</v>
      </c>
      <c r="K97" s="1">
        <f t="shared" si="7"/>
        <v>209194.28236004489</v>
      </c>
    </row>
    <row r="98" spans="1:11" x14ac:dyDescent="0.25">
      <c r="A98" t="s">
        <v>18</v>
      </c>
      <c r="B98" s="3">
        <v>43609</v>
      </c>
      <c r="C98" s="1">
        <v>6260.9032444982422</v>
      </c>
      <c r="D98" s="1">
        <v>184.14421307347772</v>
      </c>
      <c r="E98" s="1">
        <f t="shared" si="4"/>
        <v>2690.9032444982427</v>
      </c>
      <c r="F98" s="1">
        <f t="shared" si="5"/>
        <v>3570</v>
      </c>
      <c r="G98" s="2">
        <v>34</v>
      </c>
      <c r="H98" s="1">
        <v>79.144213073477729</v>
      </c>
      <c r="I98" s="1">
        <v>105</v>
      </c>
      <c r="J98" s="1">
        <f t="shared" si="6"/>
        <v>431239.18560454325</v>
      </c>
      <c r="K98" s="1">
        <f t="shared" si="7"/>
        <v>211885.18560454313</v>
      </c>
    </row>
    <row r="99" spans="1:11" x14ac:dyDescent="0.25">
      <c r="A99" t="s">
        <v>18</v>
      </c>
      <c r="B99" s="3">
        <v>43608</v>
      </c>
      <c r="C99" s="1">
        <v>4444.9323414051196</v>
      </c>
      <c r="D99" s="1">
        <v>113.97262413859281</v>
      </c>
      <c r="E99" s="1">
        <f t="shared" si="4"/>
        <v>2221.9323414051196</v>
      </c>
      <c r="F99" s="1">
        <f t="shared" si="5"/>
        <v>2223</v>
      </c>
      <c r="G99" s="2">
        <v>39</v>
      </c>
      <c r="H99" s="1">
        <v>56.972624138592813</v>
      </c>
      <c r="I99" s="1">
        <v>57</v>
      </c>
      <c r="J99" s="1">
        <f t="shared" si="6"/>
        <v>435684.11794594838</v>
      </c>
      <c r="K99" s="1">
        <f t="shared" si="7"/>
        <v>214107.11794594827</v>
      </c>
    </row>
    <row r="100" spans="1:11" x14ac:dyDescent="0.25">
      <c r="A100" t="s">
        <v>19</v>
      </c>
      <c r="B100" s="3">
        <v>43592</v>
      </c>
      <c r="C100" s="1">
        <v>694.57219823768196</v>
      </c>
      <c r="D100" s="1">
        <v>115.76203303961367</v>
      </c>
      <c r="E100" s="1">
        <f t="shared" si="4"/>
        <v>358.57219823768207</v>
      </c>
      <c r="F100" s="1">
        <f t="shared" si="5"/>
        <v>336</v>
      </c>
      <c r="G100" s="2">
        <v>6</v>
      </c>
      <c r="H100" s="1">
        <v>59.762033039613677</v>
      </c>
      <c r="I100" s="1">
        <v>56</v>
      </c>
      <c r="J100" s="1">
        <f t="shared" si="6"/>
        <v>436378.69014418608</v>
      </c>
      <c r="K100" s="1">
        <f t="shared" si="7"/>
        <v>214465.69014418594</v>
      </c>
    </row>
    <row r="101" spans="1:11" x14ac:dyDescent="0.25">
      <c r="A101" t="s">
        <v>46</v>
      </c>
      <c r="B101" s="3">
        <v>43586</v>
      </c>
      <c r="C101" s="1">
        <v>281.78268842497494</v>
      </c>
      <c r="D101" s="1">
        <v>70.445672106243734</v>
      </c>
      <c r="E101" s="1">
        <f t="shared" si="4"/>
        <v>137.78268842497494</v>
      </c>
      <c r="F101" s="1">
        <f t="shared" si="5"/>
        <v>144</v>
      </c>
      <c r="G101" s="2">
        <v>4</v>
      </c>
      <c r="H101" s="1">
        <v>34.445672106243734</v>
      </c>
      <c r="I101" s="1">
        <v>36</v>
      </c>
      <c r="J101" s="1">
        <f t="shared" si="6"/>
        <v>436660.47283261106</v>
      </c>
      <c r="K101" s="1">
        <f t="shared" si="7"/>
        <v>214603.47283261092</v>
      </c>
    </row>
    <row r="102" spans="1:11" x14ac:dyDescent="0.25">
      <c r="A102" t="s">
        <v>17</v>
      </c>
      <c r="B102" s="3">
        <v>43580</v>
      </c>
      <c r="C102" s="1">
        <v>2034.2611545552995</v>
      </c>
      <c r="D102" s="1">
        <v>101.71305772776498</v>
      </c>
      <c r="E102" s="1">
        <f t="shared" si="4"/>
        <v>1054.2611545552993</v>
      </c>
      <c r="F102" s="1">
        <f t="shared" si="5"/>
        <v>980</v>
      </c>
      <c r="G102" s="2">
        <v>20</v>
      </c>
      <c r="H102" s="1">
        <v>52.713057727764969</v>
      </c>
      <c r="I102" s="1">
        <v>49</v>
      </c>
      <c r="J102" s="1">
        <f t="shared" si="6"/>
        <v>438694.73398716637</v>
      </c>
      <c r="K102" s="1">
        <f t="shared" si="7"/>
        <v>215657.73398716623</v>
      </c>
    </row>
    <row r="103" spans="1:11" x14ac:dyDescent="0.25">
      <c r="A103" t="s">
        <v>39</v>
      </c>
      <c r="B103" s="3">
        <v>43576</v>
      </c>
      <c r="C103" s="1">
        <v>43.415516358062575</v>
      </c>
      <c r="D103" s="1">
        <v>21.707758179031288</v>
      </c>
      <c r="E103" s="1">
        <f t="shared" si="4"/>
        <v>25.415516358062572</v>
      </c>
      <c r="F103" s="1">
        <f t="shared" si="5"/>
        <v>18</v>
      </c>
      <c r="G103" s="2">
        <v>2</v>
      </c>
      <c r="H103" s="1">
        <v>12.707758179031286</v>
      </c>
      <c r="I103" s="1">
        <v>9</v>
      </c>
      <c r="J103" s="1">
        <f t="shared" si="6"/>
        <v>438738.14950352442</v>
      </c>
      <c r="K103" s="1">
        <f t="shared" si="7"/>
        <v>215683.1495035243</v>
      </c>
    </row>
    <row r="104" spans="1:11" x14ac:dyDescent="0.25">
      <c r="A104" t="s">
        <v>15</v>
      </c>
      <c r="B104" s="3">
        <v>43575</v>
      </c>
      <c r="C104" s="1">
        <v>2016.2122593586353</v>
      </c>
      <c r="D104" s="1">
        <v>134.41415062390902</v>
      </c>
      <c r="E104" s="1">
        <f t="shared" si="4"/>
        <v>936.21225935863549</v>
      </c>
      <c r="F104" s="1">
        <f t="shared" si="5"/>
        <v>1080</v>
      </c>
      <c r="G104" s="2">
        <v>15</v>
      </c>
      <c r="H104" s="1">
        <v>62.41415062390903</v>
      </c>
      <c r="I104" s="1">
        <v>72</v>
      </c>
      <c r="J104" s="1">
        <f t="shared" si="6"/>
        <v>440754.36176288303</v>
      </c>
      <c r="K104" s="1">
        <f t="shared" si="7"/>
        <v>216619.36176288294</v>
      </c>
    </row>
    <row r="105" spans="1:11" x14ac:dyDescent="0.25">
      <c r="A105" t="s">
        <v>35</v>
      </c>
      <c r="B105" s="3">
        <v>43561</v>
      </c>
      <c r="C105" s="1">
        <v>6879.6406864616565</v>
      </c>
      <c r="D105" s="1">
        <v>191.10113017949047</v>
      </c>
      <c r="E105" s="1">
        <f t="shared" si="4"/>
        <v>3279.640686461657</v>
      </c>
      <c r="F105" s="1">
        <f t="shared" si="5"/>
        <v>3600</v>
      </c>
      <c r="G105" s="2">
        <v>36</v>
      </c>
      <c r="H105" s="1">
        <v>91.101130179490468</v>
      </c>
      <c r="I105" s="1">
        <v>100</v>
      </c>
      <c r="J105" s="1">
        <f t="shared" si="6"/>
        <v>447634.00244934467</v>
      </c>
      <c r="K105" s="1">
        <f t="shared" si="7"/>
        <v>219899.00244934458</v>
      </c>
    </row>
    <row r="106" spans="1:11" x14ac:dyDescent="0.25">
      <c r="A106" t="s">
        <v>25</v>
      </c>
      <c r="B106" s="3">
        <v>43538</v>
      </c>
      <c r="C106" s="1">
        <v>4921.5575570962437</v>
      </c>
      <c r="D106" s="1">
        <v>114.45482690921497</v>
      </c>
      <c r="E106" s="1">
        <f t="shared" si="4"/>
        <v>2298.5575570962437</v>
      </c>
      <c r="F106" s="1">
        <f t="shared" si="5"/>
        <v>2623</v>
      </c>
      <c r="G106" s="2">
        <v>43</v>
      </c>
      <c r="H106" s="1">
        <v>53.454826909214972</v>
      </c>
      <c r="I106" s="1">
        <v>61</v>
      </c>
      <c r="J106" s="1">
        <f t="shared" si="6"/>
        <v>452555.56000644091</v>
      </c>
      <c r="K106" s="1">
        <f t="shared" si="7"/>
        <v>222197.56000644082</v>
      </c>
    </row>
    <row r="107" spans="1:11" x14ac:dyDescent="0.25">
      <c r="A107" t="s">
        <v>12</v>
      </c>
      <c r="B107" s="3">
        <v>43538</v>
      </c>
      <c r="C107" s="1">
        <v>4547.0463544049644</v>
      </c>
      <c r="D107" s="1">
        <v>137.7892834668171</v>
      </c>
      <c r="E107" s="1">
        <f t="shared" si="4"/>
        <v>2171.0463544049649</v>
      </c>
      <c r="F107" s="1">
        <f t="shared" si="5"/>
        <v>2376</v>
      </c>
      <c r="G107" s="2">
        <v>33</v>
      </c>
      <c r="H107" s="1">
        <v>65.78928346681711</v>
      </c>
      <c r="I107" s="1">
        <v>72</v>
      </c>
      <c r="J107" s="1">
        <f t="shared" si="6"/>
        <v>457102.60636084585</v>
      </c>
      <c r="K107" s="1">
        <f t="shared" si="7"/>
        <v>224368.60636084579</v>
      </c>
    </row>
    <row r="108" spans="1:11" x14ac:dyDescent="0.25">
      <c r="A108" t="s">
        <v>39</v>
      </c>
      <c r="B108" s="3">
        <v>43537</v>
      </c>
      <c r="C108" s="1">
        <v>783.24629021113537</v>
      </c>
      <c r="D108" s="1">
        <v>71.204208201012307</v>
      </c>
      <c r="E108" s="1">
        <f t="shared" si="4"/>
        <v>354.24629021113532</v>
      </c>
      <c r="F108" s="1">
        <f t="shared" si="5"/>
        <v>429</v>
      </c>
      <c r="G108" s="2">
        <v>11</v>
      </c>
      <c r="H108" s="1">
        <v>32.2042082010123</v>
      </c>
      <c r="I108" s="1">
        <v>39</v>
      </c>
      <c r="J108" s="1">
        <f t="shared" si="6"/>
        <v>457885.85265105701</v>
      </c>
      <c r="K108" s="1">
        <f t="shared" si="7"/>
        <v>224722.85265105692</v>
      </c>
    </row>
    <row r="109" spans="1:11" x14ac:dyDescent="0.25">
      <c r="A109" t="s">
        <v>33</v>
      </c>
      <c r="B109" s="3">
        <v>43533</v>
      </c>
      <c r="C109" s="1">
        <v>286.21210976344196</v>
      </c>
      <c r="D109" s="1">
        <v>143.10605488172098</v>
      </c>
      <c r="E109" s="1">
        <f t="shared" si="4"/>
        <v>128.21210976344193</v>
      </c>
      <c r="F109" s="1">
        <f t="shared" si="5"/>
        <v>158</v>
      </c>
      <c r="G109" s="2">
        <v>2</v>
      </c>
      <c r="H109" s="1">
        <v>64.106054881720965</v>
      </c>
      <c r="I109" s="1">
        <v>79</v>
      </c>
      <c r="J109" s="1">
        <f t="shared" si="6"/>
        <v>458172.06476082047</v>
      </c>
      <c r="K109" s="1">
        <f t="shared" si="7"/>
        <v>224851.06476082036</v>
      </c>
    </row>
    <row r="110" spans="1:11" x14ac:dyDescent="0.25">
      <c r="A110" t="s">
        <v>14</v>
      </c>
      <c r="B110" s="3">
        <v>43532</v>
      </c>
      <c r="C110" s="1">
        <v>364.11883049612743</v>
      </c>
      <c r="D110" s="1">
        <v>72.82376609922548</v>
      </c>
      <c r="E110" s="1">
        <f t="shared" si="4"/>
        <v>199.1188304961274</v>
      </c>
      <c r="F110" s="1">
        <f t="shared" si="5"/>
        <v>165</v>
      </c>
      <c r="G110" s="2">
        <v>5</v>
      </c>
      <c r="H110" s="1">
        <v>39.82376609922548</v>
      </c>
      <c r="I110" s="1">
        <v>33</v>
      </c>
      <c r="J110" s="1">
        <f t="shared" si="6"/>
        <v>458536.18359131663</v>
      </c>
      <c r="K110" s="1">
        <f t="shared" si="7"/>
        <v>225050.18359131648</v>
      </c>
    </row>
    <row r="111" spans="1:11" x14ac:dyDescent="0.25">
      <c r="A111" t="s">
        <v>28</v>
      </c>
      <c r="B111" s="3">
        <v>43526</v>
      </c>
      <c r="C111" s="1">
        <v>2058.3453627646468</v>
      </c>
      <c r="D111" s="1">
        <v>108.33396646129721</v>
      </c>
      <c r="E111" s="1">
        <f t="shared" si="4"/>
        <v>1336.345362764647</v>
      </c>
      <c r="F111" s="1">
        <f t="shared" si="5"/>
        <v>722</v>
      </c>
      <c r="G111" s="2">
        <v>19</v>
      </c>
      <c r="H111" s="1">
        <v>70.333966461297209</v>
      </c>
      <c r="I111" s="1">
        <v>38</v>
      </c>
      <c r="J111" s="1">
        <f t="shared" si="6"/>
        <v>460594.5289540813</v>
      </c>
      <c r="K111" s="1">
        <f t="shared" si="7"/>
        <v>226386.52895408112</v>
      </c>
    </row>
    <row r="112" spans="1:11" x14ac:dyDescent="0.25">
      <c r="A112" t="s">
        <v>42</v>
      </c>
      <c r="B112" s="3">
        <v>43525</v>
      </c>
      <c r="C112" s="1">
        <v>1318.4273211861464</v>
      </c>
      <c r="D112" s="1">
        <v>94.173380084724741</v>
      </c>
      <c r="E112" s="1">
        <f t="shared" si="4"/>
        <v>716.4273211861464</v>
      </c>
      <c r="F112" s="1">
        <f t="shared" si="5"/>
        <v>602</v>
      </c>
      <c r="G112" s="2">
        <v>14</v>
      </c>
      <c r="H112" s="1">
        <v>51.173380084724741</v>
      </c>
      <c r="I112" s="1">
        <v>43</v>
      </c>
      <c r="J112" s="1">
        <f t="shared" si="6"/>
        <v>461912.95627526747</v>
      </c>
      <c r="K112" s="1">
        <f t="shared" si="7"/>
        <v>227102.95627526726</v>
      </c>
    </row>
    <row r="113" spans="1:11" x14ac:dyDescent="0.25">
      <c r="A113" t="s">
        <v>43</v>
      </c>
      <c r="B113" s="3">
        <v>43517</v>
      </c>
      <c r="C113" s="1">
        <v>3323.208542475415</v>
      </c>
      <c r="D113" s="1">
        <v>151.05493374888249</v>
      </c>
      <c r="E113" s="1">
        <f t="shared" si="4"/>
        <v>1431.2085424754146</v>
      </c>
      <c r="F113" s="1">
        <f t="shared" si="5"/>
        <v>1892</v>
      </c>
      <c r="G113" s="2">
        <v>22</v>
      </c>
      <c r="H113" s="1">
        <v>65.054933748882476</v>
      </c>
      <c r="I113" s="1">
        <v>86</v>
      </c>
      <c r="J113" s="1">
        <f t="shared" si="6"/>
        <v>465236.16481774289</v>
      </c>
      <c r="K113" s="1">
        <f t="shared" si="7"/>
        <v>228534.16481774268</v>
      </c>
    </row>
    <row r="114" spans="1:11" x14ac:dyDescent="0.25">
      <c r="A114" t="s">
        <v>12</v>
      </c>
      <c r="B114" s="3">
        <v>43501</v>
      </c>
      <c r="C114" s="1">
        <v>725.0894329109575</v>
      </c>
      <c r="D114" s="1">
        <v>145.01788658219149</v>
      </c>
      <c r="E114" s="1">
        <f t="shared" si="4"/>
        <v>455.0894329109575</v>
      </c>
      <c r="F114" s="1">
        <f t="shared" si="5"/>
        <v>270</v>
      </c>
      <c r="G114" s="2">
        <v>5</v>
      </c>
      <c r="H114" s="1">
        <v>91.017886582191494</v>
      </c>
      <c r="I114" s="1">
        <v>54</v>
      </c>
      <c r="J114" s="1">
        <f t="shared" si="6"/>
        <v>465961.25425065384</v>
      </c>
      <c r="K114" s="1">
        <f t="shared" si="7"/>
        <v>228989.25425065364</v>
      </c>
    </row>
    <row r="115" spans="1:11" x14ac:dyDescent="0.25">
      <c r="A115" t="s">
        <v>41</v>
      </c>
      <c r="B115" s="3">
        <v>43499</v>
      </c>
      <c r="C115" s="1">
        <v>1300.5940643500865</v>
      </c>
      <c r="D115" s="1">
        <v>108.38283869584053</v>
      </c>
      <c r="E115" s="1">
        <f t="shared" si="4"/>
        <v>820.59406435008646</v>
      </c>
      <c r="F115" s="1">
        <f t="shared" si="5"/>
        <v>480</v>
      </c>
      <c r="G115" s="2">
        <v>12</v>
      </c>
      <c r="H115" s="1">
        <v>68.382838695840533</v>
      </c>
      <c r="I115" s="1">
        <v>40</v>
      </c>
      <c r="J115" s="1">
        <f t="shared" si="6"/>
        <v>467261.84831500391</v>
      </c>
      <c r="K115" s="1">
        <f t="shared" si="7"/>
        <v>229809.84831500374</v>
      </c>
    </row>
    <row r="116" spans="1:11" x14ac:dyDescent="0.25">
      <c r="A116" t="s">
        <v>30</v>
      </c>
      <c r="B116" s="3">
        <v>43498</v>
      </c>
      <c r="C116" s="1">
        <v>2462.0207728639889</v>
      </c>
      <c r="D116" s="1">
        <v>87.92931331657104</v>
      </c>
      <c r="E116" s="1">
        <f t="shared" si="4"/>
        <v>1622.0207728639894</v>
      </c>
      <c r="F116" s="1">
        <f t="shared" si="5"/>
        <v>840</v>
      </c>
      <c r="G116" s="2">
        <v>28</v>
      </c>
      <c r="H116" s="1">
        <v>57.929313316571047</v>
      </c>
      <c r="I116" s="1">
        <v>30</v>
      </c>
      <c r="J116" s="1">
        <f t="shared" si="6"/>
        <v>469723.8690878679</v>
      </c>
      <c r="K116" s="1">
        <f t="shared" si="7"/>
        <v>231431.86908786773</v>
      </c>
    </row>
    <row r="117" spans="1:11" x14ac:dyDescent="0.25">
      <c r="A117" t="s">
        <v>28</v>
      </c>
      <c r="B117" s="3">
        <v>43466</v>
      </c>
      <c r="C117" s="1">
        <v>3426.3612612443781</v>
      </c>
      <c r="D117" s="1">
        <v>148.97222874975557</v>
      </c>
      <c r="E117" s="1">
        <f t="shared" si="4"/>
        <v>1563.3612612443781</v>
      </c>
      <c r="F117" s="1">
        <f t="shared" si="5"/>
        <v>1863</v>
      </c>
      <c r="G117" s="2">
        <v>23</v>
      </c>
      <c r="H117" s="1">
        <v>67.972228749755573</v>
      </c>
      <c r="I117" s="1">
        <v>81</v>
      </c>
      <c r="J117" s="1">
        <f t="shared" si="6"/>
        <v>473150.2303491123</v>
      </c>
      <c r="K117" s="1">
        <f t="shared" si="7"/>
        <v>232995.2303491121</v>
      </c>
    </row>
    <row r="118" spans="1:11" x14ac:dyDescent="0.25">
      <c r="A118" t="s">
        <v>34</v>
      </c>
      <c r="B118" s="3">
        <v>43463</v>
      </c>
      <c r="C118" s="1">
        <v>700.71371921657953</v>
      </c>
      <c r="D118" s="1">
        <v>116.78561986942992</v>
      </c>
      <c r="E118" s="1">
        <f t="shared" si="4"/>
        <v>280.71371921657959</v>
      </c>
      <c r="F118" s="1">
        <f t="shared" si="5"/>
        <v>420</v>
      </c>
      <c r="G118" s="2">
        <v>6</v>
      </c>
      <c r="H118" s="1">
        <v>46.785619869429929</v>
      </c>
      <c r="I118" s="1">
        <v>70</v>
      </c>
      <c r="J118" s="1">
        <f t="shared" si="6"/>
        <v>473850.94406832888</v>
      </c>
      <c r="K118" s="1">
        <f t="shared" si="7"/>
        <v>233275.94406832868</v>
      </c>
    </row>
    <row r="119" spans="1:11" x14ac:dyDescent="0.25">
      <c r="A119" t="s">
        <v>41</v>
      </c>
      <c r="B119" s="3">
        <v>43434</v>
      </c>
      <c r="C119" s="1">
        <v>5257.3957015789138</v>
      </c>
      <c r="D119" s="1">
        <v>73.01938474415158</v>
      </c>
      <c r="E119" s="1">
        <f t="shared" si="4"/>
        <v>3241.3957015789133</v>
      </c>
      <c r="F119" s="1">
        <f t="shared" si="5"/>
        <v>2016</v>
      </c>
      <c r="G119" s="2">
        <v>72</v>
      </c>
      <c r="H119" s="1">
        <v>45.019384744151573</v>
      </c>
      <c r="I119" s="1">
        <v>28</v>
      </c>
      <c r="J119" s="1">
        <f t="shared" si="6"/>
        <v>479108.33976990782</v>
      </c>
      <c r="K119" s="1">
        <f t="shared" si="7"/>
        <v>236517.33976990759</v>
      </c>
    </row>
    <row r="120" spans="1:11" x14ac:dyDescent="0.25">
      <c r="A120" t="s">
        <v>18</v>
      </c>
      <c r="B120" s="3">
        <v>43422</v>
      </c>
      <c r="C120" s="1">
        <v>392.5409800399384</v>
      </c>
      <c r="D120" s="1">
        <v>78.508196007987678</v>
      </c>
      <c r="E120" s="1">
        <f t="shared" si="4"/>
        <v>247.5409800399384</v>
      </c>
      <c r="F120" s="1">
        <f t="shared" si="5"/>
        <v>145</v>
      </c>
      <c r="G120" s="2">
        <v>5</v>
      </c>
      <c r="H120" s="1">
        <v>49.508196007987678</v>
      </c>
      <c r="I120" s="1">
        <v>29</v>
      </c>
      <c r="J120" s="1">
        <f t="shared" si="6"/>
        <v>479500.88074994774</v>
      </c>
      <c r="K120" s="1">
        <f t="shared" si="7"/>
        <v>236764.88074994754</v>
      </c>
    </row>
    <row r="121" spans="1:11" x14ac:dyDescent="0.25">
      <c r="A121" t="s">
        <v>39</v>
      </c>
      <c r="B121" s="3">
        <v>43420</v>
      </c>
      <c r="C121" s="1">
        <v>1874.6169731935945</v>
      </c>
      <c r="D121" s="1">
        <v>93.730848659679722</v>
      </c>
      <c r="E121" s="1">
        <f t="shared" si="4"/>
        <v>754.6169731935945</v>
      </c>
      <c r="F121" s="1">
        <f t="shared" si="5"/>
        <v>1120</v>
      </c>
      <c r="G121" s="2">
        <v>20</v>
      </c>
      <c r="H121" s="1">
        <v>37.730848659679722</v>
      </c>
      <c r="I121" s="1">
        <v>56</v>
      </c>
      <c r="J121" s="1">
        <f t="shared" si="6"/>
        <v>481375.49772314134</v>
      </c>
      <c r="K121" s="1">
        <f t="shared" si="7"/>
        <v>237519.49772314113</v>
      </c>
    </row>
    <row r="122" spans="1:11" x14ac:dyDescent="0.25">
      <c r="A122" t="s">
        <v>25</v>
      </c>
      <c r="B122" s="3">
        <v>43419</v>
      </c>
      <c r="C122" s="1">
        <v>1577.5780766739947</v>
      </c>
      <c r="D122" s="1">
        <v>65.732419861416446</v>
      </c>
      <c r="E122" s="1">
        <f t="shared" si="4"/>
        <v>713.57807667399459</v>
      </c>
      <c r="F122" s="1">
        <f t="shared" si="5"/>
        <v>864</v>
      </c>
      <c r="G122" s="2">
        <v>24</v>
      </c>
      <c r="H122" s="1">
        <v>29.732419861416442</v>
      </c>
      <c r="I122" s="1">
        <v>36</v>
      </c>
      <c r="J122" s="1">
        <f t="shared" si="6"/>
        <v>482953.07579981536</v>
      </c>
      <c r="K122" s="1">
        <f t="shared" si="7"/>
        <v>238233.07579981512</v>
      </c>
    </row>
    <row r="123" spans="1:11" x14ac:dyDescent="0.25">
      <c r="A123" t="s">
        <v>32</v>
      </c>
      <c r="B123" s="3">
        <v>43417</v>
      </c>
      <c r="C123" s="1">
        <v>5512.3920845569683</v>
      </c>
      <c r="D123" s="1">
        <v>112.49779764401976</v>
      </c>
      <c r="E123" s="1">
        <f t="shared" si="4"/>
        <v>2229.3920845569678</v>
      </c>
      <c r="F123" s="1">
        <f t="shared" si="5"/>
        <v>3283</v>
      </c>
      <c r="G123" s="2">
        <v>49</v>
      </c>
      <c r="H123" s="1">
        <v>45.497797644019755</v>
      </c>
      <c r="I123" s="1">
        <v>67</v>
      </c>
      <c r="J123" s="1">
        <f t="shared" si="6"/>
        <v>488465.46788437234</v>
      </c>
      <c r="K123" s="1">
        <f t="shared" si="7"/>
        <v>240462.4678843721</v>
      </c>
    </row>
    <row r="124" spans="1:11" x14ac:dyDescent="0.25">
      <c r="A124" t="s">
        <v>25</v>
      </c>
      <c r="B124" s="3">
        <v>43388</v>
      </c>
      <c r="C124" s="1">
        <v>7775.4113915813705</v>
      </c>
      <c r="D124" s="1">
        <v>73.352937656428026</v>
      </c>
      <c r="E124" s="1">
        <f t="shared" si="4"/>
        <v>4065.41139158137</v>
      </c>
      <c r="F124" s="1">
        <f t="shared" si="5"/>
        <v>3710</v>
      </c>
      <c r="G124" s="2">
        <v>106</v>
      </c>
      <c r="H124" s="1">
        <v>38.352937656428018</v>
      </c>
      <c r="I124" s="1">
        <v>35</v>
      </c>
      <c r="J124" s="1">
        <f t="shared" si="6"/>
        <v>496240.87927595369</v>
      </c>
      <c r="K124" s="1">
        <f t="shared" si="7"/>
        <v>244527.87927595348</v>
      </c>
    </row>
    <row r="125" spans="1:11" x14ac:dyDescent="0.25">
      <c r="A125" t="s">
        <v>14</v>
      </c>
      <c r="B125" s="3">
        <v>43382</v>
      </c>
      <c r="C125" s="1">
        <v>596.95161546955455</v>
      </c>
      <c r="D125" s="1">
        <v>39.796774364636967</v>
      </c>
      <c r="E125" s="1">
        <f t="shared" si="4"/>
        <v>311.9516154695545</v>
      </c>
      <c r="F125" s="1">
        <f t="shared" si="5"/>
        <v>285</v>
      </c>
      <c r="G125" s="2">
        <v>15</v>
      </c>
      <c r="H125" s="1">
        <v>20.796774364636967</v>
      </c>
      <c r="I125" s="1">
        <v>19</v>
      </c>
      <c r="J125" s="1">
        <f t="shared" si="6"/>
        <v>496837.83089142322</v>
      </c>
      <c r="K125" s="1">
        <f t="shared" si="7"/>
        <v>244839.83089142304</v>
      </c>
    </row>
    <row r="126" spans="1:11" x14ac:dyDescent="0.25">
      <c r="A126" t="s">
        <v>44</v>
      </c>
      <c r="B126" s="3">
        <v>43379</v>
      </c>
      <c r="C126" s="1">
        <v>2942.4128507480459</v>
      </c>
      <c r="D126" s="1">
        <v>196.16085671653639</v>
      </c>
      <c r="E126" s="1">
        <f t="shared" si="4"/>
        <v>1247.4128507480459</v>
      </c>
      <c r="F126" s="1">
        <f t="shared" si="5"/>
        <v>1695</v>
      </c>
      <c r="G126" s="2">
        <v>15</v>
      </c>
      <c r="H126" s="1">
        <v>83.160856716536401</v>
      </c>
      <c r="I126" s="1">
        <v>113</v>
      </c>
      <c r="J126" s="1">
        <f t="shared" si="6"/>
        <v>499780.24374217127</v>
      </c>
      <c r="K126" s="1">
        <f t="shared" si="7"/>
        <v>246087.24374217109</v>
      </c>
    </row>
    <row r="127" spans="1:11" x14ac:dyDescent="0.25">
      <c r="A127" t="s">
        <v>23</v>
      </c>
      <c r="B127" s="3">
        <v>43369</v>
      </c>
      <c r="C127" s="1">
        <v>825.28718633097947</v>
      </c>
      <c r="D127" s="1">
        <v>51.580449145686217</v>
      </c>
      <c r="E127" s="1">
        <f t="shared" si="4"/>
        <v>457.28718633097941</v>
      </c>
      <c r="F127" s="1">
        <f t="shared" si="5"/>
        <v>368</v>
      </c>
      <c r="G127" s="2">
        <v>16</v>
      </c>
      <c r="H127" s="1">
        <v>28.580449145686213</v>
      </c>
      <c r="I127" s="1">
        <v>23</v>
      </c>
      <c r="J127" s="1">
        <f t="shared" si="6"/>
        <v>500605.53092850227</v>
      </c>
      <c r="K127" s="1">
        <f t="shared" si="7"/>
        <v>246544.53092850206</v>
      </c>
    </row>
    <row r="128" spans="1:11" x14ac:dyDescent="0.25">
      <c r="A128" t="s">
        <v>12</v>
      </c>
      <c r="B128" s="3">
        <v>43315</v>
      </c>
      <c r="C128" s="1">
        <v>2746.4988104642903</v>
      </c>
      <c r="D128" s="1">
        <v>144.55256897180476</v>
      </c>
      <c r="E128" s="1">
        <f t="shared" si="4"/>
        <v>1663.4988104642903</v>
      </c>
      <c r="F128" s="1">
        <f t="shared" si="5"/>
        <v>1083</v>
      </c>
      <c r="G128" s="2">
        <v>19</v>
      </c>
      <c r="H128" s="1">
        <v>87.552568971804746</v>
      </c>
      <c r="I128" s="1">
        <v>57</v>
      </c>
      <c r="J128" s="1">
        <f t="shared" si="6"/>
        <v>503352.02973896655</v>
      </c>
      <c r="K128" s="1">
        <f t="shared" si="7"/>
        <v>248208.02973896635</v>
      </c>
    </row>
    <row r="129" spans="1:11" x14ac:dyDescent="0.25">
      <c r="A129" t="s">
        <v>20</v>
      </c>
      <c r="B129" s="3">
        <v>43309</v>
      </c>
      <c r="C129" s="1">
        <v>2884.3385247034385</v>
      </c>
      <c r="D129" s="1">
        <v>106.82735276679402</v>
      </c>
      <c r="E129" s="1">
        <f t="shared" si="4"/>
        <v>1750.3385247034387</v>
      </c>
      <c r="F129" s="1">
        <f t="shared" si="5"/>
        <v>1134</v>
      </c>
      <c r="G129" s="2">
        <v>27</v>
      </c>
      <c r="H129" s="1">
        <v>64.827352766794021</v>
      </c>
      <c r="I129" s="1">
        <v>42</v>
      </c>
      <c r="J129" s="1">
        <f t="shared" si="6"/>
        <v>506236.36826367001</v>
      </c>
      <c r="K129" s="1">
        <f t="shared" si="7"/>
        <v>249958.36826366978</v>
      </c>
    </row>
    <row r="130" spans="1:11" x14ac:dyDescent="0.25">
      <c r="A130" t="s">
        <v>24</v>
      </c>
      <c r="B130" s="3">
        <v>43308</v>
      </c>
      <c r="C130" s="1">
        <v>2814.1654899540249</v>
      </c>
      <c r="D130" s="1">
        <v>93.805516331800831</v>
      </c>
      <c r="E130" s="1">
        <f t="shared" si="4"/>
        <v>1794.1654899540249</v>
      </c>
      <c r="F130" s="1">
        <f t="shared" si="5"/>
        <v>1020</v>
      </c>
      <c r="G130" s="2">
        <v>30</v>
      </c>
      <c r="H130" s="1">
        <v>59.805516331800831</v>
      </c>
      <c r="I130" s="1">
        <v>34</v>
      </c>
      <c r="J130" s="1">
        <f t="shared" si="6"/>
        <v>509050.53375362401</v>
      </c>
      <c r="K130" s="1">
        <f t="shared" si="7"/>
        <v>251752.53375362381</v>
      </c>
    </row>
    <row r="131" spans="1:11" x14ac:dyDescent="0.25">
      <c r="A131" t="s">
        <v>34</v>
      </c>
      <c r="B131" s="3">
        <v>43302</v>
      </c>
      <c r="C131" s="1">
        <v>4750.2478058214983</v>
      </c>
      <c r="D131" s="1">
        <v>115.85970258101214</v>
      </c>
      <c r="E131" s="1">
        <f t="shared" si="4"/>
        <v>2741.2478058214979</v>
      </c>
      <c r="F131" s="1">
        <f t="shared" si="5"/>
        <v>2009</v>
      </c>
      <c r="G131" s="2">
        <v>41</v>
      </c>
      <c r="H131" s="1">
        <v>66.859702581012144</v>
      </c>
      <c r="I131" s="1">
        <v>49</v>
      </c>
      <c r="J131" s="1">
        <f t="shared" si="6"/>
        <v>513800.78155944549</v>
      </c>
      <c r="K131" s="1">
        <f t="shared" si="7"/>
        <v>254493.78155944531</v>
      </c>
    </row>
    <row r="132" spans="1:11" x14ac:dyDescent="0.25">
      <c r="A132" t="s">
        <v>41</v>
      </c>
      <c r="B132" s="3">
        <v>43297</v>
      </c>
      <c r="C132" s="1">
        <v>22115.504774785724</v>
      </c>
      <c r="D132" s="1">
        <v>153.57989426934532</v>
      </c>
      <c r="E132" s="1">
        <f t="shared" ref="E132:E195" si="8">+G132*H132</f>
        <v>14051.504774785726</v>
      </c>
      <c r="F132" s="1">
        <f t="shared" ref="F132:F195" si="9">+G132*I132</f>
        <v>8064</v>
      </c>
      <c r="G132" s="2">
        <v>144</v>
      </c>
      <c r="H132" s="1">
        <v>97.579894269345317</v>
      </c>
      <c r="I132" s="1">
        <v>56</v>
      </c>
      <c r="J132" s="1">
        <f t="shared" si="6"/>
        <v>535916.28633423126</v>
      </c>
      <c r="K132" s="1">
        <f t="shared" si="7"/>
        <v>268545.28633423103</v>
      </c>
    </row>
    <row r="133" spans="1:11" x14ac:dyDescent="0.25">
      <c r="A133" t="s">
        <v>35</v>
      </c>
      <c r="B133" s="3">
        <v>43281</v>
      </c>
      <c r="C133" s="1">
        <v>259.02571836581632</v>
      </c>
      <c r="D133" s="1">
        <v>129.51285918290816</v>
      </c>
      <c r="E133" s="1">
        <f t="shared" si="8"/>
        <v>119.02571836581633</v>
      </c>
      <c r="F133" s="1">
        <f t="shared" si="9"/>
        <v>140</v>
      </c>
      <c r="G133" s="2">
        <v>2</v>
      </c>
      <c r="H133" s="1">
        <v>59.512859182908166</v>
      </c>
      <c r="I133" s="1">
        <v>70</v>
      </c>
      <c r="J133" s="1">
        <f t="shared" ref="J133:J196" si="10">+J132+C133</f>
        <v>536175.31205259706</v>
      </c>
      <c r="K133" s="1">
        <f t="shared" ref="K133:K196" si="11">+K132+E133</f>
        <v>268664.31205259683</v>
      </c>
    </row>
    <row r="134" spans="1:11" x14ac:dyDescent="0.25">
      <c r="A134" t="s">
        <v>44</v>
      </c>
      <c r="B134" s="3">
        <v>43279</v>
      </c>
      <c r="C134" s="1">
        <v>2753.0073997998525</v>
      </c>
      <c r="D134" s="1">
        <v>196.64338569998947</v>
      </c>
      <c r="E134" s="1">
        <f t="shared" si="8"/>
        <v>1507.0073997998525</v>
      </c>
      <c r="F134" s="1">
        <f t="shared" si="9"/>
        <v>1246</v>
      </c>
      <c r="G134" s="2">
        <v>14</v>
      </c>
      <c r="H134" s="1">
        <v>107.64338569998947</v>
      </c>
      <c r="I134" s="1">
        <v>89</v>
      </c>
      <c r="J134" s="1">
        <f t="shared" si="10"/>
        <v>538928.31945239694</v>
      </c>
      <c r="K134" s="1">
        <f t="shared" si="11"/>
        <v>270171.31945239665</v>
      </c>
    </row>
    <row r="135" spans="1:11" x14ac:dyDescent="0.25">
      <c r="A135" t="s">
        <v>22</v>
      </c>
      <c r="B135" s="3">
        <v>43262</v>
      </c>
      <c r="C135" s="1">
        <v>3833.0908229322672</v>
      </c>
      <c r="D135" s="1">
        <v>95.827270573306677</v>
      </c>
      <c r="E135" s="1">
        <f t="shared" si="8"/>
        <v>2233.0908229322672</v>
      </c>
      <c r="F135" s="1">
        <f t="shared" si="9"/>
        <v>1600</v>
      </c>
      <c r="G135" s="2">
        <v>40</v>
      </c>
      <c r="H135" s="1">
        <v>55.827270573306677</v>
      </c>
      <c r="I135" s="1">
        <v>40</v>
      </c>
      <c r="J135" s="1">
        <f t="shared" si="10"/>
        <v>542761.41027532925</v>
      </c>
      <c r="K135" s="1">
        <f t="shared" si="11"/>
        <v>272404.4102753289</v>
      </c>
    </row>
    <row r="136" spans="1:11" x14ac:dyDescent="0.25">
      <c r="A136" t="s">
        <v>15</v>
      </c>
      <c r="B136" s="3">
        <v>43252</v>
      </c>
      <c r="C136" s="1">
        <v>1634.1862208005614</v>
      </c>
      <c r="D136" s="1">
        <v>116.72758720004009</v>
      </c>
      <c r="E136" s="1">
        <f t="shared" si="8"/>
        <v>780.18622080056116</v>
      </c>
      <c r="F136" s="1">
        <f t="shared" si="9"/>
        <v>854</v>
      </c>
      <c r="G136" s="2">
        <v>14</v>
      </c>
      <c r="H136" s="1">
        <v>55.727587200040084</v>
      </c>
      <c r="I136" s="1">
        <v>61</v>
      </c>
      <c r="J136" s="1">
        <f t="shared" si="10"/>
        <v>544395.59649612976</v>
      </c>
      <c r="K136" s="1">
        <f t="shared" si="11"/>
        <v>273184.59649612947</v>
      </c>
    </row>
    <row r="137" spans="1:11" x14ac:dyDescent="0.25">
      <c r="A137" t="s">
        <v>34</v>
      </c>
      <c r="B137" s="3">
        <v>43233</v>
      </c>
      <c r="C137" s="1">
        <v>7351.4824416208494</v>
      </c>
      <c r="D137" s="1">
        <v>147.029648832417</v>
      </c>
      <c r="E137" s="1">
        <f t="shared" si="8"/>
        <v>3851.4824416208498</v>
      </c>
      <c r="F137" s="1">
        <f t="shared" si="9"/>
        <v>3500</v>
      </c>
      <c r="G137" s="2">
        <v>50</v>
      </c>
      <c r="H137" s="1">
        <v>77.029648832416996</v>
      </c>
      <c r="I137" s="1">
        <v>70</v>
      </c>
      <c r="J137" s="1">
        <f t="shared" si="10"/>
        <v>551747.07893775066</v>
      </c>
      <c r="K137" s="1">
        <f t="shared" si="11"/>
        <v>277036.07893775031</v>
      </c>
    </row>
    <row r="138" spans="1:11" x14ac:dyDescent="0.25">
      <c r="A138" t="s">
        <v>36</v>
      </c>
      <c r="B138" s="3">
        <v>43233</v>
      </c>
      <c r="C138" s="1">
        <v>1073.162996821387</v>
      </c>
      <c r="D138" s="1">
        <v>63.127235107140407</v>
      </c>
      <c r="E138" s="1">
        <f t="shared" si="8"/>
        <v>444.16299682138697</v>
      </c>
      <c r="F138" s="1">
        <f t="shared" si="9"/>
        <v>629</v>
      </c>
      <c r="G138" s="2">
        <v>17</v>
      </c>
      <c r="H138" s="1">
        <v>26.127235107140411</v>
      </c>
      <c r="I138" s="1">
        <v>37</v>
      </c>
      <c r="J138" s="1">
        <f t="shared" si="10"/>
        <v>552820.241934572</v>
      </c>
      <c r="K138" s="1">
        <f t="shared" si="11"/>
        <v>277480.24193457171</v>
      </c>
    </row>
    <row r="139" spans="1:11" x14ac:dyDescent="0.25">
      <c r="A139" t="s">
        <v>49</v>
      </c>
      <c r="B139" s="3">
        <v>43220</v>
      </c>
      <c r="C139" s="1">
        <v>6465.0474129829954</v>
      </c>
      <c r="D139" s="1">
        <v>93.696339318594141</v>
      </c>
      <c r="E139" s="1">
        <f t="shared" si="8"/>
        <v>2739.0474129829954</v>
      </c>
      <c r="F139" s="1">
        <f t="shared" si="9"/>
        <v>3726</v>
      </c>
      <c r="G139" s="2">
        <v>69</v>
      </c>
      <c r="H139" s="1">
        <v>39.696339318594134</v>
      </c>
      <c r="I139" s="1">
        <v>54</v>
      </c>
      <c r="J139" s="1">
        <f t="shared" si="10"/>
        <v>559285.28934755502</v>
      </c>
      <c r="K139" s="1">
        <f t="shared" si="11"/>
        <v>280219.28934755467</v>
      </c>
    </row>
    <row r="140" spans="1:11" x14ac:dyDescent="0.25">
      <c r="A140" t="s">
        <v>18</v>
      </c>
      <c r="B140" s="3">
        <v>43219</v>
      </c>
      <c r="C140" s="1">
        <v>3876.0739985129139</v>
      </c>
      <c r="D140" s="1">
        <v>76.001450951233608</v>
      </c>
      <c r="E140" s="1">
        <f t="shared" si="8"/>
        <v>1887.0739985129137</v>
      </c>
      <c r="F140" s="1">
        <f t="shared" si="9"/>
        <v>1989</v>
      </c>
      <c r="G140" s="2">
        <v>51</v>
      </c>
      <c r="H140" s="1">
        <v>37.001450951233601</v>
      </c>
      <c r="I140" s="1">
        <v>39</v>
      </c>
      <c r="J140" s="1">
        <f t="shared" si="10"/>
        <v>563161.36334606796</v>
      </c>
      <c r="K140" s="1">
        <f t="shared" si="11"/>
        <v>282106.36334606761</v>
      </c>
    </row>
    <row r="141" spans="1:11" x14ac:dyDescent="0.25">
      <c r="A141" t="s">
        <v>28</v>
      </c>
      <c r="B141" s="3">
        <v>43208</v>
      </c>
      <c r="C141" s="1">
        <v>1019.420725502142</v>
      </c>
      <c r="D141" s="1">
        <v>35.152438810418687</v>
      </c>
      <c r="E141" s="1">
        <f t="shared" si="8"/>
        <v>584.42072550214198</v>
      </c>
      <c r="F141" s="1">
        <f t="shared" si="9"/>
        <v>435</v>
      </c>
      <c r="G141" s="2">
        <v>29</v>
      </c>
      <c r="H141" s="1">
        <v>20.15243881041869</v>
      </c>
      <c r="I141" s="1">
        <v>15</v>
      </c>
      <c r="J141" s="1">
        <f t="shared" si="10"/>
        <v>564180.78407157015</v>
      </c>
      <c r="K141" s="1">
        <f t="shared" si="11"/>
        <v>282690.78407156974</v>
      </c>
    </row>
    <row r="142" spans="1:11" x14ac:dyDescent="0.25">
      <c r="A142" t="s">
        <v>37</v>
      </c>
      <c r="B142" s="3">
        <v>43205</v>
      </c>
      <c r="C142" s="1">
        <v>1967.0181764401029</v>
      </c>
      <c r="D142" s="1">
        <v>89.409917110913767</v>
      </c>
      <c r="E142" s="1">
        <f t="shared" si="8"/>
        <v>845.01817644010293</v>
      </c>
      <c r="F142" s="1">
        <f t="shared" si="9"/>
        <v>1122</v>
      </c>
      <c r="G142" s="2">
        <v>22</v>
      </c>
      <c r="H142" s="1">
        <v>38.409917110913767</v>
      </c>
      <c r="I142" s="1">
        <v>51</v>
      </c>
      <c r="J142" s="1">
        <f t="shared" si="10"/>
        <v>566147.8022480103</v>
      </c>
      <c r="K142" s="1">
        <f t="shared" si="11"/>
        <v>283535.80224800983</v>
      </c>
    </row>
    <row r="143" spans="1:11" x14ac:dyDescent="0.25">
      <c r="A143" t="s">
        <v>25</v>
      </c>
      <c r="B143" s="3">
        <v>43185</v>
      </c>
      <c r="C143" s="1">
        <v>4760.9758926075783</v>
      </c>
      <c r="D143" s="1">
        <v>95.219517852151569</v>
      </c>
      <c r="E143" s="1">
        <f t="shared" si="8"/>
        <v>2610.9758926075779</v>
      </c>
      <c r="F143" s="1">
        <f t="shared" si="9"/>
        <v>2150</v>
      </c>
      <c r="G143" s="2">
        <v>50</v>
      </c>
      <c r="H143" s="1">
        <v>52.219517852151561</v>
      </c>
      <c r="I143" s="1">
        <v>43</v>
      </c>
      <c r="J143" s="1">
        <f t="shared" si="10"/>
        <v>570908.77814061788</v>
      </c>
      <c r="K143" s="1">
        <f t="shared" si="11"/>
        <v>286146.77814061742</v>
      </c>
    </row>
    <row r="144" spans="1:11" x14ac:dyDescent="0.25">
      <c r="A144" t="s">
        <v>20</v>
      </c>
      <c r="B144" s="3">
        <v>43177</v>
      </c>
      <c r="C144" s="1">
        <v>873.80047125785586</v>
      </c>
      <c r="D144" s="1">
        <v>218.45011781446397</v>
      </c>
      <c r="E144" s="1">
        <f t="shared" si="8"/>
        <v>353.80047125785592</v>
      </c>
      <c r="F144" s="1">
        <f t="shared" si="9"/>
        <v>520</v>
      </c>
      <c r="G144" s="2">
        <v>4</v>
      </c>
      <c r="H144" s="1">
        <v>88.450117814463979</v>
      </c>
      <c r="I144" s="1">
        <v>130</v>
      </c>
      <c r="J144" s="1">
        <f t="shared" si="10"/>
        <v>571782.57861187577</v>
      </c>
      <c r="K144" s="1">
        <f t="shared" si="11"/>
        <v>286500.5786118753</v>
      </c>
    </row>
    <row r="145" spans="1:11" x14ac:dyDescent="0.25">
      <c r="A145" t="s">
        <v>11</v>
      </c>
      <c r="B145" s="3">
        <v>43174</v>
      </c>
      <c r="C145" s="1">
        <v>310.52477364548162</v>
      </c>
      <c r="D145" s="1">
        <v>77.631193411370404</v>
      </c>
      <c r="E145" s="1">
        <f t="shared" si="8"/>
        <v>130.52477364548162</v>
      </c>
      <c r="F145" s="1">
        <f t="shared" si="9"/>
        <v>180</v>
      </c>
      <c r="G145" s="2">
        <v>4</v>
      </c>
      <c r="H145" s="1">
        <v>32.631193411370404</v>
      </c>
      <c r="I145" s="1">
        <v>45</v>
      </c>
      <c r="J145" s="1">
        <f t="shared" si="10"/>
        <v>572093.10338552122</v>
      </c>
      <c r="K145" s="1">
        <f t="shared" si="11"/>
        <v>286631.10338552081</v>
      </c>
    </row>
    <row r="146" spans="1:11" x14ac:dyDescent="0.25">
      <c r="A146" t="s">
        <v>24</v>
      </c>
      <c r="B146" s="3">
        <v>43166</v>
      </c>
      <c r="C146" s="1">
        <v>506.52455944013673</v>
      </c>
      <c r="D146" s="1">
        <v>101.30491188802735</v>
      </c>
      <c r="E146" s="1">
        <f t="shared" si="8"/>
        <v>216.52455944013673</v>
      </c>
      <c r="F146" s="1">
        <f t="shared" si="9"/>
        <v>290</v>
      </c>
      <c r="G146" s="2">
        <v>5</v>
      </c>
      <c r="H146" s="1">
        <v>43.304911888027348</v>
      </c>
      <c r="I146" s="1">
        <v>58</v>
      </c>
      <c r="J146" s="1">
        <f t="shared" si="10"/>
        <v>572599.62794496131</v>
      </c>
      <c r="K146" s="1">
        <f t="shared" si="11"/>
        <v>286847.62794496096</v>
      </c>
    </row>
    <row r="147" spans="1:11" x14ac:dyDescent="0.25">
      <c r="A147" t="s">
        <v>32</v>
      </c>
      <c r="B147" s="3">
        <v>43161</v>
      </c>
      <c r="C147" s="1">
        <v>808.77758520966279</v>
      </c>
      <c r="D147" s="1">
        <v>115.53965502995183</v>
      </c>
      <c r="E147" s="1">
        <f t="shared" si="8"/>
        <v>360.77758520966285</v>
      </c>
      <c r="F147" s="1">
        <f t="shared" si="9"/>
        <v>448</v>
      </c>
      <c r="G147" s="2">
        <v>7</v>
      </c>
      <c r="H147" s="1">
        <v>51.539655029951838</v>
      </c>
      <c r="I147" s="1">
        <v>64</v>
      </c>
      <c r="J147" s="1">
        <f t="shared" si="10"/>
        <v>573408.405530171</v>
      </c>
      <c r="K147" s="1">
        <f t="shared" si="11"/>
        <v>287208.4055301706</v>
      </c>
    </row>
    <row r="148" spans="1:11" x14ac:dyDescent="0.25">
      <c r="A148" t="s">
        <v>46</v>
      </c>
      <c r="B148" s="3">
        <v>43160</v>
      </c>
      <c r="C148" s="1">
        <v>3465.7147289993686</v>
      </c>
      <c r="D148" s="1">
        <v>192.53970716663159</v>
      </c>
      <c r="E148" s="1">
        <f t="shared" si="8"/>
        <v>1539.7147289993686</v>
      </c>
      <c r="F148" s="1">
        <f t="shared" si="9"/>
        <v>1926</v>
      </c>
      <c r="G148" s="2">
        <v>18</v>
      </c>
      <c r="H148" s="1">
        <v>85.539707166631587</v>
      </c>
      <c r="I148" s="1">
        <v>107</v>
      </c>
      <c r="J148" s="1">
        <f t="shared" si="10"/>
        <v>576874.12025917042</v>
      </c>
      <c r="K148" s="1">
        <f t="shared" si="11"/>
        <v>288748.12025916995</v>
      </c>
    </row>
    <row r="149" spans="1:11" x14ac:dyDescent="0.25">
      <c r="A149" t="s">
        <v>12</v>
      </c>
      <c r="B149" s="3">
        <v>43158</v>
      </c>
      <c r="C149" s="1">
        <v>1473.1296069700884</v>
      </c>
      <c r="D149" s="1">
        <v>122.76080058084069</v>
      </c>
      <c r="E149" s="1">
        <f t="shared" si="8"/>
        <v>753.12960697008839</v>
      </c>
      <c r="F149" s="1">
        <f t="shared" si="9"/>
        <v>720</v>
      </c>
      <c r="G149" s="2">
        <v>12</v>
      </c>
      <c r="H149" s="1">
        <v>62.760800580840694</v>
      </c>
      <c r="I149" s="1">
        <v>60</v>
      </c>
      <c r="J149" s="1">
        <f t="shared" si="10"/>
        <v>578347.24986614054</v>
      </c>
      <c r="K149" s="1">
        <f t="shared" si="11"/>
        <v>289501.24986614002</v>
      </c>
    </row>
    <row r="150" spans="1:11" x14ac:dyDescent="0.25">
      <c r="A150" t="s">
        <v>36</v>
      </c>
      <c r="B150" s="3">
        <v>43147</v>
      </c>
      <c r="C150" s="1">
        <v>11839.86370584257</v>
      </c>
      <c r="D150" s="1">
        <v>105.71306880216581</v>
      </c>
      <c r="E150" s="1">
        <f t="shared" si="8"/>
        <v>6015.8637058425702</v>
      </c>
      <c r="F150" s="1">
        <f t="shared" si="9"/>
        <v>5824</v>
      </c>
      <c r="G150" s="2">
        <v>112</v>
      </c>
      <c r="H150" s="1">
        <v>53.713068802165807</v>
      </c>
      <c r="I150" s="1">
        <v>52</v>
      </c>
      <c r="J150" s="1">
        <f t="shared" si="10"/>
        <v>590187.11357198306</v>
      </c>
      <c r="K150" s="1">
        <f t="shared" si="11"/>
        <v>295517.1135719826</v>
      </c>
    </row>
    <row r="151" spans="1:11" x14ac:dyDescent="0.25">
      <c r="A151" t="s">
        <v>44</v>
      </c>
      <c r="B151" s="3">
        <v>43130</v>
      </c>
      <c r="C151" s="1">
        <v>3867.6585419562316</v>
      </c>
      <c r="D151" s="1">
        <v>67.853658630811083</v>
      </c>
      <c r="E151" s="1">
        <f t="shared" si="8"/>
        <v>1872.6585419562321</v>
      </c>
      <c r="F151" s="1">
        <f t="shared" si="9"/>
        <v>1995</v>
      </c>
      <c r="G151" s="2">
        <v>57</v>
      </c>
      <c r="H151" s="1">
        <v>32.85365863081109</v>
      </c>
      <c r="I151" s="1">
        <v>35</v>
      </c>
      <c r="J151" s="1">
        <f t="shared" si="10"/>
        <v>594054.77211393928</v>
      </c>
      <c r="K151" s="1">
        <f t="shared" si="11"/>
        <v>297389.77211393882</v>
      </c>
    </row>
    <row r="152" spans="1:11" x14ac:dyDescent="0.25">
      <c r="A152" t="s">
        <v>17</v>
      </c>
      <c r="B152" s="3">
        <v>43130</v>
      </c>
      <c r="C152" s="1">
        <v>1310.7658480416037</v>
      </c>
      <c r="D152" s="1">
        <v>327.69146201040093</v>
      </c>
      <c r="E152" s="1">
        <f t="shared" si="8"/>
        <v>554.7658480416037</v>
      </c>
      <c r="F152" s="1">
        <f t="shared" si="9"/>
        <v>756</v>
      </c>
      <c r="G152" s="2">
        <v>4</v>
      </c>
      <c r="H152" s="1">
        <v>138.69146201040093</v>
      </c>
      <c r="I152" s="1">
        <v>189</v>
      </c>
      <c r="J152" s="1">
        <f t="shared" si="10"/>
        <v>595365.53796198091</v>
      </c>
      <c r="K152" s="1">
        <f t="shared" si="11"/>
        <v>297944.53796198044</v>
      </c>
    </row>
    <row r="153" spans="1:11" x14ac:dyDescent="0.25">
      <c r="A153" t="s">
        <v>48</v>
      </c>
      <c r="B153" s="3">
        <v>43129</v>
      </c>
      <c r="C153" s="1">
        <v>4821.5925266114655</v>
      </c>
      <c r="D153" s="1">
        <v>76.533214708118493</v>
      </c>
      <c r="E153" s="1">
        <f t="shared" si="8"/>
        <v>2616.592526611465</v>
      </c>
      <c r="F153" s="1">
        <f t="shared" si="9"/>
        <v>2205</v>
      </c>
      <c r="G153" s="2">
        <v>63</v>
      </c>
      <c r="H153" s="1">
        <v>41.533214708118493</v>
      </c>
      <c r="I153" s="1">
        <v>35</v>
      </c>
      <c r="J153" s="1">
        <f t="shared" si="10"/>
        <v>600187.13048859243</v>
      </c>
      <c r="K153" s="1">
        <f t="shared" si="11"/>
        <v>300561.13048859191</v>
      </c>
    </row>
    <row r="154" spans="1:11" x14ac:dyDescent="0.25">
      <c r="A154" t="s">
        <v>27</v>
      </c>
      <c r="B154" s="3">
        <v>43120</v>
      </c>
      <c r="C154" s="1">
        <v>25477.307176838989</v>
      </c>
      <c r="D154" s="1">
        <v>105.714967538751</v>
      </c>
      <c r="E154" s="1">
        <f t="shared" si="8"/>
        <v>15837.307176838991</v>
      </c>
      <c r="F154" s="1">
        <f t="shared" si="9"/>
        <v>9640</v>
      </c>
      <c r="G154" s="2">
        <v>241</v>
      </c>
      <c r="H154" s="1">
        <v>65.714967538750997</v>
      </c>
      <c r="I154" s="1">
        <v>40</v>
      </c>
      <c r="J154" s="1">
        <f t="shared" si="10"/>
        <v>625664.43766543141</v>
      </c>
      <c r="K154" s="1">
        <f t="shared" si="11"/>
        <v>316398.43766543089</v>
      </c>
    </row>
    <row r="155" spans="1:11" x14ac:dyDescent="0.25">
      <c r="A155" t="s">
        <v>27</v>
      </c>
      <c r="B155" s="3">
        <v>43113</v>
      </c>
      <c r="C155" s="1">
        <v>979.10156736937495</v>
      </c>
      <c r="D155" s="1">
        <v>75.315505182259614</v>
      </c>
      <c r="E155" s="1">
        <f t="shared" si="8"/>
        <v>602.10156736937483</v>
      </c>
      <c r="F155" s="1">
        <f t="shared" si="9"/>
        <v>377</v>
      </c>
      <c r="G155" s="2">
        <v>13</v>
      </c>
      <c r="H155" s="1">
        <v>46.315505182259606</v>
      </c>
      <c r="I155" s="1">
        <v>29</v>
      </c>
      <c r="J155" s="1">
        <f t="shared" si="10"/>
        <v>626643.53923280083</v>
      </c>
      <c r="K155" s="1">
        <f t="shared" si="11"/>
        <v>317000.53923280025</v>
      </c>
    </row>
    <row r="156" spans="1:11" x14ac:dyDescent="0.25">
      <c r="A156" t="s">
        <v>11</v>
      </c>
      <c r="B156" s="3">
        <v>43105</v>
      </c>
      <c r="C156" s="1">
        <v>2745.8765185528346</v>
      </c>
      <c r="D156" s="1">
        <v>98.067018519744096</v>
      </c>
      <c r="E156" s="1">
        <f t="shared" si="8"/>
        <v>1709.8765185528346</v>
      </c>
      <c r="F156" s="1">
        <f t="shared" si="9"/>
        <v>1036</v>
      </c>
      <c r="G156" s="2">
        <v>28</v>
      </c>
      <c r="H156" s="1">
        <v>61.067018519744096</v>
      </c>
      <c r="I156" s="1">
        <v>37</v>
      </c>
      <c r="J156" s="1">
        <f t="shared" si="10"/>
        <v>629389.41575135372</v>
      </c>
      <c r="K156" s="1">
        <f t="shared" si="11"/>
        <v>318710.41575135308</v>
      </c>
    </row>
    <row r="157" spans="1:11" x14ac:dyDescent="0.25">
      <c r="A157" t="s">
        <v>37</v>
      </c>
      <c r="B157" s="3">
        <v>43101</v>
      </c>
      <c r="C157" s="1">
        <v>966.51978069120753</v>
      </c>
      <c r="D157" s="1">
        <v>87.865434608291594</v>
      </c>
      <c r="E157" s="1">
        <f t="shared" si="8"/>
        <v>526.51978069120742</v>
      </c>
      <c r="F157" s="1">
        <f t="shared" si="9"/>
        <v>440</v>
      </c>
      <c r="G157" s="2">
        <v>11</v>
      </c>
      <c r="H157" s="1">
        <v>47.865434608291586</v>
      </c>
      <c r="I157" s="1">
        <v>40</v>
      </c>
      <c r="J157" s="1">
        <f t="shared" si="10"/>
        <v>630355.93553204497</v>
      </c>
      <c r="K157" s="1">
        <f t="shared" si="11"/>
        <v>319236.93553204427</v>
      </c>
    </row>
    <row r="158" spans="1:11" x14ac:dyDescent="0.25">
      <c r="A158" t="s">
        <v>40</v>
      </c>
      <c r="B158" s="3">
        <v>43092</v>
      </c>
      <c r="C158" s="1">
        <v>1188.3477426038623</v>
      </c>
      <c r="D158" s="1">
        <v>84.881981614561596</v>
      </c>
      <c r="E158" s="1">
        <f t="shared" si="8"/>
        <v>754.34774260386234</v>
      </c>
      <c r="F158" s="1">
        <f t="shared" si="9"/>
        <v>434</v>
      </c>
      <c r="G158" s="2">
        <v>14</v>
      </c>
      <c r="H158" s="1">
        <v>53.881981614561596</v>
      </c>
      <c r="I158" s="1">
        <v>31</v>
      </c>
      <c r="J158" s="1">
        <f t="shared" si="10"/>
        <v>631544.28327464883</v>
      </c>
      <c r="K158" s="1">
        <f t="shared" si="11"/>
        <v>319991.28327464813</v>
      </c>
    </row>
    <row r="159" spans="1:11" x14ac:dyDescent="0.25">
      <c r="A159" t="s">
        <v>12</v>
      </c>
      <c r="B159" s="3">
        <v>43070</v>
      </c>
      <c r="C159" s="1">
        <v>431.81127863149942</v>
      </c>
      <c r="D159" s="1">
        <v>215.90563931574971</v>
      </c>
      <c r="E159" s="1">
        <f t="shared" si="8"/>
        <v>233.81127863149942</v>
      </c>
      <c r="F159" s="1">
        <f t="shared" si="9"/>
        <v>198</v>
      </c>
      <c r="G159" s="2">
        <v>2</v>
      </c>
      <c r="H159" s="1">
        <v>116.90563931574971</v>
      </c>
      <c r="I159" s="1">
        <v>99</v>
      </c>
      <c r="J159" s="1">
        <f t="shared" si="10"/>
        <v>631976.09455328027</v>
      </c>
      <c r="K159" s="1">
        <f t="shared" si="11"/>
        <v>320225.09455327963</v>
      </c>
    </row>
    <row r="160" spans="1:11" x14ac:dyDescent="0.25">
      <c r="A160" t="s">
        <v>15</v>
      </c>
      <c r="B160" s="3">
        <v>43068</v>
      </c>
      <c r="C160" s="1">
        <v>1202.2844480722106</v>
      </c>
      <c r="D160" s="1">
        <v>100.19037067268422</v>
      </c>
      <c r="E160" s="1">
        <f t="shared" si="8"/>
        <v>602.28444807221069</v>
      </c>
      <c r="F160" s="1">
        <f t="shared" si="9"/>
        <v>600</v>
      </c>
      <c r="G160" s="2">
        <v>12</v>
      </c>
      <c r="H160" s="1">
        <v>50.190370672684224</v>
      </c>
      <c r="I160" s="1">
        <v>50</v>
      </c>
      <c r="J160" s="1">
        <f t="shared" si="10"/>
        <v>633178.37900135247</v>
      </c>
      <c r="K160" s="1">
        <f t="shared" si="11"/>
        <v>320827.37900135183</v>
      </c>
    </row>
    <row r="161" spans="1:11" x14ac:dyDescent="0.25">
      <c r="A161" t="s">
        <v>46</v>
      </c>
      <c r="B161" s="3">
        <v>43065</v>
      </c>
      <c r="C161" s="1">
        <v>422.31963628779653</v>
      </c>
      <c r="D161" s="1">
        <v>84.463927257559305</v>
      </c>
      <c r="E161" s="1">
        <f t="shared" si="8"/>
        <v>267.31963628779653</v>
      </c>
      <c r="F161" s="1">
        <f t="shared" si="9"/>
        <v>155</v>
      </c>
      <c r="G161" s="2">
        <v>5</v>
      </c>
      <c r="H161" s="1">
        <v>53.463927257559305</v>
      </c>
      <c r="I161" s="1">
        <v>31</v>
      </c>
      <c r="J161" s="1">
        <f t="shared" si="10"/>
        <v>633600.69863764022</v>
      </c>
      <c r="K161" s="1">
        <f t="shared" si="11"/>
        <v>321094.69863763964</v>
      </c>
    </row>
    <row r="162" spans="1:11" x14ac:dyDescent="0.25">
      <c r="A162" t="s">
        <v>16</v>
      </c>
      <c r="B162" s="3">
        <v>43041</v>
      </c>
      <c r="C162" s="1">
        <v>358.5108401146112</v>
      </c>
      <c r="D162" s="1">
        <v>51.215834302087316</v>
      </c>
      <c r="E162" s="1">
        <f t="shared" si="8"/>
        <v>197.5108401146112</v>
      </c>
      <c r="F162" s="1">
        <f t="shared" si="9"/>
        <v>161</v>
      </c>
      <c r="G162" s="2">
        <v>7</v>
      </c>
      <c r="H162" s="1">
        <v>28.215834302087313</v>
      </c>
      <c r="I162" s="1">
        <v>23</v>
      </c>
      <c r="J162" s="1">
        <f t="shared" si="10"/>
        <v>633959.20947775478</v>
      </c>
      <c r="K162" s="1">
        <f t="shared" si="11"/>
        <v>321292.20947775425</v>
      </c>
    </row>
    <row r="163" spans="1:11" x14ac:dyDescent="0.25">
      <c r="A163" t="s">
        <v>39</v>
      </c>
      <c r="B163" s="3">
        <v>43041</v>
      </c>
      <c r="C163" s="1">
        <v>1860.3549452933262</v>
      </c>
      <c r="D163" s="1">
        <v>206.70610503259181</v>
      </c>
      <c r="E163" s="1">
        <f t="shared" si="8"/>
        <v>1203.3549452933262</v>
      </c>
      <c r="F163" s="1">
        <f t="shared" si="9"/>
        <v>657</v>
      </c>
      <c r="G163" s="2">
        <v>9</v>
      </c>
      <c r="H163" s="1">
        <v>133.70610503259181</v>
      </c>
      <c r="I163" s="1">
        <v>73</v>
      </c>
      <c r="J163" s="1">
        <f t="shared" si="10"/>
        <v>635819.56442304805</v>
      </c>
      <c r="K163" s="1">
        <f t="shared" si="11"/>
        <v>322495.56442304759</v>
      </c>
    </row>
    <row r="164" spans="1:11" x14ac:dyDescent="0.25">
      <c r="A164" t="s">
        <v>29</v>
      </c>
      <c r="B164" s="3">
        <v>43026</v>
      </c>
      <c r="C164" s="1">
        <v>1798.42054531753</v>
      </c>
      <c r="D164" s="1">
        <v>119.89470302116867</v>
      </c>
      <c r="E164" s="1">
        <f t="shared" si="8"/>
        <v>823.42054531753001</v>
      </c>
      <c r="F164" s="1">
        <f t="shared" si="9"/>
        <v>975</v>
      </c>
      <c r="G164" s="2">
        <v>15</v>
      </c>
      <c r="H164" s="1">
        <v>54.894703021168667</v>
      </c>
      <c r="I164" s="1">
        <v>65</v>
      </c>
      <c r="J164" s="1">
        <f t="shared" si="10"/>
        <v>637617.98496836564</v>
      </c>
      <c r="K164" s="1">
        <f t="shared" si="11"/>
        <v>323318.98496836511</v>
      </c>
    </row>
    <row r="165" spans="1:11" x14ac:dyDescent="0.25">
      <c r="A165" t="s">
        <v>35</v>
      </c>
      <c r="B165" s="3">
        <v>43020</v>
      </c>
      <c r="C165" s="1">
        <v>289.56841207814108</v>
      </c>
      <c r="D165" s="1">
        <v>57.913682415628216</v>
      </c>
      <c r="E165" s="1">
        <f t="shared" si="8"/>
        <v>189.56841207814108</v>
      </c>
      <c r="F165" s="1">
        <f t="shared" si="9"/>
        <v>100</v>
      </c>
      <c r="G165" s="2">
        <v>5</v>
      </c>
      <c r="H165" s="1">
        <v>37.913682415628216</v>
      </c>
      <c r="I165" s="1">
        <v>20</v>
      </c>
      <c r="J165" s="1">
        <f t="shared" si="10"/>
        <v>637907.55338044383</v>
      </c>
      <c r="K165" s="1">
        <f t="shared" si="11"/>
        <v>323508.55338044325</v>
      </c>
    </row>
    <row r="166" spans="1:11" x14ac:dyDescent="0.25">
      <c r="A166" t="s">
        <v>15</v>
      </c>
      <c r="B166" s="3">
        <v>43020</v>
      </c>
      <c r="C166" s="1">
        <v>1527.1190597880798</v>
      </c>
      <c r="D166" s="1">
        <v>117.47069690677537</v>
      </c>
      <c r="E166" s="1">
        <f t="shared" si="8"/>
        <v>877.11905978807988</v>
      </c>
      <c r="F166" s="1">
        <f t="shared" si="9"/>
        <v>650</v>
      </c>
      <c r="G166" s="2">
        <v>13</v>
      </c>
      <c r="H166" s="1">
        <v>67.470696906775373</v>
      </c>
      <c r="I166" s="1">
        <v>50</v>
      </c>
      <c r="J166" s="1">
        <f t="shared" si="10"/>
        <v>639434.67244023189</v>
      </c>
      <c r="K166" s="1">
        <f t="shared" si="11"/>
        <v>324385.67244023131</v>
      </c>
    </row>
    <row r="167" spans="1:11" x14ac:dyDescent="0.25">
      <c r="A167" t="s">
        <v>21</v>
      </c>
      <c r="B167" s="3">
        <v>43012</v>
      </c>
      <c r="C167" s="1">
        <v>1635.7920266463836</v>
      </c>
      <c r="D167" s="1">
        <v>90.87733481368798</v>
      </c>
      <c r="E167" s="1">
        <f t="shared" si="8"/>
        <v>1059.7920266463839</v>
      </c>
      <c r="F167" s="1">
        <f t="shared" si="9"/>
        <v>576</v>
      </c>
      <c r="G167" s="2">
        <v>18</v>
      </c>
      <c r="H167" s="1">
        <v>58.877334813687987</v>
      </c>
      <c r="I167" s="1">
        <v>32</v>
      </c>
      <c r="J167" s="1">
        <f t="shared" si="10"/>
        <v>641070.46446687833</v>
      </c>
      <c r="K167" s="1">
        <f t="shared" si="11"/>
        <v>325445.46446687769</v>
      </c>
    </row>
    <row r="168" spans="1:11" x14ac:dyDescent="0.25">
      <c r="A168" t="s">
        <v>25</v>
      </c>
      <c r="B168" s="3">
        <v>43008</v>
      </c>
      <c r="C168" s="1">
        <v>989.3713685888689</v>
      </c>
      <c r="D168" s="1">
        <v>47.112922313755661</v>
      </c>
      <c r="E168" s="1">
        <f t="shared" si="8"/>
        <v>401.37136858886879</v>
      </c>
      <c r="F168" s="1">
        <f t="shared" si="9"/>
        <v>588</v>
      </c>
      <c r="G168" s="2">
        <v>21</v>
      </c>
      <c r="H168" s="1">
        <v>19.112922313755657</v>
      </c>
      <c r="I168" s="1">
        <v>28</v>
      </c>
      <c r="J168" s="1">
        <f t="shared" si="10"/>
        <v>642059.83583546721</v>
      </c>
      <c r="K168" s="1">
        <f t="shared" si="11"/>
        <v>325846.83583546657</v>
      </c>
    </row>
    <row r="169" spans="1:11" x14ac:dyDescent="0.25">
      <c r="A169" t="s">
        <v>32</v>
      </c>
      <c r="B169" s="3">
        <v>42991</v>
      </c>
      <c r="C169" s="1">
        <v>2868.1466123142663</v>
      </c>
      <c r="D169" s="1">
        <v>143.40733061571331</v>
      </c>
      <c r="E169" s="1">
        <f t="shared" si="8"/>
        <v>1628.1466123142661</v>
      </c>
      <c r="F169" s="1">
        <f t="shared" si="9"/>
        <v>1240</v>
      </c>
      <c r="G169" s="2">
        <v>20</v>
      </c>
      <c r="H169" s="1">
        <v>81.407330615713306</v>
      </c>
      <c r="I169" s="1">
        <v>62</v>
      </c>
      <c r="J169" s="1">
        <f t="shared" si="10"/>
        <v>644927.98244778148</v>
      </c>
      <c r="K169" s="1">
        <f t="shared" si="11"/>
        <v>327474.98244778084</v>
      </c>
    </row>
    <row r="170" spans="1:11" x14ac:dyDescent="0.25">
      <c r="A170" t="s">
        <v>28</v>
      </c>
      <c r="B170" s="3">
        <v>42988</v>
      </c>
      <c r="C170" s="1">
        <v>1845.3760131126269</v>
      </c>
      <c r="D170" s="1">
        <v>153.78133442605224</v>
      </c>
      <c r="E170" s="1">
        <f t="shared" si="8"/>
        <v>765.37601311262677</v>
      </c>
      <c r="F170" s="1">
        <f t="shared" si="9"/>
        <v>1080</v>
      </c>
      <c r="G170" s="2">
        <v>12</v>
      </c>
      <c r="H170" s="1">
        <v>63.781334426052233</v>
      </c>
      <c r="I170" s="1">
        <v>90</v>
      </c>
      <c r="J170" s="1">
        <f t="shared" si="10"/>
        <v>646773.35846089409</v>
      </c>
      <c r="K170" s="1">
        <f t="shared" si="11"/>
        <v>328240.35846089345</v>
      </c>
    </row>
    <row r="171" spans="1:11" x14ac:dyDescent="0.25">
      <c r="A171" t="s">
        <v>21</v>
      </c>
      <c r="B171" s="3">
        <v>42984</v>
      </c>
      <c r="C171" s="1">
        <v>5440.3274404616941</v>
      </c>
      <c r="D171" s="1">
        <v>97.148704293958829</v>
      </c>
      <c r="E171" s="1">
        <f t="shared" si="8"/>
        <v>2640.3274404616946</v>
      </c>
      <c r="F171" s="1">
        <f t="shared" si="9"/>
        <v>2800</v>
      </c>
      <c r="G171" s="2">
        <v>56</v>
      </c>
      <c r="H171" s="1">
        <v>47.148704293958829</v>
      </c>
      <c r="I171" s="1">
        <v>50</v>
      </c>
      <c r="J171" s="1">
        <f t="shared" si="10"/>
        <v>652213.68590135581</v>
      </c>
      <c r="K171" s="1">
        <f t="shared" si="11"/>
        <v>330880.68590135511</v>
      </c>
    </row>
    <row r="172" spans="1:11" x14ac:dyDescent="0.25">
      <c r="A172" t="s">
        <v>20</v>
      </c>
      <c r="B172" s="3">
        <v>42977</v>
      </c>
      <c r="C172" s="1">
        <v>8119.5054826808191</v>
      </c>
      <c r="D172" s="1">
        <v>261.91953169938125</v>
      </c>
      <c r="E172" s="1">
        <f t="shared" si="8"/>
        <v>3469.5054826808187</v>
      </c>
      <c r="F172" s="1">
        <f t="shared" si="9"/>
        <v>4650</v>
      </c>
      <c r="G172" s="2">
        <v>31</v>
      </c>
      <c r="H172" s="1">
        <v>111.91953169938125</v>
      </c>
      <c r="I172" s="1">
        <v>150</v>
      </c>
      <c r="J172" s="1">
        <f t="shared" si="10"/>
        <v>660333.19138403668</v>
      </c>
      <c r="K172" s="1">
        <f t="shared" si="11"/>
        <v>334350.19138403592</v>
      </c>
    </row>
    <row r="173" spans="1:11" x14ac:dyDescent="0.25">
      <c r="A173" t="s">
        <v>14</v>
      </c>
      <c r="B173" s="3">
        <v>42961</v>
      </c>
      <c r="C173" s="1">
        <v>2423.190643401223</v>
      </c>
      <c r="D173" s="1">
        <v>134.62170241117906</v>
      </c>
      <c r="E173" s="1">
        <f t="shared" si="8"/>
        <v>1019.1906434012233</v>
      </c>
      <c r="F173" s="1">
        <f t="shared" si="9"/>
        <v>1404</v>
      </c>
      <c r="G173" s="2">
        <v>18</v>
      </c>
      <c r="H173" s="1">
        <v>56.621702411179072</v>
      </c>
      <c r="I173" s="1">
        <v>78</v>
      </c>
      <c r="J173" s="1">
        <f t="shared" si="10"/>
        <v>662756.38202743791</v>
      </c>
      <c r="K173" s="1">
        <f t="shared" si="11"/>
        <v>335369.38202743715</v>
      </c>
    </row>
    <row r="174" spans="1:11" x14ac:dyDescent="0.25">
      <c r="A174" t="s">
        <v>49</v>
      </c>
      <c r="B174" s="3">
        <v>42951</v>
      </c>
      <c r="C174" s="1">
        <v>2901.0457929713875</v>
      </c>
      <c r="D174" s="1">
        <v>223.15736869010672</v>
      </c>
      <c r="E174" s="1">
        <f t="shared" si="8"/>
        <v>1185.0457929713873</v>
      </c>
      <c r="F174" s="1">
        <f t="shared" si="9"/>
        <v>1716</v>
      </c>
      <c r="G174" s="2">
        <v>13</v>
      </c>
      <c r="H174" s="1">
        <v>91.157368690106722</v>
      </c>
      <c r="I174" s="1">
        <v>132</v>
      </c>
      <c r="J174" s="1">
        <f t="shared" si="10"/>
        <v>665657.4278204093</v>
      </c>
      <c r="K174" s="1">
        <f t="shared" si="11"/>
        <v>336554.42782040854</v>
      </c>
    </row>
    <row r="175" spans="1:11" x14ac:dyDescent="0.25">
      <c r="A175" t="s">
        <v>49</v>
      </c>
      <c r="B175" s="3">
        <v>42949</v>
      </c>
      <c r="C175" s="1">
        <v>18840.841067063695</v>
      </c>
      <c r="D175" s="1">
        <v>94.677593301827613</v>
      </c>
      <c r="E175" s="1">
        <f t="shared" si="8"/>
        <v>8691.8410670636931</v>
      </c>
      <c r="F175" s="1">
        <f t="shared" si="9"/>
        <v>10149</v>
      </c>
      <c r="G175" s="2">
        <v>199</v>
      </c>
      <c r="H175" s="1">
        <v>43.677593301827606</v>
      </c>
      <c r="I175" s="1">
        <v>51</v>
      </c>
      <c r="J175" s="1">
        <f t="shared" si="10"/>
        <v>684498.26888747304</v>
      </c>
      <c r="K175" s="1">
        <f t="shared" si="11"/>
        <v>345246.26888747222</v>
      </c>
    </row>
    <row r="176" spans="1:11" x14ac:dyDescent="0.25">
      <c r="A176" t="s">
        <v>33</v>
      </c>
      <c r="B176" s="3">
        <v>42937</v>
      </c>
      <c r="C176" s="1">
        <v>798.03788830279143</v>
      </c>
      <c r="D176" s="1">
        <v>114.00541261468449</v>
      </c>
      <c r="E176" s="1">
        <f t="shared" si="8"/>
        <v>427.03788830279143</v>
      </c>
      <c r="F176" s="1">
        <f t="shared" si="9"/>
        <v>371</v>
      </c>
      <c r="G176" s="2">
        <v>7</v>
      </c>
      <c r="H176" s="1">
        <v>61.005412614684488</v>
      </c>
      <c r="I176" s="1">
        <v>53</v>
      </c>
      <c r="J176" s="1">
        <f t="shared" si="10"/>
        <v>685296.30677577585</v>
      </c>
      <c r="K176" s="1">
        <f t="shared" si="11"/>
        <v>345673.30677577504</v>
      </c>
    </row>
    <row r="177" spans="1:11" x14ac:dyDescent="0.25">
      <c r="A177" t="s">
        <v>49</v>
      </c>
      <c r="B177" s="3">
        <v>42919</v>
      </c>
      <c r="C177" s="1">
        <v>6037.753451149938</v>
      </c>
      <c r="D177" s="1">
        <v>125.78653023229037</v>
      </c>
      <c r="E177" s="1">
        <f t="shared" si="8"/>
        <v>3301.753451149938</v>
      </c>
      <c r="F177" s="1">
        <f t="shared" si="9"/>
        <v>2736</v>
      </c>
      <c r="G177" s="2">
        <v>48</v>
      </c>
      <c r="H177" s="1">
        <v>68.786530232290374</v>
      </c>
      <c r="I177" s="1">
        <v>57</v>
      </c>
      <c r="J177" s="1">
        <f t="shared" si="10"/>
        <v>691334.06022692577</v>
      </c>
      <c r="K177" s="1">
        <f t="shared" si="11"/>
        <v>348975.06022692495</v>
      </c>
    </row>
    <row r="178" spans="1:11" x14ac:dyDescent="0.25">
      <c r="A178" t="s">
        <v>15</v>
      </c>
      <c r="B178" s="3">
        <v>42918</v>
      </c>
      <c r="C178" s="1">
        <v>1549.0976529277016</v>
      </c>
      <c r="D178" s="1">
        <v>110.64983235197869</v>
      </c>
      <c r="E178" s="1">
        <f t="shared" si="8"/>
        <v>919.09765292770157</v>
      </c>
      <c r="F178" s="1">
        <f t="shared" si="9"/>
        <v>630</v>
      </c>
      <c r="G178" s="2">
        <v>14</v>
      </c>
      <c r="H178" s="1">
        <v>65.649832351978688</v>
      </c>
      <c r="I178" s="1">
        <v>45</v>
      </c>
      <c r="J178" s="1">
        <f t="shared" si="10"/>
        <v>692883.1578798535</v>
      </c>
      <c r="K178" s="1">
        <f t="shared" si="11"/>
        <v>349894.15787985263</v>
      </c>
    </row>
    <row r="179" spans="1:11" x14ac:dyDescent="0.25">
      <c r="A179" t="s">
        <v>44</v>
      </c>
      <c r="B179" s="3">
        <v>42913</v>
      </c>
      <c r="C179" s="1">
        <v>2620.4472330269018</v>
      </c>
      <c r="D179" s="1">
        <v>124.78320157270961</v>
      </c>
      <c r="E179" s="1">
        <f t="shared" si="8"/>
        <v>1087.4472330269018</v>
      </c>
      <c r="F179" s="1">
        <f t="shared" si="9"/>
        <v>1533</v>
      </c>
      <c r="G179" s="2">
        <v>21</v>
      </c>
      <c r="H179" s="1">
        <v>51.783201572709615</v>
      </c>
      <c r="I179" s="1">
        <v>73</v>
      </c>
      <c r="J179" s="1">
        <f t="shared" si="10"/>
        <v>695503.60511288035</v>
      </c>
      <c r="K179" s="1">
        <f t="shared" si="11"/>
        <v>350981.60511287954</v>
      </c>
    </row>
    <row r="180" spans="1:11" x14ac:dyDescent="0.25">
      <c r="A180" t="s">
        <v>34</v>
      </c>
      <c r="B180" s="3">
        <v>42912</v>
      </c>
      <c r="C180" s="1">
        <v>12637.808043010031</v>
      </c>
      <c r="D180" s="1">
        <v>131.64383378135449</v>
      </c>
      <c r="E180" s="1">
        <f t="shared" si="8"/>
        <v>7837.808043010029</v>
      </c>
      <c r="F180" s="1">
        <f t="shared" si="9"/>
        <v>4800</v>
      </c>
      <c r="G180" s="2">
        <v>96</v>
      </c>
      <c r="H180" s="1">
        <v>81.643833781354473</v>
      </c>
      <c r="I180" s="1">
        <v>50</v>
      </c>
      <c r="J180" s="1">
        <f t="shared" si="10"/>
        <v>708141.41315589042</v>
      </c>
      <c r="K180" s="1">
        <f t="shared" si="11"/>
        <v>358819.41315588955</v>
      </c>
    </row>
    <row r="181" spans="1:11" x14ac:dyDescent="0.25">
      <c r="A181" t="s">
        <v>32</v>
      </c>
      <c r="B181" s="3">
        <v>42892</v>
      </c>
      <c r="C181" s="1">
        <v>982.20268738348364</v>
      </c>
      <c r="D181" s="1">
        <v>89.291153398498508</v>
      </c>
      <c r="E181" s="1">
        <f t="shared" si="8"/>
        <v>586.20268738348364</v>
      </c>
      <c r="F181" s="1">
        <f t="shared" si="9"/>
        <v>396</v>
      </c>
      <c r="G181" s="2">
        <v>11</v>
      </c>
      <c r="H181" s="1">
        <v>53.291153398498508</v>
      </c>
      <c r="I181" s="1">
        <v>36</v>
      </c>
      <c r="J181" s="1">
        <f t="shared" si="10"/>
        <v>709123.61584327393</v>
      </c>
      <c r="K181" s="1">
        <f t="shared" si="11"/>
        <v>359405.615843273</v>
      </c>
    </row>
    <row r="182" spans="1:11" x14ac:dyDescent="0.25">
      <c r="A182" t="s">
        <v>19</v>
      </c>
      <c r="B182" s="3">
        <v>42888</v>
      </c>
      <c r="C182" s="1">
        <v>4445.1735525561853</v>
      </c>
      <c r="D182" s="1">
        <v>87.160265736395786</v>
      </c>
      <c r="E182" s="1">
        <f t="shared" si="8"/>
        <v>2660.1735525561853</v>
      </c>
      <c r="F182" s="1">
        <f t="shared" si="9"/>
        <v>1785</v>
      </c>
      <c r="G182" s="2">
        <v>51</v>
      </c>
      <c r="H182" s="1">
        <v>52.160265736395793</v>
      </c>
      <c r="I182" s="1">
        <v>35</v>
      </c>
      <c r="J182" s="1">
        <f t="shared" si="10"/>
        <v>713568.78939583013</v>
      </c>
      <c r="K182" s="1">
        <f t="shared" si="11"/>
        <v>362065.7893958292</v>
      </c>
    </row>
    <row r="183" spans="1:11" x14ac:dyDescent="0.25">
      <c r="A183" t="s">
        <v>36</v>
      </c>
      <c r="B183" s="3">
        <v>42887</v>
      </c>
      <c r="C183" s="1">
        <v>6669.147323824739</v>
      </c>
      <c r="D183" s="1">
        <v>82.335152145984438</v>
      </c>
      <c r="E183" s="1">
        <f t="shared" si="8"/>
        <v>3024.1473238247395</v>
      </c>
      <c r="F183" s="1">
        <f t="shared" si="9"/>
        <v>3645</v>
      </c>
      <c r="G183" s="2">
        <v>81</v>
      </c>
      <c r="H183" s="1">
        <v>37.335152145984438</v>
      </c>
      <c r="I183" s="1">
        <v>45</v>
      </c>
      <c r="J183" s="1">
        <f t="shared" si="10"/>
        <v>720237.93671965483</v>
      </c>
      <c r="K183" s="1">
        <f t="shared" si="11"/>
        <v>365089.93671965395</v>
      </c>
    </row>
    <row r="184" spans="1:11" x14ac:dyDescent="0.25">
      <c r="A184" t="s">
        <v>11</v>
      </c>
      <c r="B184" s="3">
        <v>42874</v>
      </c>
      <c r="C184" s="1">
        <v>2360.778611844602</v>
      </c>
      <c r="D184" s="1">
        <v>90.799177378638547</v>
      </c>
      <c r="E184" s="1">
        <f t="shared" si="8"/>
        <v>1372.7786118446024</v>
      </c>
      <c r="F184" s="1">
        <f t="shared" si="9"/>
        <v>988</v>
      </c>
      <c r="G184" s="2">
        <v>26</v>
      </c>
      <c r="H184" s="1">
        <v>52.799177378638554</v>
      </c>
      <c r="I184" s="1">
        <v>38</v>
      </c>
      <c r="J184" s="1">
        <f t="shared" si="10"/>
        <v>722598.71533149946</v>
      </c>
      <c r="K184" s="1">
        <f t="shared" si="11"/>
        <v>366462.71533149853</v>
      </c>
    </row>
    <row r="185" spans="1:11" x14ac:dyDescent="0.25">
      <c r="A185" t="s">
        <v>37</v>
      </c>
      <c r="B185" s="3">
        <v>42869</v>
      </c>
      <c r="C185" s="1">
        <v>1514.9028517219742</v>
      </c>
      <c r="D185" s="1">
        <v>94.681428232623389</v>
      </c>
      <c r="E185" s="1">
        <f t="shared" si="8"/>
        <v>730.90285172197423</v>
      </c>
      <c r="F185" s="1">
        <f t="shared" si="9"/>
        <v>784</v>
      </c>
      <c r="G185" s="2">
        <v>16</v>
      </c>
      <c r="H185" s="1">
        <v>45.681428232623389</v>
      </c>
      <c r="I185" s="1">
        <v>49</v>
      </c>
      <c r="J185" s="1">
        <f t="shared" si="10"/>
        <v>724113.61818322144</v>
      </c>
      <c r="K185" s="1">
        <f t="shared" si="11"/>
        <v>367193.6181832205</v>
      </c>
    </row>
    <row r="186" spans="1:11" x14ac:dyDescent="0.25">
      <c r="A186" t="s">
        <v>41</v>
      </c>
      <c r="B186" s="3">
        <v>42866</v>
      </c>
      <c r="C186" s="1">
        <v>2596.475708350551</v>
      </c>
      <c r="D186" s="1">
        <v>103.85902833402204</v>
      </c>
      <c r="E186" s="1">
        <f t="shared" si="8"/>
        <v>1446.4757083505508</v>
      </c>
      <c r="F186" s="1">
        <f t="shared" si="9"/>
        <v>1150</v>
      </c>
      <c r="G186" s="2">
        <v>25</v>
      </c>
      <c r="H186" s="1">
        <v>57.859028334022035</v>
      </c>
      <c r="I186" s="1">
        <v>46</v>
      </c>
      <c r="J186" s="1">
        <f t="shared" si="10"/>
        <v>726710.09389157197</v>
      </c>
      <c r="K186" s="1">
        <f t="shared" si="11"/>
        <v>368640.09389157104</v>
      </c>
    </row>
    <row r="187" spans="1:11" x14ac:dyDescent="0.25">
      <c r="A187" t="s">
        <v>44</v>
      </c>
      <c r="B187" s="3">
        <v>42856</v>
      </c>
      <c r="C187" s="1">
        <v>209.76800721511574</v>
      </c>
      <c r="D187" s="1">
        <v>69.922669071705243</v>
      </c>
      <c r="E187" s="1">
        <f t="shared" si="8"/>
        <v>110.76800721511573</v>
      </c>
      <c r="F187" s="1">
        <f t="shared" si="9"/>
        <v>99</v>
      </c>
      <c r="G187" s="2">
        <v>3</v>
      </c>
      <c r="H187" s="1">
        <v>36.922669071705243</v>
      </c>
      <c r="I187" s="1">
        <v>33</v>
      </c>
      <c r="J187" s="1">
        <f t="shared" si="10"/>
        <v>726919.86189878709</v>
      </c>
      <c r="K187" s="1">
        <f t="shared" si="11"/>
        <v>368750.86189878616</v>
      </c>
    </row>
    <row r="188" spans="1:11" x14ac:dyDescent="0.25">
      <c r="A188" t="s">
        <v>48</v>
      </c>
      <c r="B188" s="3">
        <v>42837</v>
      </c>
      <c r="C188" s="1">
        <v>3516.0738020989584</v>
      </c>
      <c r="D188" s="1">
        <v>159.82153645904356</v>
      </c>
      <c r="E188" s="1">
        <f t="shared" si="8"/>
        <v>1558.0738020989586</v>
      </c>
      <c r="F188" s="1">
        <f t="shared" si="9"/>
        <v>1958</v>
      </c>
      <c r="G188" s="2">
        <v>22</v>
      </c>
      <c r="H188" s="1">
        <v>70.821536459043571</v>
      </c>
      <c r="I188" s="1">
        <v>89</v>
      </c>
      <c r="J188" s="1">
        <f t="shared" si="10"/>
        <v>730435.93570088607</v>
      </c>
      <c r="K188" s="1">
        <f t="shared" si="11"/>
        <v>370308.93570088514</v>
      </c>
    </row>
    <row r="189" spans="1:11" x14ac:dyDescent="0.25">
      <c r="A189" t="s">
        <v>42</v>
      </c>
      <c r="B189" s="3">
        <v>42822</v>
      </c>
      <c r="C189" s="1">
        <v>3123.3379875602322</v>
      </c>
      <c r="D189" s="1">
        <v>195.20862422251452</v>
      </c>
      <c r="E189" s="1">
        <f t="shared" si="8"/>
        <v>1795.3379875602325</v>
      </c>
      <c r="F189" s="1">
        <f t="shared" si="9"/>
        <v>1328</v>
      </c>
      <c r="G189" s="2">
        <v>16</v>
      </c>
      <c r="H189" s="1">
        <v>112.20862422251453</v>
      </c>
      <c r="I189" s="1">
        <v>83</v>
      </c>
      <c r="J189" s="1">
        <f t="shared" si="10"/>
        <v>733559.27368844626</v>
      </c>
      <c r="K189" s="1">
        <f t="shared" si="11"/>
        <v>372104.27368844539</v>
      </c>
    </row>
    <row r="190" spans="1:11" x14ac:dyDescent="0.25">
      <c r="A190" t="s">
        <v>21</v>
      </c>
      <c r="B190" s="3">
        <v>42819</v>
      </c>
      <c r="C190" s="1">
        <v>401.55061191131273</v>
      </c>
      <c r="D190" s="1">
        <v>133.85020397043758</v>
      </c>
      <c r="E190" s="1">
        <f t="shared" si="8"/>
        <v>194.55061191131267</v>
      </c>
      <c r="F190" s="1">
        <f t="shared" si="9"/>
        <v>207</v>
      </c>
      <c r="G190" s="2">
        <v>3</v>
      </c>
      <c r="H190" s="1">
        <v>64.850203970437562</v>
      </c>
      <c r="I190" s="1">
        <v>69</v>
      </c>
      <c r="J190" s="1">
        <f t="shared" si="10"/>
        <v>733960.82430035761</v>
      </c>
      <c r="K190" s="1">
        <f t="shared" si="11"/>
        <v>372298.82430035673</v>
      </c>
    </row>
    <row r="191" spans="1:11" x14ac:dyDescent="0.25">
      <c r="A191" t="s">
        <v>20</v>
      </c>
      <c r="B191" s="3">
        <v>42813</v>
      </c>
      <c r="C191" s="1">
        <v>537.21591532425168</v>
      </c>
      <c r="D191" s="1">
        <v>107.44318306485033</v>
      </c>
      <c r="E191" s="1">
        <f t="shared" si="8"/>
        <v>247.21591532425168</v>
      </c>
      <c r="F191" s="1">
        <f t="shared" si="9"/>
        <v>290</v>
      </c>
      <c r="G191" s="2">
        <v>5</v>
      </c>
      <c r="H191" s="1">
        <v>49.443183064850338</v>
      </c>
      <c r="I191" s="1">
        <v>58</v>
      </c>
      <c r="J191" s="1">
        <f t="shared" si="10"/>
        <v>734498.04021568189</v>
      </c>
      <c r="K191" s="1">
        <f t="shared" si="11"/>
        <v>372546.04021568096</v>
      </c>
    </row>
    <row r="192" spans="1:11" x14ac:dyDescent="0.25">
      <c r="A192" t="s">
        <v>47</v>
      </c>
      <c r="B192" s="3">
        <v>42799</v>
      </c>
      <c r="C192" s="1">
        <v>373.05779136047227</v>
      </c>
      <c r="D192" s="1">
        <v>33.91434466913384</v>
      </c>
      <c r="E192" s="1">
        <f t="shared" si="8"/>
        <v>241.05779136047221</v>
      </c>
      <c r="F192" s="1">
        <f t="shared" si="9"/>
        <v>132</v>
      </c>
      <c r="G192" s="2">
        <v>11</v>
      </c>
      <c r="H192" s="1">
        <v>21.914344669133836</v>
      </c>
      <c r="I192" s="1">
        <v>12</v>
      </c>
      <c r="J192" s="1">
        <f t="shared" si="10"/>
        <v>734871.09800704231</v>
      </c>
      <c r="K192" s="1">
        <f t="shared" si="11"/>
        <v>372787.09800704144</v>
      </c>
    </row>
    <row r="193" spans="1:11" x14ac:dyDescent="0.25">
      <c r="A193" t="s">
        <v>29</v>
      </c>
      <c r="B193" s="3">
        <v>42797</v>
      </c>
      <c r="C193" s="1">
        <v>543.52748308029368</v>
      </c>
      <c r="D193" s="1">
        <v>135.88187077007342</v>
      </c>
      <c r="E193" s="1">
        <f t="shared" si="8"/>
        <v>347.52748308029373</v>
      </c>
      <c r="F193" s="1">
        <f t="shared" si="9"/>
        <v>196</v>
      </c>
      <c r="G193" s="2">
        <v>4</v>
      </c>
      <c r="H193" s="1">
        <v>86.881870770073434</v>
      </c>
      <c r="I193" s="1">
        <v>49</v>
      </c>
      <c r="J193" s="1">
        <f t="shared" si="10"/>
        <v>735414.62549012259</v>
      </c>
      <c r="K193" s="1">
        <f t="shared" si="11"/>
        <v>373134.62549012172</v>
      </c>
    </row>
    <row r="194" spans="1:11" x14ac:dyDescent="0.25">
      <c r="A194" t="s">
        <v>30</v>
      </c>
      <c r="B194" s="3">
        <v>42796</v>
      </c>
      <c r="C194" s="1">
        <v>4551.4976662263216</v>
      </c>
      <c r="D194" s="1">
        <v>81.276744039755741</v>
      </c>
      <c r="E194" s="1">
        <f t="shared" si="8"/>
        <v>1863.4976662263216</v>
      </c>
      <c r="F194" s="1">
        <f t="shared" si="9"/>
        <v>2688</v>
      </c>
      <c r="G194" s="2">
        <v>56</v>
      </c>
      <c r="H194" s="1">
        <v>33.276744039755741</v>
      </c>
      <c r="I194" s="1">
        <v>48</v>
      </c>
      <c r="J194" s="1">
        <f t="shared" si="10"/>
        <v>739966.12315634894</v>
      </c>
      <c r="K194" s="1">
        <f t="shared" si="11"/>
        <v>374998.12315634801</v>
      </c>
    </row>
    <row r="195" spans="1:11" x14ac:dyDescent="0.25">
      <c r="A195" t="s">
        <v>43</v>
      </c>
      <c r="B195" s="3">
        <v>42792</v>
      </c>
      <c r="C195" s="1">
        <v>697.36663507256571</v>
      </c>
      <c r="D195" s="1">
        <v>139.47332701451313</v>
      </c>
      <c r="E195" s="1">
        <f t="shared" si="8"/>
        <v>292.36663507256571</v>
      </c>
      <c r="F195" s="1">
        <f t="shared" si="9"/>
        <v>405</v>
      </c>
      <c r="G195" s="2">
        <v>5</v>
      </c>
      <c r="H195" s="1">
        <v>58.473327014513146</v>
      </c>
      <c r="I195" s="1">
        <v>81</v>
      </c>
      <c r="J195" s="1">
        <f t="shared" si="10"/>
        <v>740663.48979142145</v>
      </c>
      <c r="K195" s="1">
        <f t="shared" si="11"/>
        <v>375290.48979142058</v>
      </c>
    </row>
    <row r="196" spans="1:11" x14ac:dyDescent="0.25">
      <c r="A196" t="s">
        <v>13</v>
      </c>
      <c r="B196" s="3">
        <v>42787</v>
      </c>
      <c r="C196" s="1">
        <v>577.18834648151847</v>
      </c>
      <c r="D196" s="1">
        <v>72.148543310189808</v>
      </c>
      <c r="E196" s="1">
        <f t="shared" ref="E196:E259" si="12">+G196*H196</f>
        <v>289.18834648151841</v>
      </c>
      <c r="F196" s="1">
        <f t="shared" ref="F196:F259" si="13">+G196*I196</f>
        <v>288</v>
      </c>
      <c r="G196" s="2">
        <v>8</v>
      </c>
      <c r="H196" s="1">
        <v>36.148543310189801</v>
      </c>
      <c r="I196" s="1">
        <v>36</v>
      </c>
      <c r="J196" s="1">
        <f t="shared" si="10"/>
        <v>741240.67813790299</v>
      </c>
      <c r="K196" s="1">
        <f t="shared" si="11"/>
        <v>375579.67813790211</v>
      </c>
    </row>
    <row r="197" spans="1:11" x14ac:dyDescent="0.25">
      <c r="A197" t="s">
        <v>45</v>
      </c>
      <c r="B197" s="3">
        <v>42759</v>
      </c>
      <c r="C197" s="1">
        <v>1986.2683565057853</v>
      </c>
      <c r="D197" s="1">
        <v>94.584207452656443</v>
      </c>
      <c r="E197" s="1">
        <f t="shared" si="12"/>
        <v>999.26835650578528</v>
      </c>
      <c r="F197" s="1">
        <f t="shared" si="13"/>
        <v>987</v>
      </c>
      <c r="G197" s="2">
        <v>21</v>
      </c>
      <c r="H197" s="1">
        <v>47.584207452656443</v>
      </c>
      <c r="I197" s="1">
        <v>47</v>
      </c>
      <c r="J197" s="1">
        <f t="shared" ref="J197:J260" si="14">+J196+C197</f>
        <v>743226.94649440877</v>
      </c>
      <c r="K197" s="1">
        <f t="shared" ref="K197:K260" si="15">+K196+E197</f>
        <v>376578.94649440789</v>
      </c>
    </row>
    <row r="198" spans="1:11" x14ac:dyDescent="0.25">
      <c r="A198" t="s">
        <v>39</v>
      </c>
      <c r="B198" s="3">
        <v>42756</v>
      </c>
      <c r="C198" s="1">
        <v>6452.5148059645198</v>
      </c>
      <c r="D198" s="1">
        <v>195.53075169589454</v>
      </c>
      <c r="E198" s="1">
        <f t="shared" si="12"/>
        <v>2624.5148059645203</v>
      </c>
      <c r="F198" s="1">
        <f t="shared" si="13"/>
        <v>3828</v>
      </c>
      <c r="G198" s="2">
        <v>33</v>
      </c>
      <c r="H198" s="1">
        <v>79.530751695894551</v>
      </c>
      <c r="I198" s="1">
        <v>116</v>
      </c>
      <c r="J198" s="1">
        <f t="shared" si="14"/>
        <v>749679.46130037331</v>
      </c>
      <c r="K198" s="1">
        <f t="shared" si="15"/>
        <v>379203.46130037244</v>
      </c>
    </row>
    <row r="199" spans="1:11" x14ac:dyDescent="0.25">
      <c r="A199" t="s">
        <v>31</v>
      </c>
      <c r="B199" s="3">
        <v>42739</v>
      </c>
      <c r="C199" s="1">
        <v>385.8886620659556</v>
      </c>
      <c r="D199" s="1">
        <v>128.6295540219852</v>
      </c>
      <c r="E199" s="1">
        <f t="shared" si="12"/>
        <v>223.88866206595554</v>
      </c>
      <c r="F199" s="1">
        <f t="shared" si="13"/>
        <v>162</v>
      </c>
      <c r="G199" s="2">
        <v>3</v>
      </c>
      <c r="H199" s="1">
        <v>74.629554021985186</v>
      </c>
      <c r="I199" s="1">
        <v>54</v>
      </c>
      <c r="J199" s="1">
        <f t="shared" si="14"/>
        <v>750065.34996243927</v>
      </c>
      <c r="K199" s="1">
        <f t="shared" si="15"/>
        <v>379427.3499624384</v>
      </c>
    </row>
    <row r="200" spans="1:11" x14ac:dyDescent="0.25">
      <c r="A200" t="s">
        <v>34</v>
      </c>
      <c r="B200" s="3">
        <v>42730</v>
      </c>
      <c r="C200" s="1">
        <v>2801.7906325157751</v>
      </c>
      <c r="D200" s="1">
        <v>155.65503513976529</v>
      </c>
      <c r="E200" s="1">
        <f t="shared" si="12"/>
        <v>1397.7906325157751</v>
      </c>
      <c r="F200" s="1">
        <f t="shared" si="13"/>
        <v>1404</v>
      </c>
      <c r="G200" s="2">
        <v>18</v>
      </c>
      <c r="H200" s="1">
        <v>77.655035139765289</v>
      </c>
      <c r="I200" s="1">
        <v>78</v>
      </c>
      <c r="J200" s="1">
        <f t="shared" si="14"/>
        <v>752867.14059495507</v>
      </c>
      <c r="K200" s="1">
        <f t="shared" si="15"/>
        <v>380825.14059495419</v>
      </c>
    </row>
    <row r="201" spans="1:11" x14ac:dyDescent="0.25">
      <c r="A201" t="s">
        <v>48</v>
      </c>
      <c r="B201" s="3">
        <v>42727</v>
      </c>
      <c r="C201" s="1">
        <v>2429.7204621728283</v>
      </c>
      <c r="D201" s="1">
        <v>115.70097438918231</v>
      </c>
      <c r="E201" s="1">
        <f t="shared" si="12"/>
        <v>1505.7204621728283</v>
      </c>
      <c r="F201" s="1">
        <f t="shared" si="13"/>
        <v>924</v>
      </c>
      <c r="G201" s="2">
        <v>21</v>
      </c>
      <c r="H201" s="1">
        <v>71.700974389182306</v>
      </c>
      <c r="I201" s="1">
        <v>44</v>
      </c>
      <c r="J201" s="1">
        <f t="shared" si="14"/>
        <v>755296.86105712794</v>
      </c>
      <c r="K201" s="1">
        <f t="shared" si="15"/>
        <v>382330.86105712701</v>
      </c>
    </row>
    <row r="202" spans="1:11" x14ac:dyDescent="0.25">
      <c r="A202" t="s">
        <v>42</v>
      </c>
      <c r="B202" s="3">
        <v>42726</v>
      </c>
      <c r="C202" s="1">
        <v>1630.8223086724397</v>
      </c>
      <c r="D202" s="1">
        <v>62.723934948939991</v>
      </c>
      <c r="E202" s="1">
        <f t="shared" si="12"/>
        <v>850.82230867243982</v>
      </c>
      <c r="F202" s="1">
        <f t="shared" si="13"/>
        <v>780</v>
      </c>
      <c r="G202" s="2">
        <v>26</v>
      </c>
      <c r="H202" s="1">
        <v>32.723934948939991</v>
      </c>
      <c r="I202" s="1">
        <v>30</v>
      </c>
      <c r="J202" s="1">
        <f t="shared" si="14"/>
        <v>756927.68336580042</v>
      </c>
      <c r="K202" s="1">
        <f t="shared" si="15"/>
        <v>383181.68336579943</v>
      </c>
    </row>
    <row r="203" spans="1:11" x14ac:dyDescent="0.25">
      <c r="A203" t="s">
        <v>17</v>
      </c>
      <c r="B203" s="3">
        <v>42711</v>
      </c>
      <c r="C203" s="1">
        <v>4198.6643653517376</v>
      </c>
      <c r="D203" s="1">
        <v>57.515950210297781</v>
      </c>
      <c r="E203" s="1">
        <f t="shared" si="12"/>
        <v>2738.6643653517381</v>
      </c>
      <c r="F203" s="1">
        <f t="shared" si="13"/>
        <v>1460</v>
      </c>
      <c r="G203" s="2">
        <v>73</v>
      </c>
      <c r="H203" s="1">
        <v>37.515950210297781</v>
      </c>
      <c r="I203" s="1">
        <v>20</v>
      </c>
      <c r="J203" s="1">
        <f t="shared" si="14"/>
        <v>761126.3477311522</v>
      </c>
      <c r="K203" s="1">
        <f t="shared" si="15"/>
        <v>385920.34773115115</v>
      </c>
    </row>
    <row r="204" spans="1:11" x14ac:dyDescent="0.25">
      <c r="A204" t="s">
        <v>29</v>
      </c>
      <c r="B204" s="3">
        <v>42685</v>
      </c>
      <c r="C204" s="1">
        <v>728.00133857768969</v>
      </c>
      <c r="D204" s="1">
        <v>80.889037619743306</v>
      </c>
      <c r="E204" s="1">
        <f t="shared" si="12"/>
        <v>359.00133857768981</v>
      </c>
      <c r="F204" s="1">
        <f t="shared" si="13"/>
        <v>369</v>
      </c>
      <c r="G204" s="2">
        <v>9</v>
      </c>
      <c r="H204" s="1">
        <v>39.889037619743313</v>
      </c>
      <c r="I204" s="1">
        <v>41</v>
      </c>
      <c r="J204" s="1">
        <f t="shared" si="14"/>
        <v>761854.34906972991</v>
      </c>
      <c r="K204" s="1">
        <f t="shared" si="15"/>
        <v>386279.34906972887</v>
      </c>
    </row>
    <row r="205" spans="1:11" x14ac:dyDescent="0.25">
      <c r="A205" t="s">
        <v>12</v>
      </c>
      <c r="B205" s="3">
        <v>42672</v>
      </c>
      <c r="C205" s="1">
        <v>900.66600519512895</v>
      </c>
      <c r="D205" s="1">
        <v>36.026640207805158</v>
      </c>
      <c r="E205" s="1">
        <f t="shared" si="12"/>
        <v>425.66600519512889</v>
      </c>
      <c r="F205" s="1">
        <f t="shared" si="13"/>
        <v>475</v>
      </c>
      <c r="G205" s="2">
        <v>25</v>
      </c>
      <c r="H205" s="1">
        <v>17.026640207805155</v>
      </c>
      <c r="I205" s="1">
        <v>19</v>
      </c>
      <c r="J205" s="1">
        <f t="shared" si="14"/>
        <v>762755.01507492503</v>
      </c>
      <c r="K205" s="1">
        <f t="shared" si="15"/>
        <v>386705.01507492398</v>
      </c>
    </row>
    <row r="206" spans="1:11" x14ac:dyDescent="0.25">
      <c r="A206" t="s">
        <v>28</v>
      </c>
      <c r="B206" s="3">
        <v>42653</v>
      </c>
      <c r="C206" s="1">
        <v>1008.7822271839731</v>
      </c>
      <c r="D206" s="1">
        <v>112.08691413155256</v>
      </c>
      <c r="E206" s="1">
        <f t="shared" si="12"/>
        <v>486.78222718397296</v>
      </c>
      <c r="F206" s="1">
        <f t="shared" si="13"/>
        <v>522</v>
      </c>
      <c r="G206" s="2">
        <v>9</v>
      </c>
      <c r="H206" s="1">
        <v>54.086914131552554</v>
      </c>
      <c r="I206" s="1">
        <v>58</v>
      </c>
      <c r="J206" s="1">
        <f t="shared" si="14"/>
        <v>763763.79730210896</v>
      </c>
      <c r="K206" s="1">
        <f t="shared" si="15"/>
        <v>387191.79730210797</v>
      </c>
    </row>
    <row r="207" spans="1:11" x14ac:dyDescent="0.25">
      <c r="A207" t="s">
        <v>35</v>
      </c>
      <c r="B207" s="3">
        <v>42650</v>
      </c>
      <c r="C207" s="1">
        <v>1199.9097973571811</v>
      </c>
      <c r="D207" s="1">
        <v>99.99248311309843</v>
      </c>
      <c r="E207" s="1">
        <f t="shared" si="12"/>
        <v>575.90979735718111</v>
      </c>
      <c r="F207" s="1">
        <f t="shared" si="13"/>
        <v>624</v>
      </c>
      <c r="G207" s="2">
        <v>12</v>
      </c>
      <c r="H207" s="1">
        <v>47.99248311309843</v>
      </c>
      <c r="I207" s="1">
        <v>52</v>
      </c>
      <c r="J207" s="1">
        <f t="shared" si="14"/>
        <v>764963.70709946612</v>
      </c>
      <c r="K207" s="1">
        <f t="shared" si="15"/>
        <v>387767.70709946513</v>
      </c>
    </row>
    <row r="208" spans="1:11" x14ac:dyDescent="0.25">
      <c r="A208" t="s">
        <v>38</v>
      </c>
      <c r="B208" s="3">
        <v>42646</v>
      </c>
      <c r="C208" s="1">
        <v>2918.5735732345879</v>
      </c>
      <c r="D208" s="1">
        <v>74.83521982652789</v>
      </c>
      <c r="E208" s="1">
        <f t="shared" si="12"/>
        <v>1709.5735732345879</v>
      </c>
      <c r="F208" s="1">
        <f t="shared" si="13"/>
        <v>1209</v>
      </c>
      <c r="G208" s="2">
        <v>39</v>
      </c>
      <c r="H208" s="1">
        <v>43.835219826527897</v>
      </c>
      <c r="I208" s="1">
        <v>31</v>
      </c>
      <c r="J208" s="1">
        <f t="shared" si="14"/>
        <v>767882.28067270073</v>
      </c>
      <c r="K208" s="1">
        <f t="shared" si="15"/>
        <v>389477.28067269974</v>
      </c>
    </row>
    <row r="209" spans="1:11" x14ac:dyDescent="0.25">
      <c r="A209" t="s">
        <v>31</v>
      </c>
      <c r="B209" s="3">
        <v>42638</v>
      </c>
      <c r="C209" s="1">
        <v>1189.9805742082863</v>
      </c>
      <c r="D209" s="1">
        <v>169.99722488689804</v>
      </c>
      <c r="E209" s="1">
        <f t="shared" si="12"/>
        <v>538.98057420828638</v>
      </c>
      <c r="F209" s="1">
        <f t="shared" si="13"/>
        <v>651</v>
      </c>
      <c r="G209" s="2">
        <v>7</v>
      </c>
      <c r="H209" s="1">
        <v>76.997224886898053</v>
      </c>
      <c r="I209" s="1">
        <v>93</v>
      </c>
      <c r="J209" s="1">
        <f t="shared" si="14"/>
        <v>769072.26124690904</v>
      </c>
      <c r="K209" s="1">
        <f t="shared" si="15"/>
        <v>390016.26124690805</v>
      </c>
    </row>
    <row r="210" spans="1:11" x14ac:dyDescent="0.25">
      <c r="A210" t="s">
        <v>33</v>
      </c>
      <c r="B210" s="3">
        <v>42629</v>
      </c>
      <c r="C210" s="1">
        <v>3142.3281442306816</v>
      </c>
      <c r="D210" s="1">
        <v>116.38252386039561</v>
      </c>
      <c r="E210" s="1">
        <f t="shared" si="12"/>
        <v>1387.3281442306813</v>
      </c>
      <c r="F210" s="1">
        <f t="shared" si="13"/>
        <v>1755</v>
      </c>
      <c r="G210" s="2">
        <v>27</v>
      </c>
      <c r="H210" s="1">
        <v>51.382523860395608</v>
      </c>
      <c r="I210" s="1">
        <v>65</v>
      </c>
      <c r="J210" s="1">
        <f t="shared" si="14"/>
        <v>772214.58939113969</v>
      </c>
      <c r="K210" s="1">
        <f t="shared" si="15"/>
        <v>391403.58939113875</v>
      </c>
    </row>
    <row r="211" spans="1:11" x14ac:dyDescent="0.25">
      <c r="A211" t="s">
        <v>19</v>
      </c>
      <c r="B211" s="3">
        <v>42628</v>
      </c>
      <c r="C211" s="1">
        <v>2188.2777767192911</v>
      </c>
      <c r="D211" s="1">
        <v>66.311447779372457</v>
      </c>
      <c r="E211" s="1">
        <f t="shared" si="12"/>
        <v>1000.2777767192912</v>
      </c>
      <c r="F211" s="1">
        <f t="shared" si="13"/>
        <v>1188</v>
      </c>
      <c r="G211" s="2">
        <v>33</v>
      </c>
      <c r="H211" s="1">
        <v>30.311447779372461</v>
      </c>
      <c r="I211" s="1">
        <v>36</v>
      </c>
      <c r="J211" s="1">
        <f t="shared" si="14"/>
        <v>774402.86716785899</v>
      </c>
      <c r="K211" s="1">
        <f t="shared" si="15"/>
        <v>392403.86716785806</v>
      </c>
    </row>
    <row r="212" spans="1:11" x14ac:dyDescent="0.25">
      <c r="A212" t="s">
        <v>31</v>
      </c>
      <c r="B212" s="3">
        <v>42624</v>
      </c>
      <c r="C212" s="1">
        <v>566.84727024897745</v>
      </c>
      <c r="D212" s="1">
        <v>51.531570022634313</v>
      </c>
      <c r="E212" s="1">
        <f t="shared" si="12"/>
        <v>335.8472702489774</v>
      </c>
      <c r="F212" s="1">
        <f t="shared" si="13"/>
        <v>231</v>
      </c>
      <c r="G212" s="2">
        <v>11</v>
      </c>
      <c r="H212" s="1">
        <v>30.531570022634309</v>
      </c>
      <c r="I212" s="1">
        <v>21</v>
      </c>
      <c r="J212" s="1">
        <f t="shared" si="14"/>
        <v>774969.71443810791</v>
      </c>
      <c r="K212" s="1">
        <f t="shared" si="15"/>
        <v>392739.71443810704</v>
      </c>
    </row>
    <row r="213" spans="1:11" x14ac:dyDescent="0.25">
      <c r="A213" t="s">
        <v>38</v>
      </c>
      <c r="B213" s="3">
        <v>42618</v>
      </c>
      <c r="C213" s="1">
        <v>4018.6029453383303</v>
      </c>
      <c r="D213" s="1">
        <v>267.90686302255534</v>
      </c>
      <c r="E213" s="1">
        <f t="shared" si="12"/>
        <v>2158.6029453383303</v>
      </c>
      <c r="F213" s="1">
        <f t="shared" si="13"/>
        <v>1860</v>
      </c>
      <c r="G213" s="2">
        <v>15</v>
      </c>
      <c r="H213" s="1">
        <v>143.90686302255534</v>
      </c>
      <c r="I213" s="1">
        <v>124</v>
      </c>
      <c r="J213" s="1">
        <f t="shared" si="14"/>
        <v>778988.31738344627</v>
      </c>
      <c r="K213" s="1">
        <f t="shared" si="15"/>
        <v>394898.31738344539</v>
      </c>
    </row>
    <row r="214" spans="1:11" x14ac:dyDescent="0.25">
      <c r="A214" t="s">
        <v>24</v>
      </c>
      <c r="B214" s="3">
        <v>42618</v>
      </c>
      <c r="C214" s="1">
        <v>1463.5118502400246</v>
      </c>
      <c r="D214" s="1">
        <v>182.93898128000308</v>
      </c>
      <c r="E214" s="1">
        <f t="shared" si="12"/>
        <v>687.51185024002473</v>
      </c>
      <c r="F214" s="1">
        <f t="shared" si="13"/>
        <v>776</v>
      </c>
      <c r="G214" s="2">
        <v>8</v>
      </c>
      <c r="H214" s="1">
        <v>85.938981280003091</v>
      </c>
      <c r="I214" s="1">
        <v>97</v>
      </c>
      <c r="J214" s="1">
        <f t="shared" si="14"/>
        <v>780451.82923368632</v>
      </c>
      <c r="K214" s="1">
        <f t="shared" si="15"/>
        <v>395585.82923368539</v>
      </c>
    </row>
    <row r="215" spans="1:11" x14ac:dyDescent="0.25">
      <c r="A215" t="s">
        <v>12</v>
      </c>
      <c r="B215" s="3">
        <v>42608</v>
      </c>
      <c r="C215" s="1">
        <v>2305.6543926010745</v>
      </c>
      <c r="D215" s="1">
        <v>192.13786605008954</v>
      </c>
      <c r="E215" s="1">
        <f t="shared" si="12"/>
        <v>985.65439260107473</v>
      </c>
      <c r="F215" s="1">
        <f t="shared" si="13"/>
        <v>1320</v>
      </c>
      <c r="G215" s="2">
        <v>12</v>
      </c>
      <c r="H215" s="1">
        <v>82.137866050089556</v>
      </c>
      <c r="I215" s="1">
        <v>110</v>
      </c>
      <c r="J215" s="1">
        <f t="shared" si="14"/>
        <v>782757.48362628743</v>
      </c>
      <c r="K215" s="1">
        <f t="shared" si="15"/>
        <v>396571.48362628644</v>
      </c>
    </row>
    <row r="216" spans="1:11" x14ac:dyDescent="0.25">
      <c r="A216" t="s">
        <v>40</v>
      </c>
      <c r="B216" s="3">
        <v>42587</v>
      </c>
      <c r="C216" s="1">
        <v>627.12169776250403</v>
      </c>
      <c r="D216" s="1">
        <v>57.011063432954913</v>
      </c>
      <c r="E216" s="1">
        <f t="shared" si="12"/>
        <v>363.12169776250403</v>
      </c>
      <c r="F216" s="1">
        <f t="shared" si="13"/>
        <v>264</v>
      </c>
      <c r="G216" s="2">
        <v>11</v>
      </c>
      <c r="H216" s="1">
        <v>33.011063432954913</v>
      </c>
      <c r="I216" s="1">
        <v>24</v>
      </c>
      <c r="J216" s="1">
        <f t="shared" si="14"/>
        <v>783384.60532404995</v>
      </c>
      <c r="K216" s="1">
        <f t="shared" si="15"/>
        <v>396934.60532404896</v>
      </c>
    </row>
    <row r="217" spans="1:11" x14ac:dyDescent="0.25">
      <c r="A217" t="s">
        <v>14</v>
      </c>
      <c r="B217" s="3">
        <v>42568</v>
      </c>
      <c r="C217" s="1">
        <v>17001.022723463269</v>
      </c>
      <c r="D217" s="1">
        <v>158.88806283610532</v>
      </c>
      <c r="E217" s="1">
        <f t="shared" si="12"/>
        <v>8227.0227234632694</v>
      </c>
      <c r="F217" s="1">
        <f t="shared" si="13"/>
        <v>8774</v>
      </c>
      <c r="G217" s="2">
        <v>107</v>
      </c>
      <c r="H217" s="1">
        <v>76.88806283610532</v>
      </c>
      <c r="I217" s="1">
        <v>82</v>
      </c>
      <c r="J217" s="1">
        <f t="shared" si="14"/>
        <v>800385.62804751319</v>
      </c>
      <c r="K217" s="1">
        <f t="shared" si="15"/>
        <v>405161.6280475122</v>
      </c>
    </row>
    <row r="218" spans="1:11" x14ac:dyDescent="0.25">
      <c r="A218" t="s">
        <v>11</v>
      </c>
      <c r="B218" s="3">
        <v>42546</v>
      </c>
      <c r="C218" s="1">
        <v>293.25382240453382</v>
      </c>
      <c r="D218" s="1">
        <v>48.875637067422304</v>
      </c>
      <c r="E218" s="1">
        <f t="shared" si="12"/>
        <v>161.25382240453382</v>
      </c>
      <c r="F218" s="1">
        <f t="shared" si="13"/>
        <v>132</v>
      </c>
      <c r="G218" s="2">
        <v>6</v>
      </c>
      <c r="H218" s="1">
        <v>26.875637067422304</v>
      </c>
      <c r="I218" s="1">
        <v>22</v>
      </c>
      <c r="J218" s="1">
        <f t="shared" si="14"/>
        <v>800678.88186991774</v>
      </c>
      <c r="K218" s="1">
        <f t="shared" si="15"/>
        <v>405322.88186991675</v>
      </c>
    </row>
    <row r="219" spans="1:11" x14ac:dyDescent="0.25">
      <c r="A219" t="s">
        <v>15</v>
      </c>
      <c r="B219" s="3">
        <v>42541</v>
      </c>
      <c r="C219" s="1">
        <v>3400.5150547906651</v>
      </c>
      <c r="D219" s="1">
        <v>283.37625456588876</v>
      </c>
      <c r="E219" s="1">
        <f t="shared" si="12"/>
        <v>1384.5150547906649</v>
      </c>
      <c r="F219" s="1">
        <f t="shared" si="13"/>
        <v>2016</v>
      </c>
      <c r="G219" s="2">
        <v>12</v>
      </c>
      <c r="H219" s="1">
        <v>115.37625456588874</v>
      </c>
      <c r="I219" s="1">
        <v>168</v>
      </c>
      <c r="J219" s="1">
        <f t="shared" si="14"/>
        <v>804079.39692470839</v>
      </c>
      <c r="K219" s="1">
        <f t="shared" si="15"/>
        <v>406707.3969247074</v>
      </c>
    </row>
    <row r="220" spans="1:11" x14ac:dyDescent="0.25">
      <c r="A220" t="s">
        <v>49</v>
      </c>
      <c r="B220" s="3">
        <v>42533</v>
      </c>
      <c r="C220" s="1">
        <v>1421.129033740699</v>
      </c>
      <c r="D220" s="1">
        <v>142.1129033740699</v>
      </c>
      <c r="E220" s="1">
        <f t="shared" si="12"/>
        <v>771.12903374069901</v>
      </c>
      <c r="F220" s="1">
        <f t="shared" si="13"/>
        <v>650</v>
      </c>
      <c r="G220" s="2">
        <v>10</v>
      </c>
      <c r="H220" s="1">
        <v>77.112903374069901</v>
      </c>
      <c r="I220" s="1">
        <v>65</v>
      </c>
      <c r="J220" s="1">
        <f t="shared" si="14"/>
        <v>805500.52595844911</v>
      </c>
      <c r="K220" s="1">
        <f t="shared" si="15"/>
        <v>407478.52595844812</v>
      </c>
    </row>
    <row r="221" spans="1:11" x14ac:dyDescent="0.25">
      <c r="A221" t="s">
        <v>29</v>
      </c>
      <c r="B221" s="3">
        <v>42524</v>
      </c>
      <c r="C221" s="1">
        <v>11737.851254765186</v>
      </c>
      <c r="D221" s="1">
        <v>192.42379106172436</v>
      </c>
      <c r="E221" s="1">
        <f t="shared" si="12"/>
        <v>6125.8512547651862</v>
      </c>
      <c r="F221" s="1">
        <f t="shared" si="13"/>
        <v>5612</v>
      </c>
      <c r="G221" s="2">
        <v>61</v>
      </c>
      <c r="H221" s="1">
        <v>100.42379106172436</v>
      </c>
      <c r="I221" s="1">
        <v>92</v>
      </c>
      <c r="J221" s="1">
        <f t="shared" si="14"/>
        <v>817238.37721321429</v>
      </c>
      <c r="K221" s="1">
        <f t="shared" si="15"/>
        <v>413604.3772132133</v>
      </c>
    </row>
    <row r="222" spans="1:11" x14ac:dyDescent="0.25">
      <c r="A222" t="s">
        <v>25</v>
      </c>
      <c r="B222" s="3">
        <v>42504</v>
      </c>
      <c r="C222" s="1">
        <v>3875.652927028023</v>
      </c>
      <c r="D222" s="1">
        <v>161.48553862616762</v>
      </c>
      <c r="E222" s="1">
        <f t="shared" si="12"/>
        <v>1763.652927028023</v>
      </c>
      <c r="F222" s="1">
        <f t="shared" si="13"/>
        <v>2112</v>
      </c>
      <c r="G222" s="2">
        <v>24</v>
      </c>
      <c r="H222" s="1">
        <v>73.485538626167624</v>
      </c>
      <c r="I222" s="1">
        <v>88</v>
      </c>
      <c r="J222" s="1">
        <f t="shared" si="14"/>
        <v>821114.03014024231</v>
      </c>
      <c r="K222" s="1">
        <f t="shared" si="15"/>
        <v>415368.03014024132</v>
      </c>
    </row>
    <row r="223" spans="1:11" x14ac:dyDescent="0.25">
      <c r="A223" t="s">
        <v>40</v>
      </c>
      <c r="B223" s="3">
        <v>42495</v>
      </c>
      <c r="C223" s="1">
        <v>1263.1492139565148</v>
      </c>
      <c r="D223" s="1">
        <v>140.34991266183499</v>
      </c>
      <c r="E223" s="1">
        <f t="shared" si="12"/>
        <v>705.14921395651481</v>
      </c>
      <c r="F223" s="1">
        <f t="shared" si="13"/>
        <v>558</v>
      </c>
      <c r="G223" s="2">
        <v>9</v>
      </c>
      <c r="H223" s="1">
        <v>78.349912661834978</v>
      </c>
      <c r="I223" s="1">
        <v>62</v>
      </c>
      <c r="J223" s="1">
        <f t="shared" si="14"/>
        <v>822377.17935419886</v>
      </c>
      <c r="K223" s="1">
        <f t="shared" si="15"/>
        <v>416073.17935419781</v>
      </c>
    </row>
    <row r="224" spans="1:11" x14ac:dyDescent="0.25">
      <c r="A224" t="s">
        <v>17</v>
      </c>
      <c r="B224" s="3">
        <v>42490</v>
      </c>
      <c r="C224" s="1">
        <v>440.50997324580885</v>
      </c>
      <c r="D224" s="1">
        <v>110.12749331145221</v>
      </c>
      <c r="E224" s="1">
        <f t="shared" si="12"/>
        <v>228.50997324580882</v>
      </c>
      <c r="F224" s="1">
        <f t="shared" si="13"/>
        <v>212</v>
      </c>
      <c r="G224" s="2">
        <v>4</v>
      </c>
      <c r="H224" s="1">
        <v>57.127493311452206</v>
      </c>
      <c r="I224" s="1">
        <v>53</v>
      </c>
      <c r="J224" s="1">
        <f t="shared" si="14"/>
        <v>822817.68932744465</v>
      </c>
      <c r="K224" s="1">
        <f t="shared" si="15"/>
        <v>416301.6893274436</v>
      </c>
    </row>
    <row r="225" spans="1:11" x14ac:dyDescent="0.25">
      <c r="A225" t="s">
        <v>22</v>
      </c>
      <c r="B225" s="3">
        <v>42485</v>
      </c>
      <c r="C225" s="1">
        <v>800.21152821062867</v>
      </c>
      <c r="D225" s="1">
        <v>72.746502564602608</v>
      </c>
      <c r="E225" s="1">
        <f t="shared" si="12"/>
        <v>371.21152821062867</v>
      </c>
      <c r="F225" s="1">
        <f t="shared" si="13"/>
        <v>429</v>
      </c>
      <c r="G225" s="2">
        <v>11</v>
      </c>
      <c r="H225" s="1">
        <v>33.746502564602608</v>
      </c>
      <c r="I225" s="1">
        <v>39</v>
      </c>
      <c r="J225" s="1">
        <f t="shared" si="14"/>
        <v>823617.90085565532</v>
      </c>
      <c r="K225" s="1">
        <f t="shared" si="15"/>
        <v>416672.90085565421</v>
      </c>
    </row>
    <row r="226" spans="1:11" x14ac:dyDescent="0.25">
      <c r="A226" t="s">
        <v>45</v>
      </c>
      <c r="B226" s="3">
        <v>42475</v>
      </c>
      <c r="C226" s="1">
        <v>3086.5180512953807</v>
      </c>
      <c r="D226" s="1">
        <v>114.3154833813104</v>
      </c>
      <c r="E226" s="1">
        <f t="shared" si="12"/>
        <v>1628.5180512953807</v>
      </c>
      <c r="F226" s="1">
        <f t="shared" si="13"/>
        <v>1458</v>
      </c>
      <c r="G226" s="2">
        <v>27</v>
      </c>
      <c r="H226" s="1">
        <v>60.315483381310401</v>
      </c>
      <c r="I226" s="1">
        <v>54</v>
      </c>
      <c r="J226" s="1">
        <f t="shared" si="14"/>
        <v>826704.41890695074</v>
      </c>
      <c r="K226" s="1">
        <f t="shared" si="15"/>
        <v>418301.41890694958</v>
      </c>
    </row>
    <row r="227" spans="1:11" x14ac:dyDescent="0.25">
      <c r="A227" t="s">
        <v>18</v>
      </c>
      <c r="B227" s="3">
        <v>42470</v>
      </c>
      <c r="C227" s="1">
        <v>201.37098711286376</v>
      </c>
      <c r="D227" s="1">
        <v>100.68549355643188</v>
      </c>
      <c r="E227" s="1">
        <f t="shared" si="12"/>
        <v>133.37098711286376</v>
      </c>
      <c r="F227" s="1">
        <f t="shared" si="13"/>
        <v>68</v>
      </c>
      <c r="G227" s="2">
        <v>2</v>
      </c>
      <c r="H227" s="1">
        <v>66.685493556431879</v>
      </c>
      <c r="I227" s="1">
        <v>34</v>
      </c>
      <c r="J227" s="1">
        <f t="shared" si="14"/>
        <v>826905.78989406361</v>
      </c>
      <c r="K227" s="1">
        <f t="shared" si="15"/>
        <v>418434.78989406244</v>
      </c>
    </row>
    <row r="228" spans="1:11" x14ac:dyDescent="0.25">
      <c r="A228" t="s">
        <v>31</v>
      </c>
      <c r="B228" s="3">
        <v>42468</v>
      </c>
      <c r="C228" s="1">
        <v>2228.4137301545011</v>
      </c>
      <c r="D228" s="1">
        <v>74.280457671816706</v>
      </c>
      <c r="E228" s="1">
        <f t="shared" si="12"/>
        <v>1058.4137301545011</v>
      </c>
      <c r="F228" s="1">
        <f t="shared" si="13"/>
        <v>1170</v>
      </c>
      <c r="G228" s="2">
        <v>30</v>
      </c>
      <c r="H228" s="1">
        <v>35.280457671816706</v>
      </c>
      <c r="I228" s="1">
        <v>39</v>
      </c>
      <c r="J228" s="1">
        <f t="shared" si="14"/>
        <v>829134.20362421812</v>
      </c>
      <c r="K228" s="1">
        <f t="shared" si="15"/>
        <v>419493.20362421696</v>
      </c>
    </row>
    <row r="229" spans="1:11" x14ac:dyDescent="0.25">
      <c r="A229" t="s">
        <v>25</v>
      </c>
      <c r="B229" s="3">
        <v>42456</v>
      </c>
      <c r="C229" s="1">
        <v>1980.1400547703802</v>
      </c>
      <c r="D229" s="1">
        <v>104.2178976194937</v>
      </c>
      <c r="E229" s="1">
        <f t="shared" si="12"/>
        <v>954.14005477038017</v>
      </c>
      <c r="F229" s="1">
        <f t="shared" si="13"/>
        <v>1026</v>
      </c>
      <c r="G229" s="2">
        <v>19</v>
      </c>
      <c r="H229" s="1">
        <v>50.217897619493691</v>
      </c>
      <c r="I229" s="1">
        <v>54</v>
      </c>
      <c r="J229" s="1">
        <f t="shared" si="14"/>
        <v>831114.34367898852</v>
      </c>
      <c r="K229" s="1">
        <f t="shared" si="15"/>
        <v>420447.34367898735</v>
      </c>
    </row>
    <row r="230" spans="1:11" x14ac:dyDescent="0.25">
      <c r="A230" t="s">
        <v>29</v>
      </c>
      <c r="B230" s="3">
        <v>42452</v>
      </c>
      <c r="C230" s="1">
        <v>1497.0252383870259</v>
      </c>
      <c r="D230" s="1">
        <v>48.291136722162122</v>
      </c>
      <c r="E230" s="1">
        <f t="shared" si="12"/>
        <v>660.02523838702575</v>
      </c>
      <c r="F230" s="1">
        <f t="shared" si="13"/>
        <v>837</v>
      </c>
      <c r="G230" s="2">
        <v>31</v>
      </c>
      <c r="H230" s="1">
        <v>21.291136722162122</v>
      </c>
      <c r="I230" s="1">
        <v>27</v>
      </c>
      <c r="J230" s="1">
        <f t="shared" si="14"/>
        <v>832611.36891737557</v>
      </c>
      <c r="K230" s="1">
        <f t="shared" si="15"/>
        <v>421107.36891737441</v>
      </c>
    </row>
    <row r="231" spans="1:11" x14ac:dyDescent="0.25">
      <c r="A231" t="s">
        <v>37</v>
      </c>
      <c r="B231" s="3">
        <v>42448</v>
      </c>
      <c r="C231" s="1">
        <v>658.1554520823845</v>
      </c>
      <c r="D231" s="1">
        <v>73.128383564709395</v>
      </c>
      <c r="E231" s="1">
        <f t="shared" si="12"/>
        <v>361.15545208238456</v>
      </c>
      <c r="F231" s="1">
        <f t="shared" si="13"/>
        <v>297</v>
      </c>
      <c r="G231" s="2">
        <v>9</v>
      </c>
      <c r="H231" s="1">
        <v>40.128383564709395</v>
      </c>
      <c r="I231" s="1">
        <v>33</v>
      </c>
      <c r="J231" s="1">
        <f t="shared" si="14"/>
        <v>833269.52436945797</v>
      </c>
      <c r="K231" s="1">
        <f t="shared" si="15"/>
        <v>421468.52436945681</v>
      </c>
    </row>
    <row r="232" spans="1:11" x14ac:dyDescent="0.25">
      <c r="A232" t="s">
        <v>38</v>
      </c>
      <c r="B232" s="3">
        <v>42433</v>
      </c>
      <c r="C232" s="1">
        <v>41926.891291215135</v>
      </c>
      <c r="D232" s="1">
        <v>210.68789593575445</v>
      </c>
      <c r="E232" s="1">
        <f t="shared" si="12"/>
        <v>27598.891291215135</v>
      </c>
      <c r="F232" s="1">
        <f t="shared" si="13"/>
        <v>14328</v>
      </c>
      <c r="G232" s="2">
        <v>199</v>
      </c>
      <c r="H232" s="1">
        <v>138.68789593575445</v>
      </c>
      <c r="I232" s="1">
        <v>72</v>
      </c>
      <c r="J232" s="1">
        <f t="shared" si="14"/>
        <v>875196.41566067305</v>
      </c>
      <c r="K232" s="1">
        <f t="shared" si="15"/>
        <v>449067.41566067195</v>
      </c>
    </row>
    <row r="233" spans="1:11" x14ac:dyDescent="0.25">
      <c r="A233" t="s">
        <v>42</v>
      </c>
      <c r="B233" s="3">
        <v>42430</v>
      </c>
      <c r="C233" s="1">
        <v>9329.5152286761841</v>
      </c>
      <c r="D233" s="1">
        <v>131.40162293910117</v>
      </c>
      <c r="E233" s="1">
        <f t="shared" si="12"/>
        <v>5779.5152286761822</v>
      </c>
      <c r="F233" s="1">
        <f t="shared" si="13"/>
        <v>3550</v>
      </c>
      <c r="G233" s="2">
        <v>71</v>
      </c>
      <c r="H233" s="1">
        <v>81.401622939101159</v>
      </c>
      <c r="I233" s="1">
        <v>50</v>
      </c>
      <c r="J233" s="1">
        <f t="shared" si="14"/>
        <v>884525.9308893492</v>
      </c>
      <c r="K233" s="1">
        <f t="shared" si="15"/>
        <v>454846.93088934815</v>
      </c>
    </row>
    <row r="234" spans="1:11" x14ac:dyDescent="0.25">
      <c r="A234" t="s">
        <v>27</v>
      </c>
      <c r="B234" s="3">
        <v>42428</v>
      </c>
      <c r="C234" s="1">
        <v>6505.183733594461</v>
      </c>
      <c r="D234" s="1">
        <v>101.64349583741345</v>
      </c>
      <c r="E234" s="1">
        <f t="shared" si="12"/>
        <v>3369.183733594461</v>
      </c>
      <c r="F234" s="1">
        <f t="shared" si="13"/>
        <v>3136</v>
      </c>
      <c r="G234" s="2">
        <v>64</v>
      </c>
      <c r="H234" s="1">
        <v>52.643495837413454</v>
      </c>
      <c r="I234" s="1">
        <v>49</v>
      </c>
      <c r="J234" s="1">
        <f t="shared" si="14"/>
        <v>891031.11462294369</v>
      </c>
      <c r="K234" s="1">
        <f t="shared" si="15"/>
        <v>458216.11462294264</v>
      </c>
    </row>
    <row r="235" spans="1:11" x14ac:dyDescent="0.25">
      <c r="A235" t="s">
        <v>29</v>
      </c>
      <c r="B235" s="3">
        <v>42389</v>
      </c>
      <c r="C235" s="1">
        <v>4660.137887728135</v>
      </c>
      <c r="D235" s="1">
        <v>145.62930899150422</v>
      </c>
      <c r="E235" s="1">
        <f t="shared" si="12"/>
        <v>1908.1378877281345</v>
      </c>
      <c r="F235" s="1">
        <f t="shared" si="13"/>
        <v>2752</v>
      </c>
      <c r="G235" s="2">
        <v>32</v>
      </c>
      <c r="H235" s="1">
        <v>59.629308991504203</v>
      </c>
      <c r="I235" s="1">
        <v>86</v>
      </c>
      <c r="J235" s="1">
        <f t="shared" si="14"/>
        <v>895691.25251067185</v>
      </c>
      <c r="K235" s="1">
        <f t="shared" si="15"/>
        <v>460124.25251067075</v>
      </c>
    </row>
    <row r="236" spans="1:11" x14ac:dyDescent="0.25">
      <c r="A236" t="s">
        <v>44</v>
      </c>
      <c r="B236" s="3">
        <v>42389</v>
      </c>
      <c r="C236" s="1">
        <v>3296.731394362324</v>
      </c>
      <c r="D236" s="1">
        <v>91.575872065620104</v>
      </c>
      <c r="E236" s="1">
        <f t="shared" si="12"/>
        <v>2072.731394362324</v>
      </c>
      <c r="F236" s="1">
        <f t="shared" si="13"/>
        <v>1224</v>
      </c>
      <c r="G236" s="2">
        <v>36</v>
      </c>
      <c r="H236" s="1">
        <v>57.575872065620104</v>
      </c>
      <c r="I236" s="1">
        <v>34</v>
      </c>
      <c r="J236" s="1">
        <f t="shared" si="14"/>
        <v>898987.98390503414</v>
      </c>
      <c r="K236" s="1">
        <f t="shared" si="15"/>
        <v>462196.98390503309</v>
      </c>
    </row>
    <row r="237" spans="1:11" x14ac:dyDescent="0.25">
      <c r="A237" t="s">
        <v>22</v>
      </c>
      <c r="B237" s="3">
        <v>42388</v>
      </c>
      <c r="C237" s="1">
        <v>836.21782522092258</v>
      </c>
      <c r="D237" s="1">
        <v>209.05445630523064</v>
      </c>
      <c r="E237" s="1">
        <f t="shared" si="12"/>
        <v>472.21782522092263</v>
      </c>
      <c r="F237" s="1">
        <f t="shared" si="13"/>
        <v>364</v>
      </c>
      <c r="G237" s="2">
        <v>4</v>
      </c>
      <c r="H237" s="1">
        <v>118.05445630523066</v>
      </c>
      <c r="I237" s="1">
        <v>91</v>
      </c>
      <c r="J237" s="1">
        <f t="shared" si="14"/>
        <v>899824.20173025504</v>
      </c>
      <c r="K237" s="1">
        <f t="shared" si="15"/>
        <v>462669.20173025399</v>
      </c>
    </row>
    <row r="238" spans="1:11" x14ac:dyDescent="0.25">
      <c r="A238" t="s">
        <v>30</v>
      </c>
      <c r="B238" s="3">
        <v>42368</v>
      </c>
      <c r="C238" s="1">
        <v>1381.2921200943022</v>
      </c>
      <c r="D238" s="1">
        <v>153.47690223270024</v>
      </c>
      <c r="E238" s="1">
        <f t="shared" si="12"/>
        <v>724.29212009430216</v>
      </c>
      <c r="F238" s="1">
        <f t="shared" si="13"/>
        <v>657</v>
      </c>
      <c r="G238" s="2">
        <v>9</v>
      </c>
      <c r="H238" s="1">
        <v>80.47690223270024</v>
      </c>
      <c r="I238" s="1">
        <v>73</v>
      </c>
      <c r="J238" s="1">
        <f t="shared" si="14"/>
        <v>901205.49385034933</v>
      </c>
      <c r="K238" s="1">
        <f t="shared" si="15"/>
        <v>463393.49385034828</v>
      </c>
    </row>
    <row r="239" spans="1:11" x14ac:dyDescent="0.25">
      <c r="A239" t="s">
        <v>13</v>
      </c>
      <c r="B239" s="3">
        <v>42364</v>
      </c>
      <c r="C239" s="1">
        <v>792.84143914675724</v>
      </c>
      <c r="D239" s="1">
        <v>99.105179893344655</v>
      </c>
      <c r="E239" s="1">
        <f t="shared" si="12"/>
        <v>448.84143914675724</v>
      </c>
      <c r="F239" s="1">
        <f t="shared" si="13"/>
        <v>344</v>
      </c>
      <c r="G239" s="2">
        <v>8</v>
      </c>
      <c r="H239" s="1">
        <v>56.105179893344655</v>
      </c>
      <c r="I239" s="1">
        <v>43</v>
      </c>
      <c r="J239" s="1">
        <f t="shared" si="14"/>
        <v>901998.33528949611</v>
      </c>
      <c r="K239" s="1">
        <f t="shared" si="15"/>
        <v>463842.33528949507</v>
      </c>
    </row>
    <row r="240" spans="1:11" x14ac:dyDescent="0.25">
      <c r="A240" t="s">
        <v>12</v>
      </c>
      <c r="B240" s="3">
        <v>42363</v>
      </c>
      <c r="C240" s="1">
        <v>562.93107180971901</v>
      </c>
      <c r="D240" s="1">
        <v>51.175551982701734</v>
      </c>
      <c r="E240" s="1">
        <f t="shared" si="12"/>
        <v>309.93107180971901</v>
      </c>
      <c r="F240" s="1">
        <f t="shared" si="13"/>
        <v>253</v>
      </c>
      <c r="G240" s="2">
        <v>11</v>
      </c>
      <c r="H240" s="1">
        <v>28.17555198270173</v>
      </c>
      <c r="I240" s="1">
        <v>23</v>
      </c>
      <c r="J240" s="1">
        <f t="shared" si="14"/>
        <v>902561.26636130584</v>
      </c>
      <c r="K240" s="1">
        <f t="shared" si="15"/>
        <v>464152.26636130479</v>
      </c>
    </row>
    <row r="241" spans="1:11" x14ac:dyDescent="0.25">
      <c r="A241" t="s">
        <v>17</v>
      </c>
      <c r="B241" s="3">
        <v>42360</v>
      </c>
      <c r="C241" s="1">
        <v>2492.5742575549307</v>
      </c>
      <c r="D241" s="1">
        <v>92.317565094627057</v>
      </c>
      <c r="E241" s="1">
        <f t="shared" si="12"/>
        <v>1655.5742575549305</v>
      </c>
      <c r="F241" s="1">
        <f t="shared" si="13"/>
        <v>837</v>
      </c>
      <c r="G241" s="2">
        <v>27</v>
      </c>
      <c r="H241" s="1">
        <v>61.317565094627057</v>
      </c>
      <c r="I241" s="1">
        <v>31</v>
      </c>
      <c r="J241" s="1">
        <f t="shared" si="14"/>
        <v>905053.84061886079</v>
      </c>
      <c r="K241" s="1">
        <f t="shared" si="15"/>
        <v>465807.84061885974</v>
      </c>
    </row>
    <row r="242" spans="1:11" x14ac:dyDescent="0.25">
      <c r="A242" t="s">
        <v>19</v>
      </c>
      <c r="B242" s="3">
        <v>42357</v>
      </c>
      <c r="C242" s="1">
        <v>3591.62655441164</v>
      </c>
      <c r="D242" s="1">
        <v>128.27237694327286</v>
      </c>
      <c r="E242" s="1">
        <f t="shared" si="12"/>
        <v>1911.62655441164</v>
      </c>
      <c r="F242" s="1">
        <f t="shared" si="13"/>
        <v>1680</v>
      </c>
      <c r="G242" s="2">
        <v>28</v>
      </c>
      <c r="H242" s="1">
        <v>68.27237694327286</v>
      </c>
      <c r="I242" s="1">
        <v>60</v>
      </c>
      <c r="J242" s="1">
        <f t="shared" si="14"/>
        <v>908645.46717327239</v>
      </c>
      <c r="K242" s="1">
        <f t="shared" si="15"/>
        <v>467719.46717327141</v>
      </c>
    </row>
    <row r="243" spans="1:11" x14ac:dyDescent="0.25">
      <c r="A243" t="s">
        <v>38</v>
      </c>
      <c r="B243" s="3">
        <v>42330</v>
      </c>
      <c r="C243" s="1">
        <v>5471.2013823504203</v>
      </c>
      <c r="D243" s="1">
        <v>210.43082239809308</v>
      </c>
      <c r="E243" s="1">
        <f t="shared" si="12"/>
        <v>2377.2013823504199</v>
      </c>
      <c r="F243" s="1">
        <f t="shared" si="13"/>
        <v>3094</v>
      </c>
      <c r="G243" s="2">
        <v>26</v>
      </c>
      <c r="H243" s="1">
        <v>91.430822398093071</v>
      </c>
      <c r="I243" s="1">
        <v>119</v>
      </c>
      <c r="J243" s="1">
        <f t="shared" si="14"/>
        <v>914116.6685556228</v>
      </c>
      <c r="K243" s="1">
        <f t="shared" si="15"/>
        <v>470096.66855562181</v>
      </c>
    </row>
    <row r="244" spans="1:11" x14ac:dyDescent="0.25">
      <c r="A244" t="s">
        <v>14</v>
      </c>
      <c r="B244" s="3">
        <v>42323</v>
      </c>
      <c r="C244" s="1">
        <v>3626.6833177027465</v>
      </c>
      <c r="D244" s="1">
        <v>88.455690675676749</v>
      </c>
      <c r="E244" s="1">
        <f t="shared" si="12"/>
        <v>1945.683317702747</v>
      </c>
      <c r="F244" s="1">
        <f t="shared" si="13"/>
        <v>1681</v>
      </c>
      <c r="G244" s="2">
        <v>41</v>
      </c>
      <c r="H244" s="1">
        <v>47.455690675676756</v>
      </c>
      <c r="I244" s="1">
        <v>41</v>
      </c>
      <c r="J244" s="1">
        <f t="shared" si="14"/>
        <v>917743.35187332553</v>
      </c>
      <c r="K244" s="1">
        <f t="shared" si="15"/>
        <v>472042.35187332454</v>
      </c>
    </row>
    <row r="245" spans="1:11" x14ac:dyDescent="0.25">
      <c r="A245" t="s">
        <v>38</v>
      </c>
      <c r="B245" s="3">
        <v>42312</v>
      </c>
      <c r="C245" s="1">
        <v>2066.5974512829557</v>
      </c>
      <c r="D245" s="1">
        <v>59.045641465227305</v>
      </c>
      <c r="E245" s="1">
        <f t="shared" si="12"/>
        <v>1226.5974512829557</v>
      </c>
      <c r="F245" s="1">
        <f t="shared" si="13"/>
        <v>840</v>
      </c>
      <c r="G245" s="2">
        <v>35</v>
      </c>
      <c r="H245" s="1">
        <v>35.045641465227305</v>
      </c>
      <c r="I245" s="1">
        <v>24</v>
      </c>
      <c r="J245" s="1">
        <f t="shared" si="14"/>
        <v>919809.94932460843</v>
      </c>
      <c r="K245" s="1">
        <f t="shared" si="15"/>
        <v>473268.9493246075</v>
      </c>
    </row>
    <row r="246" spans="1:11" x14ac:dyDescent="0.25">
      <c r="A246" t="s">
        <v>15</v>
      </c>
      <c r="B246" s="3">
        <v>42308</v>
      </c>
      <c r="C246" s="1">
        <v>480.57119793924835</v>
      </c>
      <c r="D246" s="1">
        <v>80.095199656541396</v>
      </c>
      <c r="E246" s="1">
        <f t="shared" si="12"/>
        <v>204.57119793924838</v>
      </c>
      <c r="F246" s="1">
        <f t="shared" si="13"/>
        <v>276</v>
      </c>
      <c r="G246" s="2">
        <v>6</v>
      </c>
      <c r="H246" s="1">
        <v>34.095199656541396</v>
      </c>
      <c r="I246" s="1">
        <v>46</v>
      </c>
      <c r="J246" s="1">
        <f t="shared" si="14"/>
        <v>920290.52052254765</v>
      </c>
      <c r="K246" s="1">
        <f t="shared" si="15"/>
        <v>473473.52052254672</v>
      </c>
    </row>
    <row r="247" spans="1:11" x14ac:dyDescent="0.25">
      <c r="A247" t="s">
        <v>20</v>
      </c>
      <c r="B247" s="3">
        <v>42305</v>
      </c>
      <c r="C247" s="1">
        <v>488.28784377662942</v>
      </c>
      <c r="D247" s="1">
        <v>122.07196094415735</v>
      </c>
      <c r="E247" s="1">
        <f t="shared" si="12"/>
        <v>216.28784377662939</v>
      </c>
      <c r="F247" s="1">
        <f t="shared" si="13"/>
        <v>272</v>
      </c>
      <c r="G247" s="2">
        <v>4</v>
      </c>
      <c r="H247" s="1">
        <v>54.071960944157347</v>
      </c>
      <c r="I247" s="1">
        <v>68</v>
      </c>
      <c r="J247" s="1">
        <f t="shared" si="14"/>
        <v>920778.80836632429</v>
      </c>
      <c r="K247" s="1">
        <f t="shared" si="15"/>
        <v>473689.80836632336</v>
      </c>
    </row>
    <row r="248" spans="1:11" x14ac:dyDescent="0.25">
      <c r="A248" t="s">
        <v>12</v>
      </c>
      <c r="B248" s="3">
        <v>42295</v>
      </c>
      <c r="C248" s="1">
        <v>2606.9536289765115</v>
      </c>
      <c r="D248" s="1">
        <v>96.553838110241173</v>
      </c>
      <c r="E248" s="1">
        <f t="shared" si="12"/>
        <v>1256.9536289765115</v>
      </c>
      <c r="F248" s="1">
        <f t="shared" si="13"/>
        <v>1350</v>
      </c>
      <c r="G248" s="2">
        <v>27</v>
      </c>
      <c r="H248" s="1">
        <v>46.553838110241166</v>
      </c>
      <c r="I248" s="1">
        <v>50</v>
      </c>
      <c r="J248" s="1">
        <f t="shared" si="14"/>
        <v>923385.76199530077</v>
      </c>
      <c r="K248" s="1">
        <f t="shared" si="15"/>
        <v>474946.76199529989</v>
      </c>
    </row>
    <row r="249" spans="1:11" x14ac:dyDescent="0.25">
      <c r="A249" t="s">
        <v>14</v>
      </c>
      <c r="B249" s="3">
        <v>42274</v>
      </c>
      <c r="C249" s="1">
        <v>1908.2362208878801</v>
      </c>
      <c r="D249" s="1">
        <v>127.21574805919201</v>
      </c>
      <c r="E249" s="1">
        <f t="shared" si="12"/>
        <v>948.23622088788022</v>
      </c>
      <c r="F249" s="1">
        <f t="shared" si="13"/>
        <v>960</v>
      </c>
      <c r="G249" s="2">
        <v>15</v>
      </c>
      <c r="H249" s="1">
        <v>63.215748059192016</v>
      </c>
      <c r="I249" s="1">
        <v>64</v>
      </c>
      <c r="J249" s="1">
        <f t="shared" si="14"/>
        <v>925293.99821618863</v>
      </c>
      <c r="K249" s="1">
        <f t="shared" si="15"/>
        <v>475894.99821618776</v>
      </c>
    </row>
    <row r="250" spans="1:11" x14ac:dyDescent="0.25">
      <c r="A250" t="s">
        <v>16</v>
      </c>
      <c r="B250" s="3">
        <v>42271</v>
      </c>
      <c r="C250" s="1">
        <v>1112.2629134590973</v>
      </c>
      <c r="D250" s="1">
        <v>158.89470192272819</v>
      </c>
      <c r="E250" s="1">
        <f t="shared" si="12"/>
        <v>454.26291345909732</v>
      </c>
      <c r="F250" s="1">
        <f t="shared" si="13"/>
        <v>658</v>
      </c>
      <c r="G250" s="2">
        <v>7</v>
      </c>
      <c r="H250" s="1">
        <v>64.894701922728188</v>
      </c>
      <c r="I250" s="1">
        <v>94</v>
      </c>
      <c r="J250" s="1">
        <f t="shared" si="14"/>
        <v>926406.26112964773</v>
      </c>
      <c r="K250" s="1">
        <f t="shared" si="15"/>
        <v>476349.26112964685</v>
      </c>
    </row>
    <row r="251" spans="1:11" x14ac:dyDescent="0.25">
      <c r="A251" t="s">
        <v>44</v>
      </c>
      <c r="B251" s="3">
        <v>42269</v>
      </c>
      <c r="C251" s="1">
        <v>1673.4531230390953</v>
      </c>
      <c r="D251" s="1">
        <v>185.93923589323282</v>
      </c>
      <c r="E251" s="1">
        <f t="shared" si="12"/>
        <v>881.45312303909532</v>
      </c>
      <c r="F251" s="1">
        <f t="shared" si="13"/>
        <v>792</v>
      </c>
      <c r="G251" s="2">
        <v>9</v>
      </c>
      <c r="H251" s="1">
        <v>97.939235893232819</v>
      </c>
      <c r="I251" s="1">
        <v>88</v>
      </c>
      <c r="J251" s="1">
        <f t="shared" si="14"/>
        <v>928079.71425268683</v>
      </c>
      <c r="K251" s="1">
        <f t="shared" si="15"/>
        <v>477230.71425268595</v>
      </c>
    </row>
    <row r="252" spans="1:11" x14ac:dyDescent="0.25">
      <c r="A252" t="s">
        <v>40</v>
      </c>
      <c r="B252" s="3">
        <v>42268</v>
      </c>
      <c r="C252" s="1">
        <v>1146.78142200196</v>
      </c>
      <c r="D252" s="1">
        <v>114.67814220019601</v>
      </c>
      <c r="E252" s="1">
        <f t="shared" si="12"/>
        <v>756.7814220019601</v>
      </c>
      <c r="F252" s="1">
        <f t="shared" si="13"/>
        <v>390</v>
      </c>
      <c r="G252" s="2">
        <v>10</v>
      </c>
      <c r="H252" s="1">
        <v>75.678142200196007</v>
      </c>
      <c r="I252" s="1">
        <v>39</v>
      </c>
      <c r="J252" s="1">
        <f t="shared" si="14"/>
        <v>929226.49567468883</v>
      </c>
      <c r="K252" s="1">
        <f t="shared" si="15"/>
        <v>477987.4956746879</v>
      </c>
    </row>
    <row r="253" spans="1:11" x14ac:dyDescent="0.25">
      <c r="A253" t="s">
        <v>18</v>
      </c>
      <c r="B253" s="3">
        <v>42256</v>
      </c>
      <c r="C253" s="1">
        <v>534.39258490342422</v>
      </c>
      <c r="D253" s="1">
        <v>33.399536556464014</v>
      </c>
      <c r="E253" s="1">
        <f t="shared" si="12"/>
        <v>294.39258490342417</v>
      </c>
      <c r="F253" s="1">
        <f t="shared" si="13"/>
        <v>240</v>
      </c>
      <c r="G253" s="2">
        <v>16</v>
      </c>
      <c r="H253" s="1">
        <v>18.39953655646401</v>
      </c>
      <c r="I253" s="1">
        <v>15</v>
      </c>
      <c r="J253" s="1">
        <f t="shared" si="14"/>
        <v>929760.88825959223</v>
      </c>
      <c r="K253" s="1">
        <f t="shared" si="15"/>
        <v>478281.8882595913</v>
      </c>
    </row>
    <row r="254" spans="1:11" x14ac:dyDescent="0.25">
      <c r="A254" t="s">
        <v>14</v>
      </c>
      <c r="B254" s="3">
        <v>42246</v>
      </c>
      <c r="C254" s="1">
        <v>785.97115297929099</v>
      </c>
      <c r="D254" s="1">
        <v>157.19423059585819</v>
      </c>
      <c r="E254" s="1">
        <f t="shared" si="12"/>
        <v>340.97115297929088</v>
      </c>
      <c r="F254" s="1">
        <f t="shared" si="13"/>
        <v>445</v>
      </c>
      <c r="G254" s="2">
        <v>5</v>
      </c>
      <c r="H254" s="1">
        <v>68.194230595858173</v>
      </c>
      <c r="I254" s="1">
        <v>89</v>
      </c>
      <c r="J254" s="1">
        <f t="shared" si="14"/>
        <v>930546.85941257153</v>
      </c>
      <c r="K254" s="1">
        <f t="shared" si="15"/>
        <v>478622.8594125706</v>
      </c>
    </row>
    <row r="255" spans="1:11" x14ac:dyDescent="0.25">
      <c r="A255" t="s">
        <v>32</v>
      </c>
      <c r="B255" s="3">
        <v>42238</v>
      </c>
      <c r="C255" s="1">
        <v>1506.1547726441074</v>
      </c>
      <c r="D255" s="1">
        <v>188.26934658051343</v>
      </c>
      <c r="E255" s="1">
        <f t="shared" si="12"/>
        <v>650.15477264410742</v>
      </c>
      <c r="F255" s="1">
        <f t="shared" si="13"/>
        <v>856</v>
      </c>
      <c r="G255" s="2">
        <v>8</v>
      </c>
      <c r="H255" s="1">
        <v>81.269346580513428</v>
      </c>
      <c r="I255" s="1">
        <v>107</v>
      </c>
      <c r="J255" s="1">
        <f t="shared" si="14"/>
        <v>932053.0141852157</v>
      </c>
      <c r="K255" s="1">
        <f t="shared" si="15"/>
        <v>479273.01418521471</v>
      </c>
    </row>
    <row r="256" spans="1:11" x14ac:dyDescent="0.25">
      <c r="A256" t="s">
        <v>42</v>
      </c>
      <c r="B256" s="3">
        <v>42232</v>
      </c>
      <c r="C256" s="1">
        <v>1141.1078842099716</v>
      </c>
      <c r="D256" s="1">
        <v>190.1846473683286</v>
      </c>
      <c r="E256" s="1">
        <f t="shared" si="12"/>
        <v>457.10788420997159</v>
      </c>
      <c r="F256" s="1">
        <f t="shared" si="13"/>
        <v>684</v>
      </c>
      <c r="G256" s="2">
        <v>6</v>
      </c>
      <c r="H256" s="1">
        <v>76.184647368328598</v>
      </c>
      <c r="I256" s="1">
        <v>114</v>
      </c>
      <c r="J256" s="1">
        <f t="shared" si="14"/>
        <v>933194.12206942565</v>
      </c>
      <c r="K256" s="1">
        <f t="shared" si="15"/>
        <v>479730.12206942466</v>
      </c>
    </row>
    <row r="257" spans="1:11" x14ac:dyDescent="0.25">
      <c r="A257" t="s">
        <v>33</v>
      </c>
      <c r="B257" s="3">
        <v>42218</v>
      </c>
      <c r="C257" s="1">
        <v>5149.4853439559192</v>
      </c>
      <c r="D257" s="1">
        <v>171.64951146519729</v>
      </c>
      <c r="E257" s="1">
        <f t="shared" si="12"/>
        <v>3139.4853439559188</v>
      </c>
      <c r="F257" s="1">
        <f t="shared" si="13"/>
        <v>2010</v>
      </c>
      <c r="G257" s="2">
        <v>30</v>
      </c>
      <c r="H257" s="1">
        <v>104.64951146519729</v>
      </c>
      <c r="I257" s="1">
        <v>67</v>
      </c>
      <c r="J257" s="1">
        <f t="shared" si="14"/>
        <v>938343.60741338157</v>
      </c>
      <c r="K257" s="1">
        <f t="shared" si="15"/>
        <v>482869.60741338058</v>
      </c>
    </row>
    <row r="258" spans="1:11" x14ac:dyDescent="0.25">
      <c r="A258" t="s">
        <v>28</v>
      </c>
      <c r="B258" s="3">
        <v>42216</v>
      </c>
      <c r="C258" s="1">
        <v>5124.1901899455752</v>
      </c>
      <c r="D258" s="1">
        <v>93.167094362646822</v>
      </c>
      <c r="E258" s="1">
        <f t="shared" si="12"/>
        <v>2979.1901899455752</v>
      </c>
      <c r="F258" s="1">
        <f t="shared" si="13"/>
        <v>2145</v>
      </c>
      <c r="G258" s="2">
        <v>55</v>
      </c>
      <c r="H258" s="1">
        <v>54.167094362646822</v>
      </c>
      <c r="I258" s="1">
        <v>39</v>
      </c>
      <c r="J258" s="1">
        <f t="shared" si="14"/>
        <v>943467.7976033272</v>
      </c>
      <c r="K258" s="1">
        <f t="shared" si="15"/>
        <v>485848.79760332615</v>
      </c>
    </row>
    <row r="259" spans="1:11" x14ac:dyDescent="0.25">
      <c r="A259" t="s">
        <v>37</v>
      </c>
      <c r="B259" s="3">
        <v>42214</v>
      </c>
      <c r="C259" s="1">
        <v>1084.2501011530426</v>
      </c>
      <c r="D259" s="1">
        <v>180.70835019217375</v>
      </c>
      <c r="E259" s="1">
        <f t="shared" si="12"/>
        <v>526.25010115304258</v>
      </c>
      <c r="F259" s="1">
        <f t="shared" si="13"/>
        <v>558</v>
      </c>
      <c r="G259" s="2">
        <v>6</v>
      </c>
      <c r="H259" s="1">
        <v>87.708350192173754</v>
      </c>
      <c r="I259" s="1">
        <v>93</v>
      </c>
      <c r="J259" s="1">
        <f t="shared" si="14"/>
        <v>944552.04770448024</v>
      </c>
      <c r="K259" s="1">
        <f t="shared" si="15"/>
        <v>486375.04770447919</v>
      </c>
    </row>
    <row r="260" spans="1:11" x14ac:dyDescent="0.25">
      <c r="A260" t="s">
        <v>21</v>
      </c>
      <c r="B260" s="3">
        <v>42210</v>
      </c>
      <c r="C260" s="1">
        <v>3162.4034414271637</v>
      </c>
      <c r="D260" s="1">
        <v>59.667989460889885</v>
      </c>
      <c r="E260" s="1">
        <f t="shared" ref="E260:E323" si="16">+G260*H260</f>
        <v>1784.4034414271639</v>
      </c>
      <c r="F260" s="1">
        <f t="shared" ref="F260:F323" si="17">+G260*I260</f>
        <v>1378</v>
      </c>
      <c r="G260" s="2">
        <v>53</v>
      </c>
      <c r="H260" s="1">
        <v>33.667989460889885</v>
      </c>
      <c r="I260" s="1">
        <v>26</v>
      </c>
      <c r="J260" s="1">
        <f t="shared" si="14"/>
        <v>947714.4511459074</v>
      </c>
      <c r="K260" s="1">
        <f t="shared" si="15"/>
        <v>488159.45114590635</v>
      </c>
    </row>
    <row r="261" spans="1:11" x14ac:dyDescent="0.25">
      <c r="A261" t="s">
        <v>17</v>
      </c>
      <c r="B261" s="3">
        <v>42205</v>
      </c>
      <c r="C261" s="1">
        <v>6788.9081118099693</v>
      </c>
      <c r="D261" s="1">
        <v>150.86462470688821</v>
      </c>
      <c r="E261" s="1">
        <f t="shared" si="16"/>
        <v>4088.9081118099689</v>
      </c>
      <c r="F261" s="1">
        <f t="shared" si="17"/>
        <v>2700</v>
      </c>
      <c r="G261" s="2">
        <v>45</v>
      </c>
      <c r="H261" s="1">
        <v>90.864624706888193</v>
      </c>
      <c r="I261" s="1">
        <v>60</v>
      </c>
      <c r="J261" s="1">
        <f t="shared" ref="J261:J324" si="18">+J260+C261</f>
        <v>954503.35925771738</v>
      </c>
      <c r="K261" s="1">
        <f t="shared" ref="K261:K324" si="19">+K260+E261</f>
        <v>492248.35925771634</v>
      </c>
    </row>
    <row r="262" spans="1:11" x14ac:dyDescent="0.25">
      <c r="A262" t="s">
        <v>22</v>
      </c>
      <c r="B262" s="3">
        <v>42195</v>
      </c>
      <c r="C262" s="1">
        <v>1742.2129369825111</v>
      </c>
      <c r="D262" s="1">
        <v>108.88830856140694</v>
      </c>
      <c r="E262" s="1">
        <f t="shared" si="16"/>
        <v>910.21293698251111</v>
      </c>
      <c r="F262" s="1">
        <f t="shared" si="17"/>
        <v>832</v>
      </c>
      <c r="G262" s="2">
        <v>16</v>
      </c>
      <c r="H262" s="1">
        <v>56.888308561406944</v>
      </c>
      <c r="I262" s="1">
        <v>52</v>
      </c>
      <c r="J262" s="1">
        <f t="shared" si="18"/>
        <v>956245.5721946999</v>
      </c>
      <c r="K262" s="1">
        <f t="shared" si="19"/>
        <v>493158.57219469885</v>
      </c>
    </row>
    <row r="263" spans="1:11" x14ac:dyDescent="0.25">
      <c r="A263" t="s">
        <v>19</v>
      </c>
      <c r="B263" s="3">
        <v>42195</v>
      </c>
      <c r="C263" s="1">
        <v>448.38439461195395</v>
      </c>
      <c r="D263" s="1">
        <v>40.762217691995815</v>
      </c>
      <c r="E263" s="1">
        <f t="shared" si="16"/>
        <v>272.38439461195395</v>
      </c>
      <c r="F263" s="1">
        <f t="shared" si="17"/>
        <v>176</v>
      </c>
      <c r="G263" s="2">
        <v>11</v>
      </c>
      <c r="H263" s="1">
        <v>24.762217691995815</v>
      </c>
      <c r="I263" s="1">
        <v>16</v>
      </c>
      <c r="J263" s="1">
        <f t="shared" si="18"/>
        <v>956693.95658931183</v>
      </c>
      <c r="K263" s="1">
        <f t="shared" si="19"/>
        <v>493430.95658931078</v>
      </c>
    </row>
    <row r="264" spans="1:11" x14ac:dyDescent="0.25">
      <c r="A264" t="s">
        <v>43</v>
      </c>
      <c r="B264" s="3">
        <v>42184</v>
      </c>
      <c r="C264" s="1">
        <v>1695.1334814136078</v>
      </c>
      <c r="D264" s="1">
        <v>94.174082300755984</v>
      </c>
      <c r="E264" s="1">
        <f t="shared" si="16"/>
        <v>687.13348141360768</v>
      </c>
      <c r="F264" s="1">
        <f t="shared" si="17"/>
        <v>1008</v>
      </c>
      <c r="G264" s="2">
        <v>18</v>
      </c>
      <c r="H264" s="1">
        <v>38.174082300755984</v>
      </c>
      <c r="I264" s="1">
        <v>56</v>
      </c>
      <c r="J264" s="1">
        <f t="shared" si="18"/>
        <v>958389.09007072542</v>
      </c>
      <c r="K264" s="1">
        <f t="shared" si="19"/>
        <v>494118.09007072437</v>
      </c>
    </row>
    <row r="265" spans="1:11" x14ac:dyDescent="0.25">
      <c r="A265" t="s">
        <v>23</v>
      </c>
      <c r="B265" s="3">
        <v>42177</v>
      </c>
      <c r="C265" s="1">
        <v>1665.6016705894071</v>
      </c>
      <c r="D265" s="1">
        <v>237.94309579848672</v>
      </c>
      <c r="E265" s="1">
        <f t="shared" si="16"/>
        <v>741.60167058940704</v>
      </c>
      <c r="F265" s="1">
        <f t="shared" si="17"/>
        <v>924</v>
      </c>
      <c r="G265" s="2">
        <v>7</v>
      </c>
      <c r="H265" s="1">
        <v>105.94309579848672</v>
      </c>
      <c r="I265" s="1">
        <v>132</v>
      </c>
      <c r="J265" s="1">
        <f t="shared" si="18"/>
        <v>960054.69174131483</v>
      </c>
      <c r="K265" s="1">
        <f t="shared" si="19"/>
        <v>494859.69174131379</v>
      </c>
    </row>
    <row r="266" spans="1:11" x14ac:dyDescent="0.25">
      <c r="A266" t="s">
        <v>39</v>
      </c>
      <c r="B266" s="3">
        <v>42171</v>
      </c>
      <c r="C266" s="1">
        <v>9748.9687206601993</v>
      </c>
      <c r="D266" s="1">
        <v>105.9670513115239</v>
      </c>
      <c r="E266" s="1">
        <f t="shared" si="16"/>
        <v>4320.9687206601993</v>
      </c>
      <c r="F266" s="1">
        <f t="shared" si="17"/>
        <v>5428</v>
      </c>
      <c r="G266" s="2">
        <v>92</v>
      </c>
      <c r="H266" s="1">
        <v>46.967051311523903</v>
      </c>
      <c r="I266" s="1">
        <v>59</v>
      </c>
      <c r="J266" s="1">
        <f t="shared" si="18"/>
        <v>969803.66046197503</v>
      </c>
      <c r="K266" s="1">
        <f t="shared" si="19"/>
        <v>499180.66046197398</v>
      </c>
    </row>
    <row r="267" spans="1:11" x14ac:dyDescent="0.25">
      <c r="A267" t="s">
        <v>41</v>
      </c>
      <c r="B267" s="3">
        <v>42150</v>
      </c>
      <c r="C267" s="1">
        <v>2709.9220095987748</v>
      </c>
      <c r="D267" s="1">
        <v>225.82683413323124</v>
      </c>
      <c r="E267" s="1">
        <f t="shared" si="16"/>
        <v>1221.9220095987748</v>
      </c>
      <c r="F267" s="1">
        <f t="shared" si="17"/>
        <v>1488</v>
      </c>
      <c r="G267" s="2">
        <v>12</v>
      </c>
      <c r="H267" s="1">
        <v>101.82683413323124</v>
      </c>
      <c r="I267" s="1">
        <v>124</v>
      </c>
      <c r="J267" s="1">
        <f t="shared" si="18"/>
        <v>972513.58247157384</v>
      </c>
      <c r="K267" s="1">
        <f t="shared" si="19"/>
        <v>500402.58247157274</v>
      </c>
    </row>
    <row r="268" spans="1:11" x14ac:dyDescent="0.25">
      <c r="A268" t="s">
        <v>40</v>
      </c>
      <c r="B268" s="3">
        <v>42141</v>
      </c>
      <c r="C268" s="1">
        <v>929.66790699768262</v>
      </c>
      <c r="D268" s="1">
        <v>92.966790699768268</v>
      </c>
      <c r="E268" s="1">
        <f t="shared" si="16"/>
        <v>509.66790699768268</v>
      </c>
      <c r="F268" s="1">
        <f t="shared" si="17"/>
        <v>420</v>
      </c>
      <c r="G268" s="2">
        <v>10</v>
      </c>
      <c r="H268" s="1">
        <v>50.966790699768268</v>
      </c>
      <c r="I268" s="1">
        <v>42</v>
      </c>
      <c r="J268" s="1">
        <f t="shared" si="18"/>
        <v>973443.25037857157</v>
      </c>
      <c r="K268" s="1">
        <f t="shared" si="19"/>
        <v>500912.2503785704</v>
      </c>
    </row>
    <row r="269" spans="1:11" x14ac:dyDescent="0.25">
      <c r="A269" t="s">
        <v>48</v>
      </c>
      <c r="B269" s="3">
        <v>42126</v>
      </c>
      <c r="C269" s="1">
        <v>21971.326567309126</v>
      </c>
      <c r="D269" s="1">
        <v>123.434418917467</v>
      </c>
      <c r="E269" s="1">
        <f t="shared" si="16"/>
        <v>14317.326567309126</v>
      </c>
      <c r="F269" s="1">
        <f t="shared" si="17"/>
        <v>7654</v>
      </c>
      <c r="G269" s="2">
        <v>178</v>
      </c>
      <c r="H269" s="1">
        <v>80.434418917466999</v>
      </c>
      <c r="I269" s="1">
        <v>43</v>
      </c>
      <c r="J269" s="1">
        <f t="shared" si="18"/>
        <v>995414.57694588066</v>
      </c>
      <c r="K269" s="1">
        <f t="shared" si="19"/>
        <v>515229.57694587955</v>
      </c>
    </row>
    <row r="270" spans="1:11" x14ac:dyDescent="0.25">
      <c r="A270" t="s">
        <v>41</v>
      </c>
      <c r="B270" s="3">
        <v>42113</v>
      </c>
      <c r="C270" s="1">
        <v>13695.881867259124</v>
      </c>
      <c r="D270" s="1">
        <v>180.20897193762005</v>
      </c>
      <c r="E270" s="1">
        <f t="shared" si="16"/>
        <v>7159.8818672591224</v>
      </c>
      <c r="F270" s="1">
        <f t="shared" si="17"/>
        <v>6536</v>
      </c>
      <c r="G270" s="2">
        <v>76</v>
      </c>
      <c r="H270" s="1">
        <v>94.208971937620035</v>
      </c>
      <c r="I270" s="1">
        <v>86</v>
      </c>
      <c r="J270" s="1">
        <f t="shared" si="18"/>
        <v>1009110.4588131398</v>
      </c>
      <c r="K270" s="1">
        <f t="shared" si="19"/>
        <v>522389.45881313866</v>
      </c>
    </row>
    <row r="271" spans="1:11" x14ac:dyDescent="0.25">
      <c r="A271" t="s">
        <v>29</v>
      </c>
      <c r="B271" s="3">
        <v>42098</v>
      </c>
      <c r="C271" s="1">
        <v>4062.4914354278553</v>
      </c>
      <c r="D271" s="1">
        <v>99.085156961655002</v>
      </c>
      <c r="E271" s="1">
        <f t="shared" si="16"/>
        <v>2299.4914354278553</v>
      </c>
      <c r="F271" s="1">
        <f t="shared" si="17"/>
        <v>1763</v>
      </c>
      <c r="G271" s="2">
        <v>41</v>
      </c>
      <c r="H271" s="1">
        <v>56.085156961655009</v>
      </c>
      <c r="I271" s="1">
        <v>43</v>
      </c>
      <c r="J271" s="1">
        <f t="shared" si="18"/>
        <v>1013172.9502485676</v>
      </c>
      <c r="K271" s="1">
        <f t="shared" si="19"/>
        <v>524688.95024856646</v>
      </c>
    </row>
    <row r="272" spans="1:11" x14ac:dyDescent="0.25">
      <c r="A272" t="s">
        <v>30</v>
      </c>
      <c r="B272" s="3">
        <v>42070</v>
      </c>
      <c r="C272" s="1">
        <v>5360.4246064487161</v>
      </c>
      <c r="D272" s="1">
        <v>101.14008691412671</v>
      </c>
      <c r="E272" s="1">
        <f t="shared" si="16"/>
        <v>2180.4246064487156</v>
      </c>
      <c r="F272" s="1">
        <f t="shared" si="17"/>
        <v>3180</v>
      </c>
      <c r="G272" s="2">
        <v>53</v>
      </c>
      <c r="H272" s="1">
        <v>41.140086914126712</v>
      </c>
      <c r="I272" s="1">
        <v>60</v>
      </c>
      <c r="J272" s="1">
        <f t="shared" si="18"/>
        <v>1018533.3748550164</v>
      </c>
      <c r="K272" s="1">
        <f t="shared" si="19"/>
        <v>526869.37485501519</v>
      </c>
    </row>
    <row r="273" spans="1:11" x14ac:dyDescent="0.25">
      <c r="A273" t="s">
        <v>15</v>
      </c>
      <c r="B273" s="3">
        <v>42060</v>
      </c>
      <c r="C273" s="1">
        <v>14022.850478921431</v>
      </c>
      <c r="D273" s="1">
        <v>164.97471151672272</v>
      </c>
      <c r="E273" s="1">
        <f t="shared" si="16"/>
        <v>6542.8504789214312</v>
      </c>
      <c r="F273" s="1">
        <f t="shared" si="17"/>
        <v>7480</v>
      </c>
      <c r="G273" s="2">
        <v>85</v>
      </c>
      <c r="H273" s="1">
        <v>76.974711516722721</v>
      </c>
      <c r="I273" s="1">
        <v>88</v>
      </c>
      <c r="J273" s="1">
        <f t="shared" si="18"/>
        <v>1032556.2253339378</v>
      </c>
      <c r="K273" s="1">
        <f t="shared" si="19"/>
        <v>533412.22533393663</v>
      </c>
    </row>
    <row r="274" spans="1:11" x14ac:dyDescent="0.25">
      <c r="A274" t="s">
        <v>18</v>
      </c>
      <c r="B274" s="3">
        <v>42049</v>
      </c>
      <c r="C274" s="1">
        <v>3493.6484225825643</v>
      </c>
      <c r="D274" s="1">
        <v>166.36421059916972</v>
      </c>
      <c r="E274" s="1">
        <f t="shared" si="16"/>
        <v>1414.6484225825639</v>
      </c>
      <c r="F274" s="1">
        <f t="shared" si="17"/>
        <v>2079</v>
      </c>
      <c r="G274" s="2">
        <v>21</v>
      </c>
      <c r="H274" s="1">
        <v>67.364210599169709</v>
      </c>
      <c r="I274" s="1">
        <v>99</v>
      </c>
      <c r="J274" s="1">
        <f t="shared" si="18"/>
        <v>1036049.8737565203</v>
      </c>
      <c r="K274" s="1">
        <f t="shared" si="19"/>
        <v>534826.87375651917</v>
      </c>
    </row>
    <row r="275" spans="1:11" x14ac:dyDescent="0.25">
      <c r="A275" t="s">
        <v>38</v>
      </c>
      <c r="B275" s="3">
        <v>42048</v>
      </c>
      <c r="C275" s="1">
        <v>2370.8703122519032</v>
      </c>
      <c r="D275" s="1">
        <v>182.37463940399255</v>
      </c>
      <c r="E275" s="1">
        <f t="shared" si="16"/>
        <v>979.87031225190333</v>
      </c>
      <c r="F275" s="1">
        <f t="shared" si="17"/>
        <v>1391</v>
      </c>
      <c r="G275" s="2">
        <v>13</v>
      </c>
      <c r="H275" s="1">
        <v>75.37463940399256</v>
      </c>
      <c r="I275" s="1">
        <v>107</v>
      </c>
      <c r="J275" s="1">
        <f t="shared" si="18"/>
        <v>1038420.7440687722</v>
      </c>
      <c r="K275" s="1">
        <f t="shared" si="19"/>
        <v>535806.74406877102</v>
      </c>
    </row>
    <row r="276" spans="1:11" x14ac:dyDescent="0.25">
      <c r="A276" t="s">
        <v>24</v>
      </c>
      <c r="B276" s="3">
        <v>42044</v>
      </c>
      <c r="C276" s="1">
        <v>2522.4671144032941</v>
      </c>
      <c r="D276" s="1">
        <v>180.17622245737815</v>
      </c>
      <c r="E276" s="1">
        <f t="shared" si="16"/>
        <v>1108.4671144032941</v>
      </c>
      <c r="F276" s="1">
        <f t="shared" si="17"/>
        <v>1414</v>
      </c>
      <c r="G276" s="2">
        <v>14</v>
      </c>
      <c r="H276" s="1">
        <v>79.176222457378145</v>
      </c>
      <c r="I276" s="1">
        <v>101</v>
      </c>
      <c r="J276" s="1">
        <f t="shared" si="18"/>
        <v>1040943.2111831754</v>
      </c>
      <c r="K276" s="1">
        <f t="shared" si="19"/>
        <v>536915.21118317428</v>
      </c>
    </row>
    <row r="277" spans="1:11" x14ac:dyDescent="0.25">
      <c r="A277" t="s">
        <v>14</v>
      </c>
      <c r="B277" s="3">
        <v>42038</v>
      </c>
      <c r="C277" s="1">
        <v>1052.5905044766482</v>
      </c>
      <c r="D277" s="1">
        <v>131.57381305958103</v>
      </c>
      <c r="E277" s="1">
        <f t="shared" si="16"/>
        <v>540.59050447664822</v>
      </c>
      <c r="F277" s="1">
        <f t="shared" si="17"/>
        <v>512</v>
      </c>
      <c r="G277" s="2">
        <v>8</v>
      </c>
      <c r="H277" s="1">
        <v>67.573813059581028</v>
      </c>
      <c r="I277" s="1">
        <v>64</v>
      </c>
      <c r="J277" s="1">
        <f t="shared" si="18"/>
        <v>1041995.8016876521</v>
      </c>
      <c r="K277" s="1">
        <f t="shared" si="19"/>
        <v>537455.80168765096</v>
      </c>
    </row>
    <row r="278" spans="1:11" x14ac:dyDescent="0.25">
      <c r="A278" t="s">
        <v>48</v>
      </c>
      <c r="B278" s="3">
        <v>42025</v>
      </c>
      <c r="C278" s="1">
        <v>689.36879897867198</v>
      </c>
      <c r="D278" s="1">
        <v>86.171099872333997</v>
      </c>
      <c r="E278" s="1">
        <f t="shared" si="16"/>
        <v>281.36879897867203</v>
      </c>
      <c r="F278" s="1">
        <f t="shared" si="17"/>
        <v>408</v>
      </c>
      <c r="G278" s="2">
        <v>8</v>
      </c>
      <c r="H278" s="1">
        <v>35.171099872334004</v>
      </c>
      <c r="I278" s="1">
        <v>51</v>
      </c>
      <c r="J278" s="1">
        <f t="shared" si="18"/>
        <v>1042685.1704866308</v>
      </c>
      <c r="K278" s="1">
        <f t="shared" si="19"/>
        <v>537737.17048662959</v>
      </c>
    </row>
    <row r="279" spans="1:11" x14ac:dyDescent="0.25">
      <c r="A279" t="s">
        <v>41</v>
      </c>
      <c r="B279" s="3">
        <v>42007</v>
      </c>
      <c r="C279" s="1">
        <v>1636.2880825833699</v>
      </c>
      <c r="D279" s="1">
        <v>102.26800516146062</v>
      </c>
      <c r="E279" s="1">
        <f t="shared" si="16"/>
        <v>932.28808258337006</v>
      </c>
      <c r="F279" s="1">
        <f t="shared" si="17"/>
        <v>704</v>
      </c>
      <c r="G279" s="2">
        <v>16</v>
      </c>
      <c r="H279" s="1">
        <v>58.268005161460628</v>
      </c>
      <c r="I279" s="1">
        <v>44</v>
      </c>
      <c r="J279" s="1">
        <f t="shared" si="18"/>
        <v>1044321.4585692141</v>
      </c>
      <c r="K279" s="1">
        <f t="shared" si="19"/>
        <v>538669.45856921293</v>
      </c>
    </row>
    <row r="280" spans="1:11" x14ac:dyDescent="0.25">
      <c r="A280" t="s">
        <v>24</v>
      </c>
      <c r="B280" s="3">
        <v>42001</v>
      </c>
      <c r="C280" s="1">
        <v>555.69273382077893</v>
      </c>
      <c r="D280" s="1">
        <v>111.13854676415579</v>
      </c>
      <c r="E280" s="1">
        <f t="shared" si="16"/>
        <v>260.69273382077893</v>
      </c>
      <c r="F280" s="1">
        <f t="shared" si="17"/>
        <v>295</v>
      </c>
      <c r="G280" s="2">
        <v>5</v>
      </c>
      <c r="H280" s="1">
        <v>52.138546764155791</v>
      </c>
      <c r="I280" s="1">
        <v>59</v>
      </c>
      <c r="J280" s="1">
        <f t="shared" si="18"/>
        <v>1044877.1513030349</v>
      </c>
      <c r="K280" s="1">
        <f t="shared" si="19"/>
        <v>538930.15130303369</v>
      </c>
    </row>
    <row r="281" spans="1:11" x14ac:dyDescent="0.25">
      <c r="A281" t="s">
        <v>21</v>
      </c>
      <c r="B281" s="3">
        <v>41996</v>
      </c>
      <c r="C281" s="1">
        <v>5268.6441930678029</v>
      </c>
      <c r="D281" s="1">
        <v>122.52660914111169</v>
      </c>
      <c r="E281" s="1">
        <f t="shared" si="16"/>
        <v>2731.6441930678029</v>
      </c>
      <c r="F281" s="1">
        <f t="shared" si="17"/>
        <v>2537</v>
      </c>
      <c r="G281" s="2">
        <v>43</v>
      </c>
      <c r="H281" s="1">
        <v>63.526609141111699</v>
      </c>
      <c r="I281" s="1">
        <v>59</v>
      </c>
      <c r="J281" s="1">
        <f t="shared" si="18"/>
        <v>1050145.7954961027</v>
      </c>
      <c r="K281" s="1">
        <f t="shared" si="19"/>
        <v>541661.79549610149</v>
      </c>
    </row>
    <row r="282" spans="1:11" x14ac:dyDescent="0.25">
      <c r="A282" t="s">
        <v>49</v>
      </c>
      <c r="B282" s="3">
        <v>41975</v>
      </c>
      <c r="C282" s="1">
        <v>1751.0996353419141</v>
      </c>
      <c r="D282" s="1">
        <v>109.44372720886963</v>
      </c>
      <c r="E282" s="1">
        <f t="shared" si="16"/>
        <v>1015.0996353419141</v>
      </c>
      <c r="F282" s="1">
        <f t="shared" si="17"/>
        <v>736</v>
      </c>
      <c r="G282" s="2">
        <v>16</v>
      </c>
      <c r="H282" s="1">
        <v>63.443727208869632</v>
      </c>
      <c r="I282" s="1">
        <v>46</v>
      </c>
      <c r="J282" s="1">
        <f t="shared" si="18"/>
        <v>1051896.8951314446</v>
      </c>
      <c r="K282" s="1">
        <f t="shared" si="19"/>
        <v>542676.89513144339</v>
      </c>
    </row>
    <row r="283" spans="1:11" x14ac:dyDescent="0.25">
      <c r="A283" t="s">
        <v>42</v>
      </c>
      <c r="B283" s="3">
        <v>41951</v>
      </c>
      <c r="C283" s="1">
        <v>1325.6874043167822</v>
      </c>
      <c r="D283" s="1">
        <v>94.691957451198732</v>
      </c>
      <c r="E283" s="1">
        <f t="shared" si="16"/>
        <v>737.68740431678236</v>
      </c>
      <c r="F283" s="1">
        <f t="shared" si="17"/>
        <v>588</v>
      </c>
      <c r="G283" s="2">
        <v>14</v>
      </c>
      <c r="H283" s="1">
        <v>52.691957451198739</v>
      </c>
      <c r="I283" s="1">
        <v>42</v>
      </c>
      <c r="J283" s="1">
        <f t="shared" si="18"/>
        <v>1053222.5825357614</v>
      </c>
      <c r="K283" s="1">
        <f t="shared" si="19"/>
        <v>543414.58253576013</v>
      </c>
    </row>
    <row r="284" spans="1:11" x14ac:dyDescent="0.25">
      <c r="A284" t="s">
        <v>41</v>
      </c>
      <c r="B284" s="3">
        <v>41933</v>
      </c>
      <c r="C284" s="1">
        <v>2843.3875610632108</v>
      </c>
      <c r="D284" s="1">
        <v>94.779585368773695</v>
      </c>
      <c r="E284" s="1">
        <f t="shared" si="16"/>
        <v>1463.387561063211</v>
      </c>
      <c r="F284" s="1">
        <f t="shared" si="17"/>
        <v>1380</v>
      </c>
      <c r="G284" s="2">
        <v>30</v>
      </c>
      <c r="H284" s="1">
        <v>48.779585368773702</v>
      </c>
      <c r="I284" s="1">
        <v>46</v>
      </c>
      <c r="J284" s="1">
        <f t="shared" si="18"/>
        <v>1056065.9700968247</v>
      </c>
      <c r="K284" s="1">
        <f t="shared" si="19"/>
        <v>544877.97009682329</v>
      </c>
    </row>
    <row r="285" spans="1:11" x14ac:dyDescent="0.25">
      <c r="A285" t="s">
        <v>33</v>
      </c>
      <c r="B285" s="3">
        <v>41916</v>
      </c>
      <c r="C285" s="1">
        <v>7486.5676338455996</v>
      </c>
      <c r="D285" s="1">
        <v>207.96021205126667</v>
      </c>
      <c r="E285" s="1">
        <f t="shared" si="16"/>
        <v>3238.5676338456001</v>
      </c>
      <c r="F285" s="1">
        <f t="shared" si="17"/>
        <v>4248</v>
      </c>
      <c r="G285" s="2">
        <v>36</v>
      </c>
      <c r="H285" s="1">
        <v>89.960212051266666</v>
      </c>
      <c r="I285" s="1">
        <v>118</v>
      </c>
      <c r="J285" s="1">
        <f t="shared" si="18"/>
        <v>1063552.5377306703</v>
      </c>
      <c r="K285" s="1">
        <f t="shared" si="19"/>
        <v>548116.5377306689</v>
      </c>
    </row>
    <row r="286" spans="1:11" x14ac:dyDescent="0.25">
      <c r="A286" t="s">
        <v>27</v>
      </c>
      <c r="B286" s="3">
        <v>41892</v>
      </c>
      <c r="C286" s="1">
        <v>6059.0467549208452</v>
      </c>
      <c r="D286" s="1">
        <v>116.52012990232394</v>
      </c>
      <c r="E286" s="1">
        <f t="shared" si="16"/>
        <v>2523.0467549208452</v>
      </c>
      <c r="F286" s="1">
        <f t="shared" si="17"/>
        <v>3536</v>
      </c>
      <c r="G286" s="2">
        <v>52</v>
      </c>
      <c r="H286" s="1">
        <v>48.520129902323944</v>
      </c>
      <c r="I286" s="1">
        <v>68</v>
      </c>
      <c r="J286" s="1">
        <f t="shared" si="18"/>
        <v>1069611.5844855912</v>
      </c>
      <c r="K286" s="1">
        <f t="shared" si="19"/>
        <v>550639.58448558976</v>
      </c>
    </row>
    <row r="287" spans="1:11" x14ac:dyDescent="0.25">
      <c r="A287" t="s">
        <v>22</v>
      </c>
      <c r="B287" s="3">
        <v>41872</v>
      </c>
      <c r="C287" s="1">
        <v>2774.4678713941657</v>
      </c>
      <c r="D287" s="1">
        <v>163.20399243495092</v>
      </c>
      <c r="E287" s="1">
        <f t="shared" si="16"/>
        <v>1193.4678713941653</v>
      </c>
      <c r="F287" s="1">
        <f t="shared" si="17"/>
        <v>1581</v>
      </c>
      <c r="G287" s="2">
        <v>17</v>
      </c>
      <c r="H287" s="1">
        <v>70.203992434950905</v>
      </c>
      <c r="I287" s="1">
        <v>93</v>
      </c>
      <c r="J287" s="1">
        <f t="shared" si="18"/>
        <v>1072386.0523569854</v>
      </c>
      <c r="K287" s="1">
        <f t="shared" si="19"/>
        <v>551833.05235698388</v>
      </c>
    </row>
    <row r="288" spans="1:11" x14ac:dyDescent="0.25">
      <c r="A288" t="s">
        <v>26</v>
      </c>
      <c r="B288" s="3">
        <v>41848</v>
      </c>
      <c r="C288" s="1">
        <v>2071.6369177692832</v>
      </c>
      <c r="D288" s="1">
        <v>109.033521987857</v>
      </c>
      <c r="E288" s="1">
        <f t="shared" si="16"/>
        <v>1330.6369177692829</v>
      </c>
      <c r="F288" s="1">
        <f t="shared" si="17"/>
        <v>741</v>
      </c>
      <c r="G288" s="2">
        <v>19</v>
      </c>
      <c r="H288" s="1">
        <v>70.033521987857</v>
      </c>
      <c r="I288" s="1">
        <v>39</v>
      </c>
      <c r="J288" s="1">
        <f t="shared" si="18"/>
        <v>1074457.6892747546</v>
      </c>
      <c r="K288" s="1">
        <f t="shared" si="19"/>
        <v>553163.68927475321</v>
      </c>
    </row>
    <row r="289" spans="1:11" x14ac:dyDescent="0.25">
      <c r="A289" t="s">
        <v>34</v>
      </c>
      <c r="B289" s="3">
        <v>41843</v>
      </c>
      <c r="C289" s="1">
        <v>2315.7503528825837</v>
      </c>
      <c r="D289" s="1">
        <v>96.489598036774311</v>
      </c>
      <c r="E289" s="1">
        <f t="shared" si="16"/>
        <v>1043.7503528825835</v>
      </c>
      <c r="F289" s="1">
        <f t="shared" si="17"/>
        <v>1272</v>
      </c>
      <c r="G289" s="2">
        <v>24</v>
      </c>
      <c r="H289" s="1">
        <v>43.489598036774311</v>
      </c>
      <c r="I289" s="1">
        <v>53</v>
      </c>
      <c r="J289" s="1">
        <f t="shared" si="18"/>
        <v>1076773.4396276372</v>
      </c>
      <c r="K289" s="1">
        <f t="shared" si="19"/>
        <v>554207.43962763576</v>
      </c>
    </row>
    <row r="290" spans="1:11" x14ac:dyDescent="0.25">
      <c r="A290" t="s">
        <v>24</v>
      </c>
      <c r="B290" s="3">
        <v>41842</v>
      </c>
      <c r="C290" s="1">
        <v>828.01284583996312</v>
      </c>
      <c r="D290" s="1">
        <v>138.00214097332719</v>
      </c>
      <c r="E290" s="1">
        <f t="shared" si="16"/>
        <v>408.01284583996301</v>
      </c>
      <c r="F290" s="1">
        <f t="shared" si="17"/>
        <v>420</v>
      </c>
      <c r="G290" s="2">
        <v>6</v>
      </c>
      <c r="H290" s="1">
        <v>68.002140973327172</v>
      </c>
      <c r="I290" s="1">
        <v>70</v>
      </c>
      <c r="J290" s="1">
        <f t="shared" si="18"/>
        <v>1077601.4524734772</v>
      </c>
      <c r="K290" s="1">
        <f t="shared" si="19"/>
        <v>554615.45247347571</v>
      </c>
    </row>
    <row r="291" spans="1:11" x14ac:dyDescent="0.25">
      <c r="A291" t="s">
        <v>29</v>
      </c>
      <c r="B291" s="3">
        <v>41834</v>
      </c>
      <c r="C291" s="1">
        <v>6640.5699105719432</v>
      </c>
      <c r="D291" s="1">
        <v>170.27102334799855</v>
      </c>
      <c r="E291" s="1">
        <f t="shared" si="16"/>
        <v>2740.5699105719441</v>
      </c>
      <c r="F291" s="1">
        <f t="shared" si="17"/>
        <v>3900</v>
      </c>
      <c r="G291" s="2">
        <v>39</v>
      </c>
      <c r="H291" s="1">
        <v>70.271023347998565</v>
      </c>
      <c r="I291" s="1">
        <v>100</v>
      </c>
      <c r="J291" s="1">
        <f t="shared" si="18"/>
        <v>1084242.0223840491</v>
      </c>
      <c r="K291" s="1">
        <f t="shared" si="19"/>
        <v>557356.02238404762</v>
      </c>
    </row>
    <row r="292" spans="1:11" x14ac:dyDescent="0.25">
      <c r="A292" t="s">
        <v>31</v>
      </c>
      <c r="B292" s="3">
        <v>41833</v>
      </c>
      <c r="C292" s="1">
        <v>3045.2144558087725</v>
      </c>
      <c r="D292" s="1">
        <v>74.273523312409083</v>
      </c>
      <c r="E292" s="1">
        <f t="shared" si="16"/>
        <v>1938.2144558087721</v>
      </c>
      <c r="F292" s="1">
        <f t="shared" si="17"/>
        <v>1107</v>
      </c>
      <c r="G292" s="2">
        <v>41</v>
      </c>
      <c r="H292" s="1">
        <v>47.273523312409075</v>
      </c>
      <c r="I292" s="1">
        <v>27</v>
      </c>
      <c r="J292" s="1">
        <f t="shared" si="18"/>
        <v>1087287.2368398579</v>
      </c>
      <c r="K292" s="1">
        <f t="shared" si="19"/>
        <v>559294.23683985637</v>
      </c>
    </row>
    <row r="293" spans="1:11" x14ac:dyDescent="0.25">
      <c r="A293" t="s">
        <v>48</v>
      </c>
      <c r="B293" s="3">
        <v>41819</v>
      </c>
      <c r="C293" s="1">
        <v>577.67170336946083</v>
      </c>
      <c r="D293" s="1">
        <v>288.83585168473041</v>
      </c>
      <c r="E293" s="1">
        <f t="shared" si="16"/>
        <v>267.67170336946089</v>
      </c>
      <c r="F293" s="1">
        <f t="shared" si="17"/>
        <v>310</v>
      </c>
      <c r="G293" s="2">
        <v>2</v>
      </c>
      <c r="H293" s="1">
        <v>133.83585168473044</v>
      </c>
      <c r="I293" s="1">
        <v>155</v>
      </c>
      <c r="J293" s="1">
        <f t="shared" si="18"/>
        <v>1087864.9085432272</v>
      </c>
      <c r="K293" s="1">
        <f t="shared" si="19"/>
        <v>559561.90854322584</v>
      </c>
    </row>
    <row r="294" spans="1:11" x14ac:dyDescent="0.25">
      <c r="A294" t="s">
        <v>28</v>
      </c>
      <c r="B294" s="3">
        <v>41809</v>
      </c>
      <c r="C294" s="1">
        <v>1927.1890924196027</v>
      </c>
      <c r="D294" s="1">
        <v>96.359454620980131</v>
      </c>
      <c r="E294" s="1">
        <f t="shared" si="16"/>
        <v>1187.1890924196027</v>
      </c>
      <c r="F294" s="1">
        <f t="shared" si="17"/>
        <v>740</v>
      </c>
      <c r="G294" s="2">
        <v>20</v>
      </c>
      <c r="H294" s="1">
        <v>59.359454620980131</v>
      </c>
      <c r="I294" s="1">
        <v>37</v>
      </c>
      <c r="J294" s="1">
        <f t="shared" si="18"/>
        <v>1089792.0976356468</v>
      </c>
      <c r="K294" s="1">
        <f t="shared" si="19"/>
        <v>560749.09763564542</v>
      </c>
    </row>
    <row r="295" spans="1:11" x14ac:dyDescent="0.25">
      <c r="A295" t="s">
        <v>47</v>
      </c>
      <c r="B295" s="3">
        <v>41787</v>
      </c>
      <c r="C295" s="1">
        <v>4700.580341368629</v>
      </c>
      <c r="D295" s="1">
        <v>247.39896533519101</v>
      </c>
      <c r="E295" s="1">
        <f t="shared" si="16"/>
        <v>2344.5803413686294</v>
      </c>
      <c r="F295" s="1">
        <f t="shared" si="17"/>
        <v>2356</v>
      </c>
      <c r="G295" s="2">
        <v>19</v>
      </c>
      <c r="H295" s="1">
        <v>123.39896533519102</v>
      </c>
      <c r="I295" s="1">
        <v>124</v>
      </c>
      <c r="J295" s="1">
        <f t="shared" si="18"/>
        <v>1094492.6779770155</v>
      </c>
      <c r="K295" s="1">
        <f t="shared" si="19"/>
        <v>563093.6779770141</v>
      </c>
    </row>
    <row r="296" spans="1:11" x14ac:dyDescent="0.25">
      <c r="A296" t="s">
        <v>39</v>
      </c>
      <c r="B296" s="3">
        <v>41765</v>
      </c>
      <c r="C296" s="1">
        <v>1590.8215668640046</v>
      </c>
      <c r="D296" s="1">
        <v>113.63011191885747</v>
      </c>
      <c r="E296" s="1">
        <f t="shared" si="16"/>
        <v>960.82156686400458</v>
      </c>
      <c r="F296" s="1">
        <f t="shared" si="17"/>
        <v>630</v>
      </c>
      <c r="G296" s="2">
        <v>14</v>
      </c>
      <c r="H296" s="1">
        <v>68.630111918857466</v>
      </c>
      <c r="I296" s="1">
        <v>45</v>
      </c>
      <c r="J296" s="1">
        <f t="shared" si="18"/>
        <v>1096083.4995438794</v>
      </c>
      <c r="K296" s="1">
        <f t="shared" si="19"/>
        <v>564054.49954387813</v>
      </c>
    </row>
    <row r="297" spans="1:11" x14ac:dyDescent="0.25">
      <c r="A297" t="s">
        <v>38</v>
      </c>
      <c r="B297" s="3">
        <v>41761</v>
      </c>
      <c r="C297" s="1">
        <v>13525.22631399288</v>
      </c>
      <c r="D297" s="1">
        <v>211.33166115613875</v>
      </c>
      <c r="E297" s="1">
        <f t="shared" si="16"/>
        <v>6613.22631399288</v>
      </c>
      <c r="F297" s="1">
        <f t="shared" si="17"/>
        <v>6912</v>
      </c>
      <c r="G297" s="2">
        <v>64</v>
      </c>
      <c r="H297" s="1">
        <v>103.33166115613875</v>
      </c>
      <c r="I297" s="1">
        <v>108</v>
      </c>
      <c r="J297" s="1">
        <f t="shared" si="18"/>
        <v>1109608.7258578723</v>
      </c>
      <c r="K297" s="1">
        <f t="shared" si="19"/>
        <v>570667.725857871</v>
      </c>
    </row>
    <row r="298" spans="1:11" x14ac:dyDescent="0.25">
      <c r="A298" t="s">
        <v>29</v>
      </c>
      <c r="B298" s="3">
        <v>41755</v>
      </c>
      <c r="C298" s="1">
        <v>2091.1930111384509</v>
      </c>
      <c r="D298" s="1">
        <v>123.01135359637946</v>
      </c>
      <c r="E298" s="1">
        <f t="shared" si="16"/>
        <v>1088.1930111384509</v>
      </c>
      <c r="F298" s="1">
        <f t="shared" si="17"/>
        <v>1003</v>
      </c>
      <c r="G298" s="2">
        <v>17</v>
      </c>
      <c r="H298" s="1">
        <v>64.011353596379465</v>
      </c>
      <c r="I298" s="1">
        <v>59</v>
      </c>
      <c r="J298" s="1">
        <f t="shared" si="18"/>
        <v>1111699.9188690106</v>
      </c>
      <c r="K298" s="1">
        <f t="shared" si="19"/>
        <v>571755.91886900947</v>
      </c>
    </row>
    <row r="299" spans="1:11" x14ac:dyDescent="0.25">
      <c r="A299" t="s">
        <v>44</v>
      </c>
      <c r="B299" s="3">
        <v>41755</v>
      </c>
      <c r="C299" s="1">
        <v>2192.3799680411012</v>
      </c>
      <c r="D299" s="1">
        <v>35.36096722646937</v>
      </c>
      <c r="E299" s="1">
        <f t="shared" si="16"/>
        <v>1262.3799680411012</v>
      </c>
      <c r="F299" s="1">
        <f t="shared" si="17"/>
        <v>930</v>
      </c>
      <c r="G299" s="2">
        <v>62</v>
      </c>
      <c r="H299" s="1">
        <v>20.360967226469374</v>
      </c>
      <c r="I299" s="1">
        <v>15</v>
      </c>
      <c r="J299" s="1">
        <f t="shared" si="18"/>
        <v>1113892.2988370517</v>
      </c>
      <c r="K299" s="1">
        <f t="shared" si="19"/>
        <v>573018.29883705056</v>
      </c>
    </row>
    <row r="300" spans="1:11" x14ac:dyDescent="0.25">
      <c r="A300" t="s">
        <v>45</v>
      </c>
      <c r="B300" s="3">
        <v>41751</v>
      </c>
      <c r="C300" s="1">
        <v>1299.2252770594491</v>
      </c>
      <c r="D300" s="1">
        <v>129.9225277059449</v>
      </c>
      <c r="E300" s="1">
        <f t="shared" si="16"/>
        <v>689.22527705944901</v>
      </c>
      <c r="F300" s="1">
        <f t="shared" si="17"/>
        <v>610</v>
      </c>
      <c r="G300" s="2">
        <v>10</v>
      </c>
      <c r="H300" s="1">
        <v>68.922527705944901</v>
      </c>
      <c r="I300" s="1">
        <v>61</v>
      </c>
      <c r="J300" s="1">
        <f t="shared" si="18"/>
        <v>1115191.5241141112</v>
      </c>
      <c r="K300" s="1">
        <f t="shared" si="19"/>
        <v>573707.52411411004</v>
      </c>
    </row>
    <row r="301" spans="1:11" x14ac:dyDescent="0.25">
      <c r="A301" t="s">
        <v>39</v>
      </c>
      <c r="B301" s="3">
        <v>41746</v>
      </c>
      <c r="C301" s="1">
        <v>12697.555740437121</v>
      </c>
      <c r="D301" s="1">
        <v>90.053586811610785</v>
      </c>
      <c r="E301" s="1">
        <f t="shared" si="16"/>
        <v>5224.5557404371193</v>
      </c>
      <c r="F301" s="1">
        <f t="shared" si="17"/>
        <v>7473</v>
      </c>
      <c r="G301" s="2">
        <v>141</v>
      </c>
      <c r="H301" s="1">
        <v>37.053586811610778</v>
      </c>
      <c r="I301" s="1">
        <v>53</v>
      </c>
      <c r="J301" s="1">
        <f t="shared" si="18"/>
        <v>1127889.0798545484</v>
      </c>
      <c r="K301" s="1">
        <f t="shared" si="19"/>
        <v>578932.07985454716</v>
      </c>
    </row>
    <row r="302" spans="1:11" x14ac:dyDescent="0.25">
      <c r="A302" t="s">
        <v>42</v>
      </c>
      <c r="B302" s="3">
        <v>41743</v>
      </c>
      <c r="C302" s="1">
        <v>361.94126916518087</v>
      </c>
      <c r="D302" s="1">
        <v>90.485317291295218</v>
      </c>
      <c r="E302" s="1">
        <f t="shared" si="16"/>
        <v>197.94126916518084</v>
      </c>
      <c r="F302" s="1">
        <f t="shared" si="17"/>
        <v>164</v>
      </c>
      <c r="G302" s="2">
        <v>4</v>
      </c>
      <c r="H302" s="1">
        <v>49.48531729129521</v>
      </c>
      <c r="I302" s="1">
        <v>41</v>
      </c>
      <c r="J302" s="1">
        <f t="shared" si="18"/>
        <v>1128251.0211237136</v>
      </c>
      <c r="K302" s="1">
        <f t="shared" si="19"/>
        <v>579130.0211237123</v>
      </c>
    </row>
    <row r="303" spans="1:11" x14ac:dyDescent="0.25">
      <c r="A303" t="s">
        <v>16</v>
      </c>
      <c r="B303" s="3">
        <v>41724</v>
      </c>
      <c r="C303" s="1">
        <v>433.26655361847918</v>
      </c>
      <c r="D303" s="1">
        <v>108.31663840461979</v>
      </c>
      <c r="E303" s="1">
        <f t="shared" si="16"/>
        <v>285.26655361847918</v>
      </c>
      <c r="F303" s="1">
        <f t="shared" si="17"/>
        <v>148</v>
      </c>
      <c r="G303" s="2">
        <v>4</v>
      </c>
      <c r="H303" s="1">
        <v>71.316638404619795</v>
      </c>
      <c r="I303" s="1">
        <v>37</v>
      </c>
      <c r="J303" s="1">
        <f t="shared" si="18"/>
        <v>1128684.2876773321</v>
      </c>
      <c r="K303" s="1">
        <f t="shared" si="19"/>
        <v>579415.28767733078</v>
      </c>
    </row>
    <row r="304" spans="1:11" x14ac:dyDescent="0.25">
      <c r="A304" t="s">
        <v>27</v>
      </c>
      <c r="B304" s="3">
        <v>41717</v>
      </c>
      <c r="C304" s="1">
        <v>22377.89245883936</v>
      </c>
      <c r="D304" s="1">
        <v>121.61898075456173</v>
      </c>
      <c r="E304" s="1">
        <f t="shared" si="16"/>
        <v>12441.892458839358</v>
      </c>
      <c r="F304" s="1">
        <f t="shared" si="17"/>
        <v>9936</v>
      </c>
      <c r="G304" s="2">
        <v>184</v>
      </c>
      <c r="H304" s="1">
        <v>67.618980754561733</v>
      </c>
      <c r="I304" s="1">
        <v>54</v>
      </c>
      <c r="J304" s="1">
        <f t="shared" si="18"/>
        <v>1151062.1801361714</v>
      </c>
      <c r="K304" s="1">
        <f t="shared" si="19"/>
        <v>591857.18013617012</v>
      </c>
    </row>
    <row r="305" spans="1:11" x14ac:dyDescent="0.25">
      <c r="A305" t="s">
        <v>30</v>
      </c>
      <c r="B305" s="3">
        <v>41711</v>
      </c>
      <c r="C305" s="1">
        <v>3662.5936350119882</v>
      </c>
      <c r="D305" s="1">
        <v>244.17290900079922</v>
      </c>
      <c r="E305" s="1">
        <f t="shared" si="16"/>
        <v>1742.5936350119882</v>
      </c>
      <c r="F305" s="1">
        <f t="shared" si="17"/>
        <v>1920</v>
      </c>
      <c r="G305" s="2">
        <v>15</v>
      </c>
      <c r="H305" s="1">
        <v>116.17290900079921</v>
      </c>
      <c r="I305" s="1">
        <v>128</v>
      </c>
      <c r="J305" s="1">
        <f t="shared" si="18"/>
        <v>1154724.7737711833</v>
      </c>
      <c r="K305" s="1">
        <f t="shared" si="19"/>
        <v>593599.77377118217</v>
      </c>
    </row>
    <row r="306" spans="1:11" x14ac:dyDescent="0.25">
      <c r="A306" t="s">
        <v>29</v>
      </c>
      <c r="B306" s="3">
        <v>41711</v>
      </c>
      <c r="C306" s="1">
        <v>3023.4578848277642</v>
      </c>
      <c r="D306" s="1">
        <v>131.4546906446854</v>
      </c>
      <c r="E306" s="1">
        <f t="shared" si="16"/>
        <v>1505.4578848277645</v>
      </c>
      <c r="F306" s="1">
        <f t="shared" si="17"/>
        <v>1518</v>
      </c>
      <c r="G306" s="2">
        <v>23</v>
      </c>
      <c r="H306" s="1">
        <v>65.454690644685414</v>
      </c>
      <c r="I306" s="1">
        <v>66</v>
      </c>
      <c r="J306" s="1">
        <f t="shared" si="18"/>
        <v>1157748.2316560112</v>
      </c>
      <c r="K306" s="1">
        <f t="shared" si="19"/>
        <v>595105.23165600991</v>
      </c>
    </row>
    <row r="307" spans="1:11" x14ac:dyDescent="0.25">
      <c r="A307" t="s">
        <v>20</v>
      </c>
      <c r="B307" s="3">
        <v>41697</v>
      </c>
      <c r="C307" s="1">
        <v>7522.2258600668974</v>
      </c>
      <c r="D307" s="1">
        <v>127.4953535604559</v>
      </c>
      <c r="E307" s="1">
        <f t="shared" si="16"/>
        <v>3687.2258600668979</v>
      </c>
      <c r="F307" s="1">
        <f t="shared" si="17"/>
        <v>3835</v>
      </c>
      <c r="G307" s="2">
        <v>59</v>
      </c>
      <c r="H307" s="1">
        <v>62.495353560455897</v>
      </c>
      <c r="I307" s="1">
        <v>65</v>
      </c>
      <c r="J307" s="1">
        <f t="shared" si="18"/>
        <v>1165270.4575160781</v>
      </c>
      <c r="K307" s="1">
        <f t="shared" si="19"/>
        <v>598792.45751607686</v>
      </c>
    </row>
    <row r="308" spans="1:11" x14ac:dyDescent="0.25">
      <c r="A308" t="s">
        <v>13</v>
      </c>
      <c r="B308" s="3">
        <v>41695</v>
      </c>
      <c r="C308" s="1">
        <v>206.78323120901214</v>
      </c>
      <c r="D308" s="1">
        <v>103.39161560450607</v>
      </c>
      <c r="E308" s="1">
        <f t="shared" si="16"/>
        <v>128.78323120901214</v>
      </c>
      <c r="F308" s="1">
        <f t="shared" si="17"/>
        <v>78</v>
      </c>
      <c r="G308" s="2">
        <v>2</v>
      </c>
      <c r="H308" s="1">
        <v>64.391615604506072</v>
      </c>
      <c r="I308" s="1">
        <v>39</v>
      </c>
      <c r="J308" s="1">
        <f t="shared" si="18"/>
        <v>1165477.2407472872</v>
      </c>
      <c r="K308" s="1">
        <f t="shared" si="19"/>
        <v>598921.24074728589</v>
      </c>
    </row>
    <row r="309" spans="1:11" x14ac:dyDescent="0.25">
      <c r="A309" t="s">
        <v>45</v>
      </c>
      <c r="B309" s="3">
        <v>41692</v>
      </c>
      <c r="C309" s="1">
        <v>1705.3344964193382</v>
      </c>
      <c r="D309" s="1">
        <v>131.1795766476414</v>
      </c>
      <c r="E309" s="1">
        <f t="shared" si="16"/>
        <v>782.33449641933794</v>
      </c>
      <c r="F309" s="1">
        <f t="shared" si="17"/>
        <v>923</v>
      </c>
      <c r="G309" s="2">
        <v>13</v>
      </c>
      <c r="H309" s="1">
        <v>60.179576647641383</v>
      </c>
      <c r="I309" s="1">
        <v>71</v>
      </c>
      <c r="J309" s="1">
        <f t="shared" si="18"/>
        <v>1167182.5752437066</v>
      </c>
      <c r="K309" s="1">
        <f t="shared" si="19"/>
        <v>599703.57524370519</v>
      </c>
    </row>
    <row r="310" spans="1:11" x14ac:dyDescent="0.25">
      <c r="A310" t="s">
        <v>25</v>
      </c>
      <c r="B310" s="3">
        <v>41688</v>
      </c>
      <c r="C310" s="1">
        <v>833.33375287905346</v>
      </c>
      <c r="D310" s="1">
        <v>64.102596375311805</v>
      </c>
      <c r="E310" s="1">
        <f t="shared" si="16"/>
        <v>404.33375287905358</v>
      </c>
      <c r="F310" s="1">
        <f t="shared" si="17"/>
        <v>429</v>
      </c>
      <c r="G310" s="2">
        <v>13</v>
      </c>
      <c r="H310" s="1">
        <v>31.102596375311812</v>
      </c>
      <c r="I310" s="1">
        <v>33</v>
      </c>
      <c r="J310" s="1">
        <f t="shared" si="18"/>
        <v>1168015.9089965855</v>
      </c>
      <c r="K310" s="1">
        <f t="shared" si="19"/>
        <v>600107.90899658424</v>
      </c>
    </row>
    <row r="311" spans="1:11" x14ac:dyDescent="0.25">
      <c r="A311" t="s">
        <v>36</v>
      </c>
      <c r="B311" s="3">
        <v>41680</v>
      </c>
      <c r="C311" s="1">
        <v>10054.112327627679</v>
      </c>
      <c r="D311" s="1">
        <v>170.4086835191132</v>
      </c>
      <c r="E311" s="1">
        <f t="shared" si="16"/>
        <v>5452.1123276276776</v>
      </c>
      <c r="F311" s="1">
        <f t="shared" si="17"/>
        <v>4602</v>
      </c>
      <c r="G311" s="2">
        <v>59</v>
      </c>
      <c r="H311" s="1">
        <v>92.408683519113183</v>
      </c>
      <c r="I311" s="1">
        <v>78</v>
      </c>
      <c r="J311" s="1">
        <f t="shared" si="18"/>
        <v>1178070.0213242131</v>
      </c>
      <c r="K311" s="1">
        <f t="shared" si="19"/>
        <v>605560.02132421196</v>
      </c>
    </row>
    <row r="312" spans="1:11" x14ac:dyDescent="0.25">
      <c r="A312" t="s">
        <v>30</v>
      </c>
      <c r="B312" s="3">
        <v>41679</v>
      </c>
      <c r="C312" s="1">
        <v>3287.7560039338791</v>
      </c>
      <c r="D312" s="1">
        <v>58.709928641676413</v>
      </c>
      <c r="E312" s="1">
        <f t="shared" si="16"/>
        <v>1607.7560039338791</v>
      </c>
      <c r="F312" s="1">
        <f t="shared" si="17"/>
        <v>1680</v>
      </c>
      <c r="G312" s="2">
        <v>56</v>
      </c>
      <c r="H312" s="1">
        <v>28.709928641676413</v>
      </c>
      <c r="I312" s="1">
        <v>30</v>
      </c>
      <c r="J312" s="1">
        <f t="shared" si="18"/>
        <v>1181357.7773281471</v>
      </c>
      <c r="K312" s="1">
        <f t="shared" si="19"/>
        <v>607167.77732814581</v>
      </c>
    </row>
    <row r="313" spans="1:11" x14ac:dyDescent="0.25">
      <c r="A313" t="s">
        <v>46</v>
      </c>
      <c r="B313" s="3">
        <v>41665</v>
      </c>
      <c r="C313" s="1">
        <v>1582.0396460556865</v>
      </c>
      <c r="D313" s="1">
        <v>121.69535738889896</v>
      </c>
      <c r="E313" s="1">
        <f t="shared" si="16"/>
        <v>893.03964605568638</v>
      </c>
      <c r="F313" s="1">
        <f t="shared" si="17"/>
        <v>689</v>
      </c>
      <c r="G313" s="2">
        <v>13</v>
      </c>
      <c r="H313" s="1">
        <v>68.695357388898955</v>
      </c>
      <c r="I313" s="1">
        <v>53</v>
      </c>
      <c r="J313" s="1">
        <f t="shared" si="18"/>
        <v>1182939.8169742029</v>
      </c>
      <c r="K313" s="1">
        <f t="shared" si="19"/>
        <v>608060.81697420147</v>
      </c>
    </row>
    <row r="314" spans="1:11" x14ac:dyDescent="0.25">
      <c r="A314" t="s">
        <v>21</v>
      </c>
      <c r="B314" s="3">
        <v>41656</v>
      </c>
      <c r="C314" s="1">
        <v>8996.6091805985852</v>
      </c>
      <c r="D314" s="1">
        <v>119.95478907464781</v>
      </c>
      <c r="E314" s="1">
        <f t="shared" si="16"/>
        <v>5546.6091805985852</v>
      </c>
      <c r="F314" s="1">
        <f t="shared" si="17"/>
        <v>3450</v>
      </c>
      <c r="G314" s="2">
        <v>75</v>
      </c>
      <c r="H314" s="1">
        <v>73.954789074647806</v>
      </c>
      <c r="I314" s="1">
        <v>46</v>
      </c>
      <c r="J314" s="1">
        <f t="shared" si="18"/>
        <v>1191936.4261548014</v>
      </c>
      <c r="K314" s="1">
        <f t="shared" si="19"/>
        <v>613607.42615480011</v>
      </c>
    </row>
    <row r="315" spans="1:11" x14ac:dyDescent="0.25">
      <c r="A315" t="s">
        <v>47</v>
      </c>
      <c r="B315" s="3">
        <v>41651</v>
      </c>
      <c r="C315" s="1">
        <v>12203.593799417858</v>
      </c>
      <c r="D315" s="1">
        <v>118.48149319823163</v>
      </c>
      <c r="E315" s="1">
        <f t="shared" si="16"/>
        <v>7156.5937994178585</v>
      </c>
      <c r="F315" s="1">
        <f t="shared" si="17"/>
        <v>5047</v>
      </c>
      <c r="G315" s="2">
        <v>103</v>
      </c>
      <c r="H315" s="1">
        <v>69.481493198231632</v>
      </c>
      <c r="I315" s="1">
        <v>49</v>
      </c>
      <c r="J315" s="1">
        <f t="shared" si="18"/>
        <v>1204140.0199542192</v>
      </c>
      <c r="K315" s="1">
        <f t="shared" si="19"/>
        <v>620764.01995421795</v>
      </c>
    </row>
    <row r="316" spans="1:11" x14ac:dyDescent="0.25">
      <c r="A316" t="s">
        <v>23</v>
      </c>
      <c r="B316" s="3">
        <v>41633</v>
      </c>
      <c r="C316" s="1">
        <v>1594.1263084694472</v>
      </c>
      <c r="D316" s="1">
        <v>106.27508723129648</v>
      </c>
      <c r="E316" s="1">
        <f t="shared" si="16"/>
        <v>784.12630846944717</v>
      </c>
      <c r="F316" s="1">
        <f t="shared" si="17"/>
        <v>810</v>
      </c>
      <c r="G316" s="2">
        <v>15</v>
      </c>
      <c r="H316" s="1">
        <v>52.275087231296482</v>
      </c>
      <c r="I316" s="1">
        <v>54</v>
      </c>
      <c r="J316" s="1">
        <f t="shared" si="18"/>
        <v>1205734.1462626886</v>
      </c>
      <c r="K316" s="1">
        <f t="shared" si="19"/>
        <v>621548.1462626874</v>
      </c>
    </row>
    <row r="317" spans="1:11" x14ac:dyDescent="0.25">
      <c r="A317" t="s">
        <v>29</v>
      </c>
      <c r="B317" s="3">
        <v>41623</v>
      </c>
      <c r="C317" s="1">
        <v>530.32456391929009</v>
      </c>
      <c r="D317" s="1">
        <v>88.387427319881681</v>
      </c>
      <c r="E317" s="1">
        <f t="shared" si="16"/>
        <v>242.32456391929003</v>
      </c>
      <c r="F317" s="1">
        <f t="shared" si="17"/>
        <v>288</v>
      </c>
      <c r="G317" s="2">
        <v>6</v>
      </c>
      <c r="H317" s="1">
        <v>40.387427319881674</v>
      </c>
      <c r="I317" s="1">
        <v>48</v>
      </c>
      <c r="J317" s="1">
        <f t="shared" si="18"/>
        <v>1206264.4708266079</v>
      </c>
      <c r="K317" s="1">
        <f t="shared" si="19"/>
        <v>621790.47082660673</v>
      </c>
    </row>
    <row r="318" spans="1:11" x14ac:dyDescent="0.25">
      <c r="A318" t="s">
        <v>26</v>
      </c>
      <c r="B318" s="3">
        <v>41618</v>
      </c>
      <c r="C318" s="1">
        <v>4426.5811789795443</v>
      </c>
      <c r="D318" s="1">
        <v>210.78957995140686</v>
      </c>
      <c r="E318" s="1">
        <f t="shared" si="16"/>
        <v>1864.5811789795441</v>
      </c>
      <c r="F318" s="1">
        <f t="shared" si="17"/>
        <v>2562</v>
      </c>
      <c r="G318" s="2">
        <v>21</v>
      </c>
      <c r="H318" s="1">
        <v>88.789579951406864</v>
      </c>
      <c r="I318" s="1">
        <v>122</v>
      </c>
      <c r="J318" s="1">
        <f t="shared" si="18"/>
        <v>1210691.0520055874</v>
      </c>
      <c r="K318" s="1">
        <f t="shared" si="19"/>
        <v>623655.05200558633</v>
      </c>
    </row>
    <row r="319" spans="1:11" x14ac:dyDescent="0.25">
      <c r="A319" t="s">
        <v>17</v>
      </c>
      <c r="B319" s="3">
        <v>41609</v>
      </c>
      <c r="C319" s="1">
        <v>1053.7420842967149</v>
      </c>
      <c r="D319" s="1">
        <v>150.53458347095926</v>
      </c>
      <c r="E319" s="1">
        <f t="shared" si="16"/>
        <v>535.74208429671489</v>
      </c>
      <c r="F319" s="1">
        <f t="shared" si="17"/>
        <v>518</v>
      </c>
      <c r="G319" s="2">
        <v>7</v>
      </c>
      <c r="H319" s="1">
        <v>76.534583470959276</v>
      </c>
      <c r="I319" s="1">
        <v>74</v>
      </c>
      <c r="J319" s="1">
        <f t="shared" si="18"/>
        <v>1211744.794089884</v>
      </c>
      <c r="K319" s="1">
        <f t="shared" si="19"/>
        <v>624190.7940898831</v>
      </c>
    </row>
    <row r="320" spans="1:11" x14ac:dyDescent="0.25">
      <c r="A320" t="s">
        <v>44</v>
      </c>
      <c r="B320" s="3">
        <v>41589</v>
      </c>
      <c r="C320" s="1">
        <v>1140.2350348468988</v>
      </c>
      <c r="D320" s="1">
        <v>142.52937935586235</v>
      </c>
      <c r="E320" s="1">
        <f t="shared" si="16"/>
        <v>660.23503484689877</v>
      </c>
      <c r="F320" s="1">
        <f t="shared" si="17"/>
        <v>480</v>
      </c>
      <c r="G320" s="2">
        <v>8</v>
      </c>
      <c r="H320" s="1">
        <v>82.529379355862346</v>
      </c>
      <c r="I320" s="1">
        <v>60</v>
      </c>
      <c r="J320" s="1">
        <f t="shared" si="18"/>
        <v>1212885.029124731</v>
      </c>
      <c r="K320" s="1">
        <f t="shared" si="19"/>
        <v>624851.02912473003</v>
      </c>
    </row>
    <row r="321" spans="1:11" x14ac:dyDescent="0.25">
      <c r="A321" t="s">
        <v>26</v>
      </c>
      <c r="B321" s="3">
        <v>41587</v>
      </c>
      <c r="C321" s="1">
        <v>3467.7310399336766</v>
      </c>
      <c r="D321" s="1">
        <v>247.69507428097691</v>
      </c>
      <c r="E321" s="1">
        <f t="shared" si="16"/>
        <v>1647.7310399336768</v>
      </c>
      <c r="F321" s="1">
        <f t="shared" si="17"/>
        <v>1820</v>
      </c>
      <c r="G321" s="2">
        <v>14</v>
      </c>
      <c r="H321" s="1">
        <v>117.69507428097691</v>
      </c>
      <c r="I321" s="1">
        <v>130</v>
      </c>
      <c r="J321" s="1">
        <f t="shared" si="18"/>
        <v>1216352.7601646646</v>
      </c>
      <c r="K321" s="1">
        <f t="shared" si="19"/>
        <v>626498.76016466366</v>
      </c>
    </row>
    <row r="322" spans="1:11" x14ac:dyDescent="0.25">
      <c r="A322" t="s">
        <v>44</v>
      </c>
      <c r="B322" s="3">
        <v>41583</v>
      </c>
      <c r="C322" s="1">
        <v>6121.4239211922595</v>
      </c>
      <c r="D322" s="1">
        <v>266.14886613879389</v>
      </c>
      <c r="E322" s="1">
        <f t="shared" si="16"/>
        <v>2487.4239211922595</v>
      </c>
      <c r="F322" s="1">
        <f t="shared" si="17"/>
        <v>3634</v>
      </c>
      <c r="G322" s="2">
        <v>23</v>
      </c>
      <c r="H322" s="1">
        <v>108.14886613879389</v>
      </c>
      <c r="I322" s="1">
        <v>158</v>
      </c>
      <c r="J322" s="1">
        <f t="shared" si="18"/>
        <v>1222474.1840858569</v>
      </c>
      <c r="K322" s="1">
        <f t="shared" si="19"/>
        <v>628986.18408585596</v>
      </c>
    </row>
    <row r="323" spans="1:11" x14ac:dyDescent="0.25">
      <c r="A323" t="s">
        <v>16</v>
      </c>
      <c r="B323" s="3">
        <v>41580</v>
      </c>
      <c r="C323" s="1">
        <v>202.70872236556107</v>
      </c>
      <c r="D323" s="1">
        <v>50.677180591390268</v>
      </c>
      <c r="E323" s="1">
        <f t="shared" si="16"/>
        <v>122.70872236556106</v>
      </c>
      <c r="F323" s="1">
        <f t="shared" si="17"/>
        <v>80</v>
      </c>
      <c r="G323" s="2">
        <v>4</v>
      </c>
      <c r="H323" s="1">
        <v>30.677180591390265</v>
      </c>
      <c r="I323" s="1">
        <v>20</v>
      </c>
      <c r="J323" s="1">
        <f t="shared" si="18"/>
        <v>1222676.8928082224</v>
      </c>
      <c r="K323" s="1">
        <f t="shared" si="19"/>
        <v>629108.89280822151</v>
      </c>
    </row>
    <row r="324" spans="1:11" x14ac:dyDescent="0.25">
      <c r="A324" t="s">
        <v>39</v>
      </c>
      <c r="B324" s="3">
        <v>41574</v>
      </c>
      <c r="C324" s="1">
        <v>5112.925784779166</v>
      </c>
      <c r="D324" s="1">
        <v>96.470297826022005</v>
      </c>
      <c r="E324" s="1">
        <f t="shared" ref="E324:E387" si="20">+G324*H324</f>
        <v>2409.9257847791664</v>
      </c>
      <c r="F324" s="1">
        <f t="shared" ref="F324:F387" si="21">+G324*I324</f>
        <v>2703</v>
      </c>
      <c r="G324" s="2">
        <v>53</v>
      </c>
      <c r="H324" s="1">
        <v>45.470297826022005</v>
      </c>
      <c r="I324" s="1">
        <v>51</v>
      </c>
      <c r="J324" s="1">
        <f t="shared" si="18"/>
        <v>1227789.8185930017</v>
      </c>
      <c r="K324" s="1">
        <f t="shared" si="19"/>
        <v>631518.81859300064</v>
      </c>
    </row>
    <row r="325" spans="1:11" x14ac:dyDescent="0.25">
      <c r="A325" t="s">
        <v>20</v>
      </c>
      <c r="B325" s="3">
        <v>41564</v>
      </c>
      <c r="C325" s="1">
        <v>10030.42851753041</v>
      </c>
      <c r="D325" s="1">
        <v>125.38035646913013</v>
      </c>
      <c r="E325" s="1">
        <f t="shared" si="20"/>
        <v>6430.4285175304103</v>
      </c>
      <c r="F325" s="1">
        <f t="shared" si="21"/>
        <v>3600</v>
      </c>
      <c r="G325" s="2">
        <v>80</v>
      </c>
      <c r="H325" s="1">
        <v>80.380356469130135</v>
      </c>
      <c r="I325" s="1">
        <v>45</v>
      </c>
      <c r="J325" s="1">
        <f t="shared" ref="J325:J388" si="22">+J324+C325</f>
        <v>1237820.2471105321</v>
      </c>
      <c r="K325" s="1">
        <f t="shared" ref="K325:K388" si="23">+K324+E325</f>
        <v>637949.24711053108</v>
      </c>
    </row>
    <row r="326" spans="1:11" x14ac:dyDescent="0.25">
      <c r="A326" t="s">
        <v>23</v>
      </c>
      <c r="B326" s="3">
        <v>41563</v>
      </c>
      <c r="C326" s="1">
        <v>9110.5976892723447</v>
      </c>
      <c r="D326" s="1">
        <v>314.15854100939117</v>
      </c>
      <c r="E326" s="1">
        <f t="shared" si="20"/>
        <v>4441.5976892723438</v>
      </c>
      <c r="F326" s="1">
        <f t="shared" si="21"/>
        <v>4669</v>
      </c>
      <c r="G326" s="2">
        <v>29</v>
      </c>
      <c r="H326" s="1">
        <v>153.15854100939117</v>
      </c>
      <c r="I326" s="1">
        <v>161</v>
      </c>
      <c r="J326" s="1">
        <f t="shared" si="22"/>
        <v>1246930.8447998045</v>
      </c>
      <c r="K326" s="1">
        <f t="shared" si="23"/>
        <v>642390.84479980345</v>
      </c>
    </row>
    <row r="327" spans="1:11" x14ac:dyDescent="0.25">
      <c r="A327" t="s">
        <v>13</v>
      </c>
      <c r="B327" s="3">
        <v>41556</v>
      </c>
      <c r="C327" s="1">
        <v>1160.1656380677248</v>
      </c>
      <c r="D327" s="1">
        <v>105.46960346070226</v>
      </c>
      <c r="E327" s="1">
        <f t="shared" si="20"/>
        <v>742.1656380677249</v>
      </c>
      <c r="F327" s="1">
        <f t="shared" si="21"/>
        <v>418</v>
      </c>
      <c r="G327" s="2">
        <v>11</v>
      </c>
      <c r="H327" s="1">
        <v>67.46960346070226</v>
      </c>
      <c r="I327" s="1">
        <v>38</v>
      </c>
      <c r="J327" s="1">
        <f t="shared" si="22"/>
        <v>1248091.0104378723</v>
      </c>
      <c r="K327" s="1">
        <f t="shared" si="23"/>
        <v>643133.01043787121</v>
      </c>
    </row>
    <row r="328" spans="1:11" x14ac:dyDescent="0.25">
      <c r="A328" t="s">
        <v>20</v>
      </c>
      <c r="B328" s="3">
        <v>41552</v>
      </c>
      <c r="C328" s="1">
        <v>4951.2883881218731</v>
      </c>
      <c r="D328" s="1">
        <v>86.864708563541626</v>
      </c>
      <c r="E328" s="1">
        <f t="shared" si="20"/>
        <v>2101.2883881218727</v>
      </c>
      <c r="F328" s="1">
        <f t="shared" si="21"/>
        <v>2850</v>
      </c>
      <c r="G328" s="2">
        <v>57</v>
      </c>
      <c r="H328" s="1">
        <v>36.864708563541626</v>
      </c>
      <c r="I328" s="1">
        <v>50</v>
      </c>
      <c r="J328" s="1">
        <f t="shared" si="22"/>
        <v>1253042.2988259941</v>
      </c>
      <c r="K328" s="1">
        <f t="shared" si="23"/>
        <v>645234.29882599309</v>
      </c>
    </row>
    <row r="329" spans="1:11" x14ac:dyDescent="0.25">
      <c r="A329" t="s">
        <v>23</v>
      </c>
      <c r="B329" s="3">
        <v>41548</v>
      </c>
      <c r="C329" s="1">
        <v>421.13175030135858</v>
      </c>
      <c r="D329" s="1">
        <v>84.226350060271713</v>
      </c>
      <c r="E329" s="1">
        <f t="shared" si="20"/>
        <v>246.13175030135858</v>
      </c>
      <c r="F329" s="1">
        <f t="shared" si="21"/>
        <v>175</v>
      </c>
      <c r="G329" s="2">
        <v>5</v>
      </c>
      <c r="H329" s="1">
        <v>49.226350060271713</v>
      </c>
      <c r="I329" s="1">
        <v>35</v>
      </c>
      <c r="J329" s="1">
        <f t="shared" si="22"/>
        <v>1253463.4305762956</v>
      </c>
      <c r="K329" s="1">
        <f t="shared" si="23"/>
        <v>645480.43057629443</v>
      </c>
    </row>
    <row r="330" spans="1:11" x14ac:dyDescent="0.25">
      <c r="A330" t="s">
        <v>11</v>
      </c>
      <c r="B330" s="3">
        <v>41539</v>
      </c>
      <c r="C330" s="1">
        <v>8253.6309269013291</v>
      </c>
      <c r="D330" s="1">
        <v>68.780257724177744</v>
      </c>
      <c r="E330" s="1">
        <f t="shared" si="20"/>
        <v>5373.63092690133</v>
      </c>
      <c r="F330" s="1">
        <f t="shared" si="21"/>
        <v>2880</v>
      </c>
      <c r="G330" s="2">
        <v>120</v>
      </c>
      <c r="H330" s="1">
        <v>44.780257724177751</v>
      </c>
      <c r="I330" s="1">
        <v>24</v>
      </c>
      <c r="J330" s="1">
        <f t="shared" si="22"/>
        <v>1261717.0615031968</v>
      </c>
      <c r="K330" s="1">
        <f t="shared" si="23"/>
        <v>650854.06150319579</v>
      </c>
    </row>
    <row r="331" spans="1:11" x14ac:dyDescent="0.25">
      <c r="A331" t="s">
        <v>46</v>
      </c>
      <c r="B331" s="3">
        <v>41535</v>
      </c>
      <c r="C331" s="1">
        <v>526.59928801193723</v>
      </c>
      <c r="D331" s="1">
        <v>75.228469715991025</v>
      </c>
      <c r="E331" s="1">
        <f t="shared" si="20"/>
        <v>337.59928801193718</v>
      </c>
      <c r="F331" s="1">
        <f t="shared" si="21"/>
        <v>189</v>
      </c>
      <c r="G331" s="2">
        <v>7</v>
      </c>
      <c r="H331" s="1">
        <v>48.228469715991025</v>
      </c>
      <c r="I331" s="1">
        <v>27</v>
      </c>
      <c r="J331" s="1">
        <f t="shared" si="22"/>
        <v>1262243.6607912087</v>
      </c>
      <c r="K331" s="1">
        <f t="shared" si="23"/>
        <v>651191.66079120769</v>
      </c>
    </row>
    <row r="332" spans="1:11" x14ac:dyDescent="0.25">
      <c r="A332" t="s">
        <v>42</v>
      </c>
      <c r="B332" s="3">
        <v>41499</v>
      </c>
      <c r="C332" s="1">
        <v>13574.489785741507</v>
      </c>
      <c r="D332" s="1">
        <v>208.83830439602318</v>
      </c>
      <c r="E332" s="1">
        <f t="shared" si="20"/>
        <v>5449.4897857415062</v>
      </c>
      <c r="F332" s="1">
        <f t="shared" si="21"/>
        <v>8125</v>
      </c>
      <c r="G332" s="2">
        <v>65</v>
      </c>
      <c r="H332" s="1">
        <v>83.838304396023176</v>
      </c>
      <c r="I332" s="1">
        <v>125</v>
      </c>
      <c r="J332" s="1">
        <f t="shared" si="22"/>
        <v>1275818.1505769503</v>
      </c>
      <c r="K332" s="1">
        <f t="shared" si="23"/>
        <v>656641.15057694924</v>
      </c>
    </row>
    <row r="333" spans="1:11" x14ac:dyDescent="0.25">
      <c r="A333" t="s">
        <v>25</v>
      </c>
      <c r="B333" s="3">
        <v>41489</v>
      </c>
      <c r="C333" s="1">
        <v>3567.6727337927691</v>
      </c>
      <c r="D333" s="1">
        <v>162.16694244512587</v>
      </c>
      <c r="E333" s="1">
        <f t="shared" si="20"/>
        <v>1807.6727337927693</v>
      </c>
      <c r="F333" s="1">
        <f t="shared" si="21"/>
        <v>1760</v>
      </c>
      <c r="G333" s="2">
        <v>22</v>
      </c>
      <c r="H333" s="1">
        <v>82.166942445125883</v>
      </c>
      <c r="I333" s="1">
        <v>80</v>
      </c>
      <c r="J333" s="1">
        <f t="shared" si="22"/>
        <v>1279385.8233107431</v>
      </c>
      <c r="K333" s="1">
        <f t="shared" si="23"/>
        <v>658448.82331074204</v>
      </c>
    </row>
    <row r="334" spans="1:11" x14ac:dyDescent="0.25">
      <c r="A334" t="s">
        <v>35</v>
      </c>
      <c r="B334" s="3">
        <v>41485</v>
      </c>
      <c r="C334" s="1">
        <v>887.175532830169</v>
      </c>
      <c r="D334" s="1">
        <v>147.86258880502817</v>
      </c>
      <c r="E334" s="1">
        <f t="shared" si="20"/>
        <v>539.17553283016912</v>
      </c>
      <c r="F334" s="1">
        <f t="shared" si="21"/>
        <v>348</v>
      </c>
      <c r="G334" s="2">
        <v>6</v>
      </c>
      <c r="H334" s="1">
        <v>89.862588805028182</v>
      </c>
      <c r="I334" s="1">
        <v>58</v>
      </c>
      <c r="J334" s="1">
        <f t="shared" si="22"/>
        <v>1280272.9988435733</v>
      </c>
      <c r="K334" s="1">
        <f t="shared" si="23"/>
        <v>658987.99884357222</v>
      </c>
    </row>
    <row r="335" spans="1:11" x14ac:dyDescent="0.25">
      <c r="A335" t="s">
        <v>43</v>
      </c>
      <c r="B335" s="3">
        <v>41472</v>
      </c>
      <c r="C335" s="1">
        <v>1267.5386515175912</v>
      </c>
      <c r="D335" s="1">
        <v>97.502973193660864</v>
      </c>
      <c r="E335" s="1">
        <f t="shared" si="20"/>
        <v>604.53865151759135</v>
      </c>
      <c r="F335" s="1">
        <f t="shared" si="21"/>
        <v>663</v>
      </c>
      <c r="G335" s="2">
        <v>13</v>
      </c>
      <c r="H335" s="1">
        <v>46.502973193660871</v>
      </c>
      <c r="I335" s="1">
        <v>51</v>
      </c>
      <c r="J335" s="1">
        <f t="shared" si="22"/>
        <v>1281540.5374950909</v>
      </c>
      <c r="K335" s="1">
        <f t="shared" si="23"/>
        <v>659592.53749508981</v>
      </c>
    </row>
    <row r="336" spans="1:11" x14ac:dyDescent="0.25">
      <c r="A336" t="s">
        <v>21</v>
      </c>
      <c r="B336" s="3">
        <v>41451</v>
      </c>
      <c r="C336" s="1">
        <v>993.05183295971665</v>
      </c>
      <c r="D336" s="1">
        <v>110.33909255107963</v>
      </c>
      <c r="E336" s="1">
        <f t="shared" si="20"/>
        <v>444.05183295971659</v>
      </c>
      <c r="F336" s="1">
        <f t="shared" si="21"/>
        <v>549</v>
      </c>
      <c r="G336" s="2">
        <v>9</v>
      </c>
      <c r="H336" s="1">
        <v>49.339092551079624</v>
      </c>
      <c r="I336" s="1">
        <v>61</v>
      </c>
      <c r="J336" s="1">
        <f t="shared" si="22"/>
        <v>1282533.5893280506</v>
      </c>
      <c r="K336" s="1">
        <f t="shared" si="23"/>
        <v>660036.58932804957</v>
      </c>
    </row>
    <row r="337" spans="1:11" x14ac:dyDescent="0.25">
      <c r="A337" t="s">
        <v>42</v>
      </c>
      <c r="B337" s="3">
        <v>41449</v>
      </c>
      <c r="C337" s="1">
        <v>727.93266824892726</v>
      </c>
      <c r="D337" s="1">
        <v>103.99038117841818</v>
      </c>
      <c r="E337" s="1">
        <f t="shared" si="20"/>
        <v>391.93266824892726</v>
      </c>
      <c r="F337" s="1">
        <f t="shared" si="21"/>
        <v>336</v>
      </c>
      <c r="G337" s="2">
        <v>7</v>
      </c>
      <c r="H337" s="1">
        <v>55.990381178418176</v>
      </c>
      <c r="I337" s="1">
        <v>48</v>
      </c>
      <c r="J337" s="1">
        <f t="shared" si="22"/>
        <v>1283261.5219962995</v>
      </c>
      <c r="K337" s="1">
        <f t="shared" si="23"/>
        <v>660428.52199629846</v>
      </c>
    </row>
    <row r="338" spans="1:11" x14ac:dyDescent="0.25">
      <c r="A338" t="s">
        <v>19</v>
      </c>
      <c r="B338" s="3">
        <v>41448</v>
      </c>
      <c r="C338" s="1">
        <v>7738.9008456158062</v>
      </c>
      <c r="D338" s="1">
        <v>120.92032571274697</v>
      </c>
      <c r="E338" s="1">
        <f t="shared" si="20"/>
        <v>3194.9008456158062</v>
      </c>
      <c r="F338" s="1">
        <f t="shared" si="21"/>
        <v>4544</v>
      </c>
      <c r="G338" s="2">
        <v>64</v>
      </c>
      <c r="H338" s="1">
        <v>49.920325712746973</v>
      </c>
      <c r="I338" s="1">
        <v>71</v>
      </c>
      <c r="J338" s="1">
        <f t="shared" si="22"/>
        <v>1291000.4228419154</v>
      </c>
      <c r="K338" s="1">
        <f t="shared" si="23"/>
        <v>663623.42284191423</v>
      </c>
    </row>
    <row r="339" spans="1:11" x14ac:dyDescent="0.25">
      <c r="A339" t="s">
        <v>25</v>
      </c>
      <c r="B339" s="3">
        <v>41438</v>
      </c>
      <c r="C339" s="1">
        <v>1633.6014952389096</v>
      </c>
      <c r="D339" s="1">
        <v>116.68582108849354</v>
      </c>
      <c r="E339" s="1">
        <f t="shared" si="20"/>
        <v>709.60149523890959</v>
      </c>
      <c r="F339" s="1">
        <f t="shared" si="21"/>
        <v>924</v>
      </c>
      <c r="G339" s="2">
        <v>14</v>
      </c>
      <c r="H339" s="1">
        <v>50.68582108849354</v>
      </c>
      <c r="I339" s="1">
        <v>66</v>
      </c>
      <c r="J339" s="1">
        <f t="shared" si="22"/>
        <v>1292634.0243371543</v>
      </c>
      <c r="K339" s="1">
        <f t="shared" si="23"/>
        <v>664333.02433715318</v>
      </c>
    </row>
    <row r="340" spans="1:11" x14ac:dyDescent="0.25">
      <c r="A340" t="s">
        <v>11</v>
      </c>
      <c r="B340" s="3">
        <v>41436</v>
      </c>
      <c r="C340" s="1">
        <v>821.44679362768295</v>
      </c>
      <c r="D340" s="1">
        <v>48.320399625157819</v>
      </c>
      <c r="E340" s="1">
        <f t="shared" si="20"/>
        <v>362.44679362768295</v>
      </c>
      <c r="F340" s="1">
        <f t="shared" si="21"/>
        <v>459</v>
      </c>
      <c r="G340" s="2">
        <v>17</v>
      </c>
      <c r="H340" s="1">
        <v>21.320399625157819</v>
      </c>
      <c r="I340" s="1">
        <v>27</v>
      </c>
      <c r="J340" s="1">
        <f t="shared" si="22"/>
        <v>1293455.471130782</v>
      </c>
      <c r="K340" s="1">
        <f t="shared" si="23"/>
        <v>664695.47113078088</v>
      </c>
    </row>
    <row r="341" spans="1:11" x14ac:dyDescent="0.25">
      <c r="A341" t="s">
        <v>23</v>
      </c>
      <c r="B341" s="3">
        <v>41432</v>
      </c>
      <c r="C341" s="1">
        <v>206.42070427201102</v>
      </c>
      <c r="D341" s="1">
        <v>103.21035213600551</v>
      </c>
      <c r="E341" s="1">
        <f t="shared" si="20"/>
        <v>108.42070427201102</v>
      </c>
      <c r="F341" s="1">
        <f t="shared" si="21"/>
        <v>98</v>
      </c>
      <c r="G341" s="2">
        <v>2</v>
      </c>
      <c r="H341" s="1">
        <v>54.210352136005511</v>
      </c>
      <c r="I341" s="1">
        <v>49</v>
      </c>
      <c r="J341" s="1">
        <f t="shared" si="22"/>
        <v>1293661.8918350541</v>
      </c>
      <c r="K341" s="1">
        <f t="shared" si="23"/>
        <v>664803.89183505287</v>
      </c>
    </row>
    <row r="342" spans="1:11" x14ac:dyDescent="0.25">
      <c r="A342" t="s">
        <v>40</v>
      </c>
      <c r="B342" s="3">
        <v>41415</v>
      </c>
      <c r="C342" s="1">
        <v>5399.3142871177206</v>
      </c>
      <c r="D342" s="1">
        <v>168.72857147242877</v>
      </c>
      <c r="E342" s="1">
        <f t="shared" si="20"/>
        <v>2935.3142871177206</v>
      </c>
      <c r="F342" s="1">
        <f t="shared" si="21"/>
        <v>2464</v>
      </c>
      <c r="G342" s="2">
        <v>32</v>
      </c>
      <c r="H342" s="1">
        <v>91.728571472428769</v>
      </c>
      <c r="I342" s="1">
        <v>77</v>
      </c>
      <c r="J342" s="1">
        <f t="shared" si="22"/>
        <v>1299061.2061221718</v>
      </c>
      <c r="K342" s="1">
        <f t="shared" si="23"/>
        <v>667739.20612217055</v>
      </c>
    </row>
    <row r="343" spans="1:11" x14ac:dyDescent="0.25">
      <c r="A343" t="s">
        <v>40</v>
      </c>
      <c r="B343" s="3">
        <v>41406</v>
      </c>
      <c r="C343" s="1">
        <v>1409.1210334127341</v>
      </c>
      <c r="D343" s="1">
        <v>82.88947255369024</v>
      </c>
      <c r="E343" s="1">
        <f t="shared" si="20"/>
        <v>576.12103341273405</v>
      </c>
      <c r="F343" s="1">
        <f t="shared" si="21"/>
        <v>833</v>
      </c>
      <c r="G343" s="2">
        <v>17</v>
      </c>
      <c r="H343" s="1">
        <v>33.88947255369024</v>
      </c>
      <c r="I343" s="1">
        <v>49</v>
      </c>
      <c r="J343" s="1">
        <f t="shared" si="22"/>
        <v>1300470.3271555845</v>
      </c>
      <c r="K343" s="1">
        <f t="shared" si="23"/>
        <v>668315.32715558331</v>
      </c>
    </row>
    <row r="344" spans="1:11" x14ac:dyDescent="0.25">
      <c r="A344" t="s">
        <v>43</v>
      </c>
      <c r="B344" s="3">
        <v>41402</v>
      </c>
      <c r="C344" s="1">
        <v>9224.22995646872</v>
      </c>
      <c r="D344" s="1">
        <v>156.3428806181139</v>
      </c>
      <c r="E344" s="1">
        <f t="shared" si="20"/>
        <v>4504.22995646872</v>
      </c>
      <c r="F344" s="1">
        <f t="shared" si="21"/>
        <v>4720</v>
      </c>
      <c r="G344" s="2">
        <v>59</v>
      </c>
      <c r="H344" s="1">
        <v>76.342880618113895</v>
      </c>
      <c r="I344" s="1">
        <v>80</v>
      </c>
      <c r="J344" s="1">
        <f t="shared" si="22"/>
        <v>1309694.5571120533</v>
      </c>
      <c r="K344" s="1">
        <f t="shared" si="23"/>
        <v>672819.55711205199</v>
      </c>
    </row>
    <row r="345" spans="1:11" x14ac:dyDescent="0.25">
      <c r="A345" t="s">
        <v>32</v>
      </c>
      <c r="B345" s="3">
        <v>41397</v>
      </c>
      <c r="C345" s="1">
        <v>4020.3727358279207</v>
      </c>
      <c r="D345" s="1">
        <v>98.057871605559043</v>
      </c>
      <c r="E345" s="1">
        <f t="shared" si="20"/>
        <v>1929.3727358279207</v>
      </c>
      <c r="F345" s="1">
        <f t="shared" si="21"/>
        <v>2091</v>
      </c>
      <c r="G345" s="2">
        <v>41</v>
      </c>
      <c r="H345" s="1">
        <v>47.057871605559043</v>
      </c>
      <c r="I345" s="1">
        <v>51</v>
      </c>
      <c r="J345" s="1">
        <f t="shared" si="22"/>
        <v>1313714.9298478812</v>
      </c>
      <c r="K345" s="1">
        <f t="shared" si="23"/>
        <v>674748.92984787992</v>
      </c>
    </row>
    <row r="346" spans="1:11" x14ac:dyDescent="0.25">
      <c r="A346" t="s">
        <v>31</v>
      </c>
      <c r="B346" s="3">
        <v>41391</v>
      </c>
      <c r="C346" s="1">
        <v>4775.9446524334553</v>
      </c>
      <c r="D346" s="1">
        <v>122.46011929316552</v>
      </c>
      <c r="E346" s="1">
        <f t="shared" si="20"/>
        <v>2708.9446524334553</v>
      </c>
      <c r="F346" s="1">
        <f t="shared" si="21"/>
        <v>2067</v>
      </c>
      <c r="G346" s="2">
        <v>39</v>
      </c>
      <c r="H346" s="1">
        <v>69.460119293165519</v>
      </c>
      <c r="I346" s="1">
        <v>53</v>
      </c>
      <c r="J346" s="1">
        <f t="shared" si="22"/>
        <v>1318490.8745003147</v>
      </c>
      <c r="K346" s="1">
        <f t="shared" si="23"/>
        <v>677457.87450031342</v>
      </c>
    </row>
    <row r="347" spans="1:11" x14ac:dyDescent="0.25">
      <c r="A347" t="s">
        <v>12</v>
      </c>
      <c r="B347" s="3">
        <v>41384</v>
      </c>
      <c r="C347" s="1">
        <v>5649.0650113708825</v>
      </c>
      <c r="D347" s="1">
        <v>161.40185746773949</v>
      </c>
      <c r="E347" s="1">
        <f t="shared" si="20"/>
        <v>2359.0650113708816</v>
      </c>
      <c r="F347" s="1">
        <f t="shared" si="21"/>
        <v>3290</v>
      </c>
      <c r="G347" s="2">
        <v>35</v>
      </c>
      <c r="H347" s="1">
        <v>67.401857467739475</v>
      </c>
      <c r="I347" s="1">
        <v>94</v>
      </c>
      <c r="J347" s="1">
        <f t="shared" si="22"/>
        <v>1324139.9395116856</v>
      </c>
      <c r="K347" s="1">
        <f t="shared" si="23"/>
        <v>679816.93951168435</v>
      </c>
    </row>
    <row r="348" spans="1:11" x14ac:dyDescent="0.25">
      <c r="A348" t="s">
        <v>42</v>
      </c>
      <c r="B348" s="3">
        <v>41368</v>
      </c>
      <c r="C348" s="1">
        <v>1055.8213944974159</v>
      </c>
      <c r="D348" s="1">
        <v>70.388092966494398</v>
      </c>
      <c r="E348" s="1">
        <f t="shared" si="20"/>
        <v>545.82139449741601</v>
      </c>
      <c r="F348" s="1">
        <f t="shared" si="21"/>
        <v>510</v>
      </c>
      <c r="G348" s="2">
        <v>15</v>
      </c>
      <c r="H348" s="1">
        <v>36.388092966494398</v>
      </c>
      <c r="I348" s="1">
        <v>34</v>
      </c>
      <c r="J348" s="1">
        <f t="shared" si="22"/>
        <v>1325195.7609061832</v>
      </c>
      <c r="K348" s="1">
        <f t="shared" si="23"/>
        <v>680362.76090618176</v>
      </c>
    </row>
    <row r="349" spans="1:11" x14ac:dyDescent="0.25">
      <c r="A349" t="s">
        <v>49</v>
      </c>
      <c r="B349" s="3">
        <v>41367</v>
      </c>
      <c r="C349" s="1">
        <v>14598.414280259109</v>
      </c>
      <c r="D349" s="1">
        <v>153.66751873956957</v>
      </c>
      <c r="E349" s="1">
        <f t="shared" si="20"/>
        <v>8708.4142802591086</v>
      </c>
      <c r="F349" s="1">
        <f t="shared" si="21"/>
        <v>5890</v>
      </c>
      <c r="G349" s="2">
        <v>95</v>
      </c>
      <c r="H349" s="1">
        <v>91.667518739569559</v>
      </c>
      <c r="I349" s="1">
        <v>62</v>
      </c>
      <c r="J349" s="1">
        <f t="shared" si="22"/>
        <v>1339794.1751864422</v>
      </c>
      <c r="K349" s="1">
        <f t="shared" si="23"/>
        <v>689071.17518644081</v>
      </c>
    </row>
    <row r="350" spans="1:11" x14ac:dyDescent="0.25">
      <c r="A350" t="s">
        <v>12</v>
      </c>
      <c r="B350" s="3">
        <v>41365</v>
      </c>
      <c r="C350" s="1">
        <v>1343.8580086243014</v>
      </c>
      <c r="D350" s="1">
        <v>167.98225107803768</v>
      </c>
      <c r="E350" s="1">
        <f t="shared" si="20"/>
        <v>759.85800862430153</v>
      </c>
      <c r="F350" s="1">
        <f t="shared" si="21"/>
        <v>584</v>
      </c>
      <c r="G350" s="2">
        <v>8</v>
      </c>
      <c r="H350" s="1">
        <v>94.982251078037692</v>
      </c>
      <c r="I350" s="1">
        <v>73</v>
      </c>
      <c r="J350" s="1">
        <f t="shared" si="22"/>
        <v>1341138.0331950665</v>
      </c>
      <c r="K350" s="1">
        <f t="shared" si="23"/>
        <v>689831.0331950651</v>
      </c>
    </row>
    <row r="351" spans="1:11" x14ac:dyDescent="0.25">
      <c r="A351" t="s">
        <v>44</v>
      </c>
      <c r="B351" s="3">
        <v>41364</v>
      </c>
      <c r="C351" s="1">
        <v>358.16836850461078</v>
      </c>
      <c r="D351" s="1">
        <v>59.694728084101797</v>
      </c>
      <c r="E351" s="1">
        <f t="shared" si="20"/>
        <v>202.16836850461078</v>
      </c>
      <c r="F351" s="1">
        <f t="shared" si="21"/>
        <v>156</v>
      </c>
      <c r="G351" s="2">
        <v>6</v>
      </c>
      <c r="H351" s="1">
        <v>33.694728084101797</v>
      </c>
      <c r="I351" s="1">
        <v>26</v>
      </c>
      <c r="J351" s="1">
        <f t="shared" si="22"/>
        <v>1341496.2015635711</v>
      </c>
      <c r="K351" s="1">
        <f t="shared" si="23"/>
        <v>690033.20156356972</v>
      </c>
    </row>
    <row r="352" spans="1:11" x14ac:dyDescent="0.25">
      <c r="A352" t="s">
        <v>41</v>
      </c>
      <c r="B352" s="3">
        <v>41346</v>
      </c>
      <c r="C352" s="1">
        <v>1252.9129324058604</v>
      </c>
      <c r="D352" s="1">
        <v>104.4094110338217</v>
      </c>
      <c r="E352" s="1">
        <f t="shared" si="20"/>
        <v>640.91293240586026</v>
      </c>
      <c r="F352" s="1">
        <f t="shared" si="21"/>
        <v>612</v>
      </c>
      <c r="G352" s="2">
        <v>12</v>
      </c>
      <c r="H352" s="1">
        <v>53.409411033821691</v>
      </c>
      <c r="I352" s="1">
        <v>51</v>
      </c>
      <c r="J352" s="1">
        <f t="shared" si="22"/>
        <v>1342749.1144959771</v>
      </c>
      <c r="K352" s="1">
        <f t="shared" si="23"/>
        <v>690674.11449597555</v>
      </c>
    </row>
    <row r="353" spans="1:11" x14ac:dyDescent="0.25">
      <c r="A353" t="s">
        <v>44</v>
      </c>
      <c r="B353" s="3">
        <v>41320</v>
      </c>
      <c r="C353" s="1">
        <v>2253.4262800000893</v>
      </c>
      <c r="D353" s="1">
        <v>132.55448705882878</v>
      </c>
      <c r="E353" s="1">
        <f t="shared" si="20"/>
        <v>995.42628000008949</v>
      </c>
      <c r="F353" s="1">
        <f t="shared" si="21"/>
        <v>1258</v>
      </c>
      <c r="G353" s="2">
        <v>17</v>
      </c>
      <c r="H353" s="1">
        <v>58.554487058828791</v>
      </c>
      <c r="I353" s="1">
        <v>74</v>
      </c>
      <c r="J353" s="1">
        <f t="shared" si="22"/>
        <v>1345002.5407759771</v>
      </c>
      <c r="K353" s="1">
        <f t="shared" si="23"/>
        <v>691669.54077597568</v>
      </c>
    </row>
    <row r="354" spans="1:11" x14ac:dyDescent="0.25">
      <c r="A354" t="s">
        <v>48</v>
      </c>
      <c r="B354" s="3">
        <v>41318</v>
      </c>
      <c r="C354" s="1">
        <v>3589.4201980433422</v>
      </c>
      <c r="D354" s="1">
        <v>132.94148881642008</v>
      </c>
      <c r="E354" s="1">
        <f t="shared" si="20"/>
        <v>1537.4201980433418</v>
      </c>
      <c r="F354" s="1">
        <f t="shared" si="21"/>
        <v>2052</v>
      </c>
      <c r="G354" s="2">
        <v>27</v>
      </c>
      <c r="H354" s="1">
        <v>56.941488816420069</v>
      </c>
      <c r="I354" s="1">
        <v>76</v>
      </c>
      <c r="J354" s="1">
        <f t="shared" si="22"/>
        <v>1348591.9609740204</v>
      </c>
      <c r="K354" s="1">
        <f t="shared" si="23"/>
        <v>693206.96097401902</v>
      </c>
    </row>
    <row r="355" spans="1:11" x14ac:dyDescent="0.25">
      <c r="A355" t="s">
        <v>37</v>
      </c>
      <c r="B355" s="3">
        <v>41305</v>
      </c>
      <c r="C355" s="1">
        <v>224.41469458697583</v>
      </c>
      <c r="D355" s="1">
        <v>74.804898195658609</v>
      </c>
      <c r="E355" s="1">
        <f t="shared" si="20"/>
        <v>104.41469458697583</v>
      </c>
      <c r="F355" s="1">
        <f t="shared" si="21"/>
        <v>120</v>
      </c>
      <c r="G355" s="2">
        <v>3</v>
      </c>
      <c r="H355" s="1">
        <v>34.804898195658609</v>
      </c>
      <c r="I355" s="1">
        <v>40</v>
      </c>
      <c r="J355" s="1">
        <f t="shared" si="22"/>
        <v>1348816.3756686074</v>
      </c>
      <c r="K355" s="1">
        <f t="shared" si="23"/>
        <v>693311.37566860602</v>
      </c>
    </row>
    <row r="356" spans="1:11" x14ac:dyDescent="0.25">
      <c r="A356" t="s">
        <v>14</v>
      </c>
      <c r="B356" s="3">
        <v>41305</v>
      </c>
      <c r="C356" s="1">
        <v>1361.4312529488971</v>
      </c>
      <c r="D356" s="1">
        <v>54.45725011795588</v>
      </c>
      <c r="E356" s="1">
        <f t="shared" si="20"/>
        <v>561.43125294889694</v>
      </c>
      <c r="F356" s="1">
        <f t="shared" si="21"/>
        <v>800</v>
      </c>
      <c r="G356" s="2">
        <v>25</v>
      </c>
      <c r="H356" s="1">
        <v>22.457250117955876</v>
      </c>
      <c r="I356" s="1">
        <v>32</v>
      </c>
      <c r="J356" s="1">
        <f t="shared" si="22"/>
        <v>1350177.8069215564</v>
      </c>
      <c r="K356" s="1">
        <f t="shared" si="23"/>
        <v>693872.80692155496</v>
      </c>
    </row>
    <row r="357" spans="1:11" x14ac:dyDescent="0.25">
      <c r="A357" t="s">
        <v>30</v>
      </c>
      <c r="B357" s="3">
        <v>41282</v>
      </c>
      <c r="C357" s="1">
        <v>3166.4672273800261</v>
      </c>
      <c r="D357" s="1">
        <v>95.953552344849271</v>
      </c>
      <c r="E357" s="1">
        <f t="shared" si="20"/>
        <v>1912.4672273800256</v>
      </c>
      <c r="F357" s="1">
        <f t="shared" si="21"/>
        <v>1254</v>
      </c>
      <c r="G357" s="2">
        <v>33</v>
      </c>
      <c r="H357" s="1">
        <v>57.953552344849264</v>
      </c>
      <c r="I357" s="1">
        <v>38</v>
      </c>
      <c r="J357" s="1">
        <f t="shared" si="22"/>
        <v>1353344.2741489364</v>
      </c>
      <c r="K357" s="1">
        <f t="shared" si="23"/>
        <v>695785.27414893499</v>
      </c>
    </row>
    <row r="358" spans="1:11" x14ac:dyDescent="0.25">
      <c r="A358" t="s">
        <v>19</v>
      </c>
      <c r="B358" s="3">
        <v>41245</v>
      </c>
      <c r="C358" s="1">
        <v>2884.0188665482879</v>
      </c>
      <c r="D358" s="1">
        <v>360.50235831853598</v>
      </c>
      <c r="E358" s="1">
        <f t="shared" si="20"/>
        <v>1420.0188665482879</v>
      </c>
      <c r="F358" s="1">
        <f t="shared" si="21"/>
        <v>1464</v>
      </c>
      <c r="G358" s="2">
        <v>8</v>
      </c>
      <c r="H358" s="1">
        <v>177.50235831853598</v>
      </c>
      <c r="I358" s="1">
        <v>183</v>
      </c>
      <c r="J358" s="1">
        <f t="shared" si="22"/>
        <v>1356228.2930154847</v>
      </c>
      <c r="K358" s="1">
        <f t="shared" si="23"/>
        <v>697205.2930154833</v>
      </c>
    </row>
    <row r="359" spans="1:11" x14ac:dyDescent="0.25">
      <c r="A359" t="s">
        <v>29</v>
      </c>
      <c r="B359" s="3">
        <v>41242</v>
      </c>
      <c r="C359" s="1">
        <v>553.69512750732326</v>
      </c>
      <c r="D359" s="1">
        <v>50.33592068248393</v>
      </c>
      <c r="E359" s="1">
        <f t="shared" si="20"/>
        <v>256.69512750732321</v>
      </c>
      <c r="F359" s="1">
        <f t="shared" si="21"/>
        <v>297</v>
      </c>
      <c r="G359" s="2">
        <v>11</v>
      </c>
      <c r="H359" s="1">
        <v>23.335920682483927</v>
      </c>
      <c r="I359" s="1">
        <v>27</v>
      </c>
      <c r="J359" s="1">
        <f t="shared" si="22"/>
        <v>1356781.9881429921</v>
      </c>
      <c r="K359" s="1">
        <f t="shared" si="23"/>
        <v>697461.98814299062</v>
      </c>
    </row>
    <row r="360" spans="1:11" x14ac:dyDescent="0.25">
      <c r="A360" t="s">
        <v>44</v>
      </c>
      <c r="B360" s="3">
        <v>41229</v>
      </c>
      <c r="C360" s="1">
        <v>1574.1618984174772</v>
      </c>
      <c r="D360" s="1">
        <v>98.385118651092327</v>
      </c>
      <c r="E360" s="1">
        <f t="shared" si="20"/>
        <v>694.16189841747723</v>
      </c>
      <c r="F360" s="1">
        <f t="shared" si="21"/>
        <v>880</v>
      </c>
      <c r="G360" s="2">
        <v>16</v>
      </c>
      <c r="H360" s="1">
        <v>43.385118651092327</v>
      </c>
      <c r="I360" s="1">
        <v>55</v>
      </c>
      <c r="J360" s="1">
        <f t="shared" si="22"/>
        <v>1358356.1500414095</v>
      </c>
      <c r="K360" s="1">
        <f t="shared" si="23"/>
        <v>698156.15004140814</v>
      </c>
    </row>
    <row r="361" spans="1:11" x14ac:dyDescent="0.25">
      <c r="A361" t="s">
        <v>12</v>
      </c>
      <c r="B361" s="3">
        <v>41228</v>
      </c>
      <c r="C361" s="1">
        <v>2966.6321544554021</v>
      </c>
      <c r="D361" s="1">
        <v>98.887738481846739</v>
      </c>
      <c r="E361" s="1">
        <f t="shared" si="20"/>
        <v>1676.6321544554021</v>
      </c>
      <c r="F361" s="1">
        <f t="shared" si="21"/>
        <v>1290</v>
      </c>
      <c r="G361" s="2">
        <v>30</v>
      </c>
      <c r="H361" s="1">
        <v>55.887738481846739</v>
      </c>
      <c r="I361" s="1">
        <v>43</v>
      </c>
      <c r="J361" s="1">
        <f t="shared" si="22"/>
        <v>1361322.7821958649</v>
      </c>
      <c r="K361" s="1">
        <f t="shared" si="23"/>
        <v>699832.78219586355</v>
      </c>
    </row>
    <row r="362" spans="1:11" x14ac:dyDescent="0.25">
      <c r="A362" t="s">
        <v>48</v>
      </c>
      <c r="B362" s="3">
        <v>41226</v>
      </c>
      <c r="C362" s="1">
        <v>1193.6095730411196</v>
      </c>
      <c r="D362" s="1">
        <v>74.600598315069973</v>
      </c>
      <c r="E362" s="1">
        <f t="shared" si="20"/>
        <v>569.60957304111957</v>
      </c>
      <c r="F362" s="1">
        <f t="shared" si="21"/>
        <v>624</v>
      </c>
      <c r="G362" s="2">
        <v>16</v>
      </c>
      <c r="H362" s="1">
        <v>35.600598315069973</v>
      </c>
      <c r="I362" s="1">
        <v>39</v>
      </c>
      <c r="J362" s="1">
        <f t="shared" si="22"/>
        <v>1362516.391768906</v>
      </c>
      <c r="K362" s="1">
        <f t="shared" si="23"/>
        <v>700402.39176890464</v>
      </c>
    </row>
    <row r="363" spans="1:11" x14ac:dyDescent="0.25">
      <c r="A363" t="s">
        <v>33</v>
      </c>
      <c r="B363" s="3">
        <v>41220</v>
      </c>
      <c r="C363" s="1">
        <v>3552.3197202088813</v>
      </c>
      <c r="D363" s="1">
        <v>68.313840773247719</v>
      </c>
      <c r="E363" s="1">
        <f t="shared" si="20"/>
        <v>2304.3197202088813</v>
      </c>
      <c r="F363" s="1">
        <f t="shared" si="21"/>
        <v>1248</v>
      </c>
      <c r="G363" s="2">
        <v>52</v>
      </c>
      <c r="H363" s="1">
        <v>44.313840773247719</v>
      </c>
      <c r="I363" s="1">
        <v>24</v>
      </c>
      <c r="J363" s="1">
        <f t="shared" si="22"/>
        <v>1366068.7114891149</v>
      </c>
      <c r="K363" s="1">
        <f t="shared" si="23"/>
        <v>702706.71148911351</v>
      </c>
    </row>
    <row r="364" spans="1:11" x14ac:dyDescent="0.25">
      <c r="A364" t="s">
        <v>15</v>
      </c>
      <c r="B364" s="3">
        <v>41217</v>
      </c>
      <c r="C364" s="1">
        <v>1006.8995692449448</v>
      </c>
      <c r="D364" s="1">
        <v>77.453813018841913</v>
      </c>
      <c r="E364" s="1">
        <f t="shared" si="20"/>
        <v>447.89956924494487</v>
      </c>
      <c r="F364" s="1">
        <f t="shared" si="21"/>
        <v>559</v>
      </c>
      <c r="G364" s="2">
        <v>13</v>
      </c>
      <c r="H364" s="1">
        <v>34.453813018841913</v>
      </c>
      <c r="I364" s="1">
        <v>43</v>
      </c>
      <c r="J364" s="1">
        <f t="shared" si="22"/>
        <v>1367075.61105836</v>
      </c>
      <c r="K364" s="1">
        <f t="shared" si="23"/>
        <v>703154.61105835845</v>
      </c>
    </row>
    <row r="365" spans="1:11" x14ac:dyDescent="0.25">
      <c r="A365" t="s">
        <v>23</v>
      </c>
      <c r="B365" s="3">
        <v>41215</v>
      </c>
      <c r="C365" s="1">
        <v>3104.9346899453521</v>
      </c>
      <c r="D365" s="1">
        <v>110.89052464090544</v>
      </c>
      <c r="E365" s="1">
        <f t="shared" si="20"/>
        <v>1956.9346899453524</v>
      </c>
      <c r="F365" s="1">
        <f t="shared" si="21"/>
        <v>1148</v>
      </c>
      <c r="G365" s="2">
        <v>28</v>
      </c>
      <c r="H365" s="1">
        <v>69.89052464090544</v>
      </c>
      <c r="I365" s="1">
        <v>41</v>
      </c>
      <c r="J365" s="1">
        <f t="shared" si="22"/>
        <v>1370180.5457483053</v>
      </c>
      <c r="K365" s="1">
        <f t="shared" si="23"/>
        <v>705111.54574830376</v>
      </c>
    </row>
    <row r="366" spans="1:11" x14ac:dyDescent="0.25">
      <c r="A366" t="s">
        <v>21</v>
      </c>
      <c r="B366" s="3">
        <v>41209</v>
      </c>
      <c r="C366" s="1">
        <v>6967.8638909703186</v>
      </c>
      <c r="D366" s="1">
        <v>98.13892804183547</v>
      </c>
      <c r="E366" s="1">
        <f t="shared" si="20"/>
        <v>3559.8638909703186</v>
      </c>
      <c r="F366" s="1">
        <f t="shared" si="21"/>
        <v>3408</v>
      </c>
      <c r="G366" s="2">
        <v>71</v>
      </c>
      <c r="H366" s="1">
        <v>50.13892804183547</v>
      </c>
      <c r="I366" s="1">
        <v>48</v>
      </c>
      <c r="J366" s="1">
        <f t="shared" si="22"/>
        <v>1377148.4096392756</v>
      </c>
      <c r="K366" s="1">
        <f t="shared" si="23"/>
        <v>708671.40963927412</v>
      </c>
    </row>
    <row r="367" spans="1:11" x14ac:dyDescent="0.25">
      <c r="A367" t="s">
        <v>49</v>
      </c>
      <c r="B367" s="3">
        <v>41190</v>
      </c>
      <c r="C367" s="1">
        <v>8834.970522449541</v>
      </c>
      <c r="D367" s="1">
        <v>252.42772921284404</v>
      </c>
      <c r="E367" s="1">
        <f t="shared" si="20"/>
        <v>3829.9705224495419</v>
      </c>
      <c r="F367" s="1">
        <f t="shared" si="21"/>
        <v>5005</v>
      </c>
      <c r="G367" s="2">
        <v>35</v>
      </c>
      <c r="H367" s="1">
        <v>109.42772921284406</v>
      </c>
      <c r="I367" s="1">
        <v>143</v>
      </c>
      <c r="J367" s="1">
        <f t="shared" si="22"/>
        <v>1385983.3801617252</v>
      </c>
      <c r="K367" s="1">
        <f t="shared" si="23"/>
        <v>712501.3801617237</v>
      </c>
    </row>
    <row r="368" spans="1:11" x14ac:dyDescent="0.25">
      <c r="A368" t="s">
        <v>12</v>
      </c>
      <c r="B368" s="3">
        <v>41183</v>
      </c>
      <c r="C368" s="1">
        <v>1111.0754213451037</v>
      </c>
      <c r="D368" s="1">
        <v>74.07169475634025</v>
      </c>
      <c r="E368" s="1">
        <f t="shared" si="20"/>
        <v>706.07542134510379</v>
      </c>
      <c r="F368" s="1">
        <f t="shared" si="21"/>
        <v>405</v>
      </c>
      <c r="G368" s="2">
        <v>15</v>
      </c>
      <c r="H368" s="1">
        <v>47.07169475634025</v>
      </c>
      <c r="I368" s="1">
        <v>27</v>
      </c>
      <c r="J368" s="1">
        <f t="shared" si="22"/>
        <v>1387094.4555830704</v>
      </c>
      <c r="K368" s="1">
        <f t="shared" si="23"/>
        <v>713207.45558306878</v>
      </c>
    </row>
    <row r="369" spans="1:11" x14ac:dyDescent="0.25">
      <c r="A369" t="s">
        <v>45</v>
      </c>
      <c r="B369" s="3">
        <v>41176</v>
      </c>
      <c r="C369" s="1">
        <v>2003.8438569134441</v>
      </c>
      <c r="D369" s="1">
        <v>64.640124416562713</v>
      </c>
      <c r="E369" s="1">
        <f t="shared" si="20"/>
        <v>887.84385691344426</v>
      </c>
      <c r="F369" s="1">
        <f t="shared" si="21"/>
        <v>1116</v>
      </c>
      <c r="G369" s="2">
        <v>31</v>
      </c>
      <c r="H369" s="1">
        <v>28.640124416562717</v>
      </c>
      <c r="I369" s="1">
        <v>36</v>
      </c>
      <c r="J369" s="1">
        <f t="shared" si="22"/>
        <v>1389098.2994399839</v>
      </c>
      <c r="K369" s="1">
        <f t="shared" si="23"/>
        <v>714095.29943998216</v>
      </c>
    </row>
    <row r="370" spans="1:11" x14ac:dyDescent="0.25">
      <c r="A370" t="s">
        <v>41</v>
      </c>
      <c r="B370" s="3">
        <v>41171</v>
      </c>
      <c r="C370" s="1">
        <v>726.03707398634663</v>
      </c>
      <c r="D370" s="1">
        <v>80.670785998482955</v>
      </c>
      <c r="E370" s="1">
        <f t="shared" si="20"/>
        <v>402.03707398634663</v>
      </c>
      <c r="F370" s="1">
        <f t="shared" si="21"/>
        <v>324</v>
      </c>
      <c r="G370" s="2">
        <v>9</v>
      </c>
      <c r="H370" s="1">
        <v>44.670785998482955</v>
      </c>
      <c r="I370" s="1">
        <v>36</v>
      </c>
      <c r="J370" s="1">
        <f t="shared" si="22"/>
        <v>1389824.3365139703</v>
      </c>
      <c r="K370" s="1">
        <f t="shared" si="23"/>
        <v>714497.33651396853</v>
      </c>
    </row>
    <row r="371" spans="1:11" x14ac:dyDescent="0.25">
      <c r="A371" t="s">
        <v>20</v>
      </c>
      <c r="B371" s="3">
        <v>41159</v>
      </c>
      <c r="C371" s="1">
        <v>132.29732750726538</v>
      </c>
      <c r="D371" s="1">
        <v>66.14866375363269</v>
      </c>
      <c r="E371" s="1">
        <f t="shared" si="20"/>
        <v>86.297327507265379</v>
      </c>
      <c r="F371" s="1">
        <f t="shared" si="21"/>
        <v>46</v>
      </c>
      <c r="G371" s="2">
        <v>2</v>
      </c>
      <c r="H371" s="1">
        <v>43.14866375363269</v>
      </c>
      <c r="I371" s="1">
        <v>23</v>
      </c>
      <c r="J371" s="1">
        <f t="shared" si="22"/>
        <v>1389956.6338414776</v>
      </c>
      <c r="K371" s="1">
        <f t="shared" si="23"/>
        <v>714583.63384147582</v>
      </c>
    </row>
    <row r="372" spans="1:11" x14ac:dyDescent="0.25">
      <c r="A372" t="s">
        <v>30</v>
      </c>
      <c r="B372" s="3">
        <v>41152</v>
      </c>
      <c r="C372" s="1">
        <v>2014.483750876273</v>
      </c>
      <c r="D372" s="1">
        <v>118.49904416919253</v>
      </c>
      <c r="E372" s="1">
        <f t="shared" si="20"/>
        <v>1079.483750876273</v>
      </c>
      <c r="F372" s="1">
        <f t="shared" si="21"/>
        <v>935</v>
      </c>
      <c r="G372" s="2">
        <v>17</v>
      </c>
      <c r="H372" s="1">
        <v>63.49904416919253</v>
      </c>
      <c r="I372" s="1">
        <v>55</v>
      </c>
      <c r="J372" s="1">
        <f t="shared" si="22"/>
        <v>1391971.1175923538</v>
      </c>
      <c r="K372" s="1">
        <f t="shared" si="23"/>
        <v>715663.11759235209</v>
      </c>
    </row>
    <row r="373" spans="1:11" x14ac:dyDescent="0.25">
      <c r="A373" t="s">
        <v>42</v>
      </c>
      <c r="B373" s="3">
        <v>41148</v>
      </c>
      <c r="C373" s="1">
        <v>2522.5676935711158</v>
      </c>
      <c r="D373" s="1">
        <v>126.12838467855579</v>
      </c>
      <c r="E373" s="1">
        <f t="shared" si="20"/>
        <v>1102.567693571116</v>
      </c>
      <c r="F373" s="1">
        <f t="shared" si="21"/>
        <v>1420</v>
      </c>
      <c r="G373" s="2">
        <v>20</v>
      </c>
      <c r="H373" s="1">
        <v>55.128384678555797</v>
      </c>
      <c r="I373" s="1">
        <v>71</v>
      </c>
      <c r="J373" s="1">
        <f t="shared" si="22"/>
        <v>1394493.6852859249</v>
      </c>
      <c r="K373" s="1">
        <f t="shared" si="23"/>
        <v>716765.68528592319</v>
      </c>
    </row>
    <row r="374" spans="1:11" x14ac:dyDescent="0.25">
      <c r="A374" t="s">
        <v>19</v>
      </c>
      <c r="B374" s="3">
        <v>41147</v>
      </c>
      <c r="C374" s="1">
        <v>1427.3217716418692</v>
      </c>
      <c r="D374" s="1">
        <v>109.79398243398994</v>
      </c>
      <c r="E374" s="1">
        <f t="shared" si="20"/>
        <v>582.32177164186919</v>
      </c>
      <c r="F374" s="1">
        <f t="shared" si="21"/>
        <v>845</v>
      </c>
      <c r="G374" s="2">
        <v>13</v>
      </c>
      <c r="H374" s="1">
        <v>44.793982433989939</v>
      </c>
      <c r="I374" s="1">
        <v>65</v>
      </c>
      <c r="J374" s="1">
        <f t="shared" si="22"/>
        <v>1395921.0070575669</v>
      </c>
      <c r="K374" s="1">
        <f t="shared" si="23"/>
        <v>717348.00705756503</v>
      </c>
    </row>
    <row r="375" spans="1:11" x14ac:dyDescent="0.25">
      <c r="A375" t="s">
        <v>12</v>
      </c>
      <c r="B375" s="3">
        <v>41140</v>
      </c>
      <c r="C375" s="1">
        <v>491.75525728059625</v>
      </c>
      <c r="D375" s="1">
        <v>98.351051456119251</v>
      </c>
      <c r="E375" s="1">
        <f t="shared" si="20"/>
        <v>246.75525728059625</v>
      </c>
      <c r="F375" s="1">
        <f t="shared" si="21"/>
        <v>245</v>
      </c>
      <c r="G375" s="2">
        <v>5</v>
      </c>
      <c r="H375" s="1">
        <v>49.351051456119251</v>
      </c>
      <c r="I375" s="1">
        <v>49</v>
      </c>
      <c r="J375" s="1">
        <f t="shared" si="22"/>
        <v>1396412.7623148474</v>
      </c>
      <c r="K375" s="1">
        <f t="shared" si="23"/>
        <v>717594.76231484558</v>
      </c>
    </row>
    <row r="376" spans="1:11" x14ac:dyDescent="0.25">
      <c r="A376" t="s">
        <v>45</v>
      </c>
      <c r="B376" s="3">
        <v>41138</v>
      </c>
      <c r="C376" s="1">
        <v>2730.1504455224049</v>
      </c>
      <c r="D376" s="1">
        <v>182.01002970149366</v>
      </c>
      <c r="E376" s="1">
        <f t="shared" si="20"/>
        <v>1365.1504455224049</v>
      </c>
      <c r="F376" s="1">
        <f t="shared" si="21"/>
        <v>1365</v>
      </c>
      <c r="G376" s="2">
        <v>15</v>
      </c>
      <c r="H376" s="1">
        <v>91.010029701493664</v>
      </c>
      <c r="I376" s="1">
        <v>91</v>
      </c>
      <c r="J376" s="1">
        <f t="shared" si="22"/>
        <v>1399142.9127603699</v>
      </c>
      <c r="K376" s="1">
        <f t="shared" si="23"/>
        <v>718959.91276036797</v>
      </c>
    </row>
    <row r="377" spans="1:11" x14ac:dyDescent="0.25">
      <c r="A377" t="s">
        <v>23</v>
      </c>
      <c r="B377" s="3">
        <v>41131</v>
      </c>
      <c r="C377" s="1">
        <v>15088.471453331078</v>
      </c>
      <c r="D377" s="1">
        <v>228.61320383834968</v>
      </c>
      <c r="E377" s="1">
        <f t="shared" si="20"/>
        <v>6772.4714533310789</v>
      </c>
      <c r="F377" s="1">
        <f t="shared" si="21"/>
        <v>8316</v>
      </c>
      <c r="G377" s="2">
        <v>66</v>
      </c>
      <c r="H377" s="1">
        <v>102.61320383834968</v>
      </c>
      <c r="I377" s="1">
        <v>126</v>
      </c>
      <c r="J377" s="1">
        <f t="shared" si="22"/>
        <v>1414231.3842137011</v>
      </c>
      <c r="K377" s="1">
        <f t="shared" si="23"/>
        <v>725732.38421369903</v>
      </c>
    </row>
    <row r="378" spans="1:11" x14ac:dyDescent="0.25">
      <c r="A378" t="s">
        <v>27</v>
      </c>
      <c r="B378" s="3">
        <v>41121</v>
      </c>
      <c r="C378" s="1">
        <v>2382.1534258255438</v>
      </c>
      <c r="D378" s="1">
        <v>125.37649609608124</v>
      </c>
      <c r="E378" s="1">
        <f t="shared" si="20"/>
        <v>1033.1534258255435</v>
      </c>
      <c r="F378" s="1">
        <f t="shared" si="21"/>
        <v>1349</v>
      </c>
      <c r="G378" s="2">
        <v>19</v>
      </c>
      <c r="H378" s="1">
        <v>54.376496096081233</v>
      </c>
      <c r="I378" s="1">
        <v>71</v>
      </c>
      <c r="J378" s="1">
        <f t="shared" si="22"/>
        <v>1416613.5376395267</v>
      </c>
      <c r="K378" s="1">
        <f t="shared" si="23"/>
        <v>726765.53763952455</v>
      </c>
    </row>
    <row r="379" spans="1:11" x14ac:dyDescent="0.25">
      <c r="A379" t="s">
        <v>41</v>
      </c>
      <c r="B379" s="3">
        <v>41115</v>
      </c>
      <c r="C379" s="1">
        <v>535.99796125001842</v>
      </c>
      <c r="D379" s="1">
        <v>133.99949031250461</v>
      </c>
      <c r="E379" s="1">
        <f t="shared" si="20"/>
        <v>227.99796125001845</v>
      </c>
      <c r="F379" s="1">
        <f t="shared" si="21"/>
        <v>308</v>
      </c>
      <c r="G379" s="2">
        <v>4</v>
      </c>
      <c r="H379" s="1">
        <v>56.999490312504612</v>
      </c>
      <c r="I379" s="1">
        <v>77</v>
      </c>
      <c r="J379" s="1">
        <f t="shared" si="22"/>
        <v>1417149.5356007768</v>
      </c>
      <c r="K379" s="1">
        <f t="shared" si="23"/>
        <v>726993.53560077457</v>
      </c>
    </row>
    <row r="380" spans="1:11" x14ac:dyDescent="0.25">
      <c r="A380" t="s">
        <v>26</v>
      </c>
      <c r="B380" s="3">
        <v>41113</v>
      </c>
      <c r="C380" s="1">
        <v>58.984896735970452</v>
      </c>
      <c r="D380" s="1">
        <v>58.984896735970452</v>
      </c>
      <c r="E380" s="1">
        <f t="shared" si="20"/>
        <v>35.984896735970452</v>
      </c>
      <c r="F380" s="1">
        <f t="shared" si="21"/>
        <v>23</v>
      </c>
      <c r="G380" s="2">
        <v>1</v>
      </c>
      <c r="H380" s="1">
        <v>35.984896735970452</v>
      </c>
      <c r="I380" s="1">
        <v>23</v>
      </c>
      <c r="J380" s="1">
        <f t="shared" si="22"/>
        <v>1417208.5204975128</v>
      </c>
      <c r="K380" s="1">
        <f t="shared" si="23"/>
        <v>727029.52049751056</v>
      </c>
    </row>
    <row r="381" spans="1:11" x14ac:dyDescent="0.25">
      <c r="A381" t="s">
        <v>16</v>
      </c>
      <c r="B381" s="3">
        <v>41111</v>
      </c>
      <c r="C381" s="1">
        <v>2469.0908961894334</v>
      </c>
      <c r="D381" s="1">
        <v>123.45454480947167</v>
      </c>
      <c r="E381" s="1">
        <f t="shared" si="20"/>
        <v>1169.0908961894334</v>
      </c>
      <c r="F381" s="1">
        <f t="shared" si="21"/>
        <v>1300</v>
      </c>
      <c r="G381" s="2">
        <v>20</v>
      </c>
      <c r="H381" s="1">
        <v>58.45454480947167</v>
      </c>
      <c r="I381" s="1">
        <v>65</v>
      </c>
      <c r="J381" s="1">
        <f t="shared" si="22"/>
        <v>1419677.6113937022</v>
      </c>
      <c r="K381" s="1">
        <f t="shared" si="23"/>
        <v>728198.6113937</v>
      </c>
    </row>
    <row r="382" spans="1:11" x14ac:dyDescent="0.25">
      <c r="A382" t="s">
        <v>26</v>
      </c>
      <c r="B382" s="3">
        <v>41107</v>
      </c>
      <c r="C382" s="1">
        <v>2391.635723558129</v>
      </c>
      <c r="D382" s="1">
        <v>113.88741540752996</v>
      </c>
      <c r="E382" s="1">
        <f t="shared" si="20"/>
        <v>1257.635723558129</v>
      </c>
      <c r="F382" s="1">
        <f t="shared" si="21"/>
        <v>1134</v>
      </c>
      <c r="G382" s="2">
        <v>21</v>
      </c>
      <c r="H382" s="1">
        <v>59.887415407529957</v>
      </c>
      <c r="I382" s="1">
        <v>54</v>
      </c>
      <c r="J382" s="1">
        <f t="shared" si="22"/>
        <v>1422069.2471172602</v>
      </c>
      <c r="K382" s="1">
        <f t="shared" si="23"/>
        <v>729456.24711725814</v>
      </c>
    </row>
    <row r="383" spans="1:11" x14ac:dyDescent="0.25">
      <c r="A383" t="s">
        <v>11</v>
      </c>
      <c r="B383" s="3">
        <v>41104</v>
      </c>
      <c r="C383" s="1">
        <v>238.11272791141252</v>
      </c>
      <c r="D383" s="1">
        <v>119.05636395570626</v>
      </c>
      <c r="E383" s="1">
        <f t="shared" si="20"/>
        <v>98.11272791141252</v>
      </c>
      <c r="F383" s="1">
        <f t="shared" si="21"/>
        <v>140</v>
      </c>
      <c r="G383" s="2">
        <v>2</v>
      </c>
      <c r="H383" s="1">
        <v>49.05636395570626</v>
      </c>
      <c r="I383" s="1">
        <v>70</v>
      </c>
      <c r="J383" s="1">
        <f t="shared" si="22"/>
        <v>1422307.3598451717</v>
      </c>
      <c r="K383" s="1">
        <f t="shared" si="23"/>
        <v>729554.35984516959</v>
      </c>
    </row>
    <row r="384" spans="1:11" x14ac:dyDescent="0.25">
      <c r="A384" t="s">
        <v>23</v>
      </c>
      <c r="B384" s="3">
        <v>41097</v>
      </c>
      <c r="C384" s="1">
        <v>1829.4596214952578</v>
      </c>
      <c r="D384" s="1">
        <v>114.34122634345361</v>
      </c>
      <c r="E384" s="1">
        <f t="shared" si="20"/>
        <v>837.45962149525781</v>
      </c>
      <c r="F384" s="1">
        <f t="shared" si="21"/>
        <v>992</v>
      </c>
      <c r="G384" s="2">
        <v>16</v>
      </c>
      <c r="H384" s="1">
        <v>52.341226343453613</v>
      </c>
      <c r="I384" s="1">
        <v>62</v>
      </c>
      <c r="J384" s="1">
        <f t="shared" si="22"/>
        <v>1424136.819466667</v>
      </c>
      <c r="K384" s="1">
        <f t="shared" si="23"/>
        <v>730391.81946666481</v>
      </c>
    </row>
    <row r="385" spans="1:11" x14ac:dyDescent="0.25">
      <c r="A385" t="s">
        <v>45</v>
      </c>
      <c r="B385" s="3">
        <v>41095</v>
      </c>
      <c r="C385" s="1">
        <v>11658.448900173686</v>
      </c>
      <c r="D385" s="1">
        <v>224.20094038795548</v>
      </c>
      <c r="E385" s="1">
        <f t="shared" si="20"/>
        <v>5054.4489001736856</v>
      </c>
      <c r="F385" s="1">
        <f t="shared" si="21"/>
        <v>6604</v>
      </c>
      <c r="G385" s="2">
        <v>52</v>
      </c>
      <c r="H385" s="1">
        <v>97.200940387955498</v>
      </c>
      <c r="I385" s="1">
        <v>127</v>
      </c>
      <c r="J385" s="1">
        <f t="shared" si="22"/>
        <v>1435795.2683668407</v>
      </c>
      <c r="K385" s="1">
        <f t="shared" si="23"/>
        <v>735446.26836683846</v>
      </c>
    </row>
    <row r="386" spans="1:11" x14ac:dyDescent="0.25">
      <c r="A386" t="s">
        <v>44</v>
      </c>
      <c r="B386" s="3">
        <v>41091</v>
      </c>
      <c r="C386" s="1">
        <v>860.13178822857344</v>
      </c>
      <c r="D386" s="1">
        <v>95.570198692063713</v>
      </c>
      <c r="E386" s="1">
        <f t="shared" si="20"/>
        <v>500.13178822857344</v>
      </c>
      <c r="F386" s="1">
        <f t="shared" si="21"/>
        <v>360</v>
      </c>
      <c r="G386" s="2">
        <v>9</v>
      </c>
      <c r="H386" s="1">
        <v>55.570198692063713</v>
      </c>
      <c r="I386" s="1">
        <v>40</v>
      </c>
      <c r="J386" s="1">
        <f t="shared" si="22"/>
        <v>1436655.4001550693</v>
      </c>
      <c r="K386" s="1">
        <f t="shared" si="23"/>
        <v>735946.40015506698</v>
      </c>
    </row>
    <row r="387" spans="1:11" x14ac:dyDescent="0.25">
      <c r="A387" t="s">
        <v>11</v>
      </c>
      <c r="B387" s="3">
        <v>41087</v>
      </c>
      <c r="C387" s="1">
        <v>12294.108336563362</v>
      </c>
      <c r="D387" s="1">
        <v>273.20240747918581</v>
      </c>
      <c r="E387" s="1">
        <f t="shared" si="20"/>
        <v>5004.1083365633613</v>
      </c>
      <c r="F387" s="1">
        <f t="shared" si="21"/>
        <v>7290</v>
      </c>
      <c r="G387" s="2">
        <v>45</v>
      </c>
      <c r="H387" s="1">
        <v>111.20240747918581</v>
      </c>
      <c r="I387" s="1">
        <v>162</v>
      </c>
      <c r="J387" s="1">
        <f t="shared" si="22"/>
        <v>1448949.5084916328</v>
      </c>
      <c r="K387" s="1">
        <f t="shared" si="23"/>
        <v>740950.50849163032</v>
      </c>
    </row>
    <row r="388" spans="1:11" x14ac:dyDescent="0.25">
      <c r="A388" t="s">
        <v>30</v>
      </c>
      <c r="B388" s="3">
        <v>41080</v>
      </c>
      <c r="C388" s="1">
        <v>8157.0353164480603</v>
      </c>
      <c r="D388" s="1">
        <v>189.69849573135025</v>
      </c>
      <c r="E388" s="1">
        <f t="shared" ref="E388:E451" si="24">+G388*H388</f>
        <v>3341.0353164480603</v>
      </c>
      <c r="F388" s="1">
        <f t="shared" ref="F388:F451" si="25">+G388*I388</f>
        <v>4816</v>
      </c>
      <c r="G388" s="2">
        <v>43</v>
      </c>
      <c r="H388" s="1">
        <v>77.698495731350235</v>
      </c>
      <c r="I388" s="1">
        <v>112</v>
      </c>
      <c r="J388" s="1">
        <f t="shared" si="22"/>
        <v>1457106.5438080807</v>
      </c>
      <c r="K388" s="1">
        <f t="shared" si="23"/>
        <v>744291.54380807839</v>
      </c>
    </row>
    <row r="389" spans="1:11" x14ac:dyDescent="0.25">
      <c r="A389" t="s">
        <v>22</v>
      </c>
      <c r="B389" s="3">
        <v>41080</v>
      </c>
      <c r="C389" s="1">
        <v>439.8573078328385</v>
      </c>
      <c r="D389" s="1">
        <v>146.61910261094616</v>
      </c>
      <c r="E389" s="1">
        <f t="shared" si="24"/>
        <v>241.85730783283847</v>
      </c>
      <c r="F389" s="1">
        <f t="shared" si="25"/>
        <v>198</v>
      </c>
      <c r="G389" s="2">
        <v>3</v>
      </c>
      <c r="H389" s="1">
        <v>80.619102610946157</v>
      </c>
      <c r="I389" s="1">
        <v>66</v>
      </c>
      <c r="J389" s="1">
        <f t="shared" ref="J389:J452" si="26">+J388+C389</f>
        <v>1457546.4011159136</v>
      </c>
      <c r="K389" s="1">
        <f t="shared" ref="K389:K452" si="27">+K388+E389</f>
        <v>744533.4011159112</v>
      </c>
    </row>
    <row r="390" spans="1:11" x14ac:dyDescent="0.25">
      <c r="A390" t="s">
        <v>49</v>
      </c>
      <c r="B390" s="3">
        <v>41079</v>
      </c>
      <c r="C390" s="1">
        <v>2336.1923461656493</v>
      </c>
      <c r="D390" s="1">
        <v>166.87088186897495</v>
      </c>
      <c r="E390" s="1">
        <f t="shared" si="24"/>
        <v>1006.1923461656495</v>
      </c>
      <c r="F390" s="1">
        <f t="shared" si="25"/>
        <v>1330</v>
      </c>
      <c r="G390" s="2">
        <v>14</v>
      </c>
      <c r="H390" s="1">
        <v>71.870881868974962</v>
      </c>
      <c r="I390" s="1">
        <v>95</v>
      </c>
      <c r="J390" s="1">
        <f t="shared" si="26"/>
        <v>1459882.5934620793</v>
      </c>
      <c r="K390" s="1">
        <f t="shared" si="27"/>
        <v>745539.59346207685</v>
      </c>
    </row>
    <row r="391" spans="1:11" x14ac:dyDescent="0.25">
      <c r="A391" t="s">
        <v>16</v>
      </c>
      <c r="B391" s="3">
        <v>41075</v>
      </c>
      <c r="C391" s="1">
        <v>93.798135092368568</v>
      </c>
      <c r="D391" s="1">
        <v>93.798135092368568</v>
      </c>
      <c r="E391" s="1">
        <f t="shared" si="24"/>
        <v>37.798135092368561</v>
      </c>
      <c r="F391" s="1">
        <f t="shared" si="25"/>
        <v>56</v>
      </c>
      <c r="G391" s="2">
        <v>1</v>
      </c>
      <c r="H391" s="1">
        <v>37.798135092368561</v>
      </c>
      <c r="I391" s="1">
        <v>56</v>
      </c>
      <c r="J391" s="1">
        <f t="shared" si="26"/>
        <v>1459976.3915971718</v>
      </c>
      <c r="K391" s="1">
        <f t="shared" si="27"/>
        <v>745577.39159716922</v>
      </c>
    </row>
    <row r="392" spans="1:11" x14ac:dyDescent="0.25">
      <c r="A392" t="s">
        <v>49</v>
      </c>
      <c r="B392" s="3">
        <v>41073</v>
      </c>
      <c r="C392" s="1">
        <v>1347.8620755020088</v>
      </c>
      <c r="D392" s="1">
        <v>112.3218396251674</v>
      </c>
      <c r="E392" s="1">
        <f t="shared" si="24"/>
        <v>651.86207550200868</v>
      </c>
      <c r="F392" s="1">
        <f t="shared" si="25"/>
        <v>696</v>
      </c>
      <c r="G392" s="2">
        <v>12</v>
      </c>
      <c r="H392" s="1">
        <v>54.321839625167392</v>
      </c>
      <c r="I392" s="1">
        <v>58</v>
      </c>
      <c r="J392" s="1">
        <f t="shared" si="26"/>
        <v>1461324.2536726738</v>
      </c>
      <c r="K392" s="1">
        <f t="shared" si="27"/>
        <v>746229.25367267127</v>
      </c>
    </row>
    <row r="393" spans="1:11" x14ac:dyDescent="0.25">
      <c r="A393" t="s">
        <v>39</v>
      </c>
      <c r="B393" s="3">
        <v>41071</v>
      </c>
      <c r="C393" s="1">
        <v>813.43941798473224</v>
      </c>
      <c r="D393" s="1">
        <v>101.67992724809153</v>
      </c>
      <c r="E393" s="1">
        <f t="shared" si="24"/>
        <v>517.43941798473224</v>
      </c>
      <c r="F393" s="1">
        <f t="shared" si="25"/>
        <v>296</v>
      </c>
      <c r="G393" s="2">
        <v>8</v>
      </c>
      <c r="H393" s="1">
        <v>64.679927248091531</v>
      </c>
      <c r="I393" s="1">
        <v>37</v>
      </c>
      <c r="J393" s="1">
        <f t="shared" si="26"/>
        <v>1462137.6930906586</v>
      </c>
      <c r="K393" s="1">
        <f t="shared" si="27"/>
        <v>746746.69309065596</v>
      </c>
    </row>
    <row r="394" spans="1:11" x14ac:dyDescent="0.25">
      <c r="A394" t="s">
        <v>49</v>
      </c>
      <c r="B394" s="3">
        <v>41064</v>
      </c>
      <c r="C394" s="1">
        <v>4006.5975519674735</v>
      </c>
      <c r="D394" s="1">
        <v>78.560736313087716</v>
      </c>
      <c r="E394" s="1">
        <f t="shared" si="24"/>
        <v>2629.5975519674735</v>
      </c>
      <c r="F394" s="1">
        <f t="shared" si="25"/>
        <v>1377</v>
      </c>
      <c r="G394" s="2">
        <v>51</v>
      </c>
      <c r="H394" s="1">
        <v>51.560736313087716</v>
      </c>
      <c r="I394" s="1">
        <v>27</v>
      </c>
      <c r="J394" s="1">
        <f t="shared" si="26"/>
        <v>1466144.2906426261</v>
      </c>
      <c r="K394" s="1">
        <f t="shared" si="27"/>
        <v>749376.29064262344</v>
      </c>
    </row>
    <row r="395" spans="1:11" x14ac:dyDescent="0.25">
      <c r="A395" t="s">
        <v>15</v>
      </c>
      <c r="B395" s="3">
        <v>41051</v>
      </c>
      <c r="C395" s="1">
        <v>505.65536129959304</v>
      </c>
      <c r="D395" s="1">
        <v>126.41384032489826</v>
      </c>
      <c r="E395" s="1">
        <f t="shared" si="24"/>
        <v>277.65536129959304</v>
      </c>
      <c r="F395" s="1">
        <f t="shared" si="25"/>
        <v>228</v>
      </c>
      <c r="G395" s="2">
        <v>4</v>
      </c>
      <c r="H395" s="1">
        <v>69.41384032489826</v>
      </c>
      <c r="I395" s="1">
        <v>57</v>
      </c>
      <c r="J395" s="1">
        <f t="shared" si="26"/>
        <v>1466649.9460039258</v>
      </c>
      <c r="K395" s="1">
        <f t="shared" si="27"/>
        <v>749653.94600392308</v>
      </c>
    </row>
    <row r="396" spans="1:11" x14ac:dyDescent="0.25">
      <c r="A396" t="s">
        <v>25</v>
      </c>
      <c r="B396" s="3">
        <v>41050</v>
      </c>
      <c r="C396" s="1">
        <v>10924.560491808963</v>
      </c>
      <c r="D396" s="1">
        <v>191.65895599664847</v>
      </c>
      <c r="E396" s="1">
        <f t="shared" si="24"/>
        <v>4711.560491808963</v>
      </c>
      <c r="F396" s="1">
        <f t="shared" si="25"/>
        <v>6213</v>
      </c>
      <c r="G396" s="2">
        <v>57</v>
      </c>
      <c r="H396" s="1">
        <v>82.658955996648473</v>
      </c>
      <c r="I396" s="1">
        <v>109</v>
      </c>
      <c r="J396" s="1">
        <f t="shared" si="26"/>
        <v>1477574.5064957347</v>
      </c>
      <c r="K396" s="1">
        <f t="shared" si="27"/>
        <v>754365.506495732</v>
      </c>
    </row>
    <row r="397" spans="1:11" x14ac:dyDescent="0.25">
      <c r="A397" t="s">
        <v>13</v>
      </c>
      <c r="B397" s="3">
        <v>41040</v>
      </c>
      <c r="C397" s="1">
        <v>1447.0887210619192</v>
      </c>
      <c r="D397" s="1">
        <v>96.472581404127951</v>
      </c>
      <c r="E397" s="1">
        <f t="shared" si="24"/>
        <v>832.08872106191927</v>
      </c>
      <c r="F397" s="1">
        <f t="shared" si="25"/>
        <v>615</v>
      </c>
      <c r="G397" s="2">
        <v>15</v>
      </c>
      <c r="H397" s="1">
        <v>55.472581404127951</v>
      </c>
      <c r="I397" s="1">
        <v>41</v>
      </c>
      <c r="J397" s="1">
        <f t="shared" si="26"/>
        <v>1479021.5952167965</v>
      </c>
      <c r="K397" s="1">
        <f t="shared" si="27"/>
        <v>755197.59521679394</v>
      </c>
    </row>
    <row r="398" spans="1:11" x14ac:dyDescent="0.25">
      <c r="A398" t="s">
        <v>16</v>
      </c>
      <c r="B398" s="3">
        <v>41039</v>
      </c>
      <c r="C398" s="1">
        <v>3229.2552603071399</v>
      </c>
      <c r="D398" s="1">
        <v>65.903168577696732</v>
      </c>
      <c r="E398" s="1">
        <f t="shared" si="24"/>
        <v>1416.2552603071399</v>
      </c>
      <c r="F398" s="1">
        <f t="shared" si="25"/>
        <v>1813</v>
      </c>
      <c r="G398" s="2">
        <v>49</v>
      </c>
      <c r="H398" s="1">
        <v>28.903168577696732</v>
      </c>
      <c r="I398" s="1">
        <v>37</v>
      </c>
      <c r="J398" s="1">
        <f t="shared" si="26"/>
        <v>1482250.8504771036</v>
      </c>
      <c r="K398" s="1">
        <f t="shared" si="27"/>
        <v>756613.85047710105</v>
      </c>
    </row>
    <row r="399" spans="1:11" x14ac:dyDescent="0.25">
      <c r="A399" t="s">
        <v>15</v>
      </c>
      <c r="B399" s="3">
        <v>41037</v>
      </c>
      <c r="C399" s="1">
        <v>1179.7349899334779</v>
      </c>
      <c r="D399" s="1">
        <v>107.24863544849799</v>
      </c>
      <c r="E399" s="1">
        <f t="shared" si="24"/>
        <v>761.73498993347789</v>
      </c>
      <c r="F399" s="1">
        <f t="shared" si="25"/>
        <v>418</v>
      </c>
      <c r="G399" s="2">
        <v>11</v>
      </c>
      <c r="H399" s="1">
        <v>69.248635448497993</v>
      </c>
      <c r="I399" s="1">
        <v>38</v>
      </c>
      <c r="J399" s="1">
        <f t="shared" si="26"/>
        <v>1483430.585467037</v>
      </c>
      <c r="K399" s="1">
        <f t="shared" si="27"/>
        <v>757375.58546703449</v>
      </c>
    </row>
    <row r="400" spans="1:11" x14ac:dyDescent="0.25">
      <c r="A400" t="s">
        <v>24</v>
      </c>
      <c r="B400" s="3">
        <v>41024</v>
      </c>
      <c r="C400" s="1">
        <v>1278.9560201766008</v>
      </c>
      <c r="D400" s="1">
        <v>127.89560201766008</v>
      </c>
      <c r="E400" s="1">
        <f t="shared" si="24"/>
        <v>808.95602017660076</v>
      </c>
      <c r="F400" s="1">
        <f t="shared" si="25"/>
        <v>470</v>
      </c>
      <c r="G400" s="2">
        <v>10</v>
      </c>
      <c r="H400" s="1">
        <v>80.895602017660082</v>
      </c>
      <c r="I400" s="1">
        <v>47</v>
      </c>
      <c r="J400" s="1">
        <f t="shared" si="26"/>
        <v>1484709.5414872137</v>
      </c>
      <c r="K400" s="1">
        <f t="shared" si="27"/>
        <v>758184.54148721113</v>
      </c>
    </row>
    <row r="401" spans="1:11" x14ac:dyDescent="0.25">
      <c r="A401" t="s">
        <v>14</v>
      </c>
      <c r="B401" s="3">
        <v>41007</v>
      </c>
      <c r="C401" s="1">
        <v>1748.532317001788</v>
      </c>
      <c r="D401" s="1">
        <v>124.89516550012772</v>
      </c>
      <c r="E401" s="1">
        <f t="shared" si="24"/>
        <v>712.53231700178799</v>
      </c>
      <c r="F401" s="1">
        <f t="shared" si="25"/>
        <v>1036</v>
      </c>
      <c r="G401" s="2">
        <v>14</v>
      </c>
      <c r="H401" s="1">
        <v>50.89516550012771</v>
      </c>
      <c r="I401" s="1">
        <v>74</v>
      </c>
      <c r="J401" s="1">
        <f t="shared" si="26"/>
        <v>1486458.0738042155</v>
      </c>
      <c r="K401" s="1">
        <f t="shared" si="27"/>
        <v>758897.07380421297</v>
      </c>
    </row>
    <row r="402" spans="1:11" x14ac:dyDescent="0.25">
      <c r="A402" t="s">
        <v>45</v>
      </c>
      <c r="B402" s="3">
        <v>40996</v>
      </c>
      <c r="C402" s="1">
        <v>2613.9513692192882</v>
      </c>
      <c r="D402" s="1">
        <v>124.47387472472801</v>
      </c>
      <c r="E402" s="1">
        <f t="shared" si="24"/>
        <v>1290.9513692192884</v>
      </c>
      <c r="F402" s="1">
        <f t="shared" si="25"/>
        <v>1323</v>
      </c>
      <c r="G402" s="2">
        <v>21</v>
      </c>
      <c r="H402" s="1">
        <v>61.473874724728013</v>
      </c>
      <c r="I402" s="1">
        <v>63</v>
      </c>
      <c r="J402" s="1">
        <f t="shared" si="26"/>
        <v>1489072.0251734348</v>
      </c>
      <c r="K402" s="1">
        <f t="shared" si="27"/>
        <v>760188.02517343231</v>
      </c>
    </row>
    <row r="403" spans="1:11" x14ac:dyDescent="0.25">
      <c r="A403" t="s">
        <v>16</v>
      </c>
      <c r="B403" s="3">
        <v>40996</v>
      </c>
      <c r="C403" s="1">
        <v>4185.2272305858596</v>
      </c>
      <c r="D403" s="1">
        <v>149.47240109235213</v>
      </c>
      <c r="E403" s="1">
        <f t="shared" si="24"/>
        <v>2281.2272305858601</v>
      </c>
      <c r="F403" s="1">
        <f t="shared" si="25"/>
        <v>1904</v>
      </c>
      <c r="G403" s="2">
        <v>28</v>
      </c>
      <c r="H403" s="1">
        <v>81.472401092352143</v>
      </c>
      <c r="I403" s="1">
        <v>68</v>
      </c>
      <c r="J403" s="1">
        <f t="shared" si="26"/>
        <v>1493257.2524040206</v>
      </c>
      <c r="K403" s="1">
        <f t="shared" si="27"/>
        <v>762469.25240401819</v>
      </c>
    </row>
    <row r="404" spans="1:11" x14ac:dyDescent="0.25">
      <c r="A404" t="s">
        <v>39</v>
      </c>
      <c r="B404" s="3">
        <v>40989</v>
      </c>
      <c r="C404" s="1">
        <v>486.6785353398941</v>
      </c>
      <c r="D404" s="1">
        <v>81.113089223315683</v>
      </c>
      <c r="E404" s="1">
        <f t="shared" si="24"/>
        <v>204.67853533989415</v>
      </c>
      <c r="F404" s="1">
        <f t="shared" si="25"/>
        <v>282</v>
      </c>
      <c r="G404" s="2">
        <v>6</v>
      </c>
      <c r="H404" s="1">
        <v>34.11308922331569</v>
      </c>
      <c r="I404" s="1">
        <v>47</v>
      </c>
      <c r="J404" s="1">
        <f t="shared" si="26"/>
        <v>1493743.9309393605</v>
      </c>
      <c r="K404" s="1">
        <f t="shared" si="27"/>
        <v>762673.93093935808</v>
      </c>
    </row>
    <row r="405" spans="1:11" x14ac:dyDescent="0.25">
      <c r="A405" t="s">
        <v>14</v>
      </c>
      <c r="B405" s="3">
        <v>40988</v>
      </c>
      <c r="C405" s="1">
        <v>916.99645670966538</v>
      </c>
      <c r="D405" s="1">
        <v>83.363314246333218</v>
      </c>
      <c r="E405" s="1">
        <f t="shared" si="24"/>
        <v>509.99645670966538</v>
      </c>
      <c r="F405" s="1">
        <f t="shared" si="25"/>
        <v>407</v>
      </c>
      <c r="G405" s="2">
        <v>11</v>
      </c>
      <c r="H405" s="1">
        <v>46.363314246333218</v>
      </c>
      <c r="I405" s="1">
        <v>37</v>
      </c>
      <c r="J405" s="1">
        <f t="shared" si="26"/>
        <v>1494660.9273960702</v>
      </c>
      <c r="K405" s="1">
        <f t="shared" si="27"/>
        <v>763183.92739606777</v>
      </c>
    </row>
    <row r="406" spans="1:11" x14ac:dyDescent="0.25">
      <c r="A406" t="s">
        <v>22</v>
      </c>
      <c r="B406" s="3">
        <v>40986</v>
      </c>
      <c r="C406" s="1">
        <v>2744.6756130094691</v>
      </c>
      <c r="D406" s="1">
        <v>182.97837420063127</v>
      </c>
      <c r="E406" s="1">
        <f t="shared" si="24"/>
        <v>1574.6756130094691</v>
      </c>
      <c r="F406" s="1">
        <f t="shared" si="25"/>
        <v>1170</v>
      </c>
      <c r="G406" s="2">
        <v>15</v>
      </c>
      <c r="H406" s="1">
        <v>104.97837420063127</v>
      </c>
      <c r="I406" s="1">
        <v>78</v>
      </c>
      <c r="J406" s="1">
        <f t="shared" si="26"/>
        <v>1497405.6030090796</v>
      </c>
      <c r="K406" s="1">
        <f t="shared" si="27"/>
        <v>764758.60300907725</v>
      </c>
    </row>
    <row r="407" spans="1:11" x14ac:dyDescent="0.25">
      <c r="A407" t="s">
        <v>40</v>
      </c>
      <c r="B407" s="3">
        <v>40984</v>
      </c>
      <c r="C407" s="1">
        <v>2829.9801501063434</v>
      </c>
      <c r="D407" s="1">
        <v>217.69078077741102</v>
      </c>
      <c r="E407" s="1">
        <f t="shared" si="24"/>
        <v>1503.9801501063434</v>
      </c>
      <c r="F407" s="1">
        <f t="shared" si="25"/>
        <v>1326</v>
      </c>
      <c r="G407" s="2">
        <v>13</v>
      </c>
      <c r="H407" s="1">
        <v>115.69078077741104</v>
      </c>
      <c r="I407" s="1">
        <v>102</v>
      </c>
      <c r="J407" s="1">
        <f t="shared" si="26"/>
        <v>1500235.5831591859</v>
      </c>
      <c r="K407" s="1">
        <f t="shared" si="27"/>
        <v>766262.58315918362</v>
      </c>
    </row>
    <row r="408" spans="1:11" x14ac:dyDescent="0.25">
      <c r="A408" t="s">
        <v>40</v>
      </c>
      <c r="B408" s="3">
        <v>40982</v>
      </c>
      <c r="C408" s="1">
        <v>206.09187363701926</v>
      </c>
      <c r="D408" s="1">
        <v>103.04593681850963</v>
      </c>
      <c r="E408" s="1">
        <f t="shared" si="24"/>
        <v>106.09187363701926</v>
      </c>
      <c r="F408" s="1">
        <f t="shared" si="25"/>
        <v>100</v>
      </c>
      <c r="G408" s="2">
        <v>2</v>
      </c>
      <c r="H408" s="1">
        <v>53.045936818509631</v>
      </c>
      <c r="I408" s="1">
        <v>50</v>
      </c>
      <c r="J408" s="1">
        <f t="shared" si="26"/>
        <v>1500441.6750328229</v>
      </c>
      <c r="K408" s="1">
        <f t="shared" si="27"/>
        <v>766368.67503282067</v>
      </c>
    </row>
    <row r="409" spans="1:11" x14ac:dyDescent="0.25">
      <c r="A409" t="s">
        <v>12</v>
      </c>
      <c r="B409" s="3">
        <v>40981</v>
      </c>
      <c r="C409" s="1">
        <v>34939.927708330608</v>
      </c>
      <c r="D409" s="1">
        <v>194.11070949072561</v>
      </c>
      <c r="E409" s="1">
        <f t="shared" si="24"/>
        <v>18559.927708330611</v>
      </c>
      <c r="F409" s="1">
        <f t="shared" si="25"/>
        <v>16380</v>
      </c>
      <c r="G409" s="2">
        <v>180</v>
      </c>
      <c r="H409" s="1">
        <v>103.11070949072561</v>
      </c>
      <c r="I409" s="1">
        <v>91</v>
      </c>
      <c r="J409" s="1">
        <f t="shared" si="26"/>
        <v>1535381.6027411534</v>
      </c>
      <c r="K409" s="1">
        <f t="shared" si="27"/>
        <v>784928.60274115123</v>
      </c>
    </row>
    <row r="410" spans="1:11" x14ac:dyDescent="0.25">
      <c r="A410" t="s">
        <v>13</v>
      </c>
      <c r="B410" s="3">
        <v>40979</v>
      </c>
      <c r="C410" s="1">
        <v>5095.8072521658378</v>
      </c>
      <c r="D410" s="1">
        <v>130.66172441450865</v>
      </c>
      <c r="E410" s="1">
        <f t="shared" si="24"/>
        <v>2365.8072521658373</v>
      </c>
      <c r="F410" s="1">
        <f t="shared" si="25"/>
        <v>2730</v>
      </c>
      <c r="G410" s="2">
        <v>39</v>
      </c>
      <c r="H410" s="1">
        <v>60.661724414508654</v>
      </c>
      <c r="I410" s="1">
        <v>70</v>
      </c>
      <c r="J410" s="1">
        <f t="shared" si="26"/>
        <v>1540477.4099933193</v>
      </c>
      <c r="K410" s="1">
        <f t="shared" si="27"/>
        <v>787294.40999331709</v>
      </c>
    </row>
    <row r="411" spans="1:11" x14ac:dyDescent="0.25">
      <c r="A411" t="s">
        <v>15</v>
      </c>
      <c r="B411" s="3">
        <v>40976</v>
      </c>
      <c r="C411" s="1">
        <v>1665.2926883065361</v>
      </c>
      <c r="D411" s="1">
        <v>59.474738868090576</v>
      </c>
      <c r="E411" s="1">
        <f t="shared" si="24"/>
        <v>1105.2926883065361</v>
      </c>
      <c r="F411" s="1">
        <f t="shared" si="25"/>
        <v>560</v>
      </c>
      <c r="G411" s="2">
        <v>28</v>
      </c>
      <c r="H411" s="1">
        <v>39.474738868090576</v>
      </c>
      <c r="I411" s="1">
        <v>20</v>
      </c>
      <c r="J411" s="1">
        <f t="shared" si="26"/>
        <v>1542142.7026816257</v>
      </c>
      <c r="K411" s="1">
        <f t="shared" si="27"/>
        <v>788399.70268162363</v>
      </c>
    </row>
    <row r="412" spans="1:11" x14ac:dyDescent="0.25">
      <c r="A412" t="s">
        <v>49</v>
      </c>
      <c r="B412" s="3">
        <v>40968</v>
      </c>
      <c r="C412" s="1">
        <v>1668.7210717787204</v>
      </c>
      <c r="D412" s="1">
        <v>92.706726209928917</v>
      </c>
      <c r="E412" s="1">
        <f t="shared" si="24"/>
        <v>822.72107177872067</v>
      </c>
      <c r="F412" s="1">
        <f t="shared" si="25"/>
        <v>846</v>
      </c>
      <c r="G412" s="2">
        <v>18</v>
      </c>
      <c r="H412" s="1">
        <v>45.706726209928924</v>
      </c>
      <c r="I412" s="1">
        <v>47</v>
      </c>
      <c r="J412" s="1">
        <f t="shared" si="26"/>
        <v>1543811.4237534045</v>
      </c>
      <c r="K412" s="1">
        <f t="shared" si="27"/>
        <v>789222.42375340231</v>
      </c>
    </row>
    <row r="413" spans="1:11" x14ac:dyDescent="0.25">
      <c r="A413" t="s">
        <v>18</v>
      </c>
      <c r="B413" s="3">
        <v>40962</v>
      </c>
      <c r="C413" s="1">
        <v>3929.5693978042805</v>
      </c>
      <c r="D413" s="1">
        <v>65.49282329673801</v>
      </c>
      <c r="E413" s="1">
        <f t="shared" si="24"/>
        <v>2549.5693978042805</v>
      </c>
      <c r="F413" s="1">
        <f t="shared" si="25"/>
        <v>1380</v>
      </c>
      <c r="G413" s="2">
        <v>60</v>
      </c>
      <c r="H413" s="1">
        <v>42.49282329673801</v>
      </c>
      <c r="I413" s="1">
        <v>23</v>
      </c>
      <c r="J413" s="1">
        <f t="shared" si="26"/>
        <v>1547740.9931512089</v>
      </c>
      <c r="K413" s="1">
        <f t="shared" si="27"/>
        <v>791771.99315120664</v>
      </c>
    </row>
    <row r="414" spans="1:11" x14ac:dyDescent="0.25">
      <c r="A414" t="s">
        <v>42</v>
      </c>
      <c r="B414" s="3">
        <v>40958</v>
      </c>
      <c r="C414" s="1">
        <v>2832.5032330315366</v>
      </c>
      <c r="D414" s="1">
        <v>141.62516165157683</v>
      </c>
      <c r="E414" s="1">
        <f t="shared" si="24"/>
        <v>1292.5032330315364</v>
      </c>
      <c r="F414" s="1">
        <f t="shared" si="25"/>
        <v>1540</v>
      </c>
      <c r="G414" s="2">
        <v>20</v>
      </c>
      <c r="H414" s="1">
        <v>64.625161651576818</v>
      </c>
      <c r="I414" s="1">
        <v>77</v>
      </c>
      <c r="J414" s="1">
        <f t="shared" si="26"/>
        <v>1550573.4963842405</v>
      </c>
      <c r="K414" s="1">
        <f t="shared" si="27"/>
        <v>793064.49638423813</v>
      </c>
    </row>
    <row r="415" spans="1:11" x14ac:dyDescent="0.25">
      <c r="A415" t="s">
        <v>25</v>
      </c>
      <c r="B415" s="3">
        <v>40924</v>
      </c>
      <c r="C415" s="1">
        <v>5039.5504932188396</v>
      </c>
      <c r="D415" s="1">
        <v>148.22207332996587</v>
      </c>
      <c r="E415" s="1">
        <f t="shared" si="24"/>
        <v>2149.5504932188396</v>
      </c>
      <c r="F415" s="1">
        <f t="shared" si="25"/>
        <v>2890</v>
      </c>
      <c r="G415" s="2">
        <v>34</v>
      </c>
      <c r="H415" s="1">
        <v>63.222073329965873</v>
      </c>
      <c r="I415" s="1">
        <v>85</v>
      </c>
      <c r="J415" s="1">
        <f t="shared" si="26"/>
        <v>1555613.0468774594</v>
      </c>
      <c r="K415" s="1">
        <f t="shared" si="27"/>
        <v>795214.04687745695</v>
      </c>
    </row>
    <row r="416" spans="1:11" x14ac:dyDescent="0.25">
      <c r="A416" t="s">
        <v>26</v>
      </c>
      <c r="B416" s="3">
        <v>40913</v>
      </c>
      <c r="C416" s="1">
        <v>3637.8420474358481</v>
      </c>
      <c r="D416" s="1">
        <v>79.08352277034453</v>
      </c>
      <c r="E416" s="1">
        <f t="shared" si="24"/>
        <v>1751.8420474358486</v>
      </c>
      <c r="F416" s="1">
        <f t="shared" si="25"/>
        <v>1886</v>
      </c>
      <c r="G416" s="2">
        <v>46</v>
      </c>
      <c r="H416" s="1">
        <v>38.083522770344537</v>
      </c>
      <c r="I416" s="1">
        <v>41</v>
      </c>
      <c r="J416" s="1">
        <f t="shared" si="26"/>
        <v>1559250.8889248953</v>
      </c>
      <c r="K416" s="1">
        <f t="shared" si="27"/>
        <v>796965.88892489276</v>
      </c>
    </row>
    <row r="417" spans="1:11" x14ac:dyDescent="0.25">
      <c r="A417" t="s">
        <v>39</v>
      </c>
      <c r="B417" s="3">
        <v>40904</v>
      </c>
      <c r="C417" s="1">
        <v>4777.0288432806292</v>
      </c>
      <c r="D417" s="1">
        <v>183.73187858771649</v>
      </c>
      <c r="E417" s="1">
        <f t="shared" si="24"/>
        <v>2437.0288432806287</v>
      </c>
      <c r="F417" s="1">
        <f t="shared" si="25"/>
        <v>2340</v>
      </c>
      <c r="G417" s="2">
        <v>26</v>
      </c>
      <c r="H417" s="1">
        <v>93.731878587716494</v>
      </c>
      <c r="I417" s="1">
        <v>90</v>
      </c>
      <c r="J417" s="1">
        <f t="shared" si="26"/>
        <v>1564027.9177681759</v>
      </c>
      <c r="K417" s="1">
        <f t="shared" si="27"/>
        <v>799402.91776817339</v>
      </c>
    </row>
    <row r="418" spans="1:11" x14ac:dyDescent="0.25">
      <c r="A418" t="s">
        <v>38</v>
      </c>
      <c r="B418" s="3">
        <v>40903</v>
      </c>
      <c r="C418" s="1">
        <v>999.28417559687614</v>
      </c>
      <c r="D418" s="1">
        <v>142.75488222812515</v>
      </c>
      <c r="E418" s="1">
        <f t="shared" si="24"/>
        <v>488.28417559687608</v>
      </c>
      <c r="F418" s="1">
        <f t="shared" si="25"/>
        <v>511</v>
      </c>
      <c r="G418" s="2">
        <v>7</v>
      </c>
      <c r="H418" s="1">
        <v>69.754882228125155</v>
      </c>
      <c r="I418" s="1">
        <v>73</v>
      </c>
      <c r="J418" s="1">
        <f t="shared" si="26"/>
        <v>1565027.2019437728</v>
      </c>
      <c r="K418" s="1">
        <f t="shared" si="27"/>
        <v>799891.20194377028</v>
      </c>
    </row>
    <row r="419" spans="1:11" x14ac:dyDescent="0.25">
      <c r="A419" t="s">
        <v>22</v>
      </c>
      <c r="B419" s="3">
        <v>40903</v>
      </c>
      <c r="C419" s="1">
        <v>2653.5564567678948</v>
      </c>
      <c r="D419" s="1">
        <v>78.045778140232201</v>
      </c>
      <c r="E419" s="1">
        <f t="shared" si="24"/>
        <v>1259.5564567678948</v>
      </c>
      <c r="F419" s="1">
        <f t="shared" si="25"/>
        <v>1394</v>
      </c>
      <c r="G419" s="2">
        <v>34</v>
      </c>
      <c r="H419" s="1">
        <v>37.045778140232201</v>
      </c>
      <c r="I419" s="1">
        <v>41</v>
      </c>
      <c r="J419" s="1">
        <f t="shared" si="26"/>
        <v>1567680.7584005408</v>
      </c>
      <c r="K419" s="1">
        <f t="shared" si="27"/>
        <v>801150.75840053812</v>
      </c>
    </row>
    <row r="420" spans="1:11" x14ac:dyDescent="0.25">
      <c r="A420" t="s">
        <v>35</v>
      </c>
      <c r="B420" s="3">
        <v>40898</v>
      </c>
      <c r="C420" s="1">
        <v>2386.5684879247269</v>
      </c>
      <c r="D420" s="1">
        <v>103.76384730107509</v>
      </c>
      <c r="E420" s="1">
        <f t="shared" si="24"/>
        <v>1006.568487924727</v>
      </c>
      <c r="F420" s="1">
        <f t="shared" si="25"/>
        <v>1380</v>
      </c>
      <c r="G420" s="2">
        <v>23</v>
      </c>
      <c r="H420" s="1">
        <v>43.763847301075089</v>
      </c>
      <c r="I420" s="1">
        <v>60</v>
      </c>
      <c r="J420" s="1">
        <f t="shared" si="26"/>
        <v>1570067.3268884656</v>
      </c>
      <c r="K420" s="1">
        <f t="shared" si="27"/>
        <v>802157.32688846288</v>
      </c>
    </row>
    <row r="421" spans="1:11" x14ac:dyDescent="0.25">
      <c r="A421" t="s">
        <v>39</v>
      </c>
      <c r="B421" s="3">
        <v>40898</v>
      </c>
      <c r="C421" s="1">
        <v>4052.9053219022499</v>
      </c>
      <c r="D421" s="1">
        <v>135.09684406340833</v>
      </c>
      <c r="E421" s="1">
        <f t="shared" si="24"/>
        <v>2072.9053219022499</v>
      </c>
      <c r="F421" s="1">
        <f t="shared" si="25"/>
        <v>1980</v>
      </c>
      <c r="G421" s="2">
        <v>30</v>
      </c>
      <c r="H421" s="1">
        <v>69.096844063408327</v>
      </c>
      <c r="I421" s="1">
        <v>66</v>
      </c>
      <c r="J421" s="1">
        <f t="shared" si="26"/>
        <v>1574120.2322103679</v>
      </c>
      <c r="K421" s="1">
        <f t="shared" si="27"/>
        <v>804230.23221036512</v>
      </c>
    </row>
    <row r="422" spans="1:11" x14ac:dyDescent="0.25">
      <c r="A422" t="s">
        <v>30</v>
      </c>
      <c r="B422" s="3">
        <v>40892</v>
      </c>
      <c r="C422" s="1">
        <v>2881.6136271834175</v>
      </c>
      <c r="D422" s="1">
        <v>99.365987144255769</v>
      </c>
      <c r="E422" s="1">
        <f t="shared" si="24"/>
        <v>1228.6136271834175</v>
      </c>
      <c r="F422" s="1">
        <f t="shared" si="25"/>
        <v>1653</v>
      </c>
      <c r="G422" s="2">
        <v>29</v>
      </c>
      <c r="H422" s="1">
        <v>42.365987144255776</v>
      </c>
      <c r="I422" s="1">
        <v>57</v>
      </c>
      <c r="J422" s="1">
        <f t="shared" si="26"/>
        <v>1577001.8458375514</v>
      </c>
      <c r="K422" s="1">
        <f t="shared" si="27"/>
        <v>805458.84583754849</v>
      </c>
    </row>
    <row r="423" spans="1:11" x14ac:dyDescent="0.25">
      <c r="A423" t="s">
        <v>36</v>
      </c>
      <c r="B423" s="3">
        <v>40857</v>
      </c>
      <c r="C423" s="1">
        <v>458.36908671125639</v>
      </c>
      <c r="D423" s="1">
        <v>152.78969557041879</v>
      </c>
      <c r="E423" s="1">
        <f t="shared" si="24"/>
        <v>218.36908671125636</v>
      </c>
      <c r="F423" s="1">
        <f t="shared" si="25"/>
        <v>240</v>
      </c>
      <c r="G423" s="2">
        <v>3</v>
      </c>
      <c r="H423" s="1">
        <v>72.789695570418786</v>
      </c>
      <c r="I423" s="1">
        <v>80</v>
      </c>
      <c r="J423" s="1">
        <f t="shared" si="26"/>
        <v>1577460.2149242626</v>
      </c>
      <c r="K423" s="1">
        <f t="shared" si="27"/>
        <v>805677.21492425969</v>
      </c>
    </row>
    <row r="424" spans="1:11" x14ac:dyDescent="0.25">
      <c r="A424" t="s">
        <v>16</v>
      </c>
      <c r="B424" s="3">
        <v>40838</v>
      </c>
      <c r="C424" s="1">
        <v>5748.1970867085693</v>
      </c>
      <c r="D424" s="1">
        <v>151.2683443870676</v>
      </c>
      <c r="E424" s="1">
        <f t="shared" si="24"/>
        <v>2784.1970867085688</v>
      </c>
      <c r="F424" s="1">
        <f t="shared" si="25"/>
        <v>2964</v>
      </c>
      <c r="G424" s="2">
        <v>38</v>
      </c>
      <c r="H424" s="1">
        <v>73.2683443870676</v>
      </c>
      <c r="I424" s="1">
        <v>78</v>
      </c>
      <c r="J424" s="1">
        <f t="shared" si="26"/>
        <v>1583208.4120109712</v>
      </c>
      <c r="K424" s="1">
        <f t="shared" si="27"/>
        <v>808461.41201096831</v>
      </c>
    </row>
    <row r="425" spans="1:11" x14ac:dyDescent="0.25">
      <c r="A425" t="s">
        <v>49</v>
      </c>
      <c r="B425" s="3">
        <v>40838</v>
      </c>
      <c r="C425" s="1">
        <v>805.67923352712171</v>
      </c>
      <c r="D425" s="1">
        <v>134.27987225452028</v>
      </c>
      <c r="E425" s="1">
        <f t="shared" si="24"/>
        <v>385.67923352712171</v>
      </c>
      <c r="F425" s="1">
        <f t="shared" si="25"/>
        <v>420</v>
      </c>
      <c r="G425" s="2">
        <v>6</v>
      </c>
      <c r="H425" s="1">
        <v>64.279872254520285</v>
      </c>
      <c r="I425" s="1">
        <v>70</v>
      </c>
      <c r="J425" s="1">
        <f t="shared" si="26"/>
        <v>1584014.0912444983</v>
      </c>
      <c r="K425" s="1">
        <f t="shared" si="27"/>
        <v>808847.09124449547</v>
      </c>
    </row>
    <row r="426" spans="1:11" x14ac:dyDescent="0.25">
      <c r="A426" t="s">
        <v>26</v>
      </c>
      <c r="B426" s="3">
        <v>40822</v>
      </c>
      <c r="C426" s="1">
        <v>996.59915066713552</v>
      </c>
      <c r="D426" s="1">
        <v>110.73323896301505</v>
      </c>
      <c r="E426" s="1">
        <f t="shared" si="24"/>
        <v>411.59915066713552</v>
      </c>
      <c r="F426" s="1">
        <f t="shared" si="25"/>
        <v>585</v>
      </c>
      <c r="G426" s="2">
        <v>9</v>
      </c>
      <c r="H426" s="1">
        <v>45.733238963015054</v>
      </c>
      <c r="I426" s="1">
        <v>65</v>
      </c>
      <c r="J426" s="1">
        <f t="shared" si="26"/>
        <v>1585010.6903951655</v>
      </c>
      <c r="K426" s="1">
        <f t="shared" si="27"/>
        <v>809258.69039516256</v>
      </c>
    </row>
    <row r="427" spans="1:11" x14ac:dyDescent="0.25">
      <c r="A427" t="s">
        <v>45</v>
      </c>
      <c r="B427" s="3">
        <v>40817</v>
      </c>
      <c r="C427" s="1">
        <v>9298.4795972802331</v>
      </c>
      <c r="D427" s="1">
        <v>216.24371156465656</v>
      </c>
      <c r="E427" s="1">
        <f t="shared" si="24"/>
        <v>3923.4795972802331</v>
      </c>
      <c r="F427" s="1">
        <f t="shared" si="25"/>
        <v>5375</v>
      </c>
      <c r="G427" s="2">
        <v>43</v>
      </c>
      <c r="H427" s="1">
        <v>91.243711564656579</v>
      </c>
      <c r="I427" s="1">
        <v>125</v>
      </c>
      <c r="J427" s="1">
        <f t="shared" si="26"/>
        <v>1594309.1699924457</v>
      </c>
      <c r="K427" s="1">
        <f t="shared" si="27"/>
        <v>813182.16999244282</v>
      </c>
    </row>
    <row r="428" spans="1:11" x14ac:dyDescent="0.25">
      <c r="A428" t="s">
        <v>16</v>
      </c>
      <c r="B428" s="3">
        <v>40792</v>
      </c>
      <c r="C428" s="1">
        <v>886.78258143004041</v>
      </c>
      <c r="D428" s="1">
        <v>98.531397936671155</v>
      </c>
      <c r="E428" s="1">
        <f t="shared" si="24"/>
        <v>526.78258143004041</v>
      </c>
      <c r="F428" s="1">
        <f t="shared" si="25"/>
        <v>360</v>
      </c>
      <c r="G428" s="2">
        <v>9</v>
      </c>
      <c r="H428" s="1">
        <v>58.531397936671155</v>
      </c>
      <c r="I428" s="1">
        <v>40</v>
      </c>
      <c r="J428" s="1">
        <f t="shared" si="26"/>
        <v>1595195.9525738757</v>
      </c>
      <c r="K428" s="1">
        <f t="shared" si="27"/>
        <v>813708.95257387287</v>
      </c>
    </row>
    <row r="429" spans="1:11" x14ac:dyDescent="0.25">
      <c r="A429" t="s">
        <v>19</v>
      </c>
      <c r="B429" s="3">
        <v>40783</v>
      </c>
      <c r="C429" s="1">
        <v>1747.48476905098</v>
      </c>
      <c r="D429" s="1">
        <v>91.972882581630529</v>
      </c>
      <c r="E429" s="1">
        <f t="shared" si="24"/>
        <v>873.48476905098005</v>
      </c>
      <c r="F429" s="1">
        <f t="shared" si="25"/>
        <v>874</v>
      </c>
      <c r="G429" s="2">
        <v>19</v>
      </c>
      <c r="H429" s="1">
        <v>45.972882581630529</v>
      </c>
      <c r="I429" s="1">
        <v>46</v>
      </c>
      <c r="J429" s="1">
        <f t="shared" si="26"/>
        <v>1596943.4373429266</v>
      </c>
      <c r="K429" s="1">
        <f t="shared" si="27"/>
        <v>814582.43734292383</v>
      </c>
    </row>
    <row r="430" spans="1:11" x14ac:dyDescent="0.25">
      <c r="A430" t="s">
        <v>22</v>
      </c>
      <c r="B430" s="3">
        <v>40777</v>
      </c>
      <c r="C430" s="1">
        <v>2318.6793677703999</v>
      </c>
      <c r="D430" s="1">
        <v>110.4133032271619</v>
      </c>
      <c r="E430" s="1">
        <f t="shared" si="24"/>
        <v>1268.6793677703999</v>
      </c>
      <c r="F430" s="1">
        <f t="shared" si="25"/>
        <v>1050</v>
      </c>
      <c r="G430" s="2">
        <v>21</v>
      </c>
      <c r="H430" s="1">
        <v>60.413303227161904</v>
      </c>
      <c r="I430" s="1">
        <v>50</v>
      </c>
      <c r="J430" s="1">
        <f t="shared" si="26"/>
        <v>1599262.1167106971</v>
      </c>
      <c r="K430" s="1">
        <f t="shared" si="27"/>
        <v>815851.11671069427</v>
      </c>
    </row>
    <row r="431" spans="1:11" x14ac:dyDescent="0.25">
      <c r="A431" t="s">
        <v>28</v>
      </c>
      <c r="B431" s="3">
        <v>40749</v>
      </c>
      <c r="C431" s="1">
        <v>319.33864290833856</v>
      </c>
      <c r="D431" s="1">
        <v>106.44621430277951</v>
      </c>
      <c r="E431" s="1">
        <f t="shared" si="24"/>
        <v>160.33864290833856</v>
      </c>
      <c r="F431" s="1">
        <f t="shared" si="25"/>
        <v>159</v>
      </c>
      <c r="G431" s="2">
        <v>3</v>
      </c>
      <c r="H431" s="1">
        <v>53.446214302779516</v>
      </c>
      <c r="I431" s="1">
        <v>53</v>
      </c>
      <c r="J431" s="1">
        <f t="shared" si="26"/>
        <v>1599581.4553536053</v>
      </c>
      <c r="K431" s="1">
        <f t="shared" si="27"/>
        <v>816011.45535360265</v>
      </c>
    </row>
    <row r="432" spans="1:11" x14ac:dyDescent="0.25">
      <c r="A432" t="s">
        <v>27</v>
      </c>
      <c r="B432" s="3">
        <v>40740</v>
      </c>
      <c r="C432" s="1">
        <v>4183.9352062754933</v>
      </c>
      <c r="D432" s="1">
        <v>130.74797519610917</v>
      </c>
      <c r="E432" s="1">
        <f t="shared" si="24"/>
        <v>1783.9352062754936</v>
      </c>
      <c r="F432" s="1">
        <f t="shared" si="25"/>
        <v>2400</v>
      </c>
      <c r="G432" s="2">
        <v>32</v>
      </c>
      <c r="H432" s="1">
        <v>55.747975196109174</v>
      </c>
      <c r="I432" s="1">
        <v>75</v>
      </c>
      <c r="J432" s="1">
        <f t="shared" si="26"/>
        <v>1603765.3905598808</v>
      </c>
      <c r="K432" s="1">
        <f t="shared" si="27"/>
        <v>817795.3905598782</v>
      </c>
    </row>
    <row r="433" spans="1:11" x14ac:dyDescent="0.25">
      <c r="A433" t="s">
        <v>22</v>
      </c>
      <c r="B433" s="3">
        <v>40733</v>
      </c>
      <c r="C433" s="1">
        <v>5669.6087781202723</v>
      </c>
      <c r="D433" s="1">
        <v>138.28314092976274</v>
      </c>
      <c r="E433" s="1">
        <f t="shared" si="24"/>
        <v>2512.6087781202723</v>
      </c>
      <c r="F433" s="1">
        <f t="shared" si="25"/>
        <v>3157</v>
      </c>
      <c r="G433" s="2">
        <v>41</v>
      </c>
      <c r="H433" s="1">
        <v>61.283140929762737</v>
      </c>
      <c r="I433" s="1">
        <v>77</v>
      </c>
      <c r="J433" s="1">
        <f t="shared" si="26"/>
        <v>1609434.999338001</v>
      </c>
      <c r="K433" s="1">
        <f t="shared" si="27"/>
        <v>820307.99933799845</v>
      </c>
    </row>
    <row r="434" spans="1:11" x14ac:dyDescent="0.25">
      <c r="A434" t="s">
        <v>23</v>
      </c>
      <c r="B434" s="3">
        <v>40720</v>
      </c>
      <c r="C434" s="1">
        <v>682.47289906258391</v>
      </c>
      <c r="D434" s="1">
        <v>28.436370794274328</v>
      </c>
      <c r="E434" s="1">
        <f t="shared" si="24"/>
        <v>442.47289906258391</v>
      </c>
      <c r="F434" s="1">
        <f t="shared" si="25"/>
        <v>240</v>
      </c>
      <c r="G434" s="2">
        <v>24</v>
      </c>
      <c r="H434" s="1">
        <v>18.436370794274328</v>
      </c>
      <c r="I434" s="1">
        <v>10</v>
      </c>
      <c r="J434" s="1">
        <f t="shared" si="26"/>
        <v>1610117.4722370636</v>
      </c>
      <c r="K434" s="1">
        <f t="shared" si="27"/>
        <v>820750.47223706101</v>
      </c>
    </row>
    <row r="435" spans="1:11" x14ac:dyDescent="0.25">
      <c r="A435" t="s">
        <v>46</v>
      </c>
      <c r="B435" s="3">
        <v>40702</v>
      </c>
      <c r="C435" s="1">
        <v>674.94298258804611</v>
      </c>
      <c r="D435" s="1">
        <v>96.420426084006579</v>
      </c>
      <c r="E435" s="1">
        <f t="shared" si="24"/>
        <v>443.94298258804611</v>
      </c>
      <c r="F435" s="1">
        <f t="shared" si="25"/>
        <v>231</v>
      </c>
      <c r="G435" s="2">
        <v>7</v>
      </c>
      <c r="H435" s="1">
        <v>63.420426084006586</v>
      </c>
      <c r="I435" s="1">
        <v>33</v>
      </c>
      <c r="J435" s="1">
        <f t="shared" si="26"/>
        <v>1610792.4152196515</v>
      </c>
      <c r="K435" s="1">
        <f t="shared" si="27"/>
        <v>821194.41521964909</v>
      </c>
    </row>
    <row r="436" spans="1:11" x14ac:dyDescent="0.25">
      <c r="A436" t="s">
        <v>17</v>
      </c>
      <c r="B436" s="3">
        <v>40689</v>
      </c>
      <c r="C436" s="1">
        <v>2497.7708434652341</v>
      </c>
      <c r="D436" s="1">
        <v>104.07378514438476</v>
      </c>
      <c r="E436" s="1">
        <f t="shared" si="24"/>
        <v>1081.7708434652341</v>
      </c>
      <c r="F436" s="1">
        <f t="shared" si="25"/>
        <v>1416</v>
      </c>
      <c r="G436" s="2">
        <v>24</v>
      </c>
      <c r="H436" s="1">
        <v>45.073785144384757</v>
      </c>
      <c r="I436" s="1">
        <v>59</v>
      </c>
      <c r="J436" s="1">
        <f t="shared" si="26"/>
        <v>1613290.1860631169</v>
      </c>
      <c r="K436" s="1">
        <f t="shared" si="27"/>
        <v>822276.18606311432</v>
      </c>
    </row>
    <row r="437" spans="1:11" x14ac:dyDescent="0.25">
      <c r="A437" t="s">
        <v>41</v>
      </c>
      <c r="B437" s="3">
        <v>40673</v>
      </c>
      <c r="C437" s="1">
        <v>2083.2998993658457</v>
      </c>
      <c r="D437" s="1">
        <v>122.54705290387326</v>
      </c>
      <c r="E437" s="1">
        <f t="shared" si="24"/>
        <v>978.29989936584559</v>
      </c>
      <c r="F437" s="1">
        <f t="shared" si="25"/>
        <v>1105</v>
      </c>
      <c r="G437" s="2">
        <v>17</v>
      </c>
      <c r="H437" s="1">
        <v>57.547052903873272</v>
      </c>
      <c r="I437" s="1">
        <v>65</v>
      </c>
      <c r="J437" s="1">
        <f t="shared" si="26"/>
        <v>1615373.4859624826</v>
      </c>
      <c r="K437" s="1">
        <f t="shared" si="27"/>
        <v>823254.48596248019</v>
      </c>
    </row>
    <row r="438" spans="1:11" x14ac:dyDescent="0.25">
      <c r="A438" t="s">
        <v>14</v>
      </c>
      <c r="B438" s="3">
        <v>40664</v>
      </c>
      <c r="C438" s="1">
        <v>6089.3539903120918</v>
      </c>
      <c r="D438" s="1">
        <v>144.98461881695457</v>
      </c>
      <c r="E438" s="1">
        <f t="shared" si="24"/>
        <v>2561.3539903120923</v>
      </c>
      <c r="F438" s="1">
        <f t="shared" si="25"/>
        <v>3528</v>
      </c>
      <c r="G438" s="2">
        <v>42</v>
      </c>
      <c r="H438" s="1">
        <v>60.984618816954573</v>
      </c>
      <c r="I438" s="1">
        <v>84</v>
      </c>
      <c r="J438" s="1">
        <f t="shared" si="26"/>
        <v>1621462.8399527948</v>
      </c>
      <c r="K438" s="1">
        <f t="shared" si="27"/>
        <v>825815.83995279227</v>
      </c>
    </row>
    <row r="439" spans="1:11" x14ac:dyDescent="0.25">
      <c r="A439" t="s">
        <v>19</v>
      </c>
      <c r="B439" s="3">
        <v>40663</v>
      </c>
      <c r="C439" s="1">
        <v>5566.3468796291199</v>
      </c>
      <c r="D439" s="1">
        <v>109.14405646331608</v>
      </c>
      <c r="E439" s="1">
        <f t="shared" si="24"/>
        <v>2251.3468796291204</v>
      </c>
      <c r="F439" s="1">
        <f t="shared" si="25"/>
        <v>3315</v>
      </c>
      <c r="G439" s="2">
        <v>51</v>
      </c>
      <c r="H439" s="1">
        <v>44.144056463316083</v>
      </c>
      <c r="I439" s="1">
        <v>65</v>
      </c>
      <c r="J439" s="1">
        <f t="shared" si="26"/>
        <v>1627029.186832424</v>
      </c>
      <c r="K439" s="1">
        <f t="shared" si="27"/>
        <v>828067.18683242134</v>
      </c>
    </row>
    <row r="440" spans="1:11" x14ac:dyDescent="0.25">
      <c r="A440" t="s">
        <v>42</v>
      </c>
      <c r="B440" s="3">
        <v>40659</v>
      </c>
      <c r="C440" s="1">
        <v>7606.0419167996461</v>
      </c>
      <c r="D440" s="1">
        <v>77.612672620404553</v>
      </c>
      <c r="E440" s="1">
        <f t="shared" si="24"/>
        <v>4078.0419167996461</v>
      </c>
      <c r="F440" s="1">
        <f t="shared" si="25"/>
        <v>3528</v>
      </c>
      <c r="G440" s="2">
        <v>98</v>
      </c>
      <c r="H440" s="1">
        <v>41.612672620404553</v>
      </c>
      <c r="I440" s="1">
        <v>36</v>
      </c>
      <c r="J440" s="1">
        <f t="shared" si="26"/>
        <v>1634635.2287492238</v>
      </c>
      <c r="K440" s="1">
        <f t="shared" si="27"/>
        <v>832145.22874922096</v>
      </c>
    </row>
    <row r="441" spans="1:11" x14ac:dyDescent="0.25">
      <c r="A441" t="s">
        <v>38</v>
      </c>
      <c r="B441" s="3">
        <v>40657</v>
      </c>
      <c r="C441" s="1">
        <v>60333.222814898872</v>
      </c>
      <c r="D441" s="1">
        <v>151.97285343803242</v>
      </c>
      <c r="E441" s="1">
        <f t="shared" si="24"/>
        <v>26985.222814898869</v>
      </c>
      <c r="F441" s="1">
        <f t="shared" si="25"/>
        <v>33348</v>
      </c>
      <c r="G441" s="2">
        <v>397</v>
      </c>
      <c r="H441" s="1">
        <v>67.972853438032416</v>
      </c>
      <c r="I441" s="1">
        <v>84</v>
      </c>
      <c r="J441" s="1">
        <f t="shared" si="26"/>
        <v>1694968.4515641227</v>
      </c>
      <c r="K441" s="1">
        <f t="shared" si="27"/>
        <v>859130.45156411978</v>
      </c>
    </row>
    <row r="442" spans="1:11" x14ac:dyDescent="0.25">
      <c r="A442" t="s">
        <v>15</v>
      </c>
      <c r="B442" s="3">
        <v>40655</v>
      </c>
      <c r="C442" s="1">
        <v>5725.7120434651843</v>
      </c>
      <c r="D442" s="1">
        <v>116.85126619316702</v>
      </c>
      <c r="E442" s="1">
        <f t="shared" si="24"/>
        <v>3814.7120434651843</v>
      </c>
      <c r="F442" s="1">
        <f t="shared" si="25"/>
        <v>1911</v>
      </c>
      <c r="G442" s="2">
        <v>49</v>
      </c>
      <c r="H442" s="1">
        <v>77.851266193167021</v>
      </c>
      <c r="I442" s="1">
        <v>39</v>
      </c>
      <c r="J442" s="1">
        <f t="shared" si="26"/>
        <v>1700694.1636075878</v>
      </c>
      <c r="K442" s="1">
        <f t="shared" si="27"/>
        <v>862945.16360758501</v>
      </c>
    </row>
    <row r="443" spans="1:11" x14ac:dyDescent="0.25">
      <c r="A443" t="s">
        <v>40</v>
      </c>
      <c r="B443" s="3">
        <v>40642</v>
      </c>
      <c r="C443" s="1">
        <v>1813.6865731132893</v>
      </c>
      <c r="D443" s="1">
        <v>67.173576781973679</v>
      </c>
      <c r="E443" s="1">
        <f t="shared" si="24"/>
        <v>868.68657311328911</v>
      </c>
      <c r="F443" s="1">
        <f t="shared" si="25"/>
        <v>945</v>
      </c>
      <c r="G443" s="2">
        <v>27</v>
      </c>
      <c r="H443" s="1">
        <v>32.173576781973672</v>
      </c>
      <c r="I443" s="1">
        <v>35</v>
      </c>
      <c r="J443" s="1">
        <f t="shared" si="26"/>
        <v>1702507.8501807011</v>
      </c>
      <c r="K443" s="1">
        <f t="shared" si="27"/>
        <v>863813.85018069833</v>
      </c>
    </row>
    <row r="444" spans="1:11" x14ac:dyDescent="0.25">
      <c r="A444" t="s">
        <v>25</v>
      </c>
      <c r="B444" s="3">
        <v>40636</v>
      </c>
      <c r="C444" s="1">
        <v>20361.007449716686</v>
      </c>
      <c r="D444" s="1">
        <v>154.25005643724762</v>
      </c>
      <c r="E444" s="1">
        <f t="shared" si="24"/>
        <v>9273.0074497166879</v>
      </c>
      <c r="F444" s="1">
        <f t="shared" si="25"/>
        <v>11088</v>
      </c>
      <c r="G444" s="2">
        <v>132</v>
      </c>
      <c r="H444" s="1">
        <v>70.250056437247636</v>
      </c>
      <c r="I444" s="1">
        <v>84</v>
      </c>
      <c r="J444" s="1">
        <f t="shared" si="26"/>
        <v>1722868.8576304179</v>
      </c>
      <c r="K444" s="1">
        <f t="shared" si="27"/>
        <v>873086.857630415</v>
      </c>
    </row>
    <row r="445" spans="1:11" x14ac:dyDescent="0.25">
      <c r="A445" t="s">
        <v>45</v>
      </c>
      <c r="B445" s="3">
        <v>40622</v>
      </c>
      <c r="C445" s="1">
        <v>1771.5482909589184</v>
      </c>
      <c r="D445" s="1">
        <v>161.04984463262895</v>
      </c>
      <c r="E445" s="1">
        <f t="shared" si="24"/>
        <v>1012.5482909589183</v>
      </c>
      <c r="F445" s="1">
        <f t="shared" si="25"/>
        <v>759</v>
      </c>
      <c r="G445" s="2">
        <v>11</v>
      </c>
      <c r="H445" s="1">
        <v>92.049844632628933</v>
      </c>
      <c r="I445" s="1">
        <v>69</v>
      </c>
      <c r="J445" s="1">
        <f t="shared" si="26"/>
        <v>1724640.4059213768</v>
      </c>
      <c r="K445" s="1">
        <f t="shared" si="27"/>
        <v>874099.40592137387</v>
      </c>
    </row>
    <row r="446" spans="1:11" x14ac:dyDescent="0.25">
      <c r="A446" t="s">
        <v>37</v>
      </c>
      <c r="B446" s="3">
        <v>40594</v>
      </c>
      <c r="C446" s="1">
        <v>2433.4032311735659</v>
      </c>
      <c r="D446" s="1">
        <v>143.14136653962152</v>
      </c>
      <c r="E446" s="1">
        <f t="shared" si="24"/>
        <v>1022.4032311735657</v>
      </c>
      <c r="F446" s="1">
        <f t="shared" si="25"/>
        <v>1411</v>
      </c>
      <c r="G446" s="2">
        <v>17</v>
      </c>
      <c r="H446" s="1">
        <v>60.141366539621515</v>
      </c>
      <c r="I446" s="1">
        <v>83</v>
      </c>
      <c r="J446" s="1">
        <f t="shared" si="26"/>
        <v>1727073.8091525503</v>
      </c>
      <c r="K446" s="1">
        <f t="shared" si="27"/>
        <v>875121.80915254739</v>
      </c>
    </row>
    <row r="447" spans="1:11" x14ac:dyDescent="0.25">
      <c r="A447" t="s">
        <v>48</v>
      </c>
      <c r="B447" s="3">
        <v>40583</v>
      </c>
      <c r="C447" s="1">
        <v>820.43618552439227</v>
      </c>
      <c r="D447" s="1">
        <v>68.369682127032689</v>
      </c>
      <c r="E447" s="1">
        <f t="shared" si="24"/>
        <v>484.43618552439227</v>
      </c>
      <c r="F447" s="1">
        <f t="shared" si="25"/>
        <v>336</v>
      </c>
      <c r="G447" s="2">
        <v>12</v>
      </c>
      <c r="H447" s="1">
        <v>40.369682127032689</v>
      </c>
      <c r="I447" s="1">
        <v>28</v>
      </c>
      <c r="J447" s="1">
        <f t="shared" si="26"/>
        <v>1727894.2453380746</v>
      </c>
      <c r="K447" s="1">
        <f t="shared" si="27"/>
        <v>875606.24533807184</v>
      </c>
    </row>
    <row r="448" spans="1:11" x14ac:dyDescent="0.25">
      <c r="A448" t="s">
        <v>47</v>
      </c>
      <c r="B448" s="3">
        <v>40570</v>
      </c>
      <c r="C448" s="1">
        <v>15041.733490758397</v>
      </c>
      <c r="D448" s="1">
        <v>103.02557185450956</v>
      </c>
      <c r="E448" s="1">
        <f t="shared" si="24"/>
        <v>7303.7334907583963</v>
      </c>
      <c r="F448" s="1">
        <f t="shared" si="25"/>
        <v>7738</v>
      </c>
      <c r="G448" s="2">
        <v>146</v>
      </c>
      <c r="H448" s="1">
        <v>50.025571854509565</v>
      </c>
      <c r="I448" s="1">
        <v>53</v>
      </c>
      <c r="J448" s="1">
        <f t="shared" si="26"/>
        <v>1742935.978828833</v>
      </c>
      <c r="K448" s="1">
        <f t="shared" si="27"/>
        <v>882909.97882883018</v>
      </c>
    </row>
    <row r="449" spans="1:11" x14ac:dyDescent="0.25">
      <c r="A449" t="s">
        <v>28</v>
      </c>
      <c r="B449" s="3">
        <v>40555</v>
      </c>
      <c r="C449" s="1">
        <v>1865.8036396427635</v>
      </c>
      <c r="D449" s="1">
        <v>60.187214182024633</v>
      </c>
      <c r="E449" s="1">
        <f t="shared" si="24"/>
        <v>1183.8036396427635</v>
      </c>
      <c r="F449" s="1">
        <f t="shared" si="25"/>
        <v>682</v>
      </c>
      <c r="G449" s="2">
        <v>31</v>
      </c>
      <c r="H449" s="1">
        <v>38.187214182024633</v>
      </c>
      <c r="I449" s="1">
        <v>22</v>
      </c>
      <c r="J449" s="1">
        <f t="shared" si="26"/>
        <v>1744801.7824684756</v>
      </c>
      <c r="K449" s="1">
        <f t="shared" si="27"/>
        <v>884093.78246847296</v>
      </c>
    </row>
    <row r="450" spans="1:11" x14ac:dyDescent="0.25">
      <c r="A450" t="s">
        <v>31</v>
      </c>
      <c r="B450" s="3">
        <v>40547</v>
      </c>
      <c r="C450" s="1">
        <v>782.6477371441747</v>
      </c>
      <c r="D450" s="1">
        <v>71.149794285834062</v>
      </c>
      <c r="E450" s="1">
        <f t="shared" si="24"/>
        <v>364.6477371441747</v>
      </c>
      <c r="F450" s="1">
        <f t="shared" si="25"/>
        <v>418</v>
      </c>
      <c r="G450" s="2">
        <v>11</v>
      </c>
      <c r="H450" s="1">
        <v>33.149794285834062</v>
      </c>
      <c r="I450" s="1">
        <v>38</v>
      </c>
      <c r="J450" s="1">
        <f t="shared" si="26"/>
        <v>1745584.4302056199</v>
      </c>
      <c r="K450" s="1">
        <f t="shared" si="27"/>
        <v>884458.4302056171</v>
      </c>
    </row>
    <row r="451" spans="1:11" x14ac:dyDescent="0.25">
      <c r="A451" t="s">
        <v>35</v>
      </c>
      <c r="B451" s="3">
        <v>40546</v>
      </c>
      <c r="C451" s="1">
        <v>2709.1673592439283</v>
      </c>
      <c r="D451" s="1">
        <v>135.45836796219641</v>
      </c>
      <c r="E451" s="1">
        <f t="shared" si="24"/>
        <v>1309.1673592439281</v>
      </c>
      <c r="F451" s="1">
        <f t="shared" si="25"/>
        <v>1400</v>
      </c>
      <c r="G451" s="2">
        <v>20</v>
      </c>
      <c r="H451" s="1">
        <v>65.458367962196405</v>
      </c>
      <c r="I451" s="1">
        <v>70</v>
      </c>
      <c r="J451" s="1">
        <f t="shared" si="26"/>
        <v>1748293.5975648637</v>
      </c>
      <c r="K451" s="1">
        <f t="shared" si="27"/>
        <v>885767.59756486106</v>
      </c>
    </row>
    <row r="452" spans="1:11" x14ac:dyDescent="0.25">
      <c r="A452" t="s">
        <v>46</v>
      </c>
      <c r="B452" s="3">
        <v>40524</v>
      </c>
      <c r="C452" s="1">
        <v>4813.9413667131639</v>
      </c>
      <c r="D452" s="1">
        <v>200.58089027971516</v>
      </c>
      <c r="E452" s="1">
        <f t="shared" ref="E452:E502" si="28">+G452*H452</f>
        <v>2557.9413667131635</v>
      </c>
      <c r="F452" s="1">
        <f t="shared" ref="F452:F502" si="29">+G452*I452</f>
        <v>2256</v>
      </c>
      <c r="G452" s="2">
        <v>24</v>
      </c>
      <c r="H452" s="1">
        <v>106.58089027971515</v>
      </c>
      <c r="I452" s="1">
        <v>94</v>
      </c>
      <c r="J452" s="1">
        <f t="shared" si="26"/>
        <v>1753107.538931577</v>
      </c>
      <c r="K452" s="1">
        <f t="shared" si="27"/>
        <v>888325.53893157421</v>
      </c>
    </row>
    <row r="453" spans="1:11" x14ac:dyDescent="0.25">
      <c r="A453" t="s">
        <v>38</v>
      </c>
      <c r="B453" s="3">
        <v>40523</v>
      </c>
      <c r="C453" s="1">
        <v>620.23770514896228</v>
      </c>
      <c r="D453" s="1">
        <v>88.60538644985175</v>
      </c>
      <c r="E453" s="1">
        <f t="shared" si="28"/>
        <v>291.23770514896228</v>
      </c>
      <c r="F453" s="1">
        <f t="shared" si="29"/>
        <v>329</v>
      </c>
      <c r="G453" s="2">
        <v>7</v>
      </c>
      <c r="H453" s="1">
        <v>41.60538644985175</v>
      </c>
      <c r="I453" s="1">
        <v>47</v>
      </c>
      <c r="J453" s="1">
        <f t="shared" ref="J453:J502" si="30">+J452+C453</f>
        <v>1753727.776636726</v>
      </c>
      <c r="K453" s="1">
        <f t="shared" ref="K453:K502" si="31">+K452+E453</f>
        <v>888616.7766367232</v>
      </c>
    </row>
    <row r="454" spans="1:11" x14ac:dyDescent="0.25">
      <c r="A454" t="s">
        <v>17</v>
      </c>
      <c r="B454" s="3">
        <v>40511</v>
      </c>
      <c r="C454" s="1">
        <v>2008.1172764618063</v>
      </c>
      <c r="D454" s="1">
        <v>200.81172764618063</v>
      </c>
      <c r="E454" s="1">
        <f t="shared" si="28"/>
        <v>808.11727646180634</v>
      </c>
      <c r="F454" s="1">
        <f t="shared" si="29"/>
        <v>1200</v>
      </c>
      <c r="G454" s="2">
        <v>10</v>
      </c>
      <c r="H454" s="1">
        <v>80.811727646180628</v>
      </c>
      <c r="I454" s="1">
        <v>120</v>
      </c>
      <c r="J454" s="1">
        <f t="shared" si="30"/>
        <v>1755735.8939131878</v>
      </c>
      <c r="K454" s="1">
        <f t="shared" si="31"/>
        <v>889424.89391318499</v>
      </c>
    </row>
    <row r="455" spans="1:11" x14ac:dyDescent="0.25">
      <c r="A455" t="s">
        <v>30</v>
      </c>
      <c r="B455" s="3">
        <v>40508</v>
      </c>
      <c r="C455" s="1">
        <v>5714.6416107598088</v>
      </c>
      <c r="D455" s="1">
        <v>139.38150270145874</v>
      </c>
      <c r="E455" s="1">
        <f t="shared" si="28"/>
        <v>2762.6416107598084</v>
      </c>
      <c r="F455" s="1">
        <f t="shared" si="29"/>
        <v>2952</v>
      </c>
      <c r="G455" s="2">
        <v>41</v>
      </c>
      <c r="H455" s="1">
        <v>67.381502701458743</v>
      </c>
      <c r="I455" s="1">
        <v>72</v>
      </c>
      <c r="J455" s="1">
        <f t="shared" si="30"/>
        <v>1761450.5355239476</v>
      </c>
      <c r="K455" s="1">
        <f t="shared" si="31"/>
        <v>892187.53552394477</v>
      </c>
    </row>
    <row r="456" spans="1:11" x14ac:dyDescent="0.25">
      <c r="A456" t="s">
        <v>23</v>
      </c>
      <c r="B456" s="3">
        <v>40483</v>
      </c>
      <c r="C456" s="1">
        <v>17122.693416919028</v>
      </c>
      <c r="D456" s="1">
        <v>155.66084924471843</v>
      </c>
      <c r="E456" s="1">
        <f t="shared" si="28"/>
        <v>7002.693416919029</v>
      </c>
      <c r="F456" s="1">
        <f t="shared" si="29"/>
        <v>10120</v>
      </c>
      <c r="G456" s="2">
        <v>110</v>
      </c>
      <c r="H456" s="1">
        <v>63.660849244718442</v>
      </c>
      <c r="I456" s="1">
        <v>92</v>
      </c>
      <c r="J456" s="1">
        <f t="shared" si="30"/>
        <v>1778573.2289408667</v>
      </c>
      <c r="K456" s="1">
        <f t="shared" si="31"/>
        <v>899190.22894086374</v>
      </c>
    </row>
    <row r="457" spans="1:11" x14ac:dyDescent="0.25">
      <c r="A457" t="s">
        <v>12</v>
      </c>
      <c r="B457" s="3">
        <v>40465</v>
      </c>
      <c r="C457" s="1">
        <v>1518.5955767122027</v>
      </c>
      <c r="D457" s="1">
        <v>63.274815696341776</v>
      </c>
      <c r="E457" s="1">
        <f t="shared" si="28"/>
        <v>774.59557671220261</v>
      </c>
      <c r="F457" s="1">
        <f t="shared" si="29"/>
        <v>744</v>
      </c>
      <c r="G457" s="2">
        <v>24</v>
      </c>
      <c r="H457" s="1">
        <v>32.274815696341776</v>
      </c>
      <c r="I457" s="1">
        <v>31</v>
      </c>
      <c r="J457" s="1">
        <f t="shared" si="30"/>
        <v>1780091.8245175788</v>
      </c>
      <c r="K457" s="1">
        <f t="shared" si="31"/>
        <v>899964.82451757591</v>
      </c>
    </row>
    <row r="458" spans="1:11" x14ac:dyDescent="0.25">
      <c r="A458" t="s">
        <v>30</v>
      </c>
      <c r="B458" s="3">
        <v>40458</v>
      </c>
      <c r="C458" s="1">
        <v>4791.9945462407004</v>
      </c>
      <c r="D458" s="1">
        <v>140.94101606590294</v>
      </c>
      <c r="E458" s="1">
        <f t="shared" si="28"/>
        <v>2207.9945462406999</v>
      </c>
      <c r="F458" s="1">
        <f t="shared" si="29"/>
        <v>2584</v>
      </c>
      <c r="G458" s="2">
        <v>34</v>
      </c>
      <c r="H458" s="1">
        <v>64.941016065902943</v>
      </c>
      <c r="I458" s="1">
        <v>76</v>
      </c>
      <c r="J458" s="1">
        <f t="shared" si="30"/>
        <v>1784883.8190638195</v>
      </c>
      <c r="K458" s="1">
        <f t="shared" si="31"/>
        <v>902172.81906381657</v>
      </c>
    </row>
    <row r="459" spans="1:11" x14ac:dyDescent="0.25">
      <c r="A459" t="s">
        <v>25</v>
      </c>
      <c r="B459" s="3">
        <v>40455</v>
      </c>
      <c r="C459" s="1">
        <v>5858.9756242709436</v>
      </c>
      <c r="D459" s="1">
        <v>162.74932289641509</v>
      </c>
      <c r="E459" s="1">
        <f t="shared" si="28"/>
        <v>2510.9756242709441</v>
      </c>
      <c r="F459" s="1">
        <f t="shared" si="29"/>
        <v>3348</v>
      </c>
      <c r="G459" s="2">
        <v>36</v>
      </c>
      <c r="H459" s="1">
        <v>69.749322896415109</v>
      </c>
      <c r="I459" s="1">
        <v>93</v>
      </c>
      <c r="J459" s="1">
        <f t="shared" si="30"/>
        <v>1790742.7946880904</v>
      </c>
      <c r="K459" s="1">
        <f t="shared" si="31"/>
        <v>904683.79468808754</v>
      </c>
    </row>
    <row r="460" spans="1:11" x14ac:dyDescent="0.25">
      <c r="A460" t="s">
        <v>48</v>
      </c>
      <c r="B460" s="3">
        <v>40447</v>
      </c>
      <c r="C460" s="1">
        <v>256.35409088773622</v>
      </c>
      <c r="D460" s="1">
        <v>85.451363629245407</v>
      </c>
      <c r="E460" s="1">
        <f t="shared" si="28"/>
        <v>151.35409088773619</v>
      </c>
      <c r="F460" s="1">
        <f t="shared" si="29"/>
        <v>105</v>
      </c>
      <c r="G460" s="2">
        <v>3</v>
      </c>
      <c r="H460" s="1">
        <v>50.4513636292454</v>
      </c>
      <c r="I460" s="1">
        <v>35</v>
      </c>
      <c r="J460" s="1">
        <f t="shared" si="30"/>
        <v>1790999.1487789783</v>
      </c>
      <c r="K460" s="1">
        <f t="shared" si="31"/>
        <v>904835.14877897524</v>
      </c>
    </row>
    <row r="461" spans="1:11" x14ac:dyDescent="0.25">
      <c r="A461" t="s">
        <v>28</v>
      </c>
      <c r="B461" s="3">
        <v>40446</v>
      </c>
      <c r="C461" s="1">
        <v>4086.7190900843243</v>
      </c>
      <c r="D461" s="1">
        <v>177.68343869931846</v>
      </c>
      <c r="E461" s="1">
        <f t="shared" si="28"/>
        <v>2637.7190900843243</v>
      </c>
      <c r="F461" s="1">
        <f t="shared" si="29"/>
        <v>1449</v>
      </c>
      <c r="G461" s="2">
        <v>23</v>
      </c>
      <c r="H461" s="1">
        <v>114.68343869931844</v>
      </c>
      <c r="I461" s="1">
        <v>63</v>
      </c>
      <c r="J461" s="1">
        <f t="shared" si="30"/>
        <v>1795085.8678690626</v>
      </c>
      <c r="K461" s="1">
        <f t="shared" si="31"/>
        <v>907472.86786905956</v>
      </c>
    </row>
    <row r="462" spans="1:11" x14ac:dyDescent="0.25">
      <c r="A462" t="s">
        <v>39</v>
      </c>
      <c r="B462" s="3">
        <v>40444</v>
      </c>
      <c r="C462" s="1">
        <v>8263.5451526523029</v>
      </c>
      <c r="D462" s="1">
        <v>236.1012900757801</v>
      </c>
      <c r="E462" s="1">
        <f t="shared" si="28"/>
        <v>4133.5451526523038</v>
      </c>
      <c r="F462" s="1">
        <f t="shared" si="29"/>
        <v>4130</v>
      </c>
      <c r="G462" s="2">
        <v>35</v>
      </c>
      <c r="H462" s="1">
        <v>118.1012900757801</v>
      </c>
      <c r="I462" s="1">
        <v>118</v>
      </c>
      <c r="J462" s="1">
        <f t="shared" si="30"/>
        <v>1803349.4130217149</v>
      </c>
      <c r="K462" s="1">
        <f t="shared" si="31"/>
        <v>911606.41302171187</v>
      </c>
    </row>
    <row r="463" spans="1:11" x14ac:dyDescent="0.25">
      <c r="A463" t="s">
        <v>42</v>
      </c>
      <c r="B463" s="3">
        <v>40444</v>
      </c>
      <c r="C463" s="1">
        <v>345.29450063896036</v>
      </c>
      <c r="D463" s="1">
        <v>86.323625159740089</v>
      </c>
      <c r="E463" s="1">
        <f t="shared" si="28"/>
        <v>201.29450063896039</v>
      </c>
      <c r="F463" s="1">
        <f t="shared" si="29"/>
        <v>144</v>
      </c>
      <c r="G463" s="2">
        <v>4</v>
      </c>
      <c r="H463" s="1">
        <v>50.323625159740097</v>
      </c>
      <c r="I463" s="1">
        <v>36</v>
      </c>
      <c r="J463" s="1">
        <f t="shared" si="30"/>
        <v>1803694.7075223539</v>
      </c>
      <c r="K463" s="1">
        <f t="shared" si="31"/>
        <v>911807.70752235083</v>
      </c>
    </row>
    <row r="464" spans="1:11" x14ac:dyDescent="0.25">
      <c r="A464" t="s">
        <v>15</v>
      </c>
      <c r="B464" s="3">
        <v>40441</v>
      </c>
      <c r="C464" s="1">
        <v>4623.846363739548</v>
      </c>
      <c r="D464" s="1">
        <v>154.12821212465161</v>
      </c>
      <c r="E464" s="1">
        <f t="shared" si="28"/>
        <v>2853.846363739548</v>
      </c>
      <c r="F464" s="1">
        <f t="shared" si="29"/>
        <v>1770</v>
      </c>
      <c r="G464" s="2">
        <v>30</v>
      </c>
      <c r="H464" s="1">
        <v>95.128212124651597</v>
      </c>
      <c r="I464" s="1">
        <v>59</v>
      </c>
      <c r="J464" s="1">
        <f t="shared" si="30"/>
        <v>1808318.5538860934</v>
      </c>
      <c r="K464" s="1">
        <f t="shared" si="31"/>
        <v>914661.55388609041</v>
      </c>
    </row>
    <row r="465" spans="1:11" x14ac:dyDescent="0.25">
      <c r="A465" t="s">
        <v>48</v>
      </c>
      <c r="B465" s="3">
        <v>40439</v>
      </c>
      <c r="C465" s="1">
        <v>1794.2259205206624</v>
      </c>
      <c r="D465" s="1">
        <v>179.42259205206625</v>
      </c>
      <c r="E465" s="1">
        <f t="shared" si="28"/>
        <v>774.22592052066261</v>
      </c>
      <c r="F465" s="1">
        <f t="shared" si="29"/>
        <v>1020</v>
      </c>
      <c r="G465" s="2">
        <v>10</v>
      </c>
      <c r="H465" s="1">
        <v>77.422592052066264</v>
      </c>
      <c r="I465" s="1">
        <v>102</v>
      </c>
      <c r="J465" s="1">
        <f t="shared" si="30"/>
        <v>1810112.7798066142</v>
      </c>
      <c r="K465" s="1">
        <f t="shared" si="31"/>
        <v>915435.77980661101</v>
      </c>
    </row>
    <row r="466" spans="1:11" x14ac:dyDescent="0.25">
      <c r="A466" t="s">
        <v>36</v>
      </c>
      <c r="B466" s="3">
        <v>40431</v>
      </c>
      <c r="C466" s="1">
        <v>780.72550095270969</v>
      </c>
      <c r="D466" s="1">
        <v>33.944586997943901</v>
      </c>
      <c r="E466" s="1">
        <f t="shared" si="28"/>
        <v>320.72550095270969</v>
      </c>
      <c r="F466" s="1">
        <f t="shared" si="29"/>
        <v>460</v>
      </c>
      <c r="G466" s="2">
        <v>23</v>
      </c>
      <c r="H466" s="1">
        <v>13.944586997943901</v>
      </c>
      <c r="I466" s="1">
        <v>20</v>
      </c>
      <c r="J466" s="1">
        <f t="shared" si="30"/>
        <v>1810893.5053075668</v>
      </c>
      <c r="K466" s="1">
        <f t="shared" si="31"/>
        <v>915756.5053075637</v>
      </c>
    </row>
    <row r="467" spans="1:11" x14ac:dyDescent="0.25">
      <c r="A467" t="s">
        <v>32</v>
      </c>
      <c r="B467" s="3">
        <v>40423</v>
      </c>
      <c r="C467" s="1">
        <v>1209.3993858695258</v>
      </c>
      <c r="D467" s="1">
        <v>151.17492323369072</v>
      </c>
      <c r="E467" s="1">
        <f t="shared" si="28"/>
        <v>545.39938586952564</v>
      </c>
      <c r="F467" s="1">
        <f t="shared" si="29"/>
        <v>664</v>
      </c>
      <c r="G467" s="2">
        <v>8</v>
      </c>
      <c r="H467" s="1">
        <v>68.174923233690706</v>
      </c>
      <c r="I467" s="1">
        <v>83</v>
      </c>
      <c r="J467" s="1">
        <f t="shared" si="30"/>
        <v>1812102.9046934363</v>
      </c>
      <c r="K467" s="1">
        <f t="shared" si="31"/>
        <v>916301.9046934332</v>
      </c>
    </row>
    <row r="468" spans="1:11" x14ac:dyDescent="0.25">
      <c r="A468" t="s">
        <v>40</v>
      </c>
      <c r="B468" s="3">
        <v>40423</v>
      </c>
      <c r="C468" s="1">
        <v>22023.725259081082</v>
      </c>
      <c r="D468" s="1">
        <v>236.81425009764604</v>
      </c>
      <c r="E468" s="1">
        <f t="shared" si="28"/>
        <v>9840.7252590810804</v>
      </c>
      <c r="F468" s="1">
        <f t="shared" si="29"/>
        <v>12183</v>
      </c>
      <c r="G468" s="2">
        <v>93</v>
      </c>
      <c r="H468" s="1">
        <v>105.81425009764602</v>
      </c>
      <c r="I468" s="1">
        <v>131</v>
      </c>
      <c r="J468" s="1">
        <f t="shared" si="30"/>
        <v>1834126.6299525173</v>
      </c>
      <c r="K468" s="1">
        <f t="shared" si="31"/>
        <v>926142.62995251431</v>
      </c>
    </row>
    <row r="469" spans="1:11" x14ac:dyDescent="0.25">
      <c r="A469" t="s">
        <v>49</v>
      </c>
      <c r="B469" s="3">
        <v>40420</v>
      </c>
      <c r="C469" s="1">
        <v>1318.2541184066208</v>
      </c>
      <c r="D469" s="1">
        <v>101.40416295435544</v>
      </c>
      <c r="E469" s="1">
        <f t="shared" si="28"/>
        <v>681.25411840662071</v>
      </c>
      <c r="F469" s="1">
        <f t="shared" si="29"/>
        <v>637</v>
      </c>
      <c r="G469" s="2">
        <v>13</v>
      </c>
      <c r="H469" s="1">
        <v>52.404162954355442</v>
      </c>
      <c r="I469" s="1">
        <v>49</v>
      </c>
      <c r="J469" s="1">
        <f t="shared" si="30"/>
        <v>1835444.884070924</v>
      </c>
      <c r="K469" s="1">
        <f t="shared" si="31"/>
        <v>926823.88407092087</v>
      </c>
    </row>
    <row r="470" spans="1:11" x14ac:dyDescent="0.25">
      <c r="A470" t="s">
        <v>19</v>
      </c>
      <c r="B470" s="3">
        <v>40415</v>
      </c>
      <c r="C470" s="1">
        <v>763.94097526845667</v>
      </c>
      <c r="D470" s="1">
        <v>190.98524381711417</v>
      </c>
      <c r="E470" s="1">
        <f t="shared" si="28"/>
        <v>311.94097526845673</v>
      </c>
      <c r="F470" s="1">
        <f t="shared" si="29"/>
        <v>452</v>
      </c>
      <c r="G470" s="2">
        <v>4</v>
      </c>
      <c r="H470" s="1">
        <v>77.985243817114181</v>
      </c>
      <c r="I470" s="1">
        <v>113</v>
      </c>
      <c r="J470" s="1">
        <f t="shared" si="30"/>
        <v>1836208.8250461924</v>
      </c>
      <c r="K470" s="1">
        <f t="shared" si="31"/>
        <v>927135.82504618936</v>
      </c>
    </row>
    <row r="471" spans="1:11" x14ac:dyDescent="0.25">
      <c r="A471" t="s">
        <v>30</v>
      </c>
      <c r="B471" s="3">
        <v>40408</v>
      </c>
      <c r="C471" s="1">
        <v>2586.6375304478952</v>
      </c>
      <c r="D471" s="1">
        <v>99.486058863380592</v>
      </c>
      <c r="E471" s="1">
        <f t="shared" si="28"/>
        <v>1182.6375304478954</v>
      </c>
      <c r="F471" s="1">
        <f t="shared" si="29"/>
        <v>1404</v>
      </c>
      <c r="G471" s="2">
        <v>26</v>
      </c>
      <c r="H471" s="1">
        <v>45.486058863380592</v>
      </c>
      <c r="I471" s="1">
        <v>54</v>
      </c>
      <c r="J471" s="1">
        <f t="shared" si="30"/>
        <v>1838795.4625766403</v>
      </c>
      <c r="K471" s="1">
        <f t="shared" si="31"/>
        <v>928318.46257663728</v>
      </c>
    </row>
    <row r="472" spans="1:11" x14ac:dyDescent="0.25">
      <c r="A472" t="s">
        <v>37</v>
      </c>
      <c r="B472" s="3">
        <v>40407</v>
      </c>
      <c r="C472" s="1">
        <v>443.26545180105126</v>
      </c>
      <c r="D472" s="1">
        <v>73.877575300175209</v>
      </c>
      <c r="E472" s="1">
        <f t="shared" si="28"/>
        <v>191.26545180105128</v>
      </c>
      <c r="F472" s="1">
        <f t="shared" si="29"/>
        <v>252</v>
      </c>
      <c r="G472" s="2">
        <v>6</v>
      </c>
      <c r="H472" s="1">
        <v>31.877575300175213</v>
      </c>
      <c r="I472" s="1">
        <v>42</v>
      </c>
      <c r="J472" s="1">
        <f t="shared" si="30"/>
        <v>1839238.7280284413</v>
      </c>
      <c r="K472" s="1">
        <f t="shared" si="31"/>
        <v>928509.72802843829</v>
      </c>
    </row>
    <row r="473" spans="1:11" x14ac:dyDescent="0.25">
      <c r="A473" t="s">
        <v>35</v>
      </c>
      <c r="B473" s="3">
        <v>40400</v>
      </c>
      <c r="C473" s="1">
        <v>7015.145952615484</v>
      </c>
      <c r="D473" s="1">
        <v>116.91909921025807</v>
      </c>
      <c r="E473" s="1">
        <f t="shared" si="28"/>
        <v>3475.145952615484</v>
      </c>
      <c r="F473" s="1">
        <f t="shared" si="29"/>
        <v>3540</v>
      </c>
      <c r="G473" s="2">
        <v>60</v>
      </c>
      <c r="H473" s="1">
        <v>57.919099210258068</v>
      </c>
      <c r="I473" s="1">
        <v>59</v>
      </c>
      <c r="J473" s="1">
        <f t="shared" si="30"/>
        <v>1846253.8739810567</v>
      </c>
      <c r="K473" s="1">
        <f t="shared" si="31"/>
        <v>931984.87398105382</v>
      </c>
    </row>
    <row r="474" spans="1:11" x14ac:dyDescent="0.25">
      <c r="A474" t="s">
        <v>45</v>
      </c>
      <c r="B474" s="3">
        <v>40397</v>
      </c>
      <c r="C474" s="1">
        <v>982.11493250313515</v>
      </c>
      <c r="D474" s="1">
        <v>98.211493250313509</v>
      </c>
      <c r="E474" s="1">
        <f t="shared" si="28"/>
        <v>552.11493250313515</v>
      </c>
      <c r="F474" s="1">
        <f t="shared" si="29"/>
        <v>430</v>
      </c>
      <c r="G474" s="2">
        <v>10</v>
      </c>
      <c r="H474" s="1">
        <v>55.211493250313517</v>
      </c>
      <c r="I474" s="1">
        <v>43</v>
      </c>
      <c r="J474" s="1">
        <f t="shared" si="30"/>
        <v>1847235.9889135598</v>
      </c>
      <c r="K474" s="1">
        <f t="shared" si="31"/>
        <v>932536.98891355691</v>
      </c>
    </row>
    <row r="475" spans="1:11" x14ac:dyDescent="0.25">
      <c r="A475" t="s">
        <v>22</v>
      </c>
      <c r="B475" s="3">
        <v>40390</v>
      </c>
      <c r="C475" s="1">
        <v>618.98949915300557</v>
      </c>
      <c r="D475" s="1">
        <v>38.686843697062848</v>
      </c>
      <c r="E475" s="1">
        <f t="shared" si="28"/>
        <v>346.98949915300557</v>
      </c>
      <c r="F475" s="1">
        <f t="shared" si="29"/>
        <v>272</v>
      </c>
      <c r="G475" s="2">
        <v>16</v>
      </c>
      <c r="H475" s="1">
        <v>21.686843697062848</v>
      </c>
      <c r="I475" s="1">
        <v>17</v>
      </c>
      <c r="J475" s="1">
        <f t="shared" si="30"/>
        <v>1847854.9784127129</v>
      </c>
      <c r="K475" s="1">
        <f t="shared" si="31"/>
        <v>932883.9784127099</v>
      </c>
    </row>
    <row r="476" spans="1:11" x14ac:dyDescent="0.25">
      <c r="A476" t="s">
        <v>23</v>
      </c>
      <c r="B476" s="3">
        <v>40375</v>
      </c>
      <c r="C476" s="1">
        <v>4951.9254660378883</v>
      </c>
      <c r="D476" s="1">
        <v>120.77866990336314</v>
      </c>
      <c r="E476" s="1">
        <f t="shared" si="28"/>
        <v>2368.9254660378888</v>
      </c>
      <c r="F476" s="1">
        <f t="shared" si="29"/>
        <v>2583</v>
      </c>
      <c r="G476" s="2">
        <v>41</v>
      </c>
      <c r="H476" s="1">
        <v>57.778669903363138</v>
      </c>
      <c r="I476" s="1">
        <v>63</v>
      </c>
      <c r="J476" s="1">
        <f t="shared" si="30"/>
        <v>1852806.9038787507</v>
      </c>
      <c r="K476" s="1">
        <f t="shared" si="31"/>
        <v>935252.90387874783</v>
      </c>
    </row>
    <row r="477" spans="1:11" x14ac:dyDescent="0.25">
      <c r="A477" t="s">
        <v>14</v>
      </c>
      <c r="B477" s="3">
        <v>40372</v>
      </c>
      <c r="C477" s="1">
        <v>6748.486470351565</v>
      </c>
      <c r="D477" s="1">
        <v>153.37469250799012</v>
      </c>
      <c r="E477" s="1">
        <f t="shared" si="28"/>
        <v>4460.4864703515659</v>
      </c>
      <c r="F477" s="1">
        <f t="shared" si="29"/>
        <v>2288</v>
      </c>
      <c r="G477" s="2">
        <v>44</v>
      </c>
      <c r="H477" s="1">
        <v>101.37469250799013</v>
      </c>
      <c r="I477" s="1">
        <v>52</v>
      </c>
      <c r="J477" s="1">
        <f t="shared" si="30"/>
        <v>1859555.3903491022</v>
      </c>
      <c r="K477" s="1">
        <f t="shared" si="31"/>
        <v>939713.39034909941</v>
      </c>
    </row>
    <row r="478" spans="1:11" x14ac:dyDescent="0.25">
      <c r="A478" t="s">
        <v>39</v>
      </c>
      <c r="B478" s="3">
        <v>40363</v>
      </c>
      <c r="C478" s="1">
        <v>6468.3480676119561</v>
      </c>
      <c r="D478" s="1">
        <v>150.42669924678967</v>
      </c>
      <c r="E478" s="1">
        <f t="shared" si="28"/>
        <v>3243.3480676119561</v>
      </c>
      <c r="F478" s="1">
        <f t="shared" si="29"/>
        <v>3225</v>
      </c>
      <c r="G478" s="2">
        <v>43</v>
      </c>
      <c r="H478" s="1">
        <v>75.426699246789681</v>
      </c>
      <c r="I478" s="1">
        <v>75</v>
      </c>
      <c r="J478" s="1">
        <f t="shared" si="30"/>
        <v>1866023.7384167141</v>
      </c>
      <c r="K478" s="1">
        <f t="shared" si="31"/>
        <v>942956.73841671133</v>
      </c>
    </row>
    <row r="479" spans="1:11" x14ac:dyDescent="0.25">
      <c r="A479" t="s">
        <v>35</v>
      </c>
      <c r="B479" s="3">
        <v>40359</v>
      </c>
      <c r="C479" s="1">
        <v>414.06691433863864</v>
      </c>
      <c r="D479" s="1">
        <v>103.51672858465966</v>
      </c>
      <c r="E479" s="1">
        <f t="shared" si="28"/>
        <v>230.06691433863864</v>
      </c>
      <c r="F479" s="1">
        <f t="shared" si="29"/>
        <v>184</v>
      </c>
      <c r="G479" s="2">
        <v>4</v>
      </c>
      <c r="H479" s="1">
        <v>57.51672858465966</v>
      </c>
      <c r="I479" s="1">
        <v>46</v>
      </c>
      <c r="J479" s="1">
        <f t="shared" si="30"/>
        <v>1866437.8053310527</v>
      </c>
      <c r="K479" s="1">
        <f t="shared" si="31"/>
        <v>943186.80533104995</v>
      </c>
    </row>
    <row r="480" spans="1:11" x14ac:dyDescent="0.25">
      <c r="A480" t="s">
        <v>14</v>
      </c>
      <c r="B480" s="3">
        <v>40356</v>
      </c>
      <c r="C480" s="1">
        <v>89.96623369755919</v>
      </c>
      <c r="D480" s="1">
        <v>89.96623369755919</v>
      </c>
      <c r="E480" s="1">
        <f t="shared" si="28"/>
        <v>47.96623369755919</v>
      </c>
      <c r="F480" s="1">
        <f t="shared" si="29"/>
        <v>42</v>
      </c>
      <c r="G480" s="2">
        <v>1</v>
      </c>
      <c r="H480" s="1">
        <v>47.96623369755919</v>
      </c>
      <c r="I480" s="1">
        <v>42</v>
      </c>
      <c r="J480" s="1">
        <f t="shared" si="30"/>
        <v>1866527.7715647502</v>
      </c>
      <c r="K480" s="1">
        <f t="shared" si="31"/>
        <v>943234.77156474756</v>
      </c>
    </row>
    <row r="481" spans="1:11" x14ac:dyDescent="0.25">
      <c r="A481" t="s">
        <v>27</v>
      </c>
      <c r="B481" s="3">
        <v>40354</v>
      </c>
      <c r="C481" s="1">
        <v>2903.1536950699506</v>
      </c>
      <c r="D481" s="1">
        <v>170.77374676882062</v>
      </c>
      <c r="E481" s="1">
        <f t="shared" si="28"/>
        <v>1237.1536950699508</v>
      </c>
      <c r="F481" s="1">
        <f t="shared" si="29"/>
        <v>1666</v>
      </c>
      <c r="G481" s="2">
        <v>17</v>
      </c>
      <c r="H481" s="1">
        <v>72.773746768820629</v>
      </c>
      <c r="I481" s="1">
        <v>98</v>
      </c>
      <c r="J481" s="1">
        <f t="shared" si="30"/>
        <v>1869430.9252598202</v>
      </c>
      <c r="K481" s="1">
        <f t="shared" si="31"/>
        <v>944471.92525981751</v>
      </c>
    </row>
    <row r="482" spans="1:11" x14ac:dyDescent="0.25">
      <c r="A482" t="s">
        <v>42</v>
      </c>
      <c r="B482" s="3">
        <v>40351</v>
      </c>
      <c r="C482" s="1">
        <v>2630.0389078944636</v>
      </c>
      <c r="D482" s="1">
        <v>93.929960996230847</v>
      </c>
      <c r="E482" s="1">
        <f t="shared" si="28"/>
        <v>1398.0389078944638</v>
      </c>
      <c r="F482" s="1">
        <f t="shared" si="29"/>
        <v>1232</v>
      </c>
      <c r="G482" s="2">
        <v>28</v>
      </c>
      <c r="H482" s="1">
        <v>49.929960996230854</v>
      </c>
      <c r="I482" s="1">
        <v>44</v>
      </c>
      <c r="J482" s="1">
        <f t="shared" si="30"/>
        <v>1872060.9641677146</v>
      </c>
      <c r="K482" s="1">
        <f t="shared" si="31"/>
        <v>945869.96416771202</v>
      </c>
    </row>
    <row r="483" spans="1:11" x14ac:dyDescent="0.25">
      <c r="A483" t="s">
        <v>18</v>
      </c>
      <c r="B483" s="3">
        <v>40347</v>
      </c>
      <c r="C483" s="1">
        <v>3378.3484606553116</v>
      </c>
      <c r="D483" s="1">
        <v>135.13393842621247</v>
      </c>
      <c r="E483" s="1">
        <f t="shared" si="28"/>
        <v>1378.3484606553116</v>
      </c>
      <c r="F483" s="1">
        <f t="shared" si="29"/>
        <v>2000</v>
      </c>
      <c r="G483" s="2">
        <v>25</v>
      </c>
      <c r="H483" s="1">
        <v>55.13393842621246</v>
      </c>
      <c r="I483" s="1">
        <v>80</v>
      </c>
      <c r="J483" s="1">
        <f t="shared" si="30"/>
        <v>1875439.31262837</v>
      </c>
      <c r="K483" s="1">
        <f t="shared" si="31"/>
        <v>947248.31262836733</v>
      </c>
    </row>
    <row r="484" spans="1:11" x14ac:dyDescent="0.25">
      <c r="A484" t="s">
        <v>11</v>
      </c>
      <c r="B484" s="3">
        <v>40347</v>
      </c>
      <c r="C484" s="1">
        <v>4183.6563792061716</v>
      </c>
      <c r="D484" s="1">
        <v>90.949051721873303</v>
      </c>
      <c r="E484" s="1">
        <f t="shared" si="28"/>
        <v>2481.6563792061716</v>
      </c>
      <c r="F484" s="1">
        <f t="shared" si="29"/>
        <v>1702</v>
      </c>
      <c r="G484" s="2">
        <v>46</v>
      </c>
      <c r="H484" s="1">
        <v>53.949051721873296</v>
      </c>
      <c r="I484" s="1">
        <v>37</v>
      </c>
      <c r="J484" s="1">
        <f t="shared" si="30"/>
        <v>1879622.9690075761</v>
      </c>
      <c r="K484" s="1">
        <f t="shared" si="31"/>
        <v>949729.96900757356</v>
      </c>
    </row>
    <row r="485" spans="1:11" x14ac:dyDescent="0.25">
      <c r="A485" t="s">
        <v>29</v>
      </c>
      <c r="B485" s="3">
        <v>40339</v>
      </c>
      <c r="C485" s="1">
        <v>848.0697168269046</v>
      </c>
      <c r="D485" s="1">
        <v>56.537981121793642</v>
      </c>
      <c r="E485" s="1">
        <f t="shared" si="28"/>
        <v>383.06971682690465</v>
      </c>
      <c r="F485" s="1">
        <f t="shared" si="29"/>
        <v>465</v>
      </c>
      <c r="G485" s="2">
        <v>15</v>
      </c>
      <c r="H485" s="1">
        <v>25.537981121793642</v>
      </c>
      <c r="I485" s="1">
        <v>31</v>
      </c>
      <c r="J485" s="1">
        <f t="shared" si="30"/>
        <v>1880471.0387244031</v>
      </c>
      <c r="K485" s="1">
        <f t="shared" si="31"/>
        <v>950113.03872440045</v>
      </c>
    </row>
    <row r="486" spans="1:11" x14ac:dyDescent="0.25">
      <c r="A486" t="s">
        <v>30</v>
      </c>
      <c r="B486" s="3">
        <v>40338</v>
      </c>
      <c r="C486" s="1">
        <v>964.86638084696472</v>
      </c>
      <c r="D486" s="1">
        <v>160.81106347449412</v>
      </c>
      <c r="E486" s="1">
        <f t="shared" si="28"/>
        <v>538.86638084696483</v>
      </c>
      <c r="F486" s="1">
        <f t="shared" si="29"/>
        <v>426</v>
      </c>
      <c r="G486" s="2">
        <v>6</v>
      </c>
      <c r="H486" s="1">
        <v>89.811063474494134</v>
      </c>
      <c r="I486" s="1">
        <v>71</v>
      </c>
      <c r="J486" s="1">
        <f t="shared" si="30"/>
        <v>1881435.9051052502</v>
      </c>
      <c r="K486" s="1">
        <f t="shared" si="31"/>
        <v>950651.9051052474</v>
      </c>
    </row>
    <row r="487" spans="1:11" x14ac:dyDescent="0.25">
      <c r="A487" t="s">
        <v>49</v>
      </c>
      <c r="B487" s="3">
        <v>40335</v>
      </c>
      <c r="C487" s="1">
        <v>8658.1721704878455</v>
      </c>
      <c r="D487" s="1">
        <v>117.00232662821412</v>
      </c>
      <c r="E487" s="1">
        <f t="shared" si="28"/>
        <v>4366.1721704878446</v>
      </c>
      <c r="F487" s="1">
        <f t="shared" si="29"/>
        <v>4292</v>
      </c>
      <c r="G487" s="2">
        <v>74</v>
      </c>
      <c r="H487" s="1">
        <v>59.002326628214121</v>
      </c>
      <c r="I487" s="1">
        <v>58</v>
      </c>
      <c r="J487" s="1">
        <f t="shared" si="30"/>
        <v>1890094.0772757381</v>
      </c>
      <c r="K487" s="1">
        <f t="shared" si="31"/>
        <v>955018.07727573521</v>
      </c>
    </row>
    <row r="488" spans="1:11" x14ac:dyDescent="0.25">
      <c r="A488" t="s">
        <v>13</v>
      </c>
      <c r="B488" s="3">
        <v>40334</v>
      </c>
      <c r="C488" s="1">
        <v>337.21854017724979</v>
      </c>
      <c r="D488" s="1">
        <v>112.40618005908325</v>
      </c>
      <c r="E488" s="1">
        <f t="shared" si="28"/>
        <v>214.21854017724976</v>
      </c>
      <c r="F488" s="1">
        <f t="shared" si="29"/>
        <v>123</v>
      </c>
      <c r="G488" s="2">
        <v>3</v>
      </c>
      <c r="H488" s="1">
        <v>71.406180059083255</v>
      </c>
      <c r="I488" s="1">
        <v>41</v>
      </c>
      <c r="J488" s="1">
        <f t="shared" si="30"/>
        <v>1890431.2958159153</v>
      </c>
      <c r="K488" s="1">
        <f t="shared" si="31"/>
        <v>955232.29581591242</v>
      </c>
    </row>
    <row r="489" spans="1:11" x14ac:dyDescent="0.25">
      <c r="A489" t="s">
        <v>17</v>
      </c>
      <c r="B489" s="3">
        <v>40326</v>
      </c>
      <c r="C489" s="1">
        <v>1295.925097787381</v>
      </c>
      <c r="D489" s="1">
        <v>92.566078413384361</v>
      </c>
      <c r="E489" s="1">
        <f t="shared" si="28"/>
        <v>539.92509778738099</v>
      </c>
      <c r="F489" s="1">
        <f t="shared" si="29"/>
        <v>756</v>
      </c>
      <c r="G489" s="2">
        <v>14</v>
      </c>
      <c r="H489" s="1">
        <v>38.566078413384361</v>
      </c>
      <c r="I489" s="1">
        <v>54</v>
      </c>
      <c r="J489" s="1">
        <f t="shared" si="30"/>
        <v>1891727.2209137026</v>
      </c>
      <c r="K489" s="1">
        <f t="shared" si="31"/>
        <v>955772.22091369983</v>
      </c>
    </row>
    <row r="490" spans="1:11" x14ac:dyDescent="0.25">
      <c r="A490" t="s">
        <v>15</v>
      </c>
      <c r="B490" s="3">
        <v>40316</v>
      </c>
      <c r="C490" s="1">
        <v>1683.8166036367622</v>
      </c>
      <c r="D490" s="1">
        <v>187.09073373741802</v>
      </c>
      <c r="E490" s="1">
        <f t="shared" si="28"/>
        <v>855.81660363676235</v>
      </c>
      <c r="F490" s="1">
        <f t="shared" si="29"/>
        <v>828</v>
      </c>
      <c r="G490" s="2">
        <v>9</v>
      </c>
      <c r="H490" s="1">
        <v>95.090733737418034</v>
      </c>
      <c r="I490" s="1">
        <v>92</v>
      </c>
      <c r="J490" s="1">
        <f t="shared" si="30"/>
        <v>1893411.0375173395</v>
      </c>
      <c r="K490" s="1">
        <f t="shared" si="31"/>
        <v>956628.03751733655</v>
      </c>
    </row>
    <row r="491" spans="1:11" x14ac:dyDescent="0.25">
      <c r="A491" t="s">
        <v>21</v>
      </c>
      <c r="B491" s="3">
        <v>40311</v>
      </c>
      <c r="C491" s="1">
        <v>628.09242336854265</v>
      </c>
      <c r="D491" s="1">
        <v>125.61848467370852</v>
      </c>
      <c r="E491" s="1">
        <f t="shared" si="28"/>
        <v>278.0924233685426</v>
      </c>
      <c r="F491" s="1">
        <f t="shared" si="29"/>
        <v>350</v>
      </c>
      <c r="G491" s="2">
        <v>5</v>
      </c>
      <c r="H491" s="1">
        <v>55.618484673708522</v>
      </c>
      <c r="I491" s="1">
        <v>70</v>
      </c>
      <c r="J491" s="1">
        <f t="shared" si="30"/>
        <v>1894039.1299407079</v>
      </c>
      <c r="K491" s="1">
        <f t="shared" si="31"/>
        <v>956906.12994070514</v>
      </c>
    </row>
    <row r="492" spans="1:11" x14ac:dyDescent="0.25">
      <c r="A492" t="s">
        <v>25</v>
      </c>
      <c r="B492" s="3">
        <v>40295</v>
      </c>
      <c r="C492" s="1">
        <v>1585.3966300054008</v>
      </c>
      <c r="D492" s="1">
        <v>75.495077619304794</v>
      </c>
      <c r="E492" s="1">
        <f t="shared" si="28"/>
        <v>808.39663000540065</v>
      </c>
      <c r="F492" s="1">
        <f t="shared" si="29"/>
        <v>777</v>
      </c>
      <c r="G492" s="2">
        <v>21</v>
      </c>
      <c r="H492" s="1">
        <v>38.495077619304794</v>
      </c>
      <c r="I492" s="1">
        <v>37</v>
      </c>
      <c r="J492" s="1">
        <f t="shared" si="30"/>
        <v>1895624.5265707134</v>
      </c>
      <c r="K492" s="1">
        <f t="shared" si="31"/>
        <v>957714.52657071059</v>
      </c>
    </row>
    <row r="493" spans="1:11" x14ac:dyDescent="0.25">
      <c r="A493" t="s">
        <v>46</v>
      </c>
      <c r="B493" s="3">
        <v>40257</v>
      </c>
      <c r="C493" s="1">
        <v>5047.5108712241881</v>
      </c>
      <c r="D493" s="1">
        <v>180.26824540086386</v>
      </c>
      <c r="E493" s="1">
        <f t="shared" si="28"/>
        <v>3143.5108712241881</v>
      </c>
      <c r="F493" s="1">
        <f t="shared" si="29"/>
        <v>1904</v>
      </c>
      <c r="G493" s="2">
        <v>28</v>
      </c>
      <c r="H493" s="1">
        <v>112.26824540086386</v>
      </c>
      <c r="I493" s="1">
        <v>68</v>
      </c>
      <c r="J493" s="1">
        <f t="shared" si="30"/>
        <v>1900672.0374419375</v>
      </c>
      <c r="K493" s="1">
        <f t="shared" si="31"/>
        <v>960858.03744193481</v>
      </c>
    </row>
    <row r="494" spans="1:11" x14ac:dyDescent="0.25">
      <c r="A494" t="s">
        <v>48</v>
      </c>
      <c r="B494" s="3">
        <v>40249</v>
      </c>
      <c r="C494" s="1">
        <v>799.92518184745131</v>
      </c>
      <c r="D494" s="1">
        <v>133.32086364124189</v>
      </c>
      <c r="E494" s="1">
        <f t="shared" si="28"/>
        <v>439.92518184745143</v>
      </c>
      <c r="F494" s="1">
        <f t="shared" si="29"/>
        <v>360</v>
      </c>
      <c r="G494" s="2">
        <v>6</v>
      </c>
      <c r="H494" s="1">
        <v>73.3208636412419</v>
      </c>
      <c r="I494" s="1">
        <v>60</v>
      </c>
      <c r="J494" s="1">
        <f t="shared" si="30"/>
        <v>1901471.962623785</v>
      </c>
      <c r="K494" s="1">
        <f t="shared" si="31"/>
        <v>961297.96262378222</v>
      </c>
    </row>
    <row r="495" spans="1:11" x14ac:dyDescent="0.25">
      <c r="A495" t="s">
        <v>12</v>
      </c>
      <c r="B495" s="3">
        <v>40228</v>
      </c>
      <c r="C495" s="1">
        <v>19040.104774431122</v>
      </c>
      <c r="D495" s="1">
        <v>112.66334186053919</v>
      </c>
      <c r="E495" s="1">
        <f t="shared" si="28"/>
        <v>7717.1047744311245</v>
      </c>
      <c r="F495" s="1">
        <f t="shared" si="29"/>
        <v>11323</v>
      </c>
      <c r="G495" s="2">
        <v>169</v>
      </c>
      <c r="H495" s="1">
        <v>45.663341860539198</v>
      </c>
      <c r="I495" s="1">
        <v>67</v>
      </c>
      <c r="J495" s="1">
        <f t="shared" si="30"/>
        <v>1920512.0673982161</v>
      </c>
      <c r="K495" s="1">
        <f t="shared" si="31"/>
        <v>969015.06739821332</v>
      </c>
    </row>
    <row r="496" spans="1:11" x14ac:dyDescent="0.25">
      <c r="A496" t="s">
        <v>17</v>
      </c>
      <c r="B496" s="3">
        <v>40225</v>
      </c>
      <c r="C496" s="1">
        <v>3325.3489993857329</v>
      </c>
      <c r="D496" s="1">
        <v>97.804382334874504</v>
      </c>
      <c r="E496" s="1">
        <f t="shared" si="28"/>
        <v>2067.3489993857329</v>
      </c>
      <c r="F496" s="1">
        <f t="shared" si="29"/>
        <v>1258</v>
      </c>
      <c r="G496" s="2">
        <v>34</v>
      </c>
      <c r="H496" s="1">
        <v>60.804382334874497</v>
      </c>
      <c r="I496" s="1">
        <v>37</v>
      </c>
      <c r="J496" s="1">
        <f t="shared" si="30"/>
        <v>1923837.4163976018</v>
      </c>
      <c r="K496" s="1">
        <f t="shared" si="31"/>
        <v>971082.41639759904</v>
      </c>
    </row>
    <row r="497" spans="1:11" x14ac:dyDescent="0.25">
      <c r="A497" t="s">
        <v>47</v>
      </c>
      <c r="B497" s="3">
        <v>40221</v>
      </c>
      <c r="C497" s="1">
        <v>535.68804192708023</v>
      </c>
      <c r="D497" s="1">
        <v>59.520893547453355</v>
      </c>
      <c r="E497" s="1">
        <f t="shared" si="28"/>
        <v>283.68804192708018</v>
      </c>
      <c r="F497" s="1">
        <f t="shared" si="29"/>
        <v>252</v>
      </c>
      <c r="G497" s="2">
        <v>9</v>
      </c>
      <c r="H497" s="1">
        <v>31.520893547453355</v>
      </c>
      <c r="I497" s="1">
        <v>28</v>
      </c>
      <c r="J497" s="1">
        <f t="shared" si="30"/>
        <v>1924373.1044395289</v>
      </c>
      <c r="K497" s="1">
        <f t="shared" si="31"/>
        <v>971366.1044395261</v>
      </c>
    </row>
    <row r="498" spans="1:11" x14ac:dyDescent="0.25">
      <c r="A498" t="s">
        <v>48</v>
      </c>
      <c r="B498" s="3">
        <v>40216</v>
      </c>
      <c r="C498" s="1">
        <v>3700.2418689745678</v>
      </c>
      <c r="D498" s="1">
        <v>205.56899272080932</v>
      </c>
      <c r="E498" s="1">
        <f t="shared" si="28"/>
        <v>1684.241868974568</v>
      </c>
      <c r="F498" s="1">
        <f t="shared" si="29"/>
        <v>2016</v>
      </c>
      <c r="G498" s="2">
        <v>18</v>
      </c>
      <c r="H498" s="1">
        <v>93.568992720809334</v>
      </c>
      <c r="I498" s="1">
        <v>112</v>
      </c>
      <c r="J498" s="1">
        <f t="shared" si="30"/>
        <v>1928073.3463085035</v>
      </c>
      <c r="K498" s="1">
        <f t="shared" si="31"/>
        <v>973050.34630850062</v>
      </c>
    </row>
    <row r="499" spans="1:11" x14ac:dyDescent="0.25">
      <c r="A499" t="s">
        <v>15</v>
      </c>
      <c r="B499" s="3">
        <v>40204</v>
      </c>
      <c r="C499" s="1">
        <v>3006.2860367528538</v>
      </c>
      <c r="D499" s="1">
        <v>214.73471691091811</v>
      </c>
      <c r="E499" s="1">
        <f t="shared" si="28"/>
        <v>1424.2860367528538</v>
      </c>
      <c r="F499" s="1">
        <f t="shared" si="29"/>
        <v>1582</v>
      </c>
      <c r="G499" s="2">
        <v>14</v>
      </c>
      <c r="H499" s="1">
        <v>101.73471691091812</v>
      </c>
      <c r="I499" s="1">
        <v>113</v>
      </c>
      <c r="J499" s="1">
        <f t="shared" si="30"/>
        <v>1931079.6323452564</v>
      </c>
      <c r="K499" s="1">
        <f t="shared" si="31"/>
        <v>974474.63234525349</v>
      </c>
    </row>
    <row r="500" spans="1:11" x14ac:dyDescent="0.25">
      <c r="A500" t="s">
        <v>31</v>
      </c>
      <c r="B500" s="3">
        <v>40197</v>
      </c>
      <c r="C500" s="1">
        <v>4483.5223940189335</v>
      </c>
      <c r="D500" s="1">
        <v>95.394093489764543</v>
      </c>
      <c r="E500" s="1">
        <f t="shared" si="28"/>
        <v>2791.5223940189335</v>
      </c>
      <c r="F500" s="1">
        <f t="shared" si="29"/>
        <v>1692</v>
      </c>
      <c r="G500" s="2">
        <v>47</v>
      </c>
      <c r="H500" s="1">
        <v>59.394093489764543</v>
      </c>
      <c r="I500" s="1">
        <v>36</v>
      </c>
      <c r="J500" s="1">
        <f t="shared" si="30"/>
        <v>1935563.1547392753</v>
      </c>
      <c r="K500" s="1">
        <f t="shared" si="31"/>
        <v>977266.15473927243</v>
      </c>
    </row>
    <row r="501" spans="1:11" x14ac:dyDescent="0.25">
      <c r="A501" t="s">
        <v>13</v>
      </c>
      <c r="B501" s="3">
        <v>40188</v>
      </c>
      <c r="C501" s="1">
        <v>5164.7602452415567</v>
      </c>
      <c r="D501" s="1">
        <v>161.39875766379865</v>
      </c>
      <c r="E501" s="1">
        <f t="shared" si="28"/>
        <v>2316.7602452415567</v>
      </c>
      <c r="F501" s="1">
        <f t="shared" si="29"/>
        <v>2848</v>
      </c>
      <c r="G501" s="2">
        <v>32</v>
      </c>
      <c r="H501" s="1">
        <v>72.398757663798648</v>
      </c>
      <c r="I501" s="1">
        <v>89</v>
      </c>
      <c r="J501" s="1">
        <f t="shared" si="30"/>
        <v>1940727.9149845168</v>
      </c>
      <c r="K501" s="1">
        <f t="shared" si="31"/>
        <v>979582.91498451401</v>
      </c>
    </row>
    <row r="502" spans="1:11" x14ac:dyDescent="0.25">
      <c r="A502" t="s">
        <v>49</v>
      </c>
      <c r="B502" s="3">
        <v>40186</v>
      </c>
      <c r="C502" s="1">
        <v>4524.0295816469734</v>
      </c>
      <c r="D502" s="1">
        <v>92.327134319325978</v>
      </c>
      <c r="E502" s="1">
        <f t="shared" si="28"/>
        <v>2123.0295816469725</v>
      </c>
      <c r="F502" s="1">
        <f t="shared" si="29"/>
        <v>2401</v>
      </c>
      <c r="G502" s="2">
        <v>49</v>
      </c>
      <c r="H502" s="1">
        <v>43.327134319325971</v>
      </c>
      <c r="I502" s="1">
        <v>49</v>
      </c>
      <c r="J502" s="1">
        <f t="shared" si="30"/>
        <v>1945251.9445661637</v>
      </c>
      <c r="K502" s="1">
        <f t="shared" si="31"/>
        <v>981705.94456616102</v>
      </c>
    </row>
    <row r="503" spans="1:11" x14ac:dyDescent="0.25">
      <c r="B503" s="3"/>
      <c r="C503" s="1"/>
      <c r="D503" s="1"/>
      <c r="E503" s="1"/>
      <c r="F503" s="1"/>
      <c r="G503" s="2"/>
      <c r="H503" s="1"/>
      <c r="I503" s="1"/>
    </row>
    <row r="504" spans="1:11" x14ac:dyDescent="0.25">
      <c r="B504" s="3"/>
      <c r="C504" s="1"/>
      <c r="D504" s="1"/>
      <c r="E504" s="1"/>
      <c r="F504" s="1"/>
      <c r="G504" s="2"/>
      <c r="H504" s="1"/>
      <c r="I504" s="1"/>
    </row>
    <row r="505" spans="1:11" x14ac:dyDescent="0.25">
      <c r="B505" s="3"/>
      <c r="C505" s="1"/>
      <c r="D505" s="1"/>
      <c r="E505" s="1"/>
      <c r="F505" s="1"/>
      <c r="G505" s="2"/>
      <c r="H505" s="1"/>
      <c r="I505" s="1"/>
    </row>
    <row r="506" spans="1:11" x14ac:dyDescent="0.25">
      <c r="B506" s="3"/>
      <c r="C506" s="1"/>
      <c r="D506" s="1"/>
      <c r="E506" s="1"/>
      <c r="F506" s="1"/>
      <c r="G506" s="2"/>
      <c r="H506" s="1"/>
      <c r="I506" s="1"/>
    </row>
    <row r="507" spans="1:11" x14ac:dyDescent="0.25">
      <c r="B507" s="3"/>
      <c r="C507" s="1"/>
      <c r="D507" s="1"/>
      <c r="E507" s="1"/>
      <c r="F507" s="1"/>
      <c r="G507" s="2"/>
      <c r="H507" s="1"/>
      <c r="I507" s="1"/>
    </row>
    <row r="508" spans="1:11" x14ac:dyDescent="0.25">
      <c r="B508" s="3"/>
      <c r="C508" s="1"/>
      <c r="D508" s="1"/>
      <c r="E508" s="1"/>
      <c r="F508" s="1"/>
      <c r="G508" s="2"/>
      <c r="H508" s="1"/>
      <c r="I508" s="1"/>
    </row>
    <row r="509" spans="1:11" x14ac:dyDescent="0.25">
      <c r="B509" s="3"/>
      <c r="C509" s="1"/>
      <c r="D509" s="1"/>
      <c r="E509" s="1"/>
      <c r="F509" s="1"/>
      <c r="G509" s="2"/>
      <c r="H509" s="1"/>
      <c r="I509" s="1"/>
    </row>
    <row r="510" spans="1:11" x14ac:dyDescent="0.25">
      <c r="B510" s="3"/>
      <c r="C510" s="1"/>
      <c r="D510" s="1"/>
      <c r="E510" s="1"/>
      <c r="F510" s="1"/>
      <c r="G510" s="2"/>
      <c r="H510" s="1"/>
      <c r="I510" s="1"/>
    </row>
    <row r="511" spans="1:11" x14ac:dyDescent="0.25">
      <c r="B511" s="3"/>
      <c r="C511" s="1"/>
      <c r="D511" s="1"/>
      <c r="E511" s="1"/>
      <c r="F511" s="1"/>
      <c r="G511" s="2"/>
      <c r="H511" s="1"/>
      <c r="I511" s="1"/>
    </row>
    <row r="512" spans="1:11" x14ac:dyDescent="0.25">
      <c r="B512" s="3"/>
      <c r="C512" s="1"/>
      <c r="D512" s="1"/>
      <c r="E512" s="1"/>
      <c r="F512" s="1"/>
      <c r="G512" s="2"/>
      <c r="H512" s="1"/>
      <c r="I512" s="1"/>
    </row>
    <row r="513" spans="2:9" x14ac:dyDescent="0.25">
      <c r="B513" s="3"/>
      <c r="C513" s="1"/>
      <c r="D513" s="1"/>
      <c r="E513" s="1"/>
      <c r="F513" s="1"/>
      <c r="G513" s="2"/>
      <c r="H513" s="1"/>
      <c r="I513" s="1"/>
    </row>
    <row r="514" spans="2:9" x14ac:dyDescent="0.25">
      <c r="B514" s="3"/>
      <c r="C514" s="1"/>
      <c r="D514" s="1"/>
      <c r="E514" s="1"/>
      <c r="F514" s="1"/>
      <c r="G514" s="2"/>
      <c r="H514" s="1"/>
      <c r="I514" s="1"/>
    </row>
    <row r="515" spans="2:9" x14ac:dyDescent="0.25">
      <c r="B515" s="3"/>
      <c r="C515" s="1"/>
      <c r="D515" s="1"/>
      <c r="E515" s="1"/>
      <c r="F515" s="1"/>
      <c r="G515" s="2"/>
      <c r="H515" s="1"/>
      <c r="I515" s="1"/>
    </row>
    <row r="516" spans="2:9" x14ac:dyDescent="0.25">
      <c r="B516" s="3"/>
      <c r="C516" s="1"/>
      <c r="D516" s="1"/>
      <c r="E516" s="1"/>
      <c r="F516" s="1"/>
      <c r="G516" s="2"/>
      <c r="H516" s="1"/>
      <c r="I516" s="1"/>
    </row>
    <row r="517" spans="2:9" x14ac:dyDescent="0.25">
      <c r="B517" s="3"/>
      <c r="C517" s="1"/>
      <c r="D517" s="1"/>
      <c r="E517" s="1"/>
      <c r="F517" s="1"/>
      <c r="G517" s="2"/>
      <c r="H517" s="1"/>
      <c r="I517" s="1"/>
    </row>
    <row r="518" spans="2:9" x14ac:dyDescent="0.25">
      <c r="B518" s="3"/>
      <c r="C518" s="1"/>
      <c r="D518" s="1"/>
      <c r="E518" s="1"/>
      <c r="F518" s="1"/>
      <c r="G518" s="2"/>
      <c r="H518" s="1"/>
      <c r="I518" s="1"/>
    </row>
    <row r="519" spans="2:9" x14ac:dyDescent="0.25">
      <c r="B519" s="3"/>
      <c r="C519" s="1"/>
      <c r="D519" s="1"/>
      <c r="E519" s="1"/>
      <c r="F519" s="1"/>
      <c r="G519" s="2"/>
      <c r="H519" s="1"/>
      <c r="I519" s="1"/>
    </row>
    <row r="520" spans="2:9" x14ac:dyDescent="0.25">
      <c r="B520" s="3"/>
      <c r="C520" s="1"/>
      <c r="D520" s="1"/>
      <c r="E520" s="1"/>
      <c r="F520" s="1"/>
      <c r="G520" s="2"/>
      <c r="H520" s="1"/>
      <c r="I520" s="1"/>
    </row>
  </sheetData>
  <sortState xmlns:xlrd2="http://schemas.microsoft.com/office/spreadsheetml/2017/richdata2" ref="B3:I502">
    <sortCondition descending="1" ref="B3:B5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D575-765E-45DC-8E82-A9A048E25A55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4E91-EA51-410C-B258-A7EE22FFFB8E}">
  <dimension ref="A2:G2"/>
  <sheetViews>
    <sheetView workbookViewId="0">
      <selection activeCell="U41" sqref="U41"/>
    </sheetView>
  </sheetViews>
  <sheetFormatPr defaultRowHeight="15" x14ac:dyDescent="0.25"/>
  <sheetData>
    <row r="2" spans="1:7" x14ac:dyDescent="0.25">
      <c r="A2" t="s">
        <v>5</v>
      </c>
      <c r="B2" t="s">
        <v>6</v>
      </c>
      <c r="C2" t="s">
        <v>50</v>
      </c>
      <c r="D2" t="s">
        <v>51</v>
      </c>
      <c r="E2" t="s">
        <v>7</v>
      </c>
      <c r="F2" t="s">
        <v>8</v>
      </c>
      <c r="G2" t="s">
        <v>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78AC-A3A4-47A4-AC80-57FBE66293B3}">
  <dimension ref="A1:L519"/>
  <sheetViews>
    <sheetView workbookViewId="0">
      <selection activeCell="J3" sqref="J3"/>
    </sheetView>
  </sheetViews>
  <sheetFormatPr defaultRowHeight="15" x14ac:dyDescent="0.25"/>
  <cols>
    <col min="1" max="1" width="17.42578125" customWidth="1"/>
    <col min="9" max="9" width="14.85546875" customWidth="1"/>
    <col min="10" max="10" width="13.140625" customWidth="1"/>
    <col min="11" max="11" width="12.28515625" customWidth="1"/>
    <col min="12" max="12" width="13.28515625" customWidth="1"/>
  </cols>
  <sheetData>
    <row r="1" spans="1:12" s="4" customFormat="1" ht="30" x14ac:dyDescent="0.25">
      <c r="A1" s="4" t="s">
        <v>4</v>
      </c>
      <c r="B1" s="4" t="s">
        <v>51</v>
      </c>
      <c r="C1" s="4" t="s">
        <v>5</v>
      </c>
      <c r="D1" s="4" t="s">
        <v>50</v>
      </c>
      <c r="E1" s="4" t="s">
        <v>7</v>
      </c>
      <c r="F1" s="4" t="s">
        <v>53</v>
      </c>
      <c r="G1" s="4" t="s">
        <v>8</v>
      </c>
      <c r="H1" s="4" t="s">
        <v>9</v>
      </c>
      <c r="I1" s="4" t="s">
        <v>54</v>
      </c>
      <c r="J1" s="4" t="s">
        <v>10</v>
      </c>
      <c r="K1" s="4" t="s">
        <v>52</v>
      </c>
      <c r="L1" s="4" t="s">
        <v>55</v>
      </c>
    </row>
    <row r="2" spans="1:12" x14ac:dyDescent="0.25">
      <c r="A2" s="3">
        <v>40186</v>
      </c>
      <c r="B2" s="1">
        <f t="shared" ref="B2:B65" si="0">+E2*H2</f>
        <v>2401</v>
      </c>
      <c r="C2" s="1">
        <v>4524.0295816469734</v>
      </c>
      <c r="D2" s="1">
        <f t="shared" ref="D2:D65" si="1">+E2*G2</f>
        <v>2123.0295816469725</v>
      </c>
      <c r="E2" s="2">
        <v>49</v>
      </c>
      <c r="F2" s="1">
        <v>92.327134319325978</v>
      </c>
      <c r="G2" s="1">
        <v>43.327134319325971</v>
      </c>
      <c r="H2" s="1">
        <v>49</v>
      </c>
      <c r="I2" s="1">
        <f>+B2</f>
        <v>2401</v>
      </c>
      <c r="J2" s="1">
        <f>+C2</f>
        <v>4524.0295816469734</v>
      </c>
      <c r="K2" s="1">
        <f>+D2</f>
        <v>2123.0295816469725</v>
      </c>
      <c r="L2" s="5">
        <f>+E2</f>
        <v>49</v>
      </c>
    </row>
    <row r="3" spans="1:12" x14ac:dyDescent="0.25">
      <c r="A3" s="3">
        <v>40188</v>
      </c>
      <c r="B3" s="1">
        <f t="shared" si="0"/>
        <v>2848</v>
      </c>
      <c r="C3" s="1">
        <v>5164.7602452415567</v>
      </c>
      <c r="D3" s="1">
        <f t="shared" si="1"/>
        <v>2316.7602452415567</v>
      </c>
      <c r="E3" s="2">
        <v>32</v>
      </c>
      <c r="F3" s="1">
        <v>161.39875766379865</v>
      </c>
      <c r="G3" s="1">
        <v>72.398757663798648</v>
      </c>
      <c r="H3" s="1">
        <v>89</v>
      </c>
      <c r="I3" s="1">
        <f>+I2+B3</f>
        <v>5249</v>
      </c>
      <c r="J3" s="1">
        <f>+J2+C3</f>
        <v>9688.7898268885292</v>
      </c>
      <c r="K3" s="1">
        <f>+K2+D3</f>
        <v>4439.7898268885292</v>
      </c>
      <c r="L3" s="5">
        <f>+L2+E3</f>
        <v>81</v>
      </c>
    </row>
    <row r="4" spans="1:12" x14ac:dyDescent="0.25">
      <c r="A4" s="3">
        <v>40197</v>
      </c>
      <c r="B4" s="1">
        <f t="shared" si="0"/>
        <v>1692</v>
      </c>
      <c r="C4" s="1">
        <v>4483.5223940189335</v>
      </c>
      <c r="D4" s="1">
        <f t="shared" si="1"/>
        <v>2791.5223940189335</v>
      </c>
      <c r="E4" s="2">
        <v>47</v>
      </c>
      <c r="F4" s="1">
        <v>95.394093489764543</v>
      </c>
      <c r="G4" s="1">
        <v>59.394093489764543</v>
      </c>
      <c r="H4" s="1">
        <v>36</v>
      </c>
      <c r="I4" s="1">
        <f t="shared" ref="I4:I67" si="2">+I3+B4</f>
        <v>6941</v>
      </c>
      <c r="J4" s="1">
        <f t="shared" ref="J4:J67" si="3">+J3+C4</f>
        <v>14172.312220907463</v>
      </c>
      <c r="K4" s="1">
        <f t="shared" ref="K4:K67" si="4">+K3+D4</f>
        <v>7231.3122209074627</v>
      </c>
      <c r="L4" s="5">
        <f t="shared" ref="L4:L67" si="5">+L3+E4</f>
        <v>128</v>
      </c>
    </row>
    <row r="5" spans="1:12" x14ac:dyDescent="0.25">
      <c r="A5" s="3">
        <v>40204</v>
      </c>
      <c r="B5" s="1">
        <f t="shared" si="0"/>
        <v>1582</v>
      </c>
      <c r="C5" s="1">
        <v>3006.2860367528538</v>
      </c>
      <c r="D5" s="1">
        <f t="shared" si="1"/>
        <v>1424.2860367528538</v>
      </c>
      <c r="E5" s="2">
        <v>14</v>
      </c>
      <c r="F5" s="1">
        <v>214.73471691091811</v>
      </c>
      <c r="G5" s="1">
        <v>101.73471691091812</v>
      </c>
      <c r="H5" s="1">
        <v>113</v>
      </c>
      <c r="I5" s="1">
        <f t="shared" si="2"/>
        <v>8523</v>
      </c>
      <c r="J5" s="1">
        <f t="shared" si="3"/>
        <v>17178.598257660316</v>
      </c>
      <c r="K5" s="1">
        <f t="shared" si="4"/>
        <v>8655.5982576603164</v>
      </c>
      <c r="L5" s="5">
        <f t="shared" si="5"/>
        <v>142</v>
      </c>
    </row>
    <row r="6" spans="1:12" x14ac:dyDescent="0.25">
      <c r="A6" s="3">
        <v>40216</v>
      </c>
      <c r="B6" s="1">
        <f t="shared" si="0"/>
        <v>2016</v>
      </c>
      <c r="C6" s="1">
        <v>3700.2418689745678</v>
      </c>
      <c r="D6" s="1">
        <f t="shared" si="1"/>
        <v>1684.241868974568</v>
      </c>
      <c r="E6" s="2">
        <v>18</v>
      </c>
      <c r="F6" s="1">
        <v>205.56899272080932</v>
      </c>
      <c r="G6" s="1">
        <v>93.568992720809334</v>
      </c>
      <c r="H6" s="1">
        <v>112</v>
      </c>
      <c r="I6" s="1">
        <f t="shared" si="2"/>
        <v>10539</v>
      </c>
      <c r="J6" s="1">
        <f t="shared" si="3"/>
        <v>20878.840126634885</v>
      </c>
      <c r="K6" s="1">
        <f t="shared" si="4"/>
        <v>10339.840126634885</v>
      </c>
      <c r="L6" s="5">
        <f t="shared" si="5"/>
        <v>160</v>
      </c>
    </row>
    <row r="7" spans="1:12" x14ac:dyDescent="0.25">
      <c r="A7" s="3">
        <v>40221</v>
      </c>
      <c r="B7" s="1">
        <f t="shared" si="0"/>
        <v>252</v>
      </c>
      <c r="C7" s="1">
        <v>535.68804192708023</v>
      </c>
      <c r="D7" s="1">
        <f t="shared" si="1"/>
        <v>283.68804192708018</v>
      </c>
      <c r="E7" s="2">
        <v>9</v>
      </c>
      <c r="F7" s="1">
        <v>59.520893547453355</v>
      </c>
      <c r="G7" s="1">
        <v>31.520893547453355</v>
      </c>
      <c r="H7" s="1">
        <v>28</v>
      </c>
      <c r="I7" s="1">
        <f t="shared" si="2"/>
        <v>10791</v>
      </c>
      <c r="J7" s="1">
        <f t="shared" si="3"/>
        <v>21414.528168561967</v>
      </c>
      <c r="K7" s="1">
        <f t="shared" si="4"/>
        <v>10623.528168561965</v>
      </c>
      <c r="L7" s="5">
        <f t="shared" si="5"/>
        <v>169</v>
      </c>
    </row>
    <row r="8" spans="1:12" x14ac:dyDescent="0.25">
      <c r="A8" s="3">
        <v>40225</v>
      </c>
      <c r="B8" s="1">
        <f t="shared" si="0"/>
        <v>1258</v>
      </c>
      <c r="C8" s="1">
        <v>3325.3489993857329</v>
      </c>
      <c r="D8" s="1">
        <f t="shared" si="1"/>
        <v>2067.3489993857329</v>
      </c>
      <c r="E8" s="2">
        <v>34</v>
      </c>
      <c r="F8" s="1">
        <v>97.804382334874504</v>
      </c>
      <c r="G8" s="1">
        <v>60.804382334874497</v>
      </c>
      <c r="H8" s="1">
        <v>37</v>
      </c>
      <c r="I8" s="1">
        <f t="shared" si="2"/>
        <v>12049</v>
      </c>
      <c r="J8" s="1">
        <f t="shared" si="3"/>
        <v>24739.877167947699</v>
      </c>
      <c r="K8" s="1">
        <f t="shared" si="4"/>
        <v>12690.877167947698</v>
      </c>
      <c r="L8" s="5">
        <f t="shared" si="5"/>
        <v>203</v>
      </c>
    </row>
    <row r="9" spans="1:12" x14ac:dyDescent="0.25">
      <c r="A9" s="3">
        <v>40228</v>
      </c>
      <c r="B9" s="1">
        <f t="shared" si="0"/>
        <v>11323</v>
      </c>
      <c r="C9" s="1">
        <v>19040.104774431122</v>
      </c>
      <c r="D9" s="1">
        <f t="shared" si="1"/>
        <v>7717.1047744311245</v>
      </c>
      <c r="E9" s="2">
        <v>169</v>
      </c>
      <c r="F9" s="1">
        <v>112.66334186053919</v>
      </c>
      <c r="G9" s="1">
        <v>45.663341860539198</v>
      </c>
      <c r="H9" s="1">
        <v>67</v>
      </c>
      <c r="I9" s="1">
        <f t="shared" si="2"/>
        <v>23372</v>
      </c>
      <c r="J9" s="1">
        <f t="shared" si="3"/>
        <v>43779.981942378821</v>
      </c>
      <c r="K9" s="1">
        <f t="shared" si="4"/>
        <v>20407.981942378821</v>
      </c>
      <c r="L9" s="5">
        <f t="shared" si="5"/>
        <v>372</v>
      </c>
    </row>
    <row r="10" spans="1:12" x14ac:dyDescent="0.25">
      <c r="A10" s="3">
        <v>40249</v>
      </c>
      <c r="B10" s="1">
        <f t="shared" si="0"/>
        <v>360</v>
      </c>
      <c r="C10" s="1">
        <v>799.92518184745131</v>
      </c>
      <c r="D10" s="1">
        <f t="shared" si="1"/>
        <v>439.92518184745143</v>
      </c>
      <c r="E10" s="2">
        <v>6</v>
      </c>
      <c r="F10" s="1">
        <v>133.32086364124189</v>
      </c>
      <c r="G10" s="1">
        <v>73.3208636412419</v>
      </c>
      <c r="H10" s="1">
        <v>60</v>
      </c>
      <c r="I10" s="1">
        <f t="shared" si="2"/>
        <v>23732</v>
      </c>
      <c r="J10" s="1">
        <f t="shared" si="3"/>
        <v>44579.907124226273</v>
      </c>
      <c r="K10" s="1">
        <f t="shared" si="4"/>
        <v>20847.907124226273</v>
      </c>
      <c r="L10" s="5">
        <f t="shared" si="5"/>
        <v>378</v>
      </c>
    </row>
    <row r="11" spans="1:12" x14ac:dyDescent="0.25">
      <c r="A11" s="3">
        <v>40257</v>
      </c>
      <c r="B11" s="1">
        <f t="shared" si="0"/>
        <v>1904</v>
      </c>
      <c r="C11" s="1">
        <v>5047.5108712241881</v>
      </c>
      <c r="D11" s="1">
        <f t="shared" si="1"/>
        <v>3143.5108712241881</v>
      </c>
      <c r="E11" s="2">
        <v>28</v>
      </c>
      <c r="F11" s="1">
        <v>180.26824540086386</v>
      </c>
      <c r="G11" s="1">
        <v>112.26824540086386</v>
      </c>
      <c r="H11" s="1">
        <v>68</v>
      </c>
      <c r="I11" s="1">
        <f t="shared" si="2"/>
        <v>25636</v>
      </c>
      <c r="J11" s="1">
        <f t="shared" si="3"/>
        <v>49627.417995450458</v>
      </c>
      <c r="K11" s="1">
        <f t="shared" si="4"/>
        <v>23991.417995450462</v>
      </c>
      <c r="L11" s="5">
        <f t="shared" si="5"/>
        <v>406</v>
      </c>
    </row>
    <row r="12" spans="1:12" x14ac:dyDescent="0.25">
      <c r="A12" s="3">
        <v>40295</v>
      </c>
      <c r="B12" s="1">
        <f t="shared" si="0"/>
        <v>777</v>
      </c>
      <c r="C12" s="1">
        <v>1585.3966300054008</v>
      </c>
      <c r="D12" s="1">
        <f t="shared" si="1"/>
        <v>808.39663000540065</v>
      </c>
      <c r="E12" s="2">
        <v>21</v>
      </c>
      <c r="F12" s="1">
        <v>75.495077619304794</v>
      </c>
      <c r="G12" s="1">
        <v>38.495077619304794</v>
      </c>
      <c r="H12" s="1">
        <v>37</v>
      </c>
      <c r="I12" s="1">
        <f t="shared" si="2"/>
        <v>26413</v>
      </c>
      <c r="J12" s="1">
        <f t="shared" si="3"/>
        <v>51212.81462545586</v>
      </c>
      <c r="K12" s="1">
        <f t="shared" si="4"/>
        <v>24799.814625455863</v>
      </c>
      <c r="L12" s="5">
        <f t="shared" si="5"/>
        <v>427</v>
      </c>
    </row>
    <row r="13" spans="1:12" x14ac:dyDescent="0.25">
      <c r="A13" s="3">
        <v>40311</v>
      </c>
      <c r="B13" s="1">
        <f t="shared" si="0"/>
        <v>350</v>
      </c>
      <c r="C13" s="1">
        <v>628.09242336854265</v>
      </c>
      <c r="D13" s="1">
        <f t="shared" si="1"/>
        <v>278.0924233685426</v>
      </c>
      <c r="E13" s="2">
        <v>5</v>
      </c>
      <c r="F13" s="1">
        <v>125.61848467370852</v>
      </c>
      <c r="G13" s="1">
        <v>55.618484673708522</v>
      </c>
      <c r="H13" s="1">
        <v>70</v>
      </c>
      <c r="I13" s="1">
        <f t="shared" si="2"/>
        <v>26763</v>
      </c>
      <c r="J13" s="1">
        <f t="shared" si="3"/>
        <v>51840.907048824403</v>
      </c>
      <c r="K13" s="1">
        <f t="shared" si="4"/>
        <v>25077.907048824407</v>
      </c>
      <c r="L13" s="5">
        <f t="shared" si="5"/>
        <v>432</v>
      </c>
    </row>
    <row r="14" spans="1:12" x14ac:dyDescent="0.25">
      <c r="A14" s="3">
        <v>40316</v>
      </c>
      <c r="B14" s="1">
        <f t="shared" si="0"/>
        <v>828</v>
      </c>
      <c r="C14" s="1">
        <v>1683.8166036367622</v>
      </c>
      <c r="D14" s="1">
        <f t="shared" si="1"/>
        <v>855.81660363676235</v>
      </c>
      <c r="E14" s="2">
        <v>9</v>
      </c>
      <c r="F14" s="1">
        <v>187.09073373741802</v>
      </c>
      <c r="G14" s="1">
        <v>95.090733737418034</v>
      </c>
      <c r="H14" s="1">
        <v>92</v>
      </c>
      <c r="I14" s="1">
        <f t="shared" si="2"/>
        <v>27591</v>
      </c>
      <c r="J14" s="1">
        <f t="shared" si="3"/>
        <v>53524.723652461165</v>
      </c>
      <c r="K14" s="1">
        <f t="shared" si="4"/>
        <v>25933.723652461169</v>
      </c>
      <c r="L14" s="5">
        <f t="shared" si="5"/>
        <v>441</v>
      </c>
    </row>
    <row r="15" spans="1:12" x14ac:dyDescent="0.25">
      <c r="A15" s="3">
        <v>40326</v>
      </c>
      <c r="B15" s="1">
        <f t="shared" si="0"/>
        <v>756</v>
      </c>
      <c r="C15" s="1">
        <v>1295.925097787381</v>
      </c>
      <c r="D15" s="1">
        <f t="shared" si="1"/>
        <v>539.92509778738099</v>
      </c>
      <c r="E15" s="2">
        <v>14</v>
      </c>
      <c r="F15" s="1">
        <v>92.566078413384361</v>
      </c>
      <c r="G15" s="1">
        <v>38.566078413384361</v>
      </c>
      <c r="H15" s="1">
        <v>54</v>
      </c>
      <c r="I15" s="1">
        <f t="shared" si="2"/>
        <v>28347</v>
      </c>
      <c r="J15" s="1">
        <f t="shared" si="3"/>
        <v>54820.648750248547</v>
      </c>
      <c r="K15" s="1">
        <f t="shared" si="4"/>
        <v>26473.648750248551</v>
      </c>
      <c r="L15" s="5">
        <f t="shared" si="5"/>
        <v>455</v>
      </c>
    </row>
    <row r="16" spans="1:12" x14ac:dyDescent="0.25">
      <c r="A16" s="3">
        <v>40334</v>
      </c>
      <c r="B16" s="1">
        <f t="shared" si="0"/>
        <v>123</v>
      </c>
      <c r="C16" s="1">
        <v>337.21854017724979</v>
      </c>
      <c r="D16" s="1">
        <f t="shared" si="1"/>
        <v>214.21854017724976</v>
      </c>
      <c r="E16" s="2">
        <v>3</v>
      </c>
      <c r="F16" s="1">
        <v>112.40618005908325</v>
      </c>
      <c r="G16" s="1">
        <v>71.406180059083255</v>
      </c>
      <c r="H16" s="1">
        <v>41</v>
      </c>
      <c r="I16" s="1">
        <f t="shared" si="2"/>
        <v>28470</v>
      </c>
      <c r="J16" s="1">
        <f t="shared" si="3"/>
        <v>55157.867290425798</v>
      </c>
      <c r="K16" s="1">
        <f t="shared" si="4"/>
        <v>26687.867290425802</v>
      </c>
      <c r="L16" s="5">
        <f t="shared" si="5"/>
        <v>458</v>
      </c>
    </row>
    <row r="17" spans="1:12" x14ac:dyDescent="0.25">
      <c r="A17" s="3">
        <v>40335</v>
      </c>
      <c r="B17" s="1">
        <f t="shared" si="0"/>
        <v>4292</v>
      </c>
      <c r="C17" s="1">
        <v>8658.1721704878455</v>
      </c>
      <c r="D17" s="1">
        <f t="shared" si="1"/>
        <v>4366.1721704878446</v>
      </c>
      <c r="E17" s="2">
        <v>74</v>
      </c>
      <c r="F17" s="1">
        <v>117.00232662821412</v>
      </c>
      <c r="G17" s="1">
        <v>59.002326628214121</v>
      </c>
      <c r="H17" s="1">
        <v>58</v>
      </c>
      <c r="I17" s="1">
        <f t="shared" si="2"/>
        <v>32762</v>
      </c>
      <c r="J17" s="1">
        <f t="shared" si="3"/>
        <v>63816.039460913642</v>
      </c>
      <c r="K17" s="1">
        <f t="shared" si="4"/>
        <v>31054.039460913646</v>
      </c>
      <c r="L17" s="5">
        <f t="shared" si="5"/>
        <v>532</v>
      </c>
    </row>
    <row r="18" spans="1:12" x14ac:dyDescent="0.25">
      <c r="A18" s="3">
        <v>40338</v>
      </c>
      <c r="B18" s="1">
        <f t="shared" si="0"/>
        <v>426</v>
      </c>
      <c r="C18" s="1">
        <v>964.86638084696472</v>
      </c>
      <c r="D18" s="1">
        <f t="shared" si="1"/>
        <v>538.86638084696483</v>
      </c>
      <c r="E18" s="2">
        <v>6</v>
      </c>
      <c r="F18" s="1">
        <v>160.81106347449412</v>
      </c>
      <c r="G18" s="1">
        <v>89.811063474494134</v>
      </c>
      <c r="H18" s="1">
        <v>71</v>
      </c>
      <c r="I18" s="1">
        <f t="shared" si="2"/>
        <v>33188</v>
      </c>
      <c r="J18" s="1">
        <f t="shared" si="3"/>
        <v>64780.905841760607</v>
      </c>
      <c r="K18" s="1">
        <f t="shared" si="4"/>
        <v>31592.90584176061</v>
      </c>
      <c r="L18" s="5">
        <f t="shared" si="5"/>
        <v>538</v>
      </c>
    </row>
    <row r="19" spans="1:12" x14ac:dyDescent="0.25">
      <c r="A19" s="3">
        <v>40339</v>
      </c>
      <c r="B19" s="1">
        <f t="shared" si="0"/>
        <v>465</v>
      </c>
      <c r="C19" s="1">
        <v>848.0697168269046</v>
      </c>
      <c r="D19" s="1">
        <f t="shared" si="1"/>
        <v>383.06971682690465</v>
      </c>
      <c r="E19" s="2">
        <v>15</v>
      </c>
      <c r="F19" s="1">
        <v>56.537981121793642</v>
      </c>
      <c r="G19" s="1">
        <v>25.537981121793642</v>
      </c>
      <c r="H19" s="1">
        <v>31</v>
      </c>
      <c r="I19" s="1">
        <f t="shared" si="2"/>
        <v>33653</v>
      </c>
      <c r="J19" s="1">
        <f t="shared" si="3"/>
        <v>65628.97555858751</v>
      </c>
      <c r="K19" s="1">
        <f t="shared" si="4"/>
        <v>31975.975558587514</v>
      </c>
      <c r="L19" s="5">
        <f t="shared" si="5"/>
        <v>553</v>
      </c>
    </row>
    <row r="20" spans="1:12" x14ac:dyDescent="0.25">
      <c r="A20" s="3">
        <v>40347</v>
      </c>
      <c r="B20" s="1">
        <f t="shared" si="0"/>
        <v>2000</v>
      </c>
      <c r="C20" s="1">
        <v>3378.3484606553116</v>
      </c>
      <c r="D20" s="1">
        <f t="shared" si="1"/>
        <v>1378.3484606553116</v>
      </c>
      <c r="E20" s="2">
        <v>25</v>
      </c>
      <c r="F20" s="1">
        <v>135.13393842621247</v>
      </c>
      <c r="G20" s="1">
        <v>55.13393842621246</v>
      </c>
      <c r="H20" s="1">
        <v>80</v>
      </c>
      <c r="I20" s="1">
        <f t="shared" si="2"/>
        <v>35653</v>
      </c>
      <c r="J20" s="1">
        <f t="shared" si="3"/>
        <v>69007.32401924282</v>
      </c>
      <c r="K20" s="1">
        <f t="shared" si="4"/>
        <v>33354.324019242827</v>
      </c>
      <c r="L20" s="5">
        <f t="shared" si="5"/>
        <v>578</v>
      </c>
    </row>
    <row r="21" spans="1:12" x14ac:dyDescent="0.25">
      <c r="A21" s="3">
        <v>40347</v>
      </c>
      <c r="B21" s="1">
        <f t="shared" si="0"/>
        <v>1702</v>
      </c>
      <c r="C21" s="1">
        <v>4183.6563792061716</v>
      </c>
      <c r="D21" s="1">
        <f t="shared" si="1"/>
        <v>2481.6563792061716</v>
      </c>
      <c r="E21" s="2">
        <v>46</v>
      </c>
      <c r="F21" s="1">
        <v>90.949051721873303</v>
      </c>
      <c r="G21" s="1">
        <v>53.949051721873296</v>
      </c>
      <c r="H21" s="1">
        <v>37</v>
      </c>
      <c r="I21" s="1">
        <f t="shared" si="2"/>
        <v>37355</v>
      </c>
      <c r="J21" s="1">
        <f t="shared" si="3"/>
        <v>73190.980398448999</v>
      </c>
      <c r="K21" s="1">
        <f t="shared" si="4"/>
        <v>35835.980398448999</v>
      </c>
      <c r="L21" s="5">
        <f t="shared" si="5"/>
        <v>624</v>
      </c>
    </row>
    <row r="22" spans="1:12" x14ac:dyDescent="0.25">
      <c r="A22" s="3">
        <v>40351</v>
      </c>
      <c r="B22" s="1">
        <f t="shared" si="0"/>
        <v>1232</v>
      </c>
      <c r="C22" s="1">
        <v>2630.0389078944636</v>
      </c>
      <c r="D22" s="1">
        <f t="shared" si="1"/>
        <v>1398.0389078944638</v>
      </c>
      <c r="E22" s="2">
        <v>28</v>
      </c>
      <c r="F22" s="1">
        <v>93.929960996230847</v>
      </c>
      <c r="G22" s="1">
        <v>49.929960996230854</v>
      </c>
      <c r="H22" s="1">
        <v>44</v>
      </c>
      <c r="I22" s="1">
        <f t="shared" si="2"/>
        <v>38587</v>
      </c>
      <c r="J22" s="1">
        <f t="shared" si="3"/>
        <v>75821.019306343456</v>
      </c>
      <c r="K22" s="1">
        <f t="shared" si="4"/>
        <v>37234.019306343464</v>
      </c>
      <c r="L22" s="5">
        <f t="shared" si="5"/>
        <v>652</v>
      </c>
    </row>
    <row r="23" spans="1:12" x14ac:dyDescent="0.25">
      <c r="A23" s="3">
        <v>40354</v>
      </c>
      <c r="B23" s="1">
        <f t="shared" si="0"/>
        <v>1666</v>
      </c>
      <c r="C23" s="1">
        <v>2903.1536950699506</v>
      </c>
      <c r="D23" s="1">
        <f t="shared" si="1"/>
        <v>1237.1536950699508</v>
      </c>
      <c r="E23" s="2">
        <v>17</v>
      </c>
      <c r="F23" s="1">
        <v>170.77374676882062</v>
      </c>
      <c r="G23" s="1">
        <v>72.773746768820629</v>
      </c>
      <c r="H23" s="1">
        <v>98</v>
      </c>
      <c r="I23" s="1">
        <f t="shared" si="2"/>
        <v>40253</v>
      </c>
      <c r="J23" s="1">
        <f t="shared" si="3"/>
        <v>78724.173001413408</v>
      </c>
      <c r="K23" s="1">
        <f t="shared" si="4"/>
        <v>38471.173001413415</v>
      </c>
      <c r="L23" s="5">
        <f t="shared" si="5"/>
        <v>669</v>
      </c>
    </row>
    <row r="24" spans="1:12" x14ac:dyDescent="0.25">
      <c r="A24" s="3">
        <v>40356</v>
      </c>
      <c r="B24" s="1">
        <f t="shared" si="0"/>
        <v>42</v>
      </c>
      <c r="C24" s="1">
        <v>89.96623369755919</v>
      </c>
      <c r="D24" s="1">
        <f t="shared" si="1"/>
        <v>47.96623369755919</v>
      </c>
      <c r="E24" s="2">
        <v>1</v>
      </c>
      <c r="F24" s="1">
        <v>89.96623369755919</v>
      </c>
      <c r="G24" s="1">
        <v>47.96623369755919</v>
      </c>
      <c r="H24" s="1">
        <v>42</v>
      </c>
      <c r="I24" s="1">
        <f t="shared" si="2"/>
        <v>40295</v>
      </c>
      <c r="J24" s="1">
        <f t="shared" si="3"/>
        <v>78814.139235110968</v>
      </c>
      <c r="K24" s="1">
        <f t="shared" si="4"/>
        <v>38519.139235110975</v>
      </c>
      <c r="L24" s="5">
        <f t="shared" si="5"/>
        <v>670</v>
      </c>
    </row>
    <row r="25" spans="1:12" x14ac:dyDescent="0.25">
      <c r="A25" s="3">
        <v>40359</v>
      </c>
      <c r="B25" s="1">
        <f t="shared" si="0"/>
        <v>184</v>
      </c>
      <c r="C25" s="1">
        <v>414.06691433863864</v>
      </c>
      <c r="D25" s="1">
        <f t="shared" si="1"/>
        <v>230.06691433863864</v>
      </c>
      <c r="E25" s="2">
        <v>4</v>
      </c>
      <c r="F25" s="1">
        <v>103.51672858465966</v>
      </c>
      <c r="G25" s="1">
        <v>57.51672858465966</v>
      </c>
      <c r="H25" s="1">
        <v>46</v>
      </c>
      <c r="I25" s="1">
        <f t="shared" si="2"/>
        <v>40479</v>
      </c>
      <c r="J25" s="1">
        <f t="shared" si="3"/>
        <v>79228.206149449601</v>
      </c>
      <c r="K25" s="1">
        <f t="shared" si="4"/>
        <v>38749.206149449616</v>
      </c>
      <c r="L25" s="5">
        <f t="shared" si="5"/>
        <v>674</v>
      </c>
    </row>
    <row r="26" spans="1:12" x14ac:dyDescent="0.25">
      <c r="A26" s="3">
        <v>40363</v>
      </c>
      <c r="B26" s="1">
        <f t="shared" si="0"/>
        <v>3225</v>
      </c>
      <c r="C26" s="1">
        <v>6468.3480676119561</v>
      </c>
      <c r="D26" s="1">
        <f t="shared" si="1"/>
        <v>3243.3480676119561</v>
      </c>
      <c r="E26" s="2">
        <v>43</v>
      </c>
      <c r="F26" s="1">
        <v>150.42669924678967</v>
      </c>
      <c r="G26" s="1">
        <v>75.426699246789681</v>
      </c>
      <c r="H26" s="1">
        <v>75</v>
      </c>
      <c r="I26" s="1">
        <f t="shared" si="2"/>
        <v>43704</v>
      </c>
      <c r="J26" s="1">
        <f t="shared" si="3"/>
        <v>85696.554217061552</v>
      </c>
      <c r="K26" s="1">
        <f t="shared" si="4"/>
        <v>41992.554217061574</v>
      </c>
      <c r="L26" s="5">
        <f t="shared" si="5"/>
        <v>717</v>
      </c>
    </row>
    <row r="27" spans="1:12" x14ac:dyDescent="0.25">
      <c r="A27" s="3">
        <v>40372</v>
      </c>
      <c r="B27" s="1">
        <f t="shared" si="0"/>
        <v>2288</v>
      </c>
      <c r="C27" s="1">
        <v>6748.486470351565</v>
      </c>
      <c r="D27" s="1">
        <f t="shared" si="1"/>
        <v>4460.4864703515659</v>
      </c>
      <c r="E27" s="2">
        <v>44</v>
      </c>
      <c r="F27" s="1">
        <v>153.37469250799012</v>
      </c>
      <c r="G27" s="1">
        <v>101.37469250799013</v>
      </c>
      <c r="H27" s="1">
        <v>52</v>
      </c>
      <c r="I27" s="1">
        <f t="shared" si="2"/>
        <v>45992</v>
      </c>
      <c r="J27" s="1">
        <f t="shared" si="3"/>
        <v>92445.040687413115</v>
      </c>
      <c r="K27" s="1">
        <f t="shared" si="4"/>
        <v>46453.040687413137</v>
      </c>
      <c r="L27" s="5">
        <f t="shared" si="5"/>
        <v>761</v>
      </c>
    </row>
    <row r="28" spans="1:12" x14ac:dyDescent="0.25">
      <c r="A28" s="3">
        <v>40375</v>
      </c>
      <c r="B28" s="1">
        <f t="shared" si="0"/>
        <v>2583</v>
      </c>
      <c r="C28" s="1">
        <v>4951.9254660378883</v>
      </c>
      <c r="D28" s="1">
        <f t="shared" si="1"/>
        <v>2368.9254660378888</v>
      </c>
      <c r="E28" s="2">
        <v>41</v>
      </c>
      <c r="F28" s="1">
        <v>120.77866990336314</v>
      </c>
      <c r="G28" s="1">
        <v>57.778669903363138</v>
      </c>
      <c r="H28" s="1">
        <v>63</v>
      </c>
      <c r="I28" s="1">
        <f t="shared" si="2"/>
        <v>48575</v>
      </c>
      <c r="J28" s="1">
        <f t="shared" si="3"/>
        <v>97396.966153451009</v>
      </c>
      <c r="K28" s="1">
        <f t="shared" si="4"/>
        <v>48821.966153451023</v>
      </c>
      <c r="L28" s="5">
        <f t="shared" si="5"/>
        <v>802</v>
      </c>
    </row>
    <row r="29" spans="1:12" x14ac:dyDescent="0.25">
      <c r="A29" s="3">
        <v>40390</v>
      </c>
      <c r="B29" s="1">
        <f t="shared" si="0"/>
        <v>272</v>
      </c>
      <c r="C29" s="1">
        <v>618.98949915300557</v>
      </c>
      <c r="D29" s="1">
        <f t="shared" si="1"/>
        <v>346.98949915300557</v>
      </c>
      <c r="E29" s="2">
        <v>16</v>
      </c>
      <c r="F29" s="1">
        <v>38.686843697062848</v>
      </c>
      <c r="G29" s="1">
        <v>21.686843697062848</v>
      </c>
      <c r="H29" s="1">
        <v>17</v>
      </c>
      <c r="I29" s="1">
        <f t="shared" si="2"/>
        <v>48847</v>
      </c>
      <c r="J29" s="1">
        <f t="shared" si="3"/>
        <v>98015.955652604011</v>
      </c>
      <c r="K29" s="1">
        <f t="shared" si="4"/>
        <v>49168.955652604032</v>
      </c>
      <c r="L29" s="5">
        <f t="shared" si="5"/>
        <v>818</v>
      </c>
    </row>
    <row r="30" spans="1:12" x14ac:dyDescent="0.25">
      <c r="A30" s="3">
        <v>40397</v>
      </c>
      <c r="B30" s="1">
        <f t="shared" si="0"/>
        <v>430</v>
      </c>
      <c r="C30" s="1">
        <v>982.11493250313515</v>
      </c>
      <c r="D30" s="1">
        <f t="shared" si="1"/>
        <v>552.11493250313515</v>
      </c>
      <c r="E30" s="2">
        <v>10</v>
      </c>
      <c r="F30" s="1">
        <v>98.211493250313509</v>
      </c>
      <c r="G30" s="1">
        <v>55.211493250313517</v>
      </c>
      <c r="H30" s="1">
        <v>43</v>
      </c>
      <c r="I30" s="1">
        <f t="shared" si="2"/>
        <v>49277</v>
      </c>
      <c r="J30" s="1">
        <f t="shared" si="3"/>
        <v>98998.07058510714</v>
      </c>
      <c r="K30" s="1">
        <f t="shared" si="4"/>
        <v>49721.070585107169</v>
      </c>
      <c r="L30" s="5">
        <f t="shared" si="5"/>
        <v>828</v>
      </c>
    </row>
    <row r="31" spans="1:12" x14ac:dyDescent="0.25">
      <c r="A31" s="3">
        <v>40400</v>
      </c>
      <c r="B31" s="1">
        <f t="shared" si="0"/>
        <v>3540</v>
      </c>
      <c r="C31" s="1">
        <v>7015.145952615484</v>
      </c>
      <c r="D31" s="1">
        <f t="shared" si="1"/>
        <v>3475.145952615484</v>
      </c>
      <c r="E31" s="2">
        <v>60</v>
      </c>
      <c r="F31" s="1">
        <v>116.91909921025807</v>
      </c>
      <c r="G31" s="1">
        <v>57.919099210258068</v>
      </c>
      <c r="H31" s="1">
        <v>59</v>
      </c>
      <c r="I31" s="1">
        <f t="shared" si="2"/>
        <v>52817</v>
      </c>
      <c r="J31" s="1">
        <f t="shared" si="3"/>
        <v>106013.21653772262</v>
      </c>
      <c r="K31" s="1">
        <f t="shared" si="4"/>
        <v>53196.216537722656</v>
      </c>
      <c r="L31" s="5">
        <f t="shared" si="5"/>
        <v>888</v>
      </c>
    </row>
    <row r="32" spans="1:12" x14ac:dyDescent="0.25">
      <c r="A32" s="3">
        <v>40407</v>
      </c>
      <c r="B32" s="1">
        <f t="shared" si="0"/>
        <v>252</v>
      </c>
      <c r="C32" s="1">
        <v>443.26545180105126</v>
      </c>
      <c r="D32" s="1">
        <f t="shared" si="1"/>
        <v>191.26545180105128</v>
      </c>
      <c r="E32" s="2">
        <v>6</v>
      </c>
      <c r="F32" s="1">
        <v>73.877575300175209</v>
      </c>
      <c r="G32" s="1">
        <v>31.877575300175213</v>
      </c>
      <c r="H32" s="1">
        <v>42</v>
      </c>
      <c r="I32" s="1">
        <f t="shared" si="2"/>
        <v>53069</v>
      </c>
      <c r="J32" s="1">
        <f t="shared" si="3"/>
        <v>106456.48198952367</v>
      </c>
      <c r="K32" s="1">
        <f t="shared" si="4"/>
        <v>53387.481989523709</v>
      </c>
      <c r="L32" s="5">
        <f t="shared" si="5"/>
        <v>894</v>
      </c>
    </row>
    <row r="33" spans="1:12" x14ac:dyDescent="0.25">
      <c r="A33" s="3">
        <v>40408</v>
      </c>
      <c r="B33" s="1">
        <f t="shared" si="0"/>
        <v>1404</v>
      </c>
      <c r="C33" s="1">
        <v>2586.6375304478952</v>
      </c>
      <c r="D33" s="1">
        <f t="shared" si="1"/>
        <v>1182.6375304478954</v>
      </c>
      <c r="E33" s="2">
        <v>26</v>
      </c>
      <c r="F33" s="1">
        <v>99.486058863380592</v>
      </c>
      <c r="G33" s="1">
        <v>45.486058863380592</v>
      </c>
      <c r="H33" s="1">
        <v>54</v>
      </c>
      <c r="I33" s="1">
        <f t="shared" si="2"/>
        <v>54473</v>
      </c>
      <c r="J33" s="1">
        <f t="shared" si="3"/>
        <v>109043.11951997157</v>
      </c>
      <c r="K33" s="1">
        <f t="shared" si="4"/>
        <v>54570.119519971602</v>
      </c>
      <c r="L33" s="5">
        <f t="shared" si="5"/>
        <v>920</v>
      </c>
    </row>
    <row r="34" spans="1:12" x14ac:dyDescent="0.25">
      <c r="A34" s="3">
        <v>40415</v>
      </c>
      <c r="B34" s="1">
        <f t="shared" si="0"/>
        <v>452</v>
      </c>
      <c r="C34" s="1">
        <v>763.94097526845667</v>
      </c>
      <c r="D34" s="1">
        <f t="shared" si="1"/>
        <v>311.94097526845673</v>
      </c>
      <c r="E34" s="2">
        <v>4</v>
      </c>
      <c r="F34" s="1">
        <v>190.98524381711417</v>
      </c>
      <c r="G34" s="1">
        <v>77.985243817114181</v>
      </c>
      <c r="H34" s="1">
        <v>113</v>
      </c>
      <c r="I34" s="1">
        <f t="shared" si="2"/>
        <v>54925</v>
      </c>
      <c r="J34" s="1">
        <f t="shared" si="3"/>
        <v>109807.06049524003</v>
      </c>
      <c r="K34" s="1">
        <f t="shared" si="4"/>
        <v>54882.060495240061</v>
      </c>
      <c r="L34" s="5">
        <f t="shared" si="5"/>
        <v>924</v>
      </c>
    </row>
    <row r="35" spans="1:12" x14ac:dyDescent="0.25">
      <c r="A35" s="3">
        <v>40420</v>
      </c>
      <c r="B35" s="1">
        <f t="shared" si="0"/>
        <v>637</v>
      </c>
      <c r="C35" s="1">
        <v>1318.2541184066208</v>
      </c>
      <c r="D35" s="1">
        <f t="shared" si="1"/>
        <v>681.25411840662071</v>
      </c>
      <c r="E35" s="2">
        <v>13</v>
      </c>
      <c r="F35" s="1">
        <v>101.40416295435544</v>
      </c>
      <c r="G35" s="1">
        <v>52.404162954355442</v>
      </c>
      <c r="H35" s="1">
        <v>49</v>
      </c>
      <c r="I35" s="1">
        <f t="shared" si="2"/>
        <v>55562</v>
      </c>
      <c r="J35" s="1">
        <f t="shared" si="3"/>
        <v>111125.31461364665</v>
      </c>
      <c r="K35" s="1">
        <f t="shared" si="4"/>
        <v>55563.314613646682</v>
      </c>
      <c r="L35" s="5">
        <f t="shared" si="5"/>
        <v>937</v>
      </c>
    </row>
    <row r="36" spans="1:12" x14ac:dyDescent="0.25">
      <c r="A36" s="3">
        <v>40423</v>
      </c>
      <c r="B36" s="1">
        <f t="shared" si="0"/>
        <v>664</v>
      </c>
      <c r="C36" s="1">
        <v>1209.3993858695258</v>
      </c>
      <c r="D36" s="1">
        <f t="shared" si="1"/>
        <v>545.39938586952564</v>
      </c>
      <c r="E36" s="2">
        <v>8</v>
      </c>
      <c r="F36" s="1">
        <v>151.17492323369072</v>
      </c>
      <c r="G36" s="1">
        <v>68.174923233690706</v>
      </c>
      <c r="H36" s="1">
        <v>83</v>
      </c>
      <c r="I36" s="1">
        <f t="shared" si="2"/>
        <v>56226</v>
      </c>
      <c r="J36" s="1">
        <f t="shared" si="3"/>
        <v>112334.71399951619</v>
      </c>
      <c r="K36" s="1">
        <f t="shared" si="4"/>
        <v>56108.713999516207</v>
      </c>
      <c r="L36" s="5">
        <f t="shared" si="5"/>
        <v>945</v>
      </c>
    </row>
    <row r="37" spans="1:12" x14ac:dyDescent="0.25">
      <c r="A37" s="3">
        <v>40423</v>
      </c>
      <c r="B37" s="1">
        <f t="shared" si="0"/>
        <v>12183</v>
      </c>
      <c r="C37" s="1">
        <v>22023.725259081082</v>
      </c>
      <c r="D37" s="1">
        <f t="shared" si="1"/>
        <v>9840.7252590810804</v>
      </c>
      <c r="E37" s="2">
        <v>93</v>
      </c>
      <c r="F37" s="1">
        <v>236.81425009764604</v>
      </c>
      <c r="G37" s="1">
        <v>105.81425009764602</v>
      </c>
      <c r="H37" s="1">
        <v>131</v>
      </c>
      <c r="I37" s="1">
        <f t="shared" si="2"/>
        <v>68409</v>
      </c>
      <c r="J37" s="1">
        <f t="shared" si="3"/>
        <v>134358.43925859727</v>
      </c>
      <c r="K37" s="1">
        <f t="shared" si="4"/>
        <v>65949.439258597282</v>
      </c>
      <c r="L37" s="5">
        <f t="shared" si="5"/>
        <v>1038</v>
      </c>
    </row>
    <row r="38" spans="1:12" x14ac:dyDescent="0.25">
      <c r="A38" s="3">
        <v>40431</v>
      </c>
      <c r="B38" s="1">
        <f t="shared" si="0"/>
        <v>460</v>
      </c>
      <c r="C38" s="1">
        <v>780.72550095270969</v>
      </c>
      <c r="D38" s="1">
        <f t="shared" si="1"/>
        <v>320.72550095270969</v>
      </c>
      <c r="E38" s="2">
        <v>23</v>
      </c>
      <c r="F38" s="1">
        <v>33.944586997943901</v>
      </c>
      <c r="G38" s="1">
        <v>13.944586997943901</v>
      </c>
      <c r="H38" s="1">
        <v>20</v>
      </c>
      <c r="I38" s="1">
        <f t="shared" si="2"/>
        <v>68869</v>
      </c>
      <c r="J38" s="1">
        <f t="shared" si="3"/>
        <v>135139.16475954998</v>
      </c>
      <c r="K38" s="1">
        <f t="shared" si="4"/>
        <v>66270.164759549996</v>
      </c>
      <c r="L38" s="5">
        <f t="shared" si="5"/>
        <v>1061</v>
      </c>
    </row>
    <row r="39" spans="1:12" x14ac:dyDescent="0.25">
      <c r="A39" s="3">
        <v>40439</v>
      </c>
      <c r="B39" s="1">
        <f t="shared" si="0"/>
        <v>1020</v>
      </c>
      <c r="C39" s="1">
        <v>1794.2259205206624</v>
      </c>
      <c r="D39" s="1">
        <f t="shared" si="1"/>
        <v>774.22592052066261</v>
      </c>
      <c r="E39" s="2">
        <v>10</v>
      </c>
      <c r="F39" s="1">
        <v>179.42259205206625</v>
      </c>
      <c r="G39" s="1">
        <v>77.422592052066264</v>
      </c>
      <c r="H39" s="1">
        <v>102</v>
      </c>
      <c r="I39" s="1">
        <f t="shared" si="2"/>
        <v>69889</v>
      </c>
      <c r="J39" s="1">
        <f t="shared" si="3"/>
        <v>136933.39068007065</v>
      </c>
      <c r="K39" s="1">
        <f t="shared" si="4"/>
        <v>67044.390680070661</v>
      </c>
      <c r="L39" s="5">
        <f t="shared" si="5"/>
        <v>1071</v>
      </c>
    </row>
    <row r="40" spans="1:12" x14ac:dyDescent="0.25">
      <c r="A40" s="3">
        <v>40441</v>
      </c>
      <c r="B40" s="1">
        <f t="shared" si="0"/>
        <v>1770</v>
      </c>
      <c r="C40" s="1">
        <v>4623.846363739548</v>
      </c>
      <c r="D40" s="1">
        <f t="shared" si="1"/>
        <v>2853.846363739548</v>
      </c>
      <c r="E40" s="2">
        <v>30</v>
      </c>
      <c r="F40" s="1">
        <v>154.12821212465161</v>
      </c>
      <c r="G40" s="1">
        <v>95.128212124651597</v>
      </c>
      <c r="H40" s="1">
        <v>59</v>
      </c>
      <c r="I40" s="1">
        <f t="shared" si="2"/>
        <v>71659</v>
      </c>
      <c r="J40" s="1">
        <f t="shared" si="3"/>
        <v>141557.23704381019</v>
      </c>
      <c r="K40" s="1">
        <f t="shared" si="4"/>
        <v>69898.237043810208</v>
      </c>
      <c r="L40" s="5">
        <f t="shared" si="5"/>
        <v>1101</v>
      </c>
    </row>
    <row r="41" spans="1:12" x14ac:dyDescent="0.25">
      <c r="A41" s="3">
        <v>40444</v>
      </c>
      <c r="B41" s="1">
        <f t="shared" si="0"/>
        <v>4130</v>
      </c>
      <c r="C41" s="1">
        <v>8263.5451526523029</v>
      </c>
      <c r="D41" s="1">
        <f t="shared" si="1"/>
        <v>4133.5451526523038</v>
      </c>
      <c r="E41" s="2">
        <v>35</v>
      </c>
      <c r="F41" s="1">
        <v>236.1012900757801</v>
      </c>
      <c r="G41" s="1">
        <v>118.1012900757801</v>
      </c>
      <c r="H41" s="1">
        <v>118</v>
      </c>
      <c r="I41" s="1">
        <f t="shared" si="2"/>
        <v>75789</v>
      </c>
      <c r="J41" s="1">
        <f t="shared" si="3"/>
        <v>149820.7821964625</v>
      </c>
      <c r="K41" s="1">
        <f t="shared" si="4"/>
        <v>74031.782196462518</v>
      </c>
      <c r="L41" s="5">
        <f t="shared" si="5"/>
        <v>1136</v>
      </c>
    </row>
    <row r="42" spans="1:12" x14ac:dyDescent="0.25">
      <c r="A42" s="3">
        <v>40444</v>
      </c>
      <c r="B42" s="1">
        <f t="shared" si="0"/>
        <v>144</v>
      </c>
      <c r="C42" s="1">
        <v>345.29450063896036</v>
      </c>
      <c r="D42" s="1">
        <f t="shared" si="1"/>
        <v>201.29450063896039</v>
      </c>
      <c r="E42" s="2">
        <v>4</v>
      </c>
      <c r="F42" s="1">
        <v>86.323625159740089</v>
      </c>
      <c r="G42" s="1">
        <v>50.323625159740097</v>
      </c>
      <c r="H42" s="1">
        <v>36</v>
      </c>
      <c r="I42" s="1">
        <f t="shared" si="2"/>
        <v>75933</v>
      </c>
      <c r="J42" s="1">
        <f t="shared" si="3"/>
        <v>150166.07669710147</v>
      </c>
      <c r="K42" s="1">
        <f t="shared" si="4"/>
        <v>74233.076697101482</v>
      </c>
      <c r="L42" s="5">
        <f t="shared" si="5"/>
        <v>1140</v>
      </c>
    </row>
    <row r="43" spans="1:12" x14ac:dyDescent="0.25">
      <c r="A43" s="3">
        <v>40446</v>
      </c>
      <c r="B43" s="1">
        <f t="shared" si="0"/>
        <v>1449</v>
      </c>
      <c r="C43" s="1">
        <v>4086.7190900843243</v>
      </c>
      <c r="D43" s="1">
        <f t="shared" si="1"/>
        <v>2637.7190900843243</v>
      </c>
      <c r="E43" s="2">
        <v>23</v>
      </c>
      <c r="F43" s="1">
        <v>177.68343869931846</v>
      </c>
      <c r="G43" s="1">
        <v>114.68343869931844</v>
      </c>
      <c r="H43" s="1">
        <v>63</v>
      </c>
      <c r="I43" s="1">
        <f t="shared" si="2"/>
        <v>77382</v>
      </c>
      <c r="J43" s="1">
        <f t="shared" si="3"/>
        <v>154252.79578718578</v>
      </c>
      <c r="K43" s="1">
        <f t="shared" si="4"/>
        <v>76870.795787185809</v>
      </c>
      <c r="L43" s="5">
        <f t="shared" si="5"/>
        <v>1163</v>
      </c>
    </row>
    <row r="44" spans="1:12" x14ac:dyDescent="0.25">
      <c r="A44" s="3">
        <v>40447</v>
      </c>
      <c r="B44" s="1">
        <f t="shared" si="0"/>
        <v>105</v>
      </c>
      <c r="C44" s="1">
        <v>256.35409088773622</v>
      </c>
      <c r="D44" s="1">
        <f t="shared" si="1"/>
        <v>151.35409088773619</v>
      </c>
      <c r="E44" s="2">
        <v>3</v>
      </c>
      <c r="F44" s="1">
        <v>85.451363629245407</v>
      </c>
      <c r="G44" s="1">
        <v>50.4513636292454</v>
      </c>
      <c r="H44" s="1">
        <v>35</v>
      </c>
      <c r="I44" s="1">
        <f t="shared" si="2"/>
        <v>77487</v>
      </c>
      <c r="J44" s="1">
        <f t="shared" si="3"/>
        <v>154509.14987807351</v>
      </c>
      <c r="K44" s="1">
        <f t="shared" si="4"/>
        <v>77022.149878073542</v>
      </c>
      <c r="L44" s="5">
        <f t="shared" si="5"/>
        <v>1166</v>
      </c>
    </row>
    <row r="45" spans="1:12" x14ac:dyDescent="0.25">
      <c r="A45" s="3">
        <v>40455</v>
      </c>
      <c r="B45" s="1">
        <f t="shared" si="0"/>
        <v>3348</v>
      </c>
      <c r="C45" s="1">
        <v>5858.9756242709436</v>
      </c>
      <c r="D45" s="1">
        <f t="shared" si="1"/>
        <v>2510.9756242709441</v>
      </c>
      <c r="E45" s="2">
        <v>36</v>
      </c>
      <c r="F45" s="1">
        <v>162.74932289641509</v>
      </c>
      <c r="G45" s="1">
        <v>69.749322896415109</v>
      </c>
      <c r="H45" s="1">
        <v>93</v>
      </c>
      <c r="I45" s="1">
        <f t="shared" si="2"/>
        <v>80835</v>
      </c>
      <c r="J45" s="1">
        <f t="shared" si="3"/>
        <v>160368.12550234445</v>
      </c>
      <c r="K45" s="1">
        <f t="shared" si="4"/>
        <v>79533.125502344483</v>
      </c>
      <c r="L45" s="5">
        <f t="shared" si="5"/>
        <v>1202</v>
      </c>
    </row>
    <row r="46" spans="1:12" x14ac:dyDescent="0.25">
      <c r="A46" s="3">
        <v>40458</v>
      </c>
      <c r="B46" s="1">
        <f t="shared" si="0"/>
        <v>2584</v>
      </c>
      <c r="C46" s="1">
        <v>4791.9945462407004</v>
      </c>
      <c r="D46" s="1">
        <f t="shared" si="1"/>
        <v>2207.9945462406999</v>
      </c>
      <c r="E46" s="2">
        <v>34</v>
      </c>
      <c r="F46" s="1">
        <v>140.94101606590294</v>
      </c>
      <c r="G46" s="1">
        <v>64.941016065902943</v>
      </c>
      <c r="H46" s="1">
        <v>76</v>
      </c>
      <c r="I46" s="1">
        <f t="shared" si="2"/>
        <v>83419</v>
      </c>
      <c r="J46" s="1">
        <f t="shared" si="3"/>
        <v>165160.12004858514</v>
      </c>
      <c r="K46" s="1">
        <f t="shared" si="4"/>
        <v>81741.120048585188</v>
      </c>
      <c r="L46" s="5">
        <f t="shared" si="5"/>
        <v>1236</v>
      </c>
    </row>
    <row r="47" spans="1:12" x14ac:dyDescent="0.25">
      <c r="A47" s="3">
        <v>40465</v>
      </c>
      <c r="B47" s="1">
        <f t="shared" si="0"/>
        <v>744</v>
      </c>
      <c r="C47" s="1">
        <v>1518.5955767122027</v>
      </c>
      <c r="D47" s="1">
        <f t="shared" si="1"/>
        <v>774.59557671220261</v>
      </c>
      <c r="E47" s="2">
        <v>24</v>
      </c>
      <c r="F47" s="1">
        <v>63.274815696341776</v>
      </c>
      <c r="G47" s="1">
        <v>32.274815696341776</v>
      </c>
      <c r="H47" s="1">
        <v>31</v>
      </c>
      <c r="I47" s="1">
        <f t="shared" si="2"/>
        <v>84163</v>
      </c>
      <c r="J47" s="1">
        <f t="shared" si="3"/>
        <v>166678.71562529734</v>
      </c>
      <c r="K47" s="1">
        <f t="shared" si="4"/>
        <v>82515.715625297395</v>
      </c>
      <c r="L47" s="5">
        <f t="shared" si="5"/>
        <v>1260</v>
      </c>
    </row>
    <row r="48" spans="1:12" x14ac:dyDescent="0.25">
      <c r="A48" s="3">
        <v>40483</v>
      </c>
      <c r="B48" s="1">
        <f t="shared" si="0"/>
        <v>10120</v>
      </c>
      <c r="C48" s="1">
        <v>17122.693416919028</v>
      </c>
      <c r="D48" s="1">
        <f t="shared" si="1"/>
        <v>7002.693416919029</v>
      </c>
      <c r="E48" s="2">
        <v>110</v>
      </c>
      <c r="F48" s="1">
        <v>155.66084924471843</v>
      </c>
      <c r="G48" s="1">
        <v>63.660849244718442</v>
      </c>
      <c r="H48" s="1">
        <v>92</v>
      </c>
      <c r="I48" s="1">
        <f t="shared" si="2"/>
        <v>94283</v>
      </c>
      <c r="J48" s="1">
        <f t="shared" si="3"/>
        <v>183801.40904221637</v>
      </c>
      <c r="K48" s="1">
        <f t="shared" si="4"/>
        <v>89518.40904221643</v>
      </c>
      <c r="L48" s="5">
        <f t="shared" si="5"/>
        <v>1370</v>
      </c>
    </row>
    <row r="49" spans="1:12" x14ac:dyDescent="0.25">
      <c r="A49" s="3">
        <v>40508</v>
      </c>
      <c r="B49" s="1">
        <f t="shared" si="0"/>
        <v>2952</v>
      </c>
      <c r="C49" s="1">
        <v>5714.6416107598088</v>
      </c>
      <c r="D49" s="1">
        <f t="shared" si="1"/>
        <v>2762.6416107598084</v>
      </c>
      <c r="E49" s="2">
        <v>41</v>
      </c>
      <c r="F49" s="1">
        <v>139.38150270145874</v>
      </c>
      <c r="G49" s="1">
        <v>67.381502701458743</v>
      </c>
      <c r="H49" s="1">
        <v>72</v>
      </c>
      <c r="I49" s="1">
        <f t="shared" si="2"/>
        <v>97235</v>
      </c>
      <c r="J49" s="1">
        <f t="shared" si="3"/>
        <v>189516.05065297618</v>
      </c>
      <c r="K49" s="1">
        <f t="shared" si="4"/>
        <v>92281.050652976235</v>
      </c>
      <c r="L49" s="5">
        <f t="shared" si="5"/>
        <v>1411</v>
      </c>
    </row>
    <row r="50" spans="1:12" x14ac:dyDescent="0.25">
      <c r="A50" s="3">
        <v>40511</v>
      </c>
      <c r="B50" s="1">
        <f t="shared" si="0"/>
        <v>1200</v>
      </c>
      <c r="C50" s="1">
        <v>2008.1172764618063</v>
      </c>
      <c r="D50" s="1">
        <f t="shared" si="1"/>
        <v>808.11727646180634</v>
      </c>
      <c r="E50" s="2">
        <v>10</v>
      </c>
      <c r="F50" s="1">
        <v>200.81172764618063</v>
      </c>
      <c r="G50" s="1">
        <v>80.811727646180628</v>
      </c>
      <c r="H50" s="1">
        <v>120</v>
      </c>
      <c r="I50" s="1">
        <f t="shared" si="2"/>
        <v>98435</v>
      </c>
      <c r="J50" s="1">
        <f t="shared" si="3"/>
        <v>191524.16792943797</v>
      </c>
      <c r="K50" s="1">
        <f t="shared" si="4"/>
        <v>93089.167929438045</v>
      </c>
      <c r="L50" s="5">
        <f t="shared" si="5"/>
        <v>1421</v>
      </c>
    </row>
    <row r="51" spans="1:12" x14ac:dyDescent="0.25">
      <c r="A51" s="3">
        <v>40523</v>
      </c>
      <c r="B51" s="1">
        <f t="shared" si="0"/>
        <v>329</v>
      </c>
      <c r="C51" s="1">
        <v>620.23770514896228</v>
      </c>
      <c r="D51" s="1">
        <f t="shared" si="1"/>
        <v>291.23770514896228</v>
      </c>
      <c r="E51" s="2">
        <v>7</v>
      </c>
      <c r="F51" s="1">
        <v>88.60538644985175</v>
      </c>
      <c r="G51" s="1">
        <v>41.60538644985175</v>
      </c>
      <c r="H51" s="1">
        <v>47</v>
      </c>
      <c r="I51" s="1">
        <f t="shared" si="2"/>
        <v>98764</v>
      </c>
      <c r="J51" s="1">
        <f t="shared" si="3"/>
        <v>192144.40563458693</v>
      </c>
      <c r="K51" s="1">
        <f t="shared" si="4"/>
        <v>93380.405634587005</v>
      </c>
      <c r="L51" s="5">
        <f t="shared" si="5"/>
        <v>1428</v>
      </c>
    </row>
    <row r="52" spans="1:12" x14ac:dyDescent="0.25">
      <c r="A52" s="3">
        <v>40524</v>
      </c>
      <c r="B52" s="1">
        <f t="shared" si="0"/>
        <v>2256</v>
      </c>
      <c r="C52" s="1">
        <v>4813.9413667131639</v>
      </c>
      <c r="D52" s="1">
        <f t="shared" si="1"/>
        <v>2557.9413667131635</v>
      </c>
      <c r="E52" s="2">
        <v>24</v>
      </c>
      <c r="F52" s="1">
        <v>200.58089027971516</v>
      </c>
      <c r="G52" s="1">
        <v>106.58089027971515</v>
      </c>
      <c r="H52" s="1">
        <v>94</v>
      </c>
      <c r="I52" s="1">
        <f t="shared" si="2"/>
        <v>101020</v>
      </c>
      <c r="J52" s="1">
        <f t="shared" si="3"/>
        <v>196958.34700130011</v>
      </c>
      <c r="K52" s="1">
        <f t="shared" si="4"/>
        <v>95938.347001300164</v>
      </c>
      <c r="L52" s="5">
        <f t="shared" si="5"/>
        <v>1452</v>
      </c>
    </row>
    <row r="53" spans="1:12" x14ac:dyDescent="0.25">
      <c r="A53" s="3">
        <v>40546</v>
      </c>
      <c r="B53" s="1">
        <f t="shared" si="0"/>
        <v>1400</v>
      </c>
      <c r="C53" s="1">
        <v>2709.1673592439283</v>
      </c>
      <c r="D53" s="1">
        <f t="shared" si="1"/>
        <v>1309.1673592439281</v>
      </c>
      <c r="E53" s="2">
        <v>20</v>
      </c>
      <c r="F53" s="1">
        <v>135.45836796219641</v>
      </c>
      <c r="G53" s="1">
        <v>65.458367962196405</v>
      </c>
      <c r="H53" s="1">
        <v>70</v>
      </c>
      <c r="I53" s="1">
        <f t="shared" si="2"/>
        <v>102420</v>
      </c>
      <c r="J53" s="1">
        <f t="shared" si="3"/>
        <v>199667.51436054404</v>
      </c>
      <c r="K53" s="1">
        <f t="shared" si="4"/>
        <v>97247.514360544097</v>
      </c>
      <c r="L53" s="5">
        <f t="shared" si="5"/>
        <v>1472</v>
      </c>
    </row>
    <row r="54" spans="1:12" x14ac:dyDescent="0.25">
      <c r="A54" s="3">
        <v>40547</v>
      </c>
      <c r="B54" s="1">
        <f t="shared" si="0"/>
        <v>418</v>
      </c>
      <c r="C54" s="1">
        <v>782.6477371441747</v>
      </c>
      <c r="D54" s="1">
        <f t="shared" si="1"/>
        <v>364.6477371441747</v>
      </c>
      <c r="E54" s="2">
        <v>11</v>
      </c>
      <c r="F54" s="1">
        <v>71.149794285834062</v>
      </c>
      <c r="G54" s="1">
        <v>33.149794285834062</v>
      </c>
      <c r="H54" s="1">
        <v>38</v>
      </c>
      <c r="I54" s="1">
        <f t="shared" si="2"/>
        <v>102838</v>
      </c>
      <c r="J54" s="1">
        <f t="shared" si="3"/>
        <v>200450.16209768821</v>
      </c>
      <c r="K54" s="1">
        <f t="shared" si="4"/>
        <v>97612.16209768827</v>
      </c>
      <c r="L54" s="5">
        <f t="shared" si="5"/>
        <v>1483</v>
      </c>
    </row>
    <row r="55" spans="1:12" x14ac:dyDescent="0.25">
      <c r="A55" s="3">
        <v>40555</v>
      </c>
      <c r="B55" s="1">
        <f t="shared" si="0"/>
        <v>682</v>
      </c>
      <c r="C55" s="1">
        <v>1865.8036396427635</v>
      </c>
      <c r="D55" s="1">
        <f t="shared" si="1"/>
        <v>1183.8036396427635</v>
      </c>
      <c r="E55" s="2">
        <v>31</v>
      </c>
      <c r="F55" s="1">
        <v>60.187214182024633</v>
      </c>
      <c r="G55" s="1">
        <v>38.187214182024633</v>
      </c>
      <c r="H55" s="1">
        <v>22</v>
      </c>
      <c r="I55" s="1">
        <f t="shared" si="2"/>
        <v>103520</v>
      </c>
      <c r="J55" s="1">
        <f t="shared" si="3"/>
        <v>202315.96573733099</v>
      </c>
      <c r="K55" s="1">
        <f t="shared" si="4"/>
        <v>98795.965737331033</v>
      </c>
      <c r="L55" s="5">
        <f t="shared" si="5"/>
        <v>1514</v>
      </c>
    </row>
    <row r="56" spans="1:12" x14ac:dyDescent="0.25">
      <c r="A56" s="3">
        <v>40570</v>
      </c>
      <c r="B56" s="1">
        <f t="shared" si="0"/>
        <v>7738</v>
      </c>
      <c r="C56" s="1">
        <v>15041.733490758397</v>
      </c>
      <c r="D56" s="1">
        <f t="shared" si="1"/>
        <v>7303.7334907583963</v>
      </c>
      <c r="E56" s="2">
        <v>146</v>
      </c>
      <c r="F56" s="1">
        <v>103.02557185450956</v>
      </c>
      <c r="G56" s="1">
        <v>50.025571854509565</v>
      </c>
      <c r="H56" s="1">
        <v>53</v>
      </c>
      <c r="I56" s="1">
        <f t="shared" si="2"/>
        <v>111258</v>
      </c>
      <c r="J56" s="1">
        <f t="shared" si="3"/>
        <v>217357.69922808939</v>
      </c>
      <c r="K56" s="1">
        <f t="shared" si="4"/>
        <v>106099.69922808943</v>
      </c>
      <c r="L56" s="5">
        <f t="shared" si="5"/>
        <v>1660</v>
      </c>
    </row>
    <row r="57" spans="1:12" x14ac:dyDescent="0.25">
      <c r="A57" s="3">
        <v>40583</v>
      </c>
      <c r="B57" s="1">
        <f t="shared" si="0"/>
        <v>336</v>
      </c>
      <c r="C57" s="1">
        <v>820.43618552439227</v>
      </c>
      <c r="D57" s="1">
        <f t="shared" si="1"/>
        <v>484.43618552439227</v>
      </c>
      <c r="E57" s="2">
        <v>12</v>
      </c>
      <c r="F57" s="1">
        <v>68.369682127032689</v>
      </c>
      <c r="G57" s="1">
        <v>40.369682127032689</v>
      </c>
      <c r="H57" s="1">
        <v>28</v>
      </c>
      <c r="I57" s="1">
        <f t="shared" si="2"/>
        <v>111594</v>
      </c>
      <c r="J57" s="1">
        <f t="shared" si="3"/>
        <v>218178.13541361378</v>
      </c>
      <c r="K57" s="1">
        <f t="shared" si="4"/>
        <v>106584.13541361383</v>
      </c>
      <c r="L57" s="5">
        <f t="shared" si="5"/>
        <v>1672</v>
      </c>
    </row>
    <row r="58" spans="1:12" x14ac:dyDescent="0.25">
      <c r="A58" s="3">
        <v>40594</v>
      </c>
      <c r="B58" s="1">
        <f t="shared" si="0"/>
        <v>1411</v>
      </c>
      <c r="C58" s="1">
        <v>2433.4032311735659</v>
      </c>
      <c r="D58" s="1">
        <f t="shared" si="1"/>
        <v>1022.4032311735657</v>
      </c>
      <c r="E58" s="2">
        <v>17</v>
      </c>
      <c r="F58" s="1">
        <v>143.14136653962152</v>
      </c>
      <c r="G58" s="1">
        <v>60.141366539621515</v>
      </c>
      <c r="H58" s="1">
        <v>83</v>
      </c>
      <c r="I58" s="1">
        <f t="shared" si="2"/>
        <v>113005</v>
      </c>
      <c r="J58" s="1">
        <f t="shared" si="3"/>
        <v>220611.53864478736</v>
      </c>
      <c r="K58" s="1">
        <f t="shared" si="4"/>
        <v>107606.53864478739</v>
      </c>
      <c r="L58" s="5">
        <f t="shared" si="5"/>
        <v>1689</v>
      </c>
    </row>
    <row r="59" spans="1:12" x14ac:dyDescent="0.25">
      <c r="A59" s="3">
        <v>40622</v>
      </c>
      <c r="B59" s="1">
        <f t="shared" si="0"/>
        <v>759</v>
      </c>
      <c r="C59" s="1">
        <v>1771.5482909589184</v>
      </c>
      <c r="D59" s="1">
        <f t="shared" si="1"/>
        <v>1012.5482909589183</v>
      </c>
      <c r="E59" s="2">
        <v>11</v>
      </c>
      <c r="F59" s="1">
        <v>161.04984463262895</v>
      </c>
      <c r="G59" s="1">
        <v>92.049844632628933</v>
      </c>
      <c r="H59" s="1">
        <v>69</v>
      </c>
      <c r="I59" s="1">
        <f t="shared" si="2"/>
        <v>113764</v>
      </c>
      <c r="J59" s="1">
        <f t="shared" si="3"/>
        <v>222383.08693574628</v>
      </c>
      <c r="K59" s="1">
        <f t="shared" si="4"/>
        <v>108619.08693574631</v>
      </c>
      <c r="L59" s="5">
        <f t="shared" si="5"/>
        <v>1700</v>
      </c>
    </row>
    <row r="60" spans="1:12" x14ac:dyDescent="0.25">
      <c r="A60" s="3">
        <v>40636</v>
      </c>
      <c r="B60" s="1">
        <f t="shared" si="0"/>
        <v>11088</v>
      </c>
      <c r="C60" s="1">
        <v>20361.007449716686</v>
      </c>
      <c r="D60" s="1">
        <f t="shared" si="1"/>
        <v>9273.0074497166879</v>
      </c>
      <c r="E60" s="2">
        <v>132</v>
      </c>
      <c r="F60" s="1">
        <v>154.25005643724762</v>
      </c>
      <c r="G60" s="1">
        <v>70.250056437247636</v>
      </c>
      <c r="H60" s="1">
        <v>84</v>
      </c>
      <c r="I60" s="1">
        <f t="shared" si="2"/>
        <v>124852</v>
      </c>
      <c r="J60" s="1">
        <f t="shared" si="3"/>
        <v>242744.09438546296</v>
      </c>
      <c r="K60" s="1">
        <f t="shared" si="4"/>
        <v>117892.094385463</v>
      </c>
      <c r="L60" s="5">
        <f t="shared" si="5"/>
        <v>1832</v>
      </c>
    </row>
    <row r="61" spans="1:12" x14ac:dyDescent="0.25">
      <c r="A61" s="3">
        <v>40642</v>
      </c>
      <c r="B61" s="1">
        <f t="shared" si="0"/>
        <v>945</v>
      </c>
      <c r="C61" s="1">
        <v>1813.6865731132893</v>
      </c>
      <c r="D61" s="1">
        <f t="shared" si="1"/>
        <v>868.68657311328911</v>
      </c>
      <c r="E61" s="2">
        <v>27</v>
      </c>
      <c r="F61" s="1">
        <v>67.173576781973679</v>
      </c>
      <c r="G61" s="1">
        <v>32.173576781973672</v>
      </c>
      <c r="H61" s="1">
        <v>35</v>
      </c>
      <c r="I61" s="1">
        <f t="shared" si="2"/>
        <v>125797</v>
      </c>
      <c r="J61" s="1">
        <f t="shared" si="3"/>
        <v>244557.78095857624</v>
      </c>
      <c r="K61" s="1">
        <f t="shared" si="4"/>
        <v>118760.78095857629</v>
      </c>
      <c r="L61" s="5">
        <f t="shared" si="5"/>
        <v>1859</v>
      </c>
    </row>
    <row r="62" spans="1:12" x14ac:dyDescent="0.25">
      <c r="A62" s="3">
        <v>40655</v>
      </c>
      <c r="B62" s="1">
        <f t="shared" si="0"/>
        <v>1911</v>
      </c>
      <c r="C62" s="1">
        <v>5725.7120434651843</v>
      </c>
      <c r="D62" s="1">
        <f t="shared" si="1"/>
        <v>3814.7120434651843</v>
      </c>
      <c r="E62" s="2">
        <v>49</v>
      </c>
      <c r="F62" s="1">
        <v>116.85126619316702</v>
      </c>
      <c r="G62" s="1">
        <v>77.851266193167021</v>
      </c>
      <c r="H62" s="1">
        <v>39</v>
      </c>
      <c r="I62" s="1">
        <f t="shared" si="2"/>
        <v>127708</v>
      </c>
      <c r="J62" s="1">
        <f t="shared" si="3"/>
        <v>250283.49300204142</v>
      </c>
      <c r="K62" s="1">
        <f t="shared" si="4"/>
        <v>122575.49300204148</v>
      </c>
      <c r="L62" s="5">
        <f t="shared" si="5"/>
        <v>1908</v>
      </c>
    </row>
    <row r="63" spans="1:12" x14ac:dyDescent="0.25">
      <c r="A63" s="3">
        <v>40657</v>
      </c>
      <c r="B63" s="1">
        <f t="shared" si="0"/>
        <v>33348</v>
      </c>
      <c r="C63" s="1">
        <v>60333.222814898872</v>
      </c>
      <c r="D63" s="1">
        <f t="shared" si="1"/>
        <v>26985.222814898869</v>
      </c>
      <c r="E63" s="2">
        <v>397</v>
      </c>
      <c r="F63" s="1">
        <v>151.97285343803242</v>
      </c>
      <c r="G63" s="1">
        <v>67.972853438032416</v>
      </c>
      <c r="H63" s="1">
        <v>84</v>
      </c>
      <c r="I63" s="1">
        <f t="shared" si="2"/>
        <v>161056</v>
      </c>
      <c r="J63" s="1">
        <f t="shared" si="3"/>
        <v>310616.7158169403</v>
      </c>
      <c r="K63" s="1">
        <f t="shared" si="4"/>
        <v>149560.71581694036</v>
      </c>
      <c r="L63" s="5">
        <f t="shared" si="5"/>
        <v>2305</v>
      </c>
    </row>
    <row r="64" spans="1:12" x14ac:dyDescent="0.25">
      <c r="A64" s="3">
        <v>40659</v>
      </c>
      <c r="B64" s="1">
        <f t="shared" si="0"/>
        <v>3528</v>
      </c>
      <c r="C64" s="1">
        <v>7606.0419167996461</v>
      </c>
      <c r="D64" s="1">
        <f t="shared" si="1"/>
        <v>4078.0419167996461</v>
      </c>
      <c r="E64" s="2">
        <v>98</v>
      </c>
      <c r="F64" s="1">
        <v>77.612672620404553</v>
      </c>
      <c r="G64" s="1">
        <v>41.612672620404553</v>
      </c>
      <c r="H64" s="1">
        <v>36</v>
      </c>
      <c r="I64" s="1">
        <f t="shared" si="2"/>
        <v>164584</v>
      </c>
      <c r="J64" s="1">
        <f t="shared" si="3"/>
        <v>318222.75773373997</v>
      </c>
      <c r="K64" s="1">
        <f t="shared" si="4"/>
        <v>153638.75773374</v>
      </c>
      <c r="L64" s="5">
        <f t="shared" si="5"/>
        <v>2403</v>
      </c>
    </row>
    <row r="65" spans="1:12" x14ac:dyDescent="0.25">
      <c r="A65" s="3">
        <v>40663</v>
      </c>
      <c r="B65" s="1">
        <f t="shared" si="0"/>
        <v>3315</v>
      </c>
      <c r="C65" s="1">
        <v>5566.3468796291199</v>
      </c>
      <c r="D65" s="1">
        <f t="shared" si="1"/>
        <v>2251.3468796291204</v>
      </c>
      <c r="E65" s="2">
        <v>51</v>
      </c>
      <c r="F65" s="1">
        <v>109.14405646331608</v>
      </c>
      <c r="G65" s="1">
        <v>44.144056463316083</v>
      </c>
      <c r="H65" s="1">
        <v>65</v>
      </c>
      <c r="I65" s="1">
        <f t="shared" si="2"/>
        <v>167899</v>
      </c>
      <c r="J65" s="1">
        <f t="shared" si="3"/>
        <v>323789.1046133691</v>
      </c>
      <c r="K65" s="1">
        <f t="shared" si="4"/>
        <v>155890.10461336913</v>
      </c>
      <c r="L65" s="5">
        <f t="shared" si="5"/>
        <v>2454</v>
      </c>
    </row>
    <row r="66" spans="1:12" x14ac:dyDescent="0.25">
      <c r="A66" s="3">
        <v>40664</v>
      </c>
      <c r="B66" s="1">
        <f t="shared" ref="B66:B129" si="6">+E66*H66</f>
        <v>3528</v>
      </c>
      <c r="C66" s="1">
        <v>6089.3539903120918</v>
      </c>
      <c r="D66" s="1">
        <f t="shared" ref="D66:D129" si="7">+E66*G66</f>
        <v>2561.3539903120923</v>
      </c>
      <c r="E66" s="2">
        <v>42</v>
      </c>
      <c r="F66" s="1">
        <v>144.98461881695457</v>
      </c>
      <c r="G66" s="1">
        <v>60.984618816954573</v>
      </c>
      <c r="H66" s="1">
        <v>84</v>
      </c>
      <c r="I66" s="1">
        <f t="shared" si="2"/>
        <v>171427</v>
      </c>
      <c r="J66" s="1">
        <f t="shared" si="3"/>
        <v>329878.45860368118</v>
      </c>
      <c r="K66" s="1">
        <f t="shared" si="4"/>
        <v>158451.45860368121</v>
      </c>
      <c r="L66" s="5">
        <f t="shared" si="5"/>
        <v>2496</v>
      </c>
    </row>
    <row r="67" spans="1:12" x14ac:dyDescent="0.25">
      <c r="A67" s="3">
        <v>40673</v>
      </c>
      <c r="B67" s="1">
        <f t="shared" si="6"/>
        <v>1105</v>
      </c>
      <c r="C67" s="1">
        <v>2083.2998993658457</v>
      </c>
      <c r="D67" s="1">
        <f t="shared" si="7"/>
        <v>978.29989936584559</v>
      </c>
      <c r="E67" s="2">
        <v>17</v>
      </c>
      <c r="F67" s="1">
        <v>122.54705290387326</v>
      </c>
      <c r="G67" s="1">
        <v>57.547052903873272</v>
      </c>
      <c r="H67" s="1">
        <v>65</v>
      </c>
      <c r="I67" s="1">
        <f t="shared" si="2"/>
        <v>172532</v>
      </c>
      <c r="J67" s="1">
        <f t="shared" si="3"/>
        <v>331961.75850304705</v>
      </c>
      <c r="K67" s="1">
        <f t="shared" si="4"/>
        <v>159429.75850304705</v>
      </c>
      <c r="L67" s="5">
        <f t="shared" si="5"/>
        <v>2513</v>
      </c>
    </row>
    <row r="68" spans="1:12" x14ac:dyDescent="0.25">
      <c r="A68" s="3">
        <v>40689</v>
      </c>
      <c r="B68" s="1">
        <f t="shared" si="6"/>
        <v>1416</v>
      </c>
      <c r="C68" s="1">
        <v>2497.7708434652341</v>
      </c>
      <c r="D68" s="1">
        <f t="shared" si="7"/>
        <v>1081.7708434652341</v>
      </c>
      <c r="E68" s="2">
        <v>24</v>
      </c>
      <c r="F68" s="1">
        <v>104.07378514438476</v>
      </c>
      <c r="G68" s="1">
        <v>45.073785144384757</v>
      </c>
      <c r="H68" s="1">
        <v>59</v>
      </c>
      <c r="I68" s="1">
        <f t="shared" ref="I68:I131" si="8">+I67+B68</f>
        <v>173948</v>
      </c>
      <c r="J68" s="1">
        <f t="shared" ref="J68:J131" si="9">+J67+C68</f>
        <v>334459.52934651228</v>
      </c>
      <c r="K68" s="1">
        <f t="shared" ref="K68:K131" si="10">+K67+D68</f>
        <v>160511.52934651228</v>
      </c>
      <c r="L68" s="5">
        <f t="shared" ref="L68:L131" si="11">+L67+E68</f>
        <v>2537</v>
      </c>
    </row>
    <row r="69" spans="1:12" x14ac:dyDescent="0.25">
      <c r="A69" s="3">
        <v>40702</v>
      </c>
      <c r="B69" s="1">
        <f t="shared" si="6"/>
        <v>231</v>
      </c>
      <c r="C69" s="1">
        <v>674.94298258804611</v>
      </c>
      <c r="D69" s="1">
        <f t="shared" si="7"/>
        <v>443.94298258804611</v>
      </c>
      <c r="E69" s="2">
        <v>7</v>
      </c>
      <c r="F69" s="1">
        <v>96.420426084006579</v>
      </c>
      <c r="G69" s="1">
        <v>63.420426084006586</v>
      </c>
      <c r="H69" s="1">
        <v>33</v>
      </c>
      <c r="I69" s="1">
        <f t="shared" si="8"/>
        <v>174179</v>
      </c>
      <c r="J69" s="1">
        <f t="shared" si="9"/>
        <v>335134.4723291003</v>
      </c>
      <c r="K69" s="1">
        <f t="shared" si="10"/>
        <v>160955.47232910033</v>
      </c>
      <c r="L69" s="5">
        <f t="shared" si="11"/>
        <v>2544</v>
      </c>
    </row>
    <row r="70" spans="1:12" x14ac:dyDescent="0.25">
      <c r="A70" s="3">
        <v>40720</v>
      </c>
      <c r="B70" s="1">
        <f t="shared" si="6"/>
        <v>240</v>
      </c>
      <c r="C70" s="1">
        <v>682.47289906258391</v>
      </c>
      <c r="D70" s="1">
        <f t="shared" si="7"/>
        <v>442.47289906258391</v>
      </c>
      <c r="E70" s="2">
        <v>24</v>
      </c>
      <c r="F70" s="1">
        <v>28.436370794274328</v>
      </c>
      <c r="G70" s="1">
        <v>18.436370794274328</v>
      </c>
      <c r="H70" s="1">
        <v>10</v>
      </c>
      <c r="I70" s="1">
        <f t="shared" si="8"/>
        <v>174419</v>
      </c>
      <c r="J70" s="1">
        <f t="shared" si="9"/>
        <v>335816.94522816286</v>
      </c>
      <c r="K70" s="1">
        <f t="shared" si="10"/>
        <v>161397.94522816292</v>
      </c>
      <c r="L70" s="5">
        <f t="shared" si="11"/>
        <v>2568</v>
      </c>
    </row>
    <row r="71" spans="1:12" x14ac:dyDescent="0.25">
      <c r="A71" s="3">
        <v>40733</v>
      </c>
      <c r="B71" s="1">
        <f t="shared" si="6"/>
        <v>3157</v>
      </c>
      <c r="C71" s="1">
        <v>5669.6087781202723</v>
      </c>
      <c r="D71" s="1">
        <f t="shared" si="7"/>
        <v>2512.6087781202723</v>
      </c>
      <c r="E71" s="2">
        <v>41</v>
      </c>
      <c r="F71" s="1">
        <v>138.28314092976274</v>
      </c>
      <c r="G71" s="1">
        <v>61.283140929762737</v>
      </c>
      <c r="H71" s="1">
        <v>77</v>
      </c>
      <c r="I71" s="1">
        <f t="shared" si="8"/>
        <v>177576</v>
      </c>
      <c r="J71" s="1">
        <f t="shared" si="9"/>
        <v>341486.55400628311</v>
      </c>
      <c r="K71" s="1">
        <f t="shared" si="10"/>
        <v>163910.5540062832</v>
      </c>
      <c r="L71" s="5">
        <f t="shared" si="11"/>
        <v>2609</v>
      </c>
    </row>
    <row r="72" spans="1:12" x14ac:dyDescent="0.25">
      <c r="A72" s="3">
        <v>40740</v>
      </c>
      <c r="B72" s="1">
        <f t="shared" si="6"/>
        <v>2400</v>
      </c>
      <c r="C72" s="1">
        <v>4183.9352062754933</v>
      </c>
      <c r="D72" s="1">
        <f t="shared" si="7"/>
        <v>1783.9352062754936</v>
      </c>
      <c r="E72" s="2">
        <v>32</v>
      </c>
      <c r="F72" s="1">
        <v>130.74797519610917</v>
      </c>
      <c r="G72" s="1">
        <v>55.747975196109174</v>
      </c>
      <c r="H72" s="1">
        <v>75</v>
      </c>
      <c r="I72" s="1">
        <f t="shared" si="8"/>
        <v>179976</v>
      </c>
      <c r="J72" s="1">
        <f t="shared" si="9"/>
        <v>345670.4892125586</v>
      </c>
      <c r="K72" s="1">
        <f t="shared" si="10"/>
        <v>165694.48921255869</v>
      </c>
      <c r="L72" s="5">
        <f t="shared" si="11"/>
        <v>2641</v>
      </c>
    </row>
    <row r="73" spans="1:12" x14ac:dyDescent="0.25">
      <c r="A73" s="3">
        <v>40749</v>
      </c>
      <c r="B73" s="1">
        <f t="shared" si="6"/>
        <v>159</v>
      </c>
      <c r="C73" s="1">
        <v>319.33864290833856</v>
      </c>
      <c r="D73" s="1">
        <f t="shared" si="7"/>
        <v>160.33864290833856</v>
      </c>
      <c r="E73" s="2">
        <v>3</v>
      </c>
      <c r="F73" s="1">
        <v>106.44621430277951</v>
      </c>
      <c r="G73" s="1">
        <v>53.446214302779516</v>
      </c>
      <c r="H73" s="1">
        <v>53</v>
      </c>
      <c r="I73" s="1">
        <f t="shared" si="8"/>
        <v>180135</v>
      </c>
      <c r="J73" s="1">
        <f t="shared" si="9"/>
        <v>345989.82785546692</v>
      </c>
      <c r="K73" s="1">
        <f t="shared" si="10"/>
        <v>165854.82785546704</v>
      </c>
      <c r="L73" s="5">
        <f t="shared" si="11"/>
        <v>2644</v>
      </c>
    </row>
    <row r="74" spans="1:12" x14ac:dyDescent="0.25">
      <c r="A74" s="3">
        <v>40777</v>
      </c>
      <c r="B74" s="1">
        <f t="shared" si="6"/>
        <v>1050</v>
      </c>
      <c r="C74" s="1">
        <v>2318.6793677703999</v>
      </c>
      <c r="D74" s="1">
        <f t="shared" si="7"/>
        <v>1268.6793677703999</v>
      </c>
      <c r="E74" s="2">
        <v>21</v>
      </c>
      <c r="F74" s="1">
        <v>110.4133032271619</v>
      </c>
      <c r="G74" s="1">
        <v>60.413303227161904</v>
      </c>
      <c r="H74" s="1">
        <v>50</v>
      </c>
      <c r="I74" s="1">
        <f t="shared" si="8"/>
        <v>181185</v>
      </c>
      <c r="J74" s="1">
        <f t="shared" si="9"/>
        <v>348308.50722323731</v>
      </c>
      <c r="K74" s="1">
        <f t="shared" si="10"/>
        <v>167123.50722323745</v>
      </c>
      <c r="L74" s="5">
        <f t="shared" si="11"/>
        <v>2665</v>
      </c>
    </row>
    <row r="75" spans="1:12" x14ac:dyDescent="0.25">
      <c r="A75" s="3">
        <v>40783</v>
      </c>
      <c r="B75" s="1">
        <f t="shared" si="6"/>
        <v>874</v>
      </c>
      <c r="C75" s="1">
        <v>1747.48476905098</v>
      </c>
      <c r="D75" s="1">
        <f t="shared" si="7"/>
        <v>873.48476905098005</v>
      </c>
      <c r="E75" s="2">
        <v>19</v>
      </c>
      <c r="F75" s="1">
        <v>91.972882581630529</v>
      </c>
      <c r="G75" s="1">
        <v>45.972882581630529</v>
      </c>
      <c r="H75" s="1">
        <v>46</v>
      </c>
      <c r="I75" s="1">
        <f t="shared" si="8"/>
        <v>182059</v>
      </c>
      <c r="J75" s="1">
        <f t="shared" si="9"/>
        <v>350055.99199228827</v>
      </c>
      <c r="K75" s="1">
        <f t="shared" si="10"/>
        <v>167996.99199228844</v>
      </c>
      <c r="L75" s="5">
        <f t="shared" si="11"/>
        <v>2684</v>
      </c>
    </row>
    <row r="76" spans="1:12" x14ac:dyDescent="0.25">
      <c r="A76" s="3">
        <v>40792</v>
      </c>
      <c r="B76" s="1">
        <f t="shared" si="6"/>
        <v>360</v>
      </c>
      <c r="C76" s="1">
        <v>886.78258143004041</v>
      </c>
      <c r="D76" s="1">
        <f t="shared" si="7"/>
        <v>526.78258143004041</v>
      </c>
      <c r="E76" s="2">
        <v>9</v>
      </c>
      <c r="F76" s="1">
        <v>98.531397936671155</v>
      </c>
      <c r="G76" s="1">
        <v>58.531397936671155</v>
      </c>
      <c r="H76" s="1">
        <v>40</v>
      </c>
      <c r="I76" s="1">
        <f t="shared" si="8"/>
        <v>182419</v>
      </c>
      <c r="J76" s="1">
        <f t="shared" si="9"/>
        <v>350942.77457371831</v>
      </c>
      <c r="K76" s="1">
        <f t="shared" si="10"/>
        <v>168523.77457371849</v>
      </c>
      <c r="L76" s="5">
        <f t="shared" si="11"/>
        <v>2693</v>
      </c>
    </row>
    <row r="77" spans="1:12" x14ac:dyDescent="0.25">
      <c r="A77" s="3">
        <v>40817</v>
      </c>
      <c r="B77" s="1">
        <f t="shared" si="6"/>
        <v>5375</v>
      </c>
      <c r="C77" s="1">
        <v>9298.4795972802331</v>
      </c>
      <c r="D77" s="1">
        <f t="shared" si="7"/>
        <v>3923.4795972802331</v>
      </c>
      <c r="E77" s="2">
        <v>43</v>
      </c>
      <c r="F77" s="1">
        <v>216.24371156465656</v>
      </c>
      <c r="G77" s="1">
        <v>91.243711564656579</v>
      </c>
      <c r="H77" s="1">
        <v>125</v>
      </c>
      <c r="I77" s="1">
        <f t="shared" si="8"/>
        <v>187794</v>
      </c>
      <c r="J77" s="1">
        <f t="shared" si="9"/>
        <v>360241.25417099852</v>
      </c>
      <c r="K77" s="1">
        <f t="shared" si="10"/>
        <v>172447.25417099873</v>
      </c>
      <c r="L77" s="5">
        <f t="shared" si="11"/>
        <v>2736</v>
      </c>
    </row>
    <row r="78" spans="1:12" x14ac:dyDescent="0.25">
      <c r="A78" s="3">
        <v>40822</v>
      </c>
      <c r="B78" s="1">
        <f t="shared" si="6"/>
        <v>585</v>
      </c>
      <c r="C78" s="1">
        <v>996.59915066713552</v>
      </c>
      <c r="D78" s="1">
        <f t="shared" si="7"/>
        <v>411.59915066713552</v>
      </c>
      <c r="E78" s="2">
        <v>9</v>
      </c>
      <c r="F78" s="1">
        <v>110.73323896301505</v>
      </c>
      <c r="G78" s="1">
        <v>45.733238963015054</v>
      </c>
      <c r="H78" s="1">
        <v>65</v>
      </c>
      <c r="I78" s="1">
        <f t="shared" si="8"/>
        <v>188379</v>
      </c>
      <c r="J78" s="1">
        <f t="shared" si="9"/>
        <v>361237.85332166567</v>
      </c>
      <c r="K78" s="1">
        <f t="shared" si="10"/>
        <v>172858.85332166587</v>
      </c>
      <c r="L78" s="5">
        <f t="shared" si="11"/>
        <v>2745</v>
      </c>
    </row>
    <row r="79" spans="1:12" x14ac:dyDescent="0.25">
      <c r="A79" s="3">
        <v>40838</v>
      </c>
      <c r="B79" s="1">
        <f t="shared" si="6"/>
        <v>2964</v>
      </c>
      <c r="C79" s="1">
        <v>5748.1970867085693</v>
      </c>
      <c r="D79" s="1">
        <f t="shared" si="7"/>
        <v>2784.1970867085688</v>
      </c>
      <c r="E79" s="2">
        <v>38</v>
      </c>
      <c r="F79" s="1">
        <v>151.2683443870676</v>
      </c>
      <c r="G79" s="1">
        <v>73.2683443870676</v>
      </c>
      <c r="H79" s="1">
        <v>78</v>
      </c>
      <c r="I79" s="1">
        <f t="shared" si="8"/>
        <v>191343</v>
      </c>
      <c r="J79" s="1">
        <f t="shared" si="9"/>
        <v>366986.05040837423</v>
      </c>
      <c r="K79" s="1">
        <f t="shared" si="10"/>
        <v>175643.05040837443</v>
      </c>
      <c r="L79" s="5">
        <f t="shared" si="11"/>
        <v>2783</v>
      </c>
    </row>
    <row r="80" spans="1:12" x14ac:dyDescent="0.25">
      <c r="A80" s="3">
        <v>40838</v>
      </c>
      <c r="B80" s="1">
        <f t="shared" si="6"/>
        <v>420</v>
      </c>
      <c r="C80" s="1">
        <v>805.67923352712171</v>
      </c>
      <c r="D80" s="1">
        <f t="shared" si="7"/>
        <v>385.67923352712171</v>
      </c>
      <c r="E80" s="2">
        <v>6</v>
      </c>
      <c r="F80" s="1">
        <v>134.27987225452028</v>
      </c>
      <c r="G80" s="1">
        <v>64.279872254520285</v>
      </c>
      <c r="H80" s="1">
        <v>70</v>
      </c>
      <c r="I80" s="1">
        <f t="shared" si="8"/>
        <v>191763</v>
      </c>
      <c r="J80" s="1">
        <f t="shared" si="9"/>
        <v>367791.72964190133</v>
      </c>
      <c r="K80" s="1">
        <f t="shared" si="10"/>
        <v>176028.72964190156</v>
      </c>
      <c r="L80" s="5">
        <f t="shared" si="11"/>
        <v>2789</v>
      </c>
    </row>
    <row r="81" spans="1:12" x14ac:dyDescent="0.25">
      <c r="A81" s="3">
        <v>40857</v>
      </c>
      <c r="B81" s="1">
        <f t="shared" si="6"/>
        <v>240</v>
      </c>
      <c r="C81" s="1">
        <v>458.36908671125639</v>
      </c>
      <c r="D81" s="1">
        <f t="shared" si="7"/>
        <v>218.36908671125636</v>
      </c>
      <c r="E81" s="2">
        <v>3</v>
      </c>
      <c r="F81" s="1">
        <v>152.78969557041879</v>
      </c>
      <c r="G81" s="1">
        <v>72.789695570418786</v>
      </c>
      <c r="H81" s="1">
        <v>80</v>
      </c>
      <c r="I81" s="1">
        <f t="shared" si="8"/>
        <v>192003</v>
      </c>
      <c r="J81" s="1">
        <f t="shared" si="9"/>
        <v>368250.09872861259</v>
      </c>
      <c r="K81" s="1">
        <f t="shared" si="10"/>
        <v>176247.09872861282</v>
      </c>
      <c r="L81" s="5">
        <f t="shared" si="11"/>
        <v>2792</v>
      </c>
    </row>
    <row r="82" spans="1:12" x14ac:dyDescent="0.25">
      <c r="A82" s="3">
        <v>40892</v>
      </c>
      <c r="B82" s="1">
        <f t="shared" si="6"/>
        <v>1653</v>
      </c>
      <c r="C82" s="1">
        <v>2881.6136271834175</v>
      </c>
      <c r="D82" s="1">
        <f t="shared" si="7"/>
        <v>1228.6136271834175</v>
      </c>
      <c r="E82" s="2">
        <v>29</v>
      </c>
      <c r="F82" s="1">
        <v>99.365987144255769</v>
      </c>
      <c r="G82" s="1">
        <v>42.365987144255776</v>
      </c>
      <c r="H82" s="1">
        <v>57</v>
      </c>
      <c r="I82" s="1">
        <f t="shared" si="8"/>
        <v>193656</v>
      </c>
      <c r="J82" s="1">
        <f t="shared" si="9"/>
        <v>371131.71235579601</v>
      </c>
      <c r="K82" s="1">
        <f t="shared" si="10"/>
        <v>177475.71235579625</v>
      </c>
      <c r="L82" s="5">
        <f t="shared" si="11"/>
        <v>2821</v>
      </c>
    </row>
    <row r="83" spans="1:12" x14ac:dyDescent="0.25">
      <c r="A83" s="3">
        <v>40898</v>
      </c>
      <c r="B83" s="1">
        <f t="shared" si="6"/>
        <v>1380</v>
      </c>
      <c r="C83" s="1">
        <v>2386.5684879247269</v>
      </c>
      <c r="D83" s="1">
        <f t="shared" si="7"/>
        <v>1006.568487924727</v>
      </c>
      <c r="E83" s="2">
        <v>23</v>
      </c>
      <c r="F83" s="1">
        <v>103.76384730107509</v>
      </c>
      <c r="G83" s="1">
        <v>43.763847301075089</v>
      </c>
      <c r="H83" s="1">
        <v>60</v>
      </c>
      <c r="I83" s="1">
        <f t="shared" si="8"/>
        <v>195036</v>
      </c>
      <c r="J83" s="1">
        <f t="shared" si="9"/>
        <v>373518.28084372071</v>
      </c>
      <c r="K83" s="1">
        <f t="shared" si="10"/>
        <v>178482.28084372098</v>
      </c>
      <c r="L83" s="5">
        <f t="shared" si="11"/>
        <v>2844</v>
      </c>
    </row>
    <row r="84" spans="1:12" x14ac:dyDescent="0.25">
      <c r="A84" s="3">
        <v>40898</v>
      </c>
      <c r="B84" s="1">
        <f t="shared" si="6"/>
        <v>1980</v>
      </c>
      <c r="C84" s="1">
        <v>4052.9053219022499</v>
      </c>
      <c r="D84" s="1">
        <f t="shared" si="7"/>
        <v>2072.9053219022499</v>
      </c>
      <c r="E84" s="2">
        <v>30</v>
      </c>
      <c r="F84" s="1">
        <v>135.09684406340833</v>
      </c>
      <c r="G84" s="1">
        <v>69.096844063408327</v>
      </c>
      <c r="H84" s="1">
        <v>66</v>
      </c>
      <c r="I84" s="1">
        <f t="shared" si="8"/>
        <v>197016</v>
      </c>
      <c r="J84" s="1">
        <f t="shared" si="9"/>
        <v>377571.18616562296</v>
      </c>
      <c r="K84" s="1">
        <f t="shared" si="10"/>
        <v>180555.18616562322</v>
      </c>
      <c r="L84" s="5">
        <f t="shared" si="11"/>
        <v>2874</v>
      </c>
    </row>
    <row r="85" spans="1:12" x14ac:dyDescent="0.25">
      <c r="A85" s="3">
        <v>40903</v>
      </c>
      <c r="B85" s="1">
        <f t="shared" si="6"/>
        <v>511</v>
      </c>
      <c r="C85" s="1">
        <v>999.28417559687614</v>
      </c>
      <c r="D85" s="1">
        <f t="shared" si="7"/>
        <v>488.28417559687608</v>
      </c>
      <c r="E85" s="2">
        <v>7</v>
      </c>
      <c r="F85" s="1">
        <v>142.75488222812515</v>
      </c>
      <c r="G85" s="1">
        <v>69.754882228125155</v>
      </c>
      <c r="H85" s="1">
        <v>73</v>
      </c>
      <c r="I85" s="1">
        <f t="shared" si="8"/>
        <v>197527</v>
      </c>
      <c r="J85" s="1">
        <f t="shared" si="9"/>
        <v>378570.47034121986</v>
      </c>
      <c r="K85" s="1">
        <f t="shared" si="10"/>
        <v>181043.47034122009</v>
      </c>
      <c r="L85" s="5">
        <f t="shared" si="11"/>
        <v>2881</v>
      </c>
    </row>
    <row r="86" spans="1:12" x14ac:dyDescent="0.25">
      <c r="A86" s="3">
        <v>40903</v>
      </c>
      <c r="B86" s="1">
        <f t="shared" si="6"/>
        <v>1394</v>
      </c>
      <c r="C86" s="1">
        <v>2653.5564567678948</v>
      </c>
      <c r="D86" s="1">
        <f t="shared" si="7"/>
        <v>1259.5564567678948</v>
      </c>
      <c r="E86" s="2">
        <v>34</v>
      </c>
      <c r="F86" s="1">
        <v>78.045778140232201</v>
      </c>
      <c r="G86" s="1">
        <v>37.045778140232201</v>
      </c>
      <c r="H86" s="1">
        <v>41</v>
      </c>
      <c r="I86" s="1">
        <f t="shared" si="8"/>
        <v>198921</v>
      </c>
      <c r="J86" s="1">
        <f t="shared" si="9"/>
        <v>381224.02679798775</v>
      </c>
      <c r="K86" s="1">
        <f t="shared" si="10"/>
        <v>182303.02679798799</v>
      </c>
      <c r="L86" s="5">
        <f t="shared" si="11"/>
        <v>2915</v>
      </c>
    </row>
    <row r="87" spans="1:12" x14ac:dyDescent="0.25">
      <c r="A87" s="3">
        <v>40904</v>
      </c>
      <c r="B87" s="1">
        <f t="shared" si="6"/>
        <v>2340</v>
      </c>
      <c r="C87" s="1">
        <v>4777.0288432806292</v>
      </c>
      <c r="D87" s="1">
        <f t="shared" si="7"/>
        <v>2437.0288432806287</v>
      </c>
      <c r="E87" s="2">
        <v>26</v>
      </c>
      <c r="F87" s="1">
        <v>183.73187858771649</v>
      </c>
      <c r="G87" s="1">
        <v>93.731878587716494</v>
      </c>
      <c r="H87" s="1">
        <v>90</v>
      </c>
      <c r="I87" s="1">
        <f t="shared" si="8"/>
        <v>201261</v>
      </c>
      <c r="J87" s="1">
        <f t="shared" si="9"/>
        <v>386001.05564126838</v>
      </c>
      <c r="K87" s="1">
        <f t="shared" si="10"/>
        <v>184740.05564126861</v>
      </c>
      <c r="L87" s="5">
        <f t="shared" si="11"/>
        <v>2941</v>
      </c>
    </row>
    <row r="88" spans="1:12" x14ac:dyDescent="0.25">
      <c r="A88" s="3">
        <v>40913</v>
      </c>
      <c r="B88" s="1">
        <f t="shared" si="6"/>
        <v>1886</v>
      </c>
      <c r="C88" s="1">
        <v>3637.8420474358481</v>
      </c>
      <c r="D88" s="1">
        <f t="shared" si="7"/>
        <v>1751.8420474358486</v>
      </c>
      <c r="E88" s="2">
        <v>46</v>
      </c>
      <c r="F88" s="1">
        <v>79.08352277034453</v>
      </c>
      <c r="G88" s="1">
        <v>38.083522770344537</v>
      </c>
      <c r="H88" s="1">
        <v>41</v>
      </c>
      <c r="I88" s="1">
        <f t="shared" si="8"/>
        <v>203147</v>
      </c>
      <c r="J88" s="1">
        <f t="shared" si="9"/>
        <v>389638.89768870425</v>
      </c>
      <c r="K88" s="1">
        <f t="shared" si="10"/>
        <v>186491.89768870446</v>
      </c>
      <c r="L88" s="5">
        <f t="shared" si="11"/>
        <v>2987</v>
      </c>
    </row>
    <row r="89" spans="1:12" x14ac:dyDescent="0.25">
      <c r="A89" s="3">
        <v>40924</v>
      </c>
      <c r="B89" s="1">
        <f t="shared" si="6"/>
        <v>2890</v>
      </c>
      <c r="C89" s="1">
        <v>5039.5504932188396</v>
      </c>
      <c r="D89" s="1">
        <f t="shared" si="7"/>
        <v>2149.5504932188396</v>
      </c>
      <c r="E89" s="2">
        <v>34</v>
      </c>
      <c r="F89" s="1">
        <v>148.22207332996587</v>
      </c>
      <c r="G89" s="1">
        <v>63.222073329965873</v>
      </c>
      <c r="H89" s="1">
        <v>85</v>
      </c>
      <c r="I89" s="1">
        <f t="shared" si="8"/>
        <v>206037</v>
      </c>
      <c r="J89" s="1">
        <f t="shared" si="9"/>
        <v>394678.44818192307</v>
      </c>
      <c r="K89" s="1">
        <f t="shared" si="10"/>
        <v>188641.4481819233</v>
      </c>
      <c r="L89" s="5">
        <f t="shared" si="11"/>
        <v>3021</v>
      </c>
    </row>
    <row r="90" spans="1:12" x14ac:dyDescent="0.25">
      <c r="A90" s="3">
        <v>40958</v>
      </c>
      <c r="B90" s="1">
        <f t="shared" si="6"/>
        <v>1540</v>
      </c>
      <c r="C90" s="1">
        <v>2832.5032330315366</v>
      </c>
      <c r="D90" s="1">
        <f t="shared" si="7"/>
        <v>1292.5032330315364</v>
      </c>
      <c r="E90" s="2">
        <v>20</v>
      </c>
      <c r="F90" s="1">
        <v>141.62516165157683</v>
      </c>
      <c r="G90" s="1">
        <v>64.625161651576818</v>
      </c>
      <c r="H90" s="1">
        <v>77</v>
      </c>
      <c r="I90" s="1">
        <f t="shared" si="8"/>
        <v>207577</v>
      </c>
      <c r="J90" s="1">
        <f t="shared" si="9"/>
        <v>397510.95141495462</v>
      </c>
      <c r="K90" s="1">
        <f t="shared" si="10"/>
        <v>189933.95141495485</v>
      </c>
      <c r="L90" s="5">
        <f t="shared" si="11"/>
        <v>3041</v>
      </c>
    </row>
    <row r="91" spans="1:12" x14ac:dyDescent="0.25">
      <c r="A91" s="3">
        <v>40962</v>
      </c>
      <c r="B91" s="1">
        <f t="shared" si="6"/>
        <v>1380</v>
      </c>
      <c r="C91" s="1">
        <v>3929.5693978042805</v>
      </c>
      <c r="D91" s="1">
        <f t="shared" si="7"/>
        <v>2549.5693978042805</v>
      </c>
      <c r="E91" s="2">
        <v>60</v>
      </c>
      <c r="F91" s="1">
        <v>65.49282329673801</v>
      </c>
      <c r="G91" s="1">
        <v>42.49282329673801</v>
      </c>
      <c r="H91" s="1">
        <v>23</v>
      </c>
      <c r="I91" s="1">
        <f t="shared" si="8"/>
        <v>208957</v>
      </c>
      <c r="J91" s="1">
        <f t="shared" si="9"/>
        <v>401440.52081275888</v>
      </c>
      <c r="K91" s="1">
        <f t="shared" si="10"/>
        <v>192483.52081275912</v>
      </c>
      <c r="L91" s="5">
        <f t="shared" si="11"/>
        <v>3101</v>
      </c>
    </row>
    <row r="92" spans="1:12" x14ac:dyDescent="0.25">
      <c r="A92" s="3">
        <v>40968</v>
      </c>
      <c r="B92" s="1">
        <f t="shared" si="6"/>
        <v>846</v>
      </c>
      <c r="C92" s="1">
        <v>1668.7210717787204</v>
      </c>
      <c r="D92" s="1">
        <f t="shared" si="7"/>
        <v>822.72107177872067</v>
      </c>
      <c r="E92" s="2">
        <v>18</v>
      </c>
      <c r="F92" s="1">
        <v>92.706726209928917</v>
      </c>
      <c r="G92" s="1">
        <v>45.706726209928924</v>
      </c>
      <c r="H92" s="1">
        <v>47</v>
      </c>
      <c r="I92" s="1">
        <f t="shared" si="8"/>
        <v>209803</v>
      </c>
      <c r="J92" s="1">
        <f t="shared" si="9"/>
        <v>403109.24188453762</v>
      </c>
      <c r="K92" s="1">
        <f t="shared" si="10"/>
        <v>193306.24188453783</v>
      </c>
      <c r="L92" s="5">
        <f t="shared" si="11"/>
        <v>3119</v>
      </c>
    </row>
    <row r="93" spans="1:12" x14ac:dyDescent="0.25">
      <c r="A93" s="3">
        <v>40976</v>
      </c>
      <c r="B93" s="1">
        <f t="shared" si="6"/>
        <v>560</v>
      </c>
      <c r="C93" s="1">
        <v>1665.2926883065361</v>
      </c>
      <c r="D93" s="1">
        <f t="shared" si="7"/>
        <v>1105.2926883065361</v>
      </c>
      <c r="E93" s="2">
        <v>28</v>
      </c>
      <c r="F93" s="1">
        <v>59.474738868090576</v>
      </c>
      <c r="G93" s="1">
        <v>39.474738868090576</v>
      </c>
      <c r="H93" s="1">
        <v>20</v>
      </c>
      <c r="I93" s="1">
        <f t="shared" si="8"/>
        <v>210363</v>
      </c>
      <c r="J93" s="1">
        <f t="shared" si="9"/>
        <v>404774.53457284416</v>
      </c>
      <c r="K93" s="1">
        <f t="shared" si="10"/>
        <v>194411.53457284436</v>
      </c>
      <c r="L93" s="5">
        <f t="shared" si="11"/>
        <v>3147</v>
      </c>
    </row>
    <row r="94" spans="1:12" x14ac:dyDescent="0.25">
      <c r="A94" s="3">
        <v>40979</v>
      </c>
      <c r="B94" s="1">
        <f t="shared" si="6"/>
        <v>2730</v>
      </c>
      <c r="C94" s="1">
        <v>5095.8072521658378</v>
      </c>
      <c r="D94" s="1">
        <f t="shared" si="7"/>
        <v>2365.8072521658373</v>
      </c>
      <c r="E94" s="2">
        <v>39</v>
      </c>
      <c r="F94" s="1">
        <v>130.66172441450865</v>
      </c>
      <c r="G94" s="1">
        <v>60.661724414508654</v>
      </c>
      <c r="H94" s="1">
        <v>70</v>
      </c>
      <c r="I94" s="1">
        <f t="shared" si="8"/>
        <v>213093</v>
      </c>
      <c r="J94" s="1">
        <f t="shared" si="9"/>
        <v>409870.34182501002</v>
      </c>
      <c r="K94" s="1">
        <f t="shared" si="10"/>
        <v>196777.3418250102</v>
      </c>
      <c r="L94" s="5">
        <f t="shared" si="11"/>
        <v>3186</v>
      </c>
    </row>
    <row r="95" spans="1:12" x14ac:dyDescent="0.25">
      <c r="A95" s="3">
        <v>40981</v>
      </c>
      <c r="B95" s="1">
        <f t="shared" si="6"/>
        <v>16380</v>
      </c>
      <c r="C95" s="1">
        <v>34939.927708330608</v>
      </c>
      <c r="D95" s="1">
        <f t="shared" si="7"/>
        <v>18559.927708330611</v>
      </c>
      <c r="E95" s="2">
        <v>180</v>
      </c>
      <c r="F95" s="1">
        <v>194.11070949072561</v>
      </c>
      <c r="G95" s="1">
        <v>103.11070949072561</v>
      </c>
      <c r="H95" s="1">
        <v>91</v>
      </c>
      <c r="I95" s="1">
        <f t="shared" si="8"/>
        <v>229473</v>
      </c>
      <c r="J95" s="1">
        <f t="shared" si="9"/>
        <v>444810.26953334064</v>
      </c>
      <c r="K95" s="1">
        <f t="shared" si="10"/>
        <v>215337.26953334082</v>
      </c>
      <c r="L95" s="5">
        <f t="shared" si="11"/>
        <v>3366</v>
      </c>
    </row>
    <row r="96" spans="1:12" x14ac:dyDescent="0.25">
      <c r="A96" s="3">
        <v>40982</v>
      </c>
      <c r="B96" s="1">
        <f t="shared" si="6"/>
        <v>100</v>
      </c>
      <c r="C96" s="1">
        <v>206.09187363701926</v>
      </c>
      <c r="D96" s="1">
        <f t="shared" si="7"/>
        <v>106.09187363701926</v>
      </c>
      <c r="E96" s="2">
        <v>2</v>
      </c>
      <c r="F96" s="1">
        <v>103.04593681850963</v>
      </c>
      <c r="G96" s="1">
        <v>53.045936818509631</v>
      </c>
      <c r="H96" s="1">
        <v>50</v>
      </c>
      <c r="I96" s="1">
        <f t="shared" si="8"/>
        <v>229573</v>
      </c>
      <c r="J96" s="1">
        <f t="shared" si="9"/>
        <v>445016.36140697764</v>
      </c>
      <c r="K96" s="1">
        <f t="shared" si="10"/>
        <v>215443.36140697784</v>
      </c>
      <c r="L96" s="5">
        <f t="shared" si="11"/>
        <v>3368</v>
      </c>
    </row>
    <row r="97" spans="1:12" x14ac:dyDescent="0.25">
      <c r="A97" s="3">
        <v>40984</v>
      </c>
      <c r="B97" s="1">
        <f t="shared" si="6"/>
        <v>1326</v>
      </c>
      <c r="C97" s="1">
        <v>2829.9801501063434</v>
      </c>
      <c r="D97" s="1">
        <f t="shared" si="7"/>
        <v>1503.9801501063434</v>
      </c>
      <c r="E97" s="2">
        <v>13</v>
      </c>
      <c r="F97" s="1">
        <v>217.69078077741102</v>
      </c>
      <c r="G97" s="1">
        <v>115.69078077741104</v>
      </c>
      <c r="H97" s="1">
        <v>102</v>
      </c>
      <c r="I97" s="1">
        <f t="shared" si="8"/>
        <v>230899</v>
      </c>
      <c r="J97" s="1">
        <f t="shared" si="9"/>
        <v>447846.341557084</v>
      </c>
      <c r="K97" s="1">
        <f t="shared" si="10"/>
        <v>216947.34155708418</v>
      </c>
      <c r="L97" s="5">
        <f t="shared" si="11"/>
        <v>3381</v>
      </c>
    </row>
    <row r="98" spans="1:12" x14ac:dyDescent="0.25">
      <c r="A98" s="3">
        <v>40986</v>
      </c>
      <c r="B98" s="1">
        <f t="shared" si="6"/>
        <v>1170</v>
      </c>
      <c r="C98" s="1">
        <v>2744.6756130094691</v>
      </c>
      <c r="D98" s="1">
        <f t="shared" si="7"/>
        <v>1574.6756130094691</v>
      </c>
      <c r="E98" s="2">
        <v>15</v>
      </c>
      <c r="F98" s="1">
        <v>182.97837420063127</v>
      </c>
      <c r="G98" s="1">
        <v>104.97837420063127</v>
      </c>
      <c r="H98" s="1">
        <v>78</v>
      </c>
      <c r="I98" s="1">
        <f t="shared" si="8"/>
        <v>232069</v>
      </c>
      <c r="J98" s="1">
        <f t="shared" si="9"/>
        <v>450591.01717009349</v>
      </c>
      <c r="K98" s="1">
        <f t="shared" si="10"/>
        <v>218522.01717009363</v>
      </c>
      <c r="L98" s="5">
        <f t="shared" si="11"/>
        <v>3396</v>
      </c>
    </row>
    <row r="99" spans="1:12" x14ac:dyDescent="0.25">
      <c r="A99" s="3">
        <v>40988</v>
      </c>
      <c r="B99" s="1">
        <f t="shared" si="6"/>
        <v>407</v>
      </c>
      <c r="C99" s="1">
        <v>916.99645670966538</v>
      </c>
      <c r="D99" s="1">
        <f t="shared" si="7"/>
        <v>509.99645670966538</v>
      </c>
      <c r="E99" s="2">
        <v>11</v>
      </c>
      <c r="F99" s="1">
        <v>83.363314246333218</v>
      </c>
      <c r="G99" s="1">
        <v>46.363314246333218</v>
      </c>
      <c r="H99" s="1">
        <v>37</v>
      </c>
      <c r="I99" s="1">
        <f t="shared" si="8"/>
        <v>232476</v>
      </c>
      <c r="J99" s="1">
        <f t="shared" si="9"/>
        <v>451508.01362680318</v>
      </c>
      <c r="K99" s="1">
        <f t="shared" si="10"/>
        <v>219032.01362680329</v>
      </c>
      <c r="L99" s="5">
        <f t="shared" si="11"/>
        <v>3407</v>
      </c>
    </row>
    <row r="100" spans="1:12" x14ac:dyDescent="0.25">
      <c r="A100" s="3">
        <v>40989</v>
      </c>
      <c r="B100" s="1">
        <f t="shared" si="6"/>
        <v>282</v>
      </c>
      <c r="C100" s="1">
        <v>486.6785353398941</v>
      </c>
      <c r="D100" s="1">
        <f t="shared" si="7"/>
        <v>204.67853533989415</v>
      </c>
      <c r="E100" s="2">
        <v>6</v>
      </c>
      <c r="F100" s="1">
        <v>81.113089223315683</v>
      </c>
      <c r="G100" s="1">
        <v>34.11308922331569</v>
      </c>
      <c r="H100" s="1">
        <v>47</v>
      </c>
      <c r="I100" s="1">
        <f t="shared" si="8"/>
        <v>232758</v>
      </c>
      <c r="J100" s="1">
        <f t="shared" si="9"/>
        <v>451994.69216214307</v>
      </c>
      <c r="K100" s="1">
        <f t="shared" si="10"/>
        <v>219236.69216214318</v>
      </c>
      <c r="L100" s="5">
        <f t="shared" si="11"/>
        <v>3413</v>
      </c>
    </row>
    <row r="101" spans="1:12" x14ac:dyDescent="0.25">
      <c r="A101" s="3">
        <v>40996</v>
      </c>
      <c r="B101" s="1">
        <f t="shared" si="6"/>
        <v>1323</v>
      </c>
      <c r="C101" s="1">
        <v>2613.9513692192882</v>
      </c>
      <c r="D101" s="1">
        <f t="shared" si="7"/>
        <v>1290.9513692192884</v>
      </c>
      <c r="E101" s="2">
        <v>21</v>
      </c>
      <c r="F101" s="1">
        <v>124.47387472472801</v>
      </c>
      <c r="G101" s="1">
        <v>61.473874724728013</v>
      </c>
      <c r="H101" s="1">
        <v>63</v>
      </c>
      <c r="I101" s="1">
        <f t="shared" si="8"/>
        <v>234081</v>
      </c>
      <c r="J101" s="1">
        <f t="shared" si="9"/>
        <v>454608.64353136235</v>
      </c>
      <c r="K101" s="1">
        <f t="shared" si="10"/>
        <v>220527.64353136247</v>
      </c>
      <c r="L101" s="5">
        <f t="shared" si="11"/>
        <v>3434</v>
      </c>
    </row>
    <row r="102" spans="1:12" x14ac:dyDescent="0.25">
      <c r="A102" s="3">
        <v>40996</v>
      </c>
      <c r="B102" s="1">
        <f t="shared" si="6"/>
        <v>1904</v>
      </c>
      <c r="C102" s="1">
        <v>4185.2272305858596</v>
      </c>
      <c r="D102" s="1">
        <f t="shared" si="7"/>
        <v>2281.2272305858601</v>
      </c>
      <c r="E102" s="2">
        <v>28</v>
      </c>
      <c r="F102" s="1">
        <v>149.47240109235213</v>
      </c>
      <c r="G102" s="1">
        <v>81.472401092352143</v>
      </c>
      <c r="H102" s="1">
        <v>68</v>
      </c>
      <c r="I102" s="1">
        <f t="shared" si="8"/>
        <v>235985</v>
      </c>
      <c r="J102" s="1">
        <f t="shared" si="9"/>
        <v>458793.87076194823</v>
      </c>
      <c r="K102" s="1">
        <f t="shared" si="10"/>
        <v>222808.87076194832</v>
      </c>
      <c r="L102" s="5">
        <f t="shared" si="11"/>
        <v>3462</v>
      </c>
    </row>
    <row r="103" spans="1:12" x14ac:dyDescent="0.25">
      <c r="A103" s="3">
        <v>41007</v>
      </c>
      <c r="B103" s="1">
        <f t="shared" si="6"/>
        <v>1036</v>
      </c>
      <c r="C103" s="1">
        <v>1748.532317001788</v>
      </c>
      <c r="D103" s="1">
        <f t="shared" si="7"/>
        <v>712.53231700178799</v>
      </c>
      <c r="E103" s="2">
        <v>14</v>
      </c>
      <c r="F103" s="1">
        <v>124.89516550012772</v>
      </c>
      <c r="G103" s="1">
        <v>50.89516550012771</v>
      </c>
      <c r="H103" s="1">
        <v>74</v>
      </c>
      <c r="I103" s="1">
        <f t="shared" si="8"/>
        <v>237021</v>
      </c>
      <c r="J103" s="1">
        <f t="shared" si="9"/>
        <v>460542.40307895001</v>
      </c>
      <c r="K103" s="1">
        <f t="shared" si="10"/>
        <v>223521.4030789501</v>
      </c>
      <c r="L103" s="5">
        <f t="shared" si="11"/>
        <v>3476</v>
      </c>
    </row>
    <row r="104" spans="1:12" x14ac:dyDescent="0.25">
      <c r="A104" s="3">
        <v>41024</v>
      </c>
      <c r="B104" s="1">
        <f t="shared" si="6"/>
        <v>470</v>
      </c>
      <c r="C104" s="1">
        <v>1278.9560201766008</v>
      </c>
      <c r="D104" s="1">
        <f t="shared" si="7"/>
        <v>808.95602017660076</v>
      </c>
      <c r="E104" s="2">
        <v>10</v>
      </c>
      <c r="F104" s="1">
        <v>127.89560201766008</v>
      </c>
      <c r="G104" s="1">
        <v>80.895602017660082</v>
      </c>
      <c r="H104" s="1">
        <v>47</v>
      </c>
      <c r="I104" s="1">
        <f t="shared" si="8"/>
        <v>237491</v>
      </c>
      <c r="J104" s="1">
        <f t="shared" si="9"/>
        <v>461821.3590991266</v>
      </c>
      <c r="K104" s="1">
        <f t="shared" si="10"/>
        <v>224330.35909912671</v>
      </c>
      <c r="L104" s="5">
        <f t="shared" si="11"/>
        <v>3486</v>
      </c>
    </row>
    <row r="105" spans="1:12" x14ac:dyDescent="0.25">
      <c r="A105" s="3">
        <v>41037</v>
      </c>
      <c r="B105" s="1">
        <f t="shared" si="6"/>
        <v>418</v>
      </c>
      <c r="C105" s="1">
        <v>1179.7349899334779</v>
      </c>
      <c r="D105" s="1">
        <f t="shared" si="7"/>
        <v>761.73498993347789</v>
      </c>
      <c r="E105" s="2">
        <v>11</v>
      </c>
      <c r="F105" s="1">
        <v>107.24863544849799</v>
      </c>
      <c r="G105" s="1">
        <v>69.248635448497993</v>
      </c>
      <c r="H105" s="1">
        <v>38</v>
      </c>
      <c r="I105" s="1">
        <f t="shared" si="8"/>
        <v>237909</v>
      </c>
      <c r="J105" s="1">
        <f t="shared" si="9"/>
        <v>463001.09408906009</v>
      </c>
      <c r="K105" s="1">
        <f t="shared" si="10"/>
        <v>225092.09408906018</v>
      </c>
      <c r="L105" s="5">
        <f t="shared" si="11"/>
        <v>3497</v>
      </c>
    </row>
    <row r="106" spans="1:12" x14ac:dyDescent="0.25">
      <c r="A106" s="3">
        <v>41039</v>
      </c>
      <c r="B106" s="1">
        <f t="shared" si="6"/>
        <v>1813</v>
      </c>
      <c r="C106" s="1">
        <v>3229.2552603071399</v>
      </c>
      <c r="D106" s="1">
        <f t="shared" si="7"/>
        <v>1416.2552603071399</v>
      </c>
      <c r="E106" s="2">
        <v>49</v>
      </c>
      <c r="F106" s="1">
        <v>65.903168577696732</v>
      </c>
      <c r="G106" s="1">
        <v>28.903168577696732</v>
      </c>
      <c r="H106" s="1">
        <v>37</v>
      </c>
      <c r="I106" s="1">
        <f t="shared" si="8"/>
        <v>239722</v>
      </c>
      <c r="J106" s="1">
        <f t="shared" si="9"/>
        <v>466230.34934936726</v>
      </c>
      <c r="K106" s="1">
        <f t="shared" si="10"/>
        <v>226508.34934936732</v>
      </c>
      <c r="L106" s="5">
        <f t="shared" si="11"/>
        <v>3546</v>
      </c>
    </row>
    <row r="107" spans="1:12" x14ac:dyDescent="0.25">
      <c r="A107" s="3">
        <v>41040</v>
      </c>
      <c r="B107" s="1">
        <f t="shared" si="6"/>
        <v>615</v>
      </c>
      <c r="C107" s="1">
        <v>1447.0887210619192</v>
      </c>
      <c r="D107" s="1">
        <f t="shared" si="7"/>
        <v>832.08872106191927</v>
      </c>
      <c r="E107" s="2">
        <v>15</v>
      </c>
      <c r="F107" s="1">
        <v>96.472581404127951</v>
      </c>
      <c r="G107" s="1">
        <v>55.472581404127951</v>
      </c>
      <c r="H107" s="1">
        <v>41</v>
      </c>
      <c r="I107" s="1">
        <f t="shared" si="8"/>
        <v>240337</v>
      </c>
      <c r="J107" s="1">
        <f t="shared" si="9"/>
        <v>467677.4380704292</v>
      </c>
      <c r="K107" s="1">
        <f t="shared" si="10"/>
        <v>227340.43807042923</v>
      </c>
      <c r="L107" s="5">
        <f t="shared" si="11"/>
        <v>3561</v>
      </c>
    </row>
    <row r="108" spans="1:12" x14ac:dyDescent="0.25">
      <c r="A108" s="3">
        <v>41050</v>
      </c>
      <c r="B108" s="1">
        <f t="shared" si="6"/>
        <v>6213</v>
      </c>
      <c r="C108" s="1">
        <v>10924.560491808963</v>
      </c>
      <c r="D108" s="1">
        <f t="shared" si="7"/>
        <v>4711.560491808963</v>
      </c>
      <c r="E108" s="2">
        <v>57</v>
      </c>
      <c r="F108" s="1">
        <v>191.65895599664847</v>
      </c>
      <c r="G108" s="1">
        <v>82.658955996648473</v>
      </c>
      <c r="H108" s="1">
        <v>109</v>
      </c>
      <c r="I108" s="1">
        <f t="shared" si="8"/>
        <v>246550</v>
      </c>
      <c r="J108" s="1">
        <f t="shared" si="9"/>
        <v>478601.99856223818</v>
      </c>
      <c r="K108" s="1">
        <f t="shared" si="10"/>
        <v>232051.99856223818</v>
      </c>
      <c r="L108" s="5">
        <f t="shared" si="11"/>
        <v>3618</v>
      </c>
    </row>
    <row r="109" spans="1:12" x14ac:dyDescent="0.25">
      <c r="A109" s="3">
        <v>41051</v>
      </c>
      <c r="B109" s="1">
        <f t="shared" si="6"/>
        <v>228</v>
      </c>
      <c r="C109" s="1">
        <v>505.65536129959304</v>
      </c>
      <c r="D109" s="1">
        <f t="shared" si="7"/>
        <v>277.65536129959304</v>
      </c>
      <c r="E109" s="2">
        <v>4</v>
      </c>
      <c r="F109" s="1">
        <v>126.41384032489826</v>
      </c>
      <c r="G109" s="1">
        <v>69.41384032489826</v>
      </c>
      <c r="H109" s="1">
        <v>57</v>
      </c>
      <c r="I109" s="1">
        <f t="shared" si="8"/>
        <v>246778</v>
      </c>
      <c r="J109" s="1">
        <f t="shared" si="9"/>
        <v>479107.65392353776</v>
      </c>
      <c r="K109" s="1">
        <f t="shared" si="10"/>
        <v>232329.65392353779</v>
      </c>
      <c r="L109" s="5">
        <f t="shared" si="11"/>
        <v>3622</v>
      </c>
    </row>
    <row r="110" spans="1:12" x14ac:dyDescent="0.25">
      <c r="A110" s="3">
        <v>41064</v>
      </c>
      <c r="B110" s="1">
        <f t="shared" si="6"/>
        <v>1377</v>
      </c>
      <c r="C110" s="1">
        <v>4006.5975519674735</v>
      </c>
      <c r="D110" s="1">
        <f t="shared" si="7"/>
        <v>2629.5975519674735</v>
      </c>
      <c r="E110" s="2">
        <v>51</v>
      </c>
      <c r="F110" s="1">
        <v>78.560736313087716</v>
      </c>
      <c r="G110" s="1">
        <v>51.560736313087716</v>
      </c>
      <c r="H110" s="1">
        <v>27</v>
      </c>
      <c r="I110" s="1">
        <f t="shared" si="8"/>
        <v>248155</v>
      </c>
      <c r="J110" s="1">
        <f t="shared" si="9"/>
        <v>483114.25147550524</v>
      </c>
      <c r="K110" s="1">
        <f t="shared" si="10"/>
        <v>234959.25147550527</v>
      </c>
      <c r="L110" s="5">
        <f t="shared" si="11"/>
        <v>3673</v>
      </c>
    </row>
    <row r="111" spans="1:12" x14ac:dyDescent="0.25">
      <c r="A111" s="3">
        <v>41071</v>
      </c>
      <c r="B111" s="1">
        <f t="shared" si="6"/>
        <v>296</v>
      </c>
      <c r="C111" s="1">
        <v>813.43941798473224</v>
      </c>
      <c r="D111" s="1">
        <f t="shared" si="7"/>
        <v>517.43941798473224</v>
      </c>
      <c r="E111" s="2">
        <v>8</v>
      </c>
      <c r="F111" s="1">
        <v>101.67992724809153</v>
      </c>
      <c r="G111" s="1">
        <v>64.679927248091531</v>
      </c>
      <c r="H111" s="1">
        <v>37</v>
      </c>
      <c r="I111" s="1">
        <f t="shared" si="8"/>
        <v>248451</v>
      </c>
      <c r="J111" s="1">
        <f t="shared" si="9"/>
        <v>483927.69089348998</v>
      </c>
      <c r="K111" s="1">
        <f t="shared" si="10"/>
        <v>235476.69089349001</v>
      </c>
      <c r="L111" s="5">
        <f t="shared" si="11"/>
        <v>3681</v>
      </c>
    </row>
    <row r="112" spans="1:12" x14ac:dyDescent="0.25">
      <c r="A112" s="3">
        <v>41073</v>
      </c>
      <c r="B112" s="1">
        <f t="shared" si="6"/>
        <v>696</v>
      </c>
      <c r="C112" s="1">
        <v>1347.8620755020088</v>
      </c>
      <c r="D112" s="1">
        <f t="shared" si="7"/>
        <v>651.86207550200868</v>
      </c>
      <c r="E112" s="2">
        <v>12</v>
      </c>
      <c r="F112" s="1">
        <v>112.3218396251674</v>
      </c>
      <c r="G112" s="1">
        <v>54.321839625167392</v>
      </c>
      <c r="H112" s="1">
        <v>58</v>
      </c>
      <c r="I112" s="1">
        <f t="shared" si="8"/>
        <v>249147</v>
      </c>
      <c r="J112" s="1">
        <f t="shared" si="9"/>
        <v>485275.55296899198</v>
      </c>
      <c r="K112" s="1">
        <f t="shared" si="10"/>
        <v>236128.55296899201</v>
      </c>
      <c r="L112" s="5">
        <f t="shared" si="11"/>
        <v>3693</v>
      </c>
    </row>
    <row r="113" spans="1:12" x14ac:dyDescent="0.25">
      <c r="A113" s="3">
        <v>41075</v>
      </c>
      <c r="B113" s="1">
        <f t="shared" si="6"/>
        <v>56</v>
      </c>
      <c r="C113" s="1">
        <v>93.798135092368568</v>
      </c>
      <c r="D113" s="1">
        <f t="shared" si="7"/>
        <v>37.798135092368561</v>
      </c>
      <c r="E113" s="2">
        <v>1</v>
      </c>
      <c r="F113" s="1">
        <v>93.798135092368568</v>
      </c>
      <c r="G113" s="1">
        <v>37.798135092368561</v>
      </c>
      <c r="H113" s="1">
        <v>56</v>
      </c>
      <c r="I113" s="1">
        <f t="shared" si="8"/>
        <v>249203</v>
      </c>
      <c r="J113" s="1">
        <f t="shared" si="9"/>
        <v>485369.35110408434</v>
      </c>
      <c r="K113" s="1">
        <f t="shared" si="10"/>
        <v>236166.35110408437</v>
      </c>
      <c r="L113" s="5">
        <f t="shared" si="11"/>
        <v>3694</v>
      </c>
    </row>
    <row r="114" spans="1:12" x14ac:dyDescent="0.25">
      <c r="A114" s="3">
        <v>41079</v>
      </c>
      <c r="B114" s="1">
        <f t="shared" si="6"/>
        <v>1330</v>
      </c>
      <c r="C114" s="1">
        <v>2336.1923461656493</v>
      </c>
      <c r="D114" s="1">
        <f t="shared" si="7"/>
        <v>1006.1923461656495</v>
      </c>
      <c r="E114" s="2">
        <v>14</v>
      </c>
      <c r="F114" s="1">
        <v>166.87088186897495</v>
      </c>
      <c r="G114" s="1">
        <v>71.870881868974962</v>
      </c>
      <c r="H114" s="1">
        <v>95</v>
      </c>
      <c r="I114" s="1">
        <f t="shared" si="8"/>
        <v>250533</v>
      </c>
      <c r="J114" s="1">
        <f t="shared" si="9"/>
        <v>487705.54345025</v>
      </c>
      <c r="K114" s="1">
        <f t="shared" si="10"/>
        <v>237172.54345025003</v>
      </c>
      <c r="L114" s="5">
        <f t="shared" si="11"/>
        <v>3708</v>
      </c>
    </row>
    <row r="115" spans="1:12" x14ac:dyDescent="0.25">
      <c r="A115" s="3">
        <v>41080</v>
      </c>
      <c r="B115" s="1">
        <f t="shared" si="6"/>
        <v>4816</v>
      </c>
      <c r="C115" s="1">
        <v>8157.0353164480603</v>
      </c>
      <c r="D115" s="1">
        <f t="shared" si="7"/>
        <v>3341.0353164480603</v>
      </c>
      <c r="E115" s="2">
        <v>43</v>
      </c>
      <c r="F115" s="1">
        <v>189.69849573135025</v>
      </c>
      <c r="G115" s="1">
        <v>77.698495731350235</v>
      </c>
      <c r="H115" s="1">
        <v>112</v>
      </c>
      <c r="I115" s="1">
        <f t="shared" si="8"/>
        <v>255349</v>
      </c>
      <c r="J115" s="1">
        <f t="shared" si="9"/>
        <v>495862.57876669808</v>
      </c>
      <c r="K115" s="1">
        <f t="shared" si="10"/>
        <v>240513.57876669808</v>
      </c>
      <c r="L115" s="5">
        <f t="shared" si="11"/>
        <v>3751</v>
      </c>
    </row>
    <row r="116" spans="1:12" x14ac:dyDescent="0.25">
      <c r="A116" s="3">
        <v>41080</v>
      </c>
      <c r="B116" s="1">
        <f t="shared" si="6"/>
        <v>198</v>
      </c>
      <c r="C116" s="1">
        <v>439.8573078328385</v>
      </c>
      <c r="D116" s="1">
        <f t="shared" si="7"/>
        <v>241.85730783283847</v>
      </c>
      <c r="E116" s="2">
        <v>3</v>
      </c>
      <c r="F116" s="1">
        <v>146.61910261094616</v>
      </c>
      <c r="G116" s="1">
        <v>80.619102610946157</v>
      </c>
      <c r="H116" s="1">
        <v>66</v>
      </c>
      <c r="I116" s="1">
        <f t="shared" si="8"/>
        <v>255547</v>
      </c>
      <c r="J116" s="1">
        <f t="shared" si="9"/>
        <v>496302.43607453094</v>
      </c>
      <c r="K116" s="1">
        <f t="shared" si="10"/>
        <v>240755.43607453091</v>
      </c>
      <c r="L116" s="5">
        <f t="shared" si="11"/>
        <v>3754</v>
      </c>
    </row>
    <row r="117" spans="1:12" x14ac:dyDescent="0.25">
      <c r="A117" s="3">
        <v>41087</v>
      </c>
      <c r="B117" s="1">
        <f t="shared" si="6"/>
        <v>7290</v>
      </c>
      <c r="C117" s="1">
        <v>12294.108336563362</v>
      </c>
      <c r="D117" s="1">
        <f t="shared" si="7"/>
        <v>5004.1083365633613</v>
      </c>
      <c r="E117" s="2">
        <v>45</v>
      </c>
      <c r="F117" s="1">
        <v>273.20240747918581</v>
      </c>
      <c r="G117" s="1">
        <v>111.20240747918581</v>
      </c>
      <c r="H117" s="1">
        <v>162</v>
      </c>
      <c r="I117" s="1">
        <f t="shared" si="8"/>
        <v>262837</v>
      </c>
      <c r="J117" s="1">
        <f t="shared" si="9"/>
        <v>508596.54441109428</v>
      </c>
      <c r="K117" s="1">
        <f t="shared" si="10"/>
        <v>245759.54441109428</v>
      </c>
      <c r="L117" s="5">
        <f t="shared" si="11"/>
        <v>3799</v>
      </c>
    </row>
    <row r="118" spans="1:12" x14ac:dyDescent="0.25">
      <c r="A118" s="3">
        <v>41091</v>
      </c>
      <c r="B118" s="1">
        <f t="shared" si="6"/>
        <v>360</v>
      </c>
      <c r="C118" s="1">
        <v>860.13178822857344</v>
      </c>
      <c r="D118" s="1">
        <f t="shared" si="7"/>
        <v>500.13178822857344</v>
      </c>
      <c r="E118" s="2">
        <v>9</v>
      </c>
      <c r="F118" s="1">
        <v>95.570198692063713</v>
      </c>
      <c r="G118" s="1">
        <v>55.570198692063713</v>
      </c>
      <c r="H118" s="1">
        <v>40</v>
      </c>
      <c r="I118" s="1">
        <f t="shared" si="8"/>
        <v>263197</v>
      </c>
      <c r="J118" s="1">
        <f t="shared" si="9"/>
        <v>509456.67619932286</v>
      </c>
      <c r="K118" s="1">
        <f t="shared" si="10"/>
        <v>246259.67619932286</v>
      </c>
      <c r="L118" s="5">
        <f t="shared" si="11"/>
        <v>3808</v>
      </c>
    </row>
    <row r="119" spans="1:12" x14ac:dyDescent="0.25">
      <c r="A119" s="3">
        <v>41095</v>
      </c>
      <c r="B119" s="1">
        <f t="shared" si="6"/>
        <v>6604</v>
      </c>
      <c r="C119" s="1">
        <v>11658.448900173686</v>
      </c>
      <c r="D119" s="1">
        <f t="shared" si="7"/>
        <v>5054.4489001736856</v>
      </c>
      <c r="E119" s="2">
        <v>52</v>
      </c>
      <c r="F119" s="1">
        <v>224.20094038795548</v>
      </c>
      <c r="G119" s="1">
        <v>97.200940387955498</v>
      </c>
      <c r="H119" s="1">
        <v>127</v>
      </c>
      <c r="I119" s="1">
        <f t="shared" si="8"/>
        <v>269801</v>
      </c>
      <c r="J119" s="1">
        <f t="shared" si="9"/>
        <v>521115.12509949657</v>
      </c>
      <c r="K119" s="1">
        <f t="shared" si="10"/>
        <v>251314.12509949654</v>
      </c>
      <c r="L119" s="5">
        <f t="shared" si="11"/>
        <v>3860</v>
      </c>
    </row>
    <row r="120" spans="1:12" x14ac:dyDescent="0.25">
      <c r="A120" s="3">
        <v>41097</v>
      </c>
      <c r="B120" s="1">
        <f t="shared" si="6"/>
        <v>992</v>
      </c>
      <c r="C120" s="1">
        <v>1829.4596214952578</v>
      </c>
      <c r="D120" s="1">
        <f t="shared" si="7"/>
        <v>837.45962149525781</v>
      </c>
      <c r="E120" s="2">
        <v>16</v>
      </c>
      <c r="F120" s="1">
        <v>114.34122634345361</v>
      </c>
      <c r="G120" s="1">
        <v>52.341226343453613</v>
      </c>
      <c r="H120" s="1">
        <v>62</v>
      </c>
      <c r="I120" s="1">
        <f t="shared" si="8"/>
        <v>270793</v>
      </c>
      <c r="J120" s="1">
        <f t="shared" si="9"/>
        <v>522944.58472099184</v>
      </c>
      <c r="K120" s="1">
        <f t="shared" si="10"/>
        <v>252151.58472099178</v>
      </c>
      <c r="L120" s="5">
        <f t="shared" si="11"/>
        <v>3876</v>
      </c>
    </row>
    <row r="121" spans="1:12" x14ac:dyDescent="0.25">
      <c r="A121" s="3">
        <v>41104</v>
      </c>
      <c r="B121" s="1">
        <f t="shared" si="6"/>
        <v>140</v>
      </c>
      <c r="C121" s="1">
        <v>238.11272791141252</v>
      </c>
      <c r="D121" s="1">
        <f t="shared" si="7"/>
        <v>98.11272791141252</v>
      </c>
      <c r="E121" s="2">
        <v>2</v>
      </c>
      <c r="F121" s="1">
        <v>119.05636395570626</v>
      </c>
      <c r="G121" s="1">
        <v>49.05636395570626</v>
      </c>
      <c r="H121" s="1">
        <v>70</v>
      </c>
      <c r="I121" s="1">
        <f t="shared" si="8"/>
        <v>270933</v>
      </c>
      <c r="J121" s="1">
        <f t="shared" si="9"/>
        <v>523182.69744890323</v>
      </c>
      <c r="K121" s="1">
        <f t="shared" si="10"/>
        <v>252249.6974489032</v>
      </c>
      <c r="L121" s="5">
        <f t="shared" si="11"/>
        <v>3878</v>
      </c>
    </row>
    <row r="122" spans="1:12" x14ac:dyDescent="0.25">
      <c r="A122" s="3">
        <v>41107</v>
      </c>
      <c r="B122" s="1">
        <f t="shared" si="6"/>
        <v>1134</v>
      </c>
      <c r="C122" s="1">
        <v>2391.635723558129</v>
      </c>
      <c r="D122" s="1">
        <f t="shared" si="7"/>
        <v>1257.635723558129</v>
      </c>
      <c r="E122" s="2">
        <v>21</v>
      </c>
      <c r="F122" s="1">
        <v>113.88741540752996</v>
      </c>
      <c r="G122" s="1">
        <v>59.887415407529957</v>
      </c>
      <c r="H122" s="1">
        <v>54</v>
      </c>
      <c r="I122" s="1">
        <f t="shared" si="8"/>
        <v>272067</v>
      </c>
      <c r="J122" s="1">
        <f t="shared" si="9"/>
        <v>525574.33317246137</v>
      </c>
      <c r="K122" s="1">
        <f t="shared" si="10"/>
        <v>253507.33317246134</v>
      </c>
      <c r="L122" s="5">
        <f t="shared" si="11"/>
        <v>3899</v>
      </c>
    </row>
    <row r="123" spans="1:12" x14ac:dyDescent="0.25">
      <c r="A123" s="3">
        <v>41111</v>
      </c>
      <c r="B123" s="1">
        <f t="shared" si="6"/>
        <v>1300</v>
      </c>
      <c r="C123" s="1">
        <v>2469.0908961894334</v>
      </c>
      <c r="D123" s="1">
        <f t="shared" si="7"/>
        <v>1169.0908961894334</v>
      </c>
      <c r="E123" s="2">
        <v>20</v>
      </c>
      <c r="F123" s="1">
        <v>123.45454480947167</v>
      </c>
      <c r="G123" s="1">
        <v>58.45454480947167</v>
      </c>
      <c r="H123" s="1">
        <v>65</v>
      </c>
      <c r="I123" s="1">
        <f t="shared" si="8"/>
        <v>273367</v>
      </c>
      <c r="J123" s="1">
        <f t="shared" si="9"/>
        <v>528043.42406865081</v>
      </c>
      <c r="K123" s="1">
        <f t="shared" si="10"/>
        <v>254676.42406865078</v>
      </c>
      <c r="L123" s="5">
        <f t="shared" si="11"/>
        <v>3919</v>
      </c>
    </row>
    <row r="124" spans="1:12" x14ac:dyDescent="0.25">
      <c r="A124" s="3">
        <v>41113</v>
      </c>
      <c r="B124" s="1">
        <f t="shared" si="6"/>
        <v>23</v>
      </c>
      <c r="C124" s="1">
        <v>58.984896735970452</v>
      </c>
      <c r="D124" s="1">
        <f t="shared" si="7"/>
        <v>35.984896735970452</v>
      </c>
      <c r="E124" s="2">
        <v>1</v>
      </c>
      <c r="F124" s="1">
        <v>58.984896735970452</v>
      </c>
      <c r="G124" s="1">
        <v>35.984896735970452</v>
      </c>
      <c r="H124" s="1">
        <v>23</v>
      </c>
      <c r="I124" s="1">
        <f t="shared" si="8"/>
        <v>273390</v>
      </c>
      <c r="J124" s="1">
        <f t="shared" si="9"/>
        <v>528102.4089653868</v>
      </c>
      <c r="K124" s="1">
        <f t="shared" si="10"/>
        <v>254712.40896538674</v>
      </c>
      <c r="L124" s="5">
        <f t="shared" si="11"/>
        <v>3920</v>
      </c>
    </row>
    <row r="125" spans="1:12" x14ac:dyDescent="0.25">
      <c r="A125" s="3">
        <v>41115</v>
      </c>
      <c r="B125" s="1">
        <f t="shared" si="6"/>
        <v>308</v>
      </c>
      <c r="C125" s="1">
        <v>535.99796125001842</v>
      </c>
      <c r="D125" s="1">
        <f t="shared" si="7"/>
        <v>227.99796125001845</v>
      </c>
      <c r="E125" s="2">
        <v>4</v>
      </c>
      <c r="F125" s="1">
        <v>133.99949031250461</v>
      </c>
      <c r="G125" s="1">
        <v>56.999490312504612</v>
      </c>
      <c r="H125" s="1">
        <v>77</v>
      </c>
      <c r="I125" s="1">
        <f t="shared" si="8"/>
        <v>273698</v>
      </c>
      <c r="J125" s="1">
        <f t="shared" si="9"/>
        <v>528638.40692663682</v>
      </c>
      <c r="K125" s="1">
        <f t="shared" si="10"/>
        <v>254940.40692663676</v>
      </c>
      <c r="L125" s="5">
        <f t="shared" si="11"/>
        <v>3924</v>
      </c>
    </row>
    <row r="126" spans="1:12" x14ac:dyDescent="0.25">
      <c r="A126" s="3">
        <v>41121</v>
      </c>
      <c r="B126" s="1">
        <f t="shared" si="6"/>
        <v>1349</v>
      </c>
      <c r="C126" s="1">
        <v>2382.1534258255438</v>
      </c>
      <c r="D126" s="1">
        <f t="shared" si="7"/>
        <v>1033.1534258255435</v>
      </c>
      <c r="E126" s="2">
        <v>19</v>
      </c>
      <c r="F126" s="1">
        <v>125.37649609608124</v>
      </c>
      <c r="G126" s="1">
        <v>54.376496096081233</v>
      </c>
      <c r="H126" s="1">
        <v>71</v>
      </c>
      <c r="I126" s="1">
        <f t="shared" si="8"/>
        <v>275047</v>
      </c>
      <c r="J126" s="1">
        <f t="shared" si="9"/>
        <v>531020.56035246234</v>
      </c>
      <c r="K126" s="1">
        <f t="shared" si="10"/>
        <v>255973.56035246231</v>
      </c>
      <c r="L126" s="5">
        <f t="shared" si="11"/>
        <v>3943</v>
      </c>
    </row>
    <row r="127" spans="1:12" x14ac:dyDescent="0.25">
      <c r="A127" s="3">
        <v>41131</v>
      </c>
      <c r="B127" s="1">
        <f t="shared" si="6"/>
        <v>8316</v>
      </c>
      <c r="C127" s="1">
        <v>15088.471453331078</v>
      </c>
      <c r="D127" s="1">
        <f t="shared" si="7"/>
        <v>6772.4714533310789</v>
      </c>
      <c r="E127" s="2">
        <v>66</v>
      </c>
      <c r="F127" s="1">
        <v>228.61320383834968</v>
      </c>
      <c r="G127" s="1">
        <v>102.61320383834968</v>
      </c>
      <c r="H127" s="1">
        <v>126</v>
      </c>
      <c r="I127" s="1">
        <f t="shared" si="8"/>
        <v>283363</v>
      </c>
      <c r="J127" s="1">
        <f t="shared" si="9"/>
        <v>546109.03180579341</v>
      </c>
      <c r="K127" s="1">
        <f t="shared" si="10"/>
        <v>262746.03180579341</v>
      </c>
      <c r="L127" s="5">
        <f t="shared" si="11"/>
        <v>4009</v>
      </c>
    </row>
    <row r="128" spans="1:12" x14ac:dyDescent="0.25">
      <c r="A128" s="3">
        <v>41138</v>
      </c>
      <c r="B128" s="1">
        <f t="shared" si="6"/>
        <v>1365</v>
      </c>
      <c r="C128" s="1">
        <v>2730.1504455224049</v>
      </c>
      <c r="D128" s="1">
        <f t="shared" si="7"/>
        <v>1365.1504455224049</v>
      </c>
      <c r="E128" s="2">
        <v>15</v>
      </c>
      <c r="F128" s="1">
        <v>182.01002970149366</v>
      </c>
      <c r="G128" s="1">
        <v>91.010029701493664</v>
      </c>
      <c r="H128" s="1">
        <v>91</v>
      </c>
      <c r="I128" s="1">
        <f t="shared" si="8"/>
        <v>284728</v>
      </c>
      <c r="J128" s="1">
        <f t="shared" si="9"/>
        <v>548839.1822513158</v>
      </c>
      <c r="K128" s="1">
        <f t="shared" si="10"/>
        <v>264111.1822513158</v>
      </c>
      <c r="L128" s="5">
        <f t="shared" si="11"/>
        <v>4024</v>
      </c>
    </row>
    <row r="129" spans="1:12" x14ac:dyDescent="0.25">
      <c r="A129" s="3">
        <v>41140</v>
      </c>
      <c r="B129" s="1">
        <f t="shared" si="6"/>
        <v>245</v>
      </c>
      <c r="C129" s="1">
        <v>491.75525728059625</v>
      </c>
      <c r="D129" s="1">
        <f t="shared" si="7"/>
        <v>246.75525728059625</v>
      </c>
      <c r="E129" s="2">
        <v>5</v>
      </c>
      <c r="F129" s="1">
        <v>98.351051456119251</v>
      </c>
      <c r="G129" s="1">
        <v>49.351051456119251</v>
      </c>
      <c r="H129" s="1">
        <v>49</v>
      </c>
      <c r="I129" s="1">
        <f t="shared" si="8"/>
        <v>284973</v>
      </c>
      <c r="J129" s="1">
        <f t="shared" si="9"/>
        <v>549330.93750859634</v>
      </c>
      <c r="K129" s="1">
        <f t="shared" si="10"/>
        <v>264357.9375085964</v>
      </c>
      <c r="L129" s="5">
        <f t="shared" si="11"/>
        <v>4029</v>
      </c>
    </row>
    <row r="130" spans="1:12" x14ac:dyDescent="0.25">
      <c r="A130" s="3">
        <v>41147</v>
      </c>
      <c r="B130" s="1">
        <f t="shared" ref="B130:B193" si="12">+E130*H130</f>
        <v>845</v>
      </c>
      <c r="C130" s="1">
        <v>1427.3217716418692</v>
      </c>
      <c r="D130" s="1">
        <f t="shared" ref="D130:D193" si="13">+E130*G130</f>
        <v>582.32177164186919</v>
      </c>
      <c r="E130" s="2">
        <v>13</v>
      </c>
      <c r="F130" s="1">
        <v>109.79398243398994</v>
      </c>
      <c r="G130" s="1">
        <v>44.793982433989939</v>
      </c>
      <c r="H130" s="1">
        <v>65</v>
      </c>
      <c r="I130" s="1">
        <f t="shared" si="8"/>
        <v>285818</v>
      </c>
      <c r="J130" s="1">
        <f t="shared" si="9"/>
        <v>550758.25928023818</v>
      </c>
      <c r="K130" s="1">
        <f t="shared" si="10"/>
        <v>264940.25928023824</v>
      </c>
      <c r="L130" s="5">
        <f t="shared" si="11"/>
        <v>4042</v>
      </c>
    </row>
    <row r="131" spans="1:12" x14ac:dyDescent="0.25">
      <c r="A131" s="3">
        <v>41148</v>
      </c>
      <c r="B131" s="1">
        <f t="shared" si="12"/>
        <v>1420</v>
      </c>
      <c r="C131" s="1">
        <v>2522.5676935711158</v>
      </c>
      <c r="D131" s="1">
        <f t="shared" si="13"/>
        <v>1102.567693571116</v>
      </c>
      <c r="E131" s="2">
        <v>20</v>
      </c>
      <c r="F131" s="1">
        <v>126.12838467855579</v>
      </c>
      <c r="G131" s="1">
        <v>55.128384678555797</v>
      </c>
      <c r="H131" s="1">
        <v>71</v>
      </c>
      <c r="I131" s="1">
        <f t="shared" si="8"/>
        <v>287238</v>
      </c>
      <c r="J131" s="1">
        <f t="shared" si="9"/>
        <v>553280.82697380928</v>
      </c>
      <c r="K131" s="1">
        <f t="shared" si="10"/>
        <v>266042.82697380934</v>
      </c>
      <c r="L131" s="5">
        <f t="shared" si="11"/>
        <v>4062</v>
      </c>
    </row>
    <row r="132" spans="1:12" x14ac:dyDescent="0.25">
      <c r="A132" s="3">
        <v>41152</v>
      </c>
      <c r="B132" s="1">
        <f t="shared" si="12"/>
        <v>935</v>
      </c>
      <c r="C132" s="1">
        <v>2014.483750876273</v>
      </c>
      <c r="D132" s="1">
        <f t="shared" si="13"/>
        <v>1079.483750876273</v>
      </c>
      <c r="E132" s="2">
        <v>17</v>
      </c>
      <c r="F132" s="1">
        <v>118.49904416919253</v>
      </c>
      <c r="G132" s="1">
        <v>63.49904416919253</v>
      </c>
      <c r="H132" s="1">
        <v>55</v>
      </c>
      <c r="I132" s="1">
        <f t="shared" ref="I132:I195" si="14">+I131+B132</f>
        <v>288173</v>
      </c>
      <c r="J132" s="1">
        <f t="shared" ref="J132:J195" si="15">+J131+C132</f>
        <v>555295.31072468555</v>
      </c>
      <c r="K132" s="1">
        <f t="shared" ref="K132:K195" si="16">+K131+D132</f>
        <v>267122.31072468561</v>
      </c>
      <c r="L132" s="5">
        <f t="shared" ref="L132:L195" si="17">+L131+E132</f>
        <v>4079</v>
      </c>
    </row>
    <row r="133" spans="1:12" x14ac:dyDescent="0.25">
      <c r="A133" s="3">
        <v>41159</v>
      </c>
      <c r="B133" s="1">
        <f t="shared" si="12"/>
        <v>46</v>
      </c>
      <c r="C133" s="1">
        <v>132.29732750726538</v>
      </c>
      <c r="D133" s="1">
        <f t="shared" si="13"/>
        <v>86.297327507265379</v>
      </c>
      <c r="E133" s="2">
        <v>2</v>
      </c>
      <c r="F133" s="1">
        <v>66.14866375363269</v>
      </c>
      <c r="G133" s="1">
        <v>43.14866375363269</v>
      </c>
      <c r="H133" s="1">
        <v>23</v>
      </c>
      <c r="I133" s="1">
        <f t="shared" si="14"/>
        <v>288219</v>
      </c>
      <c r="J133" s="1">
        <f t="shared" si="15"/>
        <v>555427.60805219284</v>
      </c>
      <c r="K133" s="1">
        <f t="shared" si="16"/>
        <v>267208.6080521929</v>
      </c>
      <c r="L133" s="5">
        <f t="shared" si="17"/>
        <v>4081</v>
      </c>
    </row>
    <row r="134" spans="1:12" x14ac:dyDescent="0.25">
      <c r="A134" s="3">
        <v>41171</v>
      </c>
      <c r="B134" s="1">
        <f t="shared" si="12"/>
        <v>324</v>
      </c>
      <c r="C134" s="1">
        <v>726.03707398634663</v>
      </c>
      <c r="D134" s="1">
        <f t="shared" si="13"/>
        <v>402.03707398634663</v>
      </c>
      <c r="E134" s="2">
        <v>9</v>
      </c>
      <c r="F134" s="1">
        <v>80.670785998482955</v>
      </c>
      <c r="G134" s="1">
        <v>44.670785998482955</v>
      </c>
      <c r="H134" s="1">
        <v>36</v>
      </c>
      <c r="I134" s="1">
        <f t="shared" si="14"/>
        <v>288543</v>
      </c>
      <c r="J134" s="1">
        <f t="shared" si="15"/>
        <v>556153.64512617921</v>
      </c>
      <c r="K134" s="1">
        <f t="shared" si="16"/>
        <v>267610.64512617927</v>
      </c>
      <c r="L134" s="5">
        <f t="shared" si="17"/>
        <v>4090</v>
      </c>
    </row>
    <row r="135" spans="1:12" x14ac:dyDescent="0.25">
      <c r="A135" s="3">
        <v>41176</v>
      </c>
      <c r="B135" s="1">
        <f t="shared" si="12"/>
        <v>1116</v>
      </c>
      <c r="C135" s="1">
        <v>2003.8438569134441</v>
      </c>
      <c r="D135" s="1">
        <f t="shared" si="13"/>
        <v>887.84385691344426</v>
      </c>
      <c r="E135" s="2">
        <v>31</v>
      </c>
      <c r="F135" s="1">
        <v>64.640124416562713</v>
      </c>
      <c r="G135" s="1">
        <v>28.640124416562717</v>
      </c>
      <c r="H135" s="1">
        <v>36</v>
      </c>
      <c r="I135" s="1">
        <f t="shared" si="14"/>
        <v>289659</v>
      </c>
      <c r="J135" s="1">
        <f t="shared" si="15"/>
        <v>558157.4889830926</v>
      </c>
      <c r="K135" s="1">
        <f t="shared" si="16"/>
        <v>268498.48898309271</v>
      </c>
      <c r="L135" s="5">
        <f t="shared" si="17"/>
        <v>4121</v>
      </c>
    </row>
    <row r="136" spans="1:12" x14ac:dyDescent="0.25">
      <c r="A136" s="3">
        <v>41183</v>
      </c>
      <c r="B136" s="1">
        <f t="shared" si="12"/>
        <v>405</v>
      </c>
      <c r="C136" s="1">
        <v>1111.0754213451037</v>
      </c>
      <c r="D136" s="1">
        <f t="shared" si="13"/>
        <v>706.07542134510379</v>
      </c>
      <c r="E136" s="2">
        <v>15</v>
      </c>
      <c r="F136" s="1">
        <v>74.07169475634025</v>
      </c>
      <c r="G136" s="1">
        <v>47.07169475634025</v>
      </c>
      <c r="H136" s="1">
        <v>27</v>
      </c>
      <c r="I136" s="1">
        <f t="shared" si="14"/>
        <v>290064</v>
      </c>
      <c r="J136" s="1">
        <f t="shared" si="15"/>
        <v>559268.56440443767</v>
      </c>
      <c r="K136" s="1">
        <f t="shared" si="16"/>
        <v>269204.56440443784</v>
      </c>
      <c r="L136" s="5">
        <f t="shared" si="17"/>
        <v>4136</v>
      </c>
    </row>
    <row r="137" spans="1:12" x14ac:dyDescent="0.25">
      <c r="A137" s="3">
        <v>41190</v>
      </c>
      <c r="B137" s="1">
        <f t="shared" si="12"/>
        <v>5005</v>
      </c>
      <c r="C137" s="1">
        <v>8834.970522449541</v>
      </c>
      <c r="D137" s="1">
        <f t="shared" si="13"/>
        <v>3829.9705224495419</v>
      </c>
      <c r="E137" s="2">
        <v>35</v>
      </c>
      <c r="F137" s="1">
        <v>252.42772921284404</v>
      </c>
      <c r="G137" s="1">
        <v>109.42772921284406</v>
      </c>
      <c r="H137" s="1">
        <v>143</v>
      </c>
      <c r="I137" s="1">
        <f t="shared" si="14"/>
        <v>295069</v>
      </c>
      <c r="J137" s="1">
        <f t="shared" si="15"/>
        <v>568103.53492688725</v>
      </c>
      <c r="K137" s="1">
        <f t="shared" si="16"/>
        <v>273034.53492688737</v>
      </c>
      <c r="L137" s="5">
        <f t="shared" si="17"/>
        <v>4171</v>
      </c>
    </row>
    <row r="138" spans="1:12" x14ac:dyDescent="0.25">
      <c r="A138" s="3">
        <v>41209</v>
      </c>
      <c r="B138" s="1">
        <f t="shared" si="12"/>
        <v>3408</v>
      </c>
      <c r="C138" s="1">
        <v>6967.8638909703186</v>
      </c>
      <c r="D138" s="1">
        <f t="shared" si="13"/>
        <v>3559.8638909703186</v>
      </c>
      <c r="E138" s="2">
        <v>71</v>
      </c>
      <c r="F138" s="1">
        <v>98.13892804183547</v>
      </c>
      <c r="G138" s="1">
        <v>50.13892804183547</v>
      </c>
      <c r="H138" s="1">
        <v>48</v>
      </c>
      <c r="I138" s="1">
        <f t="shared" si="14"/>
        <v>298477</v>
      </c>
      <c r="J138" s="1">
        <f t="shared" si="15"/>
        <v>575071.39881785761</v>
      </c>
      <c r="K138" s="1">
        <f t="shared" si="16"/>
        <v>276594.39881785767</v>
      </c>
      <c r="L138" s="5">
        <f t="shared" si="17"/>
        <v>4242</v>
      </c>
    </row>
    <row r="139" spans="1:12" x14ac:dyDescent="0.25">
      <c r="A139" s="3">
        <v>41215</v>
      </c>
      <c r="B139" s="1">
        <f t="shared" si="12"/>
        <v>1148</v>
      </c>
      <c r="C139" s="1">
        <v>3104.9346899453521</v>
      </c>
      <c r="D139" s="1">
        <f t="shared" si="13"/>
        <v>1956.9346899453524</v>
      </c>
      <c r="E139" s="2">
        <v>28</v>
      </c>
      <c r="F139" s="1">
        <v>110.89052464090544</v>
      </c>
      <c r="G139" s="1">
        <v>69.89052464090544</v>
      </c>
      <c r="H139" s="1">
        <v>41</v>
      </c>
      <c r="I139" s="1">
        <f t="shared" si="14"/>
        <v>299625</v>
      </c>
      <c r="J139" s="1">
        <f t="shared" si="15"/>
        <v>578176.33350780292</v>
      </c>
      <c r="K139" s="1">
        <f t="shared" si="16"/>
        <v>278551.33350780304</v>
      </c>
      <c r="L139" s="5">
        <f t="shared" si="17"/>
        <v>4270</v>
      </c>
    </row>
    <row r="140" spans="1:12" x14ac:dyDescent="0.25">
      <c r="A140" s="3">
        <v>41217</v>
      </c>
      <c r="B140" s="1">
        <f t="shared" si="12"/>
        <v>559</v>
      </c>
      <c r="C140" s="1">
        <v>1006.8995692449448</v>
      </c>
      <c r="D140" s="1">
        <f t="shared" si="13"/>
        <v>447.89956924494487</v>
      </c>
      <c r="E140" s="2">
        <v>13</v>
      </c>
      <c r="F140" s="1">
        <v>77.453813018841913</v>
      </c>
      <c r="G140" s="1">
        <v>34.453813018841913</v>
      </c>
      <c r="H140" s="1">
        <v>43</v>
      </c>
      <c r="I140" s="1">
        <f t="shared" si="14"/>
        <v>300184</v>
      </c>
      <c r="J140" s="1">
        <f t="shared" si="15"/>
        <v>579183.23307704786</v>
      </c>
      <c r="K140" s="1">
        <f t="shared" si="16"/>
        <v>278999.23307704797</v>
      </c>
      <c r="L140" s="5">
        <f t="shared" si="17"/>
        <v>4283</v>
      </c>
    </row>
    <row r="141" spans="1:12" x14ac:dyDescent="0.25">
      <c r="A141" s="3">
        <v>41220</v>
      </c>
      <c r="B141" s="1">
        <f t="shared" si="12"/>
        <v>1248</v>
      </c>
      <c r="C141" s="1">
        <v>3552.3197202088813</v>
      </c>
      <c r="D141" s="1">
        <f t="shared" si="13"/>
        <v>2304.3197202088813</v>
      </c>
      <c r="E141" s="2">
        <v>52</v>
      </c>
      <c r="F141" s="1">
        <v>68.313840773247719</v>
      </c>
      <c r="G141" s="1">
        <v>44.313840773247719</v>
      </c>
      <c r="H141" s="1">
        <v>24</v>
      </c>
      <c r="I141" s="1">
        <f t="shared" si="14"/>
        <v>301432</v>
      </c>
      <c r="J141" s="1">
        <f t="shared" si="15"/>
        <v>582735.55279725674</v>
      </c>
      <c r="K141" s="1">
        <f t="shared" si="16"/>
        <v>281303.55279725685</v>
      </c>
      <c r="L141" s="5">
        <f t="shared" si="17"/>
        <v>4335</v>
      </c>
    </row>
    <row r="142" spans="1:12" x14ac:dyDescent="0.25">
      <c r="A142" s="3">
        <v>41226</v>
      </c>
      <c r="B142" s="1">
        <f t="shared" si="12"/>
        <v>624</v>
      </c>
      <c r="C142" s="1">
        <v>1193.6095730411196</v>
      </c>
      <c r="D142" s="1">
        <f t="shared" si="13"/>
        <v>569.60957304111957</v>
      </c>
      <c r="E142" s="2">
        <v>16</v>
      </c>
      <c r="F142" s="1">
        <v>74.600598315069973</v>
      </c>
      <c r="G142" s="1">
        <v>35.600598315069973</v>
      </c>
      <c r="H142" s="1">
        <v>39</v>
      </c>
      <c r="I142" s="1">
        <f t="shared" si="14"/>
        <v>302056</v>
      </c>
      <c r="J142" s="1">
        <f t="shared" si="15"/>
        <v>583929.16237029782</v>
      </c>
      <c r="K142" s="1">
        <f t="shared" si="16"/>
        <v>281873.162370298</v>
      </c>
      <c r="L142" s="5">
        <f t="shared" si="17"/>
        <v>4351</v>
      </c>
    </row>
    <row r="143" spans="1:12" x14ac:dyDescent="0.25">
      <c r="A143" s="3">
        <v>41228</v>
      </c>
      <c r="B143" s="1">
        <f t="shared" si="12"/>
        <v>1290</v>
      </c>
      <c r="C143" s="1">
        <v>2966.6321544554021</v>
      </c>
      <c r="D143" s="1">
        <f t="shared" si="13"/>
        <v>1676.6321544554021</v>
      </c>
      <c r="E143" s="2">
        <v>30</v>
      </c>
      <c r="F143" s="1">
        <v>98.887738481846739</v>
      </c>
      <c r="G143" s="1">
        <v>55.887738481846739</v>
      </c>
      <c r="H143" s="1">
        <v>43</v>
      </c>
      <c r="I143" s="1">
        <f t="shared" si="14"/>
        <v>303346</v>
      </c>
      <c r="J143" s="1">
        <f t="shared" si="15"/>
        <v>586895.79452475323</v>
      </c>
      <c r="K143" s="1">
        <f t="shared" si="16"/>
        <v>283549.79452475341</v>
      </c>
      <c r="L143" s="5">
        <f t="shared" si="17"/>
        <v>4381</v>
      </c>
    </row>
    <row r="144" spans="1:12" x14ac:dyDescent="0.25">
      <c r="A144" s="3">
        <v>41229</v>
      </c>
      <c r="B144" s="1">
        <f t="shared" si="12"/>
        <v>880</v>
      </c>
      <c r="C144" s="1">
        <v>1574.1618984174772</v>
      </c>
      <c r="D144" s="1">
        <f t="shared" si="13"/>
        <v>694.16189841747723</v>
      </c>
      <c r="E144" s="2">
        <v>16</v>
      </c>
      <c r="F144" s="1">
        <v>98.385118651092327</v>
      </c>
      <c r="G144" s="1">
        <v>43.385118651092327</v>
      </c>
      <c r="H144" s="1">
        <v>55</v>
      </c>
      <c r="I144" s="1">
        <f t="shared" si="14"/>
        <v>304226</v>
      </c>
      <c r="J144" s="1">
        <f t="shared" si="15"/>
        <v>588469.95642317075</v>
      </c>
      <c r="K144" s="1">
        <f t="shared" si="16"/>
        <v>284243.95642317086</v>
      </c>
      <c r="L144" s="5">
        <f t="shared" si="17"/>
        <v>4397</v>
      </c>
    </row>
    <row r="145" spans="1:12" x14ac:dyDescent="0.25">
      <c r="A145" s="3">
        <v>41242</v>
      </c>
      <c r="B145" s="1">
        <f t="shared" si="12"/>
        <v>297</v>
      </c>
      <c r="C145" s="1">
        <v>553.69512750732326</v>
      </c>
      <c r="D145" s="1">
        <f t="shared" si="13"/>
        <v>256.69512750732321</v>
      </c>
      <c r="E145" s="2">
        <v>11</v>
      </c>
      <c r="F145" s="1">
        <v>50.33592068248393</v>
      </c>
      <c r="G145" s="1">
        <v>23.335920682483927</v>
      </c>
      <c r="H145" s="1">
        <v>27</v>
      </c>
      <c r="I145" s="1">
        <f t="shared" si="14"/>
        <v>304523</v>
      </c>
      <c r="J145" s="1">
        <f t="shared" si="15"/>
        <v>589023.65155067807</v>
      </c>
      <c r="K145" s="1">
        <f t="shared" si="16"/>
        <v>284500.65155067819</v>
      </c>
      <c r="L145" s="5">
        <f t="shared" si="17"/>
        <v>4408</v>
      </c>
    </row>
    <row r="146" spans="1:12" x14ac:dyDescent="0.25">
      <c r="A146" s="3">
        <v>41245</v>
      </c>
      <c r="B146" s="1">
        <f t="shared" si="12"/>
        <v>1464</v>
      </c>
      <c r="C146" s="1">
        <v>2884.0188665482879</v>
      </c>
      <c r="D146" s="1">
        <f t="shared" si="13"/>
        <v>1420.0188665482879</v>
      </c>
      <c r="E146" s="2">
        <v>8</v>
      </c>
      <c r="F146" s="1">
        <v>360.50235831853598</v>
      </c>
      <c r="G146" s="1">
        <v>177.50235831853598</v>
      </c>
      <c r="H146" s="1">
        <v>183</v>
      </c>
      <c r="I146" s="1">
        <f t="shared" si="14"/>
        <v>305987</v>
      </c>
      <c r="J146" s="1">
        <f t="shared" si="15"/>
        <v>591907.67041722639</v>
      </c>
      <c r="K146" s="1">
        <f t="shared" si="16"/>
        <v>285920.6704172265</v>
      </c>
      <c r="L146" s="5">
        <f t="shared" si="17"/>
        <v>4416</v>
      </c>
    </row>
    <row r="147" spans="1:12" x14ac:dyDescent="0.25">
      <c r="A147" s="3">
        <v>41282</v>
      </c>
      <c r="B147" s="1">
        <f t="shared" si="12"/>
        <v>1254</v>
      </c>
      <c r="C147" s="1">
        <v>3166.4672273800261</v>
      </c>
      <c r="D147" s="1">
        <f t="shared" si="13"/>
        <v>1912.4672273800256</v>
      </c>
      <c r="E147" s="2">
        <v>33</v>
      </c>
      <c r="F147" s="1">
        <v>95.953552344849271</v>
      </c>
      <c r="G147" s="1">
        <v>57.953552344849264</v>
      </c>
      <c r="H147" s="1">
        <v>38</v>
      </c>
      <c r="I147" s="1">
        <f t="shared" si="14"/>
        <v>307241</v>
      </c>
      <c r="J147" s="1">
        <f t="shared" si="15"/>
        <v>595074.13764460641</v>
      </c>
      <c r="K147" s="1">
        <f t="shared" si="16"/>
        <v>287833.13764460653</v>
      </c>
      <c r="L147" s="5">
        <f t="shared" si="17"/>
        <v>4449</v>
      </c>
    </row>
    <row r="148" spans="1:12" x14ac:dyDescent="0.25">
      <c r="A148" s="3">
        <v>41305</v>
      </c>
      <c r="B148" s="1">
        <f t="shared" si="12"/>
        <v>120</v>
      </c>
      <c r="C148" s="1">
        <v>224.41469458697583</v>
      </c>
      <c r="D148" s="1">
        <f t="shared" si="13"/>
        <v>104.41469458697583</v>
      </c>
      <c r="E148" s="2">
        <v>3</v>
      </c>
      <c r="F148" s="1">
        <v>74.804898195658609</v>
      </c>
      <c r="G148" s="1">
        <v>34.804898195658609</v>
      </c>
      <c r="H148" s="1">
        <v>40</v>
      </c>
      <c r="I148" s="1">
        <f t="shared" si="14"/>
        <v>307361</v>
      </c>
      <c r="J148" s="1">
        <f t="shared" si="15"/>
        <v>595298.55233919341</v>
      </c>
      <c r="K148" s="1">
        <f t="shared" si="16"/>
        <v>287937.55233919353</v>
      </c>
      <c r="L148" s="5">
        <f t="shared" si="17"/>
        <v>4452</v>
      </c>
    </row>
    <row r="149" spans="1:12" x14ac:dyDescent="0.25">
      <c r="A149" s="3">
        <v>41305</v>
      </c>
      <c r="B149" s="1">
        <f t="shared" si="12"/>
        <v>800</v>
      </c>
      <c r="C149" s="1">
        <v>1361.4312529488971</v>
      </c>
      <c r="D149" s="1">
        <f t="shared" si="13"/>
        <v>561.43125294889694</v>
      </c>
      <c r="E149" s="2">
        <v>25</v>
      </c>
      <c r="F149" s="1">
        <v>54.45725011795588</v>
      </c>
      <c r="G149" s="1">
        <v>22.457250117955876</v>
      </c>
      <c r="H149" s="1">
        <v>32</v>
      </c>
      <c r="I149" s="1">
        <f t="shared" si="14"/>
        <v>308161</v>
      </c>
      <c r="J149" s="1">
        <f t="shared" si="15"/>
        <v>596659.98359214235</v>
      </c>
      <c r="K149" s="1">
        <f t="shared" si="16"/>
        <v>288498.98359214241</v>
      </c>
      <c r="L149" s="5">
        <f t="shared" si="17"/>
        <v>4477</v>
      </c>
    </row>
    <row r="150" spans="1:12" x14ac:dyDescent="0.25">
      <c r="A150" s="3">
        <v>41318</v>
      </c>
      <c r="B150" s="1">
        <f t="shared" si="12"/>
        <v>2052</v>
      </c>
      <c r="C150" s="1">
        <v>3589.4201980433422</v>
      </c>
      <c r="D150" s="1">
        <f t="shared" si="13"/>
        <v>1537.4201980433418</v>
      </c>
      <c r="E150" s="2">
        <v>27</v>
      </c>
      <c r="F150" s="1">
        <v>132.94148881642008</v>
      </c>
      <c r="G150" s="1">
        <v>56.941488816420069</v>
      </c>
      <c r="H150" s="1">
        <v>76</v>
      </c>
      <c r="I150" s="1">
        <f t="shared" si="14"/>
        <v>310213</v>
      </c>
      <c r="J150" s="1">
        <f t="shared" si="15"/>
        <v>600249.40379018569</v>
      </c>
      <c r="K150" s="1">
        <f t="shared" si="16"/>
        <v>290036.40379018575</v>
      </c>
      <c r="L150" s="5">
        <f t="shared" si="17"/>
        <v>4504</v>
      </c>
    </row>
    <row r="151" spans="1:12" x14ac:dyDescent="0.25">
      <c r="A151" s="3">
        <v>41320</v>
      </c>
      <c r="B151" s="1">
        <f t="shared" si="12"/>
        <v>1258</v>
      </c>
      <c r="C151" s="1">
        <v>2253.4262800000893</v>
      </c>
      <c r="D151" s="1">
        <f t="shared" si="13"/>
        <v>995.42628000008949</v>
      </c>
      <c r="E151" s="2">
        <v>17</v>
      </c>
      <c r="F151" s="1">
        <v>132.55448705882878</v>
      </c>
      <c r="G151" s="1">
        <v>58.554487058828791</v>
      </c>
      <c r="H151" s="1">
        <v>74</v>
      </c>
      <c r="I151" s="1">
        <f t="shared" si="14"/>
        <v>311471</v>
      </c>
      <c r="J151" s="1">
        <f t="shared" si="15"/>
        <v>602502.83007018582</v>
      </c>
      <c r="K151" s="1">
        <f t="shared" si="16"/>
        <v>291031.83007018582</v>
      </c>
      <c r="L151" s="5">
        <f t="shared" si="17"/>
        <v>4521</v>
      </c>
    </row>
    <row r="152" spans="1:12" x14ac:dyDescent="0.25">
      <c r="A152" s="3">
        <v>41346</v>
      </c>
      <c r="B152" s="1">
        <f t="shared" si="12"/>
        <v>612</v>
      </c>
      <c r="C152" s="1">
        <v>1252.9129324058604</v>
      </c>
      <c r="D152" s="1">
        <f t="shared" si="13"/>
        <v>640.91293240586026</v>
      </c>
      <c r="E152" s="2">
        <v>12</v>
      </c>
      <c r="F152" s="1">
        <v>104.4094110338217</v>
      </c>
      <c r="G152" s="1">
        <v>53.409411033821691</v>
      </c>
      <c r="H152" s="1">
        <v>51</v>
      </c>
      <c r="I152" s="1">
        <f t="shared" si="14"/>
        <v>312083</v>
      </c>
      <c r="J152" s="1">
        <f t="shared" si="15"/>
        <v>603755.74300259165</v>
      </c>
      <c r="K152" s="1">
        <f t="shared" si="16"/>
        <v>291672.74300259171</v>
      </c>
      <c r="L152" s="5">
        <f t="shared" si="17"/>
        <v>4533</v>
      </c>
    </row>
    <row r="153" spans="1:12" x14ac:dyDescent="0.25">
      <c r="A153" s="3">
        <v>41364</v>
      </c>
      <c r="B153" s="1">
        <f t="shared" si="12"/>
        <v>156</v>
      </c>
      <c r="C153" s="1">
        <v>358.16836850461078</v>
      </c>
      <c r="D153" s="1">
        <f t="shared" si="13"/>
        <v>202.16836850461078</v>
      </c>
      <c r="E153" s="2">
        <v>6</v>
      </c>
      <c r="F153" s="1">
        <v>59.694728084101797</v>
      </c>
      <c r="G153" s="1">
        <v>33.694728084101797</v>
      </c>
      <c r="H153" s="1">
        <v>26</v>
      </c>
      <c r="I153" s="1">
        <f t="shared" si="14"/>
        <v>312239</v>
      </c>
      <c r="J153" s="1">
        <f t="shared" si="15"/>
        <v>604113.91137109627</v>
      </c>
      <c r="K153" s="1">
        <f t="shared" si="16"/>
        <v>291874.91137109633</v>
      </c>
      <c r="L153" s="5">
        <f t="shared" si="17"/>
        <v>4539</v>
      </c>
    </row>
    <row r="154" spans="1:12" x14ac:dyDescent="0.25">
      <c r="A154" s="3">
        <v>41365</v>
      </c>
      <c r="B154" s="1">
        <f t="shared" si="12"/>
        <v>584</v>
      </c>
      <c r="C154" s="1">
        <v>1343.8580086243014</v>
      </c>
      <c r="D154" s="1">
        <f t="shared" si="13"/>
        <v>759.85800862430153</v>
      </c>
      <c r="E154" s="2">
        <v>8</v>
      </c>
      <c r="F154" s="1">
        <v>167.98225107803768</v>
      </c>
      <c r="G154" s="1">
        <v>94.982251078037692</v>
      </c>
      <c r="H154" s="1">
        <v>73</v>
      </c>
      <c r="I154" s="1">
        <f t="shared" si="14"/>
        <v>312823</v>
      </c>
      <c r="J154" s="1">
        <f t="shared" si="15"/>
        <v>605457.76937972056</v>
      </c>
      <c r="K154" s="1">
        <f t="shared" si="16"/>
        <v>292634.76937972062</v>
      </c>
      <c r="L154" s="5">
        <f t="shared" si="17"/>
        <v>4547</v>
      </c>
    </row>
    <row r="155" spans="1:12" x14ac:dyDescent="0.25">
      <c r="A155" s="3">
        <v>41367</v>
      </c>
      <c r="B155" s="1">
        <f t="shared" si="12"/>
        <v>5890</v>
      </c>
      <c r="C155" s="1">
        <v>14598.414280259109</v>
      </c>
      <c r="D155" s="1">
        <f t="shared" si="13"/>
        <v>8708.4142802591086</v>
      </c>
      <c r="E155" s="2">
        <v>95</v>
      </c>
      <c r="F155" s="1">
        <v>153.66751873956957</v>
      </c>
      <c r="G155" s="1">
        <v>91.667518739569559</v>
      </c>
      <c r="H155" s="1">
        <v>62</v>
      </c>
      <c r="I155" s="1">
        <f t="shared" si="14"/>
        <v>318713</v>
      </c>
      <c r="J155" s="1">
        <f t="shared" si="15"/>
        <v>620056.18365997961</v>
      </c>
      <c r="K155" s="1">
        <f t="shared" si="16"/>
        <v>301343.18365997972</v>
      </c>
      <c r="L155" s="5">
        <f t="shared" si="17"/>
        <v>4642</v>
      </c>
    </row>
    <row r="156" spans="1:12" x14ac:dyDescent="0.25">
      <c r="A156" s="3">
        <v>41368</v>
      </c>
      <c r="B156" s="1">
        <f t="shared" si="12"/>
        <v>510</v>
      </c>
      <c r="C156" s="1">
        <v>1055.8213944974159</v>
      </c>
      <c r="D156" s="1">
        <f t="shared" si="13"/>
        <v>545.82139449741601</v>
      </c>
      <c r="E156" s="2">
        <v>15</v>
      </c>
      <c r="F156" s="1">
        <v>70.388092966494398</v>
      </c>
      <c r="G156" s="1">
        <v>36.388092966494398</v>
      </c>
      <c r="H156" s="1">
        <v>34</v>
      </c>
      <c r="I156" s="1">
        <f t="shared" si="14"/>
        <v>319223</v>
      </c>
      <c r="J156" s="1">
        <f t="shared" si="15"/>
        <v>621112.00505447702</v>
      </c>
      <c r="K156" s="1">
        <f t="shared" si="16"/>
        <v>301889.00505447714</v>
      </c>
      <c r="L156" s="5">
        <f t="shared" si="17"/>
        <v>4657</v>
      </c>
    </row>
    <row r="157" spans="1:12" x14ac:dyDescent="0.25">
      <c r="A157" s="3">
        <v>41384</v>
      </c>
      <c r="B157" s="1">
        <f t="shared" si="12"/>
        <v>3290</v>
      </c>
      <c r="C157" s="1">
        <v>5649.0650113708825</v>
      </c>
      <c r="D157" s="1">
        <f t="shared" si="13"/>
        <v>2359.0650113708816</v>
      </c>
      <c r="E157" s="2">
        <v>35</v>
      </c>
      <c r="F157" s="1">
        <v>161.40185746773949</v>
      </c>
      <c r="G157" s="1">
        <v>67.401857467739475</v>
      </c>
      <c r="H157" s="1">
        <v>94</v>
      </c>
      <c r="I157" s="1">
        <f t="shared" si="14"/>
        <v>322513</v>
      </c>
      <c r="J157" s="1">
        <f t="shared" si="15"/>
        <v>626761.07006584795</v>
      </c>
      <c r="K157" s="1">
        <f t="shared" si="16"/>
        <v>304248.07006584801</v>
      </c>
      <c r="L157" s="5">
        <f t="shared" si="17"/>
        <v>4692</v>
      </c>
    </row>
    <row r="158" spans="1:12" x14ac:dyDescent="0.25">
      <c r="A158" s="3">
        <v>41391</v>
      </c>
      <c r="B158" s="1">
        <f t="shared" si="12"/>
        <v>2067</v>
      </c>
      <c r="C158" s="1">
        <v>4775.9446524334553</v>
      </c>
      <c r="D158" s="1">
        <f t="shared" si="13"/>
        <v>2708.9446524334553</v>
      </c>
      <c r="E158" s="2">
        <v>39</v>
      </c>
      <c r="F158" s="1">
        <v>122.46011929316552</v>
      </c>
      <c r="G158" s="1">
        <v>69.460119293165519</v>
      </c>
      <c r="H158" s="1">
        <v>53</v>
      </c>
      <c r="I158" s="1">
        <f t="shared" si="14"/>
        <v>324580</v>
      </c>
      <c r="J158" s="1">
        <f t="shared" si="15"/>
        <v>631537.01471828145</v>
      </c>
      <c r="K158" s="1">
        <f t="shared" si="16"/>
        <v>306957.01471828145</v>
      </c>
      <c r="L158" s="5">
        <f t="shared" si="17"/>
        <v>4731</v>
      </c>
    </row>
    <row r="159" spans="1:12" x14ac:dyDescent="0.25">
      <c r="A159" s="3">
        <v>41397</v>
      </c>
      <c r="B159" s="1">
        <f t="shared" si="12"/>
        <v>2091</v>
      </c>
      <c r="C159" s="1">
        <v>4020.3727358279207</v>
      </c>
      <c r="D159" s="1">
        <f t="shared" si="13"/>
        <v>1929.3727358279207</v>
      </c>
      <c r="E159" s="2">
        <v>41</v>
      </c>
      <c r="F159" s="1">
        <v>98.057871605559043</v>
      </c>
      <c r="G159" s="1">
        <v>47.057871605559043</v>
      </c>
      <c r="H159" s="1">
        <v>51</v>
      </c>
      <c r="I159" s="1">
        <f t="shared" si="14"/>
        <v>326671</v>
      </c>
      <c r="J159" s="1">
        <f t="shared" si="15"/>
        <v>635557.38745410938</v>
      </c>
      <c r="K159" s="1">
        <f t="shared" si="16"/>
        <v>308886.38745410938</v>
      </c>
      <c r="L159" s="5">
        <f t="shared" si="17"/>
        <v>4772</v>
      </c>
    </row>
    <row r="160" spans="1:12" x14ac:dyDescent="0.25">
      <c r="A160" s="3">
        <v>41402</v>
      </c>
      <c r="B160" s="1">
        <f t="shared" si="12"/>
        <v>4720</v>
      </c>
      <c r="C160" s="1">
        <v>9224.22995646872</v>
      </c>
      <c r="D160" s="1">
        <f t="shared" si="13"/>
        <v>4504.22995646872</v>
      </c>
      <c r="E160" s="2">
        <v>59</v>
      </c>
      <c r="F160" s="1">
        <v>156.3428806181139</v>
      </c>
      <c r="G160" s="1">
        <v>76.342880618113895</v>
      </c>
      <c r="H160" s="1">
        <v>80</v>
      </c>
      <c r="I160" s="1">
        <f t="shared" si="14"/>
        <v>331391</v>
      </c>
      <c r="J160" s="1">
        <f t="shared" si="15"/>
        <v>644781.61741057807</v>
      </c>
      <c r="K160" s="1">
        <f t="shared" si="16"/>
        <v>313390.61741057812</v>
      </c>
      <c r="L160" s="5">
        <f t="shared" si="17"/>
        <v>4831</v>
      </c>
    </row>
    <row r="161" spans="1:12" x14ac:dyDescent="0.25">
      <c r="A161" s="3">
        <v>41406</v>
      </c>
      <c r="B161" s="1">
        <f t="shared" si="12"/>
        <v>833</v>
      </c>
      <c r="C161" s="1">
        <v>1409.1210334127341</v>
      </c>
      <c r="D161" s="1">
        <f t="shared" si="13"/>
        <v>576.12103341273405</v>
      </c>
      <c r="E161" s="2">
        <v>17</v>
      </c>
      <c r="F161" s="1">
        <v>82.88947255369024</v>
      </c>
      <c r="G161" s="1">
        <v>33.88947255369024</v>
      </c>
      <c r="H161" s="1">
        <v>49</v>
      </c>
      <c r="I161" s="1">
        <f t="shared" si="14"/>
        <v>332224</v>
      </c>
      <c r="J161" s="1">
        <f t="shared" si="15"/>
        <v>646190.73844399082</v>
      </c>
      <c r="K161" s="1">
        <f t="shared" si="16"/>
        <v>313966.73844399088</v>
      </c>
      <c r="L161" s="5">
        <f t="shared" si="17"/>
        <v>4848</v>
      </c>
    </row>
    <row r="162" spans="1:12" x14ac:dyDescent="0.25">
      <c r="A162" s="3">
        <v>41415</v>
      </c>
      <c r="B162" s="1">
        <f t="shared" si="12"/>
        <v>2464</v>
      </c>
      <c r="C162" s="1">
        <v>5399.3142871177206</v>
      </c>
      <c r="D162" s="1">
        <f t="shared" si="13"/>
        <v>2935.3142871177206</v>
      </c>
      <c r="E162" s="2">
        <v>32</v>
      </c>
      <c r="F162" s="1">
        <v>168.72857147242877</v>
      </c>
      <c r="G162" s="1">
        <v>91.728571472428769</v>
      </c>
      <c r="H162" s="1">
        <v>77</v>
      </c>
      <c r="I162" s="1">
        <f t="shared" si="14"/>
        <v>334688</v>
      </c>
      <c r="J162" s="1">
        <f t="shared" si="15"/>
        <v>651590.0527311085</v>
      </c>
      <c r="K162" s="1">
        <f t="shared" si="16"/>
        <v>316902.05273110862</v>
      </c>
      <c r="L162" s="5">
        <f t="shared" si="17"/>
        <v>4880</v>
      </c>
    </row>
    <row r="163" spans="1:12" x14ac:dyDescent="0.25">
      <c r="A163" s="3">
        <v>41432</v>
      </c>
      <c r="B163" s="1">
        <f t="shared" si="12"/>
        <v>98</v>
      </c>
      <c r="C163" s="1">
        <v>206.42070427201102</v>
      </c>
      <c r="D163" s="1">
        <f t="shared" si="13"/>
        <v>108.42070427201102</v>
      </c>
      <c r="E163" s="2">
        <v>2</v>
      </c>
      <c r="F163" s="1">
        <v>103.21035213600551</v>
      </c>
      <c r="G163" s="1">
        <v>54.210352136005511</v>
      </c>
      <c r="H163" s="1">
        <v>49</v>
      </c>
      <c r="I163" s="1">
        <f t="shared" si="14"/>
        <v>334786</v>
      </c>
      <c r="J163" s="1">
        <f t="shared" si="15"/>
        <v>651796.4734353805</v>
      </c>
      <c r="K163" s="1">
        <f t="shared" si="16"/>
        <v>317010.47343538061</v>
      </c>
      <c r="L163" s="5">
        <f t="shared" si="17"/>
        <v>4882</v>
      </c>
    </row>
    <row r="164" spans="1:12" x14ac:dyDescent="0.25">
      <c r="A164" s="3">
        <v>41436</v>
      </c>
      <c r="B164" s="1">
        <f t="shared" si="12"/>
        <v>459</v>
      </c>
      <c r="C164" s="1">
        <v>821.44679362768295</v>
      </c>
      <c r="D164" s="1">
        <f t="shared" si="13"/>
        <v>362.44679362768295</v>
      </c>
      <c r="E164" s="2">
        <v>17</v>
      </c>
      <c r="F164" s="1">
        <v>48.320399625157819</v>
      </c>
      <c r="G164" s="1">
        <v>21.320399625157819</v>
      </c>
      <c r="H164" s="1">
        <v>27</v>
      </c>
      <c r="I164" s="1">
        <f t="shared" si="14"/>
        <v>335245</v>
      </c>
      <c r="J164" s="1">
        <f t="shared" si="15"/>
        <v>652617.92022900819</v>
      </c>
      <c r="K164" s="1">
        <f t="shared" si="16"/>
        <v>317372.9202290083</v>
      </c>
      <c r="L164" s="5">
        <f t="shared" si="17"/>
        <v>4899</v>
      </c>
    </row>
    <row r="165" spans="1:12" x14ac:dyDescent="0.25">
      <c r="A165" s="3">
        <v>41438</v>
      </c>
      <c r="B165" s="1">
        <f t="shared" si="12"/>
        <v>924</v>
      </c>
      <c r="C165" s="1">
        <v>1633.6014952389096</v>
      </c>
      <c r="D165" s="1">
        <f t="shared" si="13"/>
        <v>709.60149523890959</v>
      </c>
      <c r="E165" s="2">
        <v>14</v>
      </c>
      <c r="F165" s="1">
        <v>116.68582108849354</v>
      </c>
      <c r="G165" s="1">
        <v>50.68582108849354</v>
      </c>
      <c r="H165" s="1">
        <v>66</v>
      </c>
      <c r="I165" s="1">
        <f t="shared" si="14"/>
        <v>336169</v>
      </c>
      <c r="J165" s="1">
        <f t="shared" si="15"/>
        <v>654251.52172424714</v>
      </c>
      <c r="K165" s="1">
        <f t="shared" si="16"/>
        <v>318082.5217242472</v>
      </c>
      <c r="L165" s="5">
        <f t="shared" si="17"/>
        <v>4913</v>
      </c>
    </row>
    <row r="166" spans="1:12" x14ac:dyDescent="0.25">
      <c r="A166" s="3">
        <v>41448</v>
      </c>
      <c r="B166" s="1">
        <f t="shared" si="12"/>
        <v>4544</v>
      </c>
      <c r="C166" s="1">
        <v>7738.9008456158062</v>
      </c>
      <c r="D166" s="1">
        <f t="shared" si="13"/>
        <v>3194.9008456158062</v>
      </c>
      <c r="E166" s="2">
        <v>64</v>
      </c>
      <c r="F166" s="1">
        <v>120.92032571274697</v>
      </c>
      <c r="G166" s="1">
        <v>49.920325712746973</v>
      </c>
      <c r="H166" s="1">
        <v>71</v>
      </c>
      <c r="I166" s="1">
        <f t="shared" si="14"/>
        <v>340713</v>
      </c>
      <c r="J166" s="1">
        <f t="shared" si="15"/>
        <v>661990.42256986292</v>
      </c>
      <c r="K166" s="1">
        <f t="shared" si="16"/>
        <v>321277.42256986303</v>
      </c>
      <c r="L166" s="5">
        <f t="shared" si="17"/>
        <v>4977</v>
      </c>
    </row>
    <row r="167" spans="1:12" x14ac:dyDescent="0.25">
      <c r="A167" s="3">
        <v>41449</v>
      </c>
      <c r="B167" s="1">
        <f t="shared" si="12"/>
        <v>336</v>
      </c>
      <c r="C167" s="1">
        <v>727.93266824892726</v>
      </c>
      <c r="D167" s="1">
        <f t="shared" si="13"/>
        <v>391.93266824892726</v>
      </c>
      <c r="E167" s="2">
        <v>7</v>
      </c>
      <c r="F167" s="1">
        <v>103.99038117841818</v>
      </c>
      <c r="G167" s="1">
        <v>55.990381178418176</v>
      </c>
      <c r="H167" s="1">
        <v>48</v>
      </c>
      <c r="I167" s="1">
        <f t="shared" si="14"/>
        <v>341049</v>
      </c>
      <c r="J167" s="1">
        <f t="shared" si="15"/>
        <v>662718.35523811181</v>
      </c>
      <c r="K167" s="1">
        <f t="shared" si="16"/>
        <v>321669.35523811198</v>
      </c>
      <c r="L167" s="5">
        <f t="shared" si="17"/>
        <v>4984</v>
      </c>
    </row>
    <row r="168" spans="1:12" x14ac:dyDescent="0.25">
      <c r="A168" s="3">
        <v>41451</v>
      </c>
      <c r="B168" s="1">
        <f t="shared" si="12"/>
        <v>549</v>
      </c>
      <c r="C168" s="1">
        <v>993.05183295971665</v>
      </c>
      <c r="D168" s="1">
        <f t="shared" si="13"/>
        <v>444.05183295971659</v>
      </c>
      <c r="E168" s="2">
        <v>9</v>
      </c>
      <c r="F168" s="1">
        <v>110.33909255107963</v>
      </c>
      <c r="G168" s="1">
        <v>49.339092551079624</v>
      </c>
      <c r="H168" s="1">
        <v>61</v>
      </c>
      <c r="I168" s="1">
        <f t="shared" si="14"/>
        <v>341598</v>
      </c>
      <c r="J168" s="1">
        <f t="shared" si="15"/>
        <v>663711.40707107156</v>
      </c>
      <c r="K168" s="1">
        <f t="shared" si="16"/>
        <v>322113.40707107168</v>
      </c>
      <c r="L168" s="5">
        <f t="shared" si="17"/>
        <v>4993</v>
      </c>
    </row>
    <row r="169" spans="1:12" x14ac:dyDescent="0.25">
      <c r="A169" s="3">
        <v>41472</v>
      </c>
      <c r="B169" s="1">
        <f t="shared" si="12"/>
        <v>663</v>
      </c>
      <c r="C169" s="1">
        <v>1267.5386515175912</v>
      </c>
      <c r="D169" s="1">
        <f t="shared" si="13"/>
        <v>604.53865151759135</v>
      </c>
      <c r="E169" s="2">
        <v>13</v>
      </c>
      <c r="F169" s="1">
        <v>97.502973193660864</v>
      </c>
      <c r="G169" s="1">
        <v>46.502973193660871</v>
      </c>
      <c r="H169" s="1">
        <v>51</v>
      </c>
      <c r="I169" s="1">
        <f t="shared" si="14"/>
        <v>342261</v>
      </c>
      <c r="J169" s="1">
        <f t="shared" si="15"/>
        <v>664978.94572258915</v>
      </c>
      <c r="K169" s="1">
        <f t="shared" si="16"/>
        <v>322717.94572258927</v>
      </c>
      <c r="L169" s="5">
        <f t="shared" si="17"/>
        <v>5006</v>
      </c>
    </row>
    <row r="170" spans="1:12" x14ac:dyDescent="0.25">
      <c r="A170" s="3">
        <v>41485</v>
      </c>
      <c r="B170" s="1">
        <f t="shared" si="12"/>
        <v>348</v>
      </c>
      <c r="C170" s="1">
        <v>887.175532830169</v>
      </c>
      <c r="D170" s="1">
        <f t="shared" si="13"/>
        <v>539.17553283016912</v>
      </c>
      <c r="E170" s="2">
        <v>6</v>
      </c>
      <c r="F170" s="1">
        <v>147.86258880502817</v>
      </c>
      <c r="G170" s="1">
        <v>89.862588805028182</v>
      </c>
      <c r="H170" s="1">
        <v>58</v>
      </c>
      <c r="I170" s="1">
        <f t="shared" si="14"/>
        <v>342609</v>
      </c>
      <c r="J170" s="1">
        <f t="shared" si="15"/>
        <v>665866.12125541933</v>
      </c>
      <c r="K170" s="1">
        <f t="shared" si="16"/>
        <v>323257.12125541945</v>
      </c>
      <c r="L170" s="5">
        <f t="shared" si="17"/>
        <v>5012</v>
      </c>
    </row>
    <row r="171" spans="1:12" x14ac:dyDescent="0.25">
      <c r="A171" s="3">
        <v>41489</v>
      </c>
      <c r="B171" s="1">
        <f t="shared" si="12"/>
        <v>1760</v>
      </c>
      <c r="C171" s="1">
        <v>3567.6727337927691</v>
      </c>
      <c r="D171" s="1">
        <f t="shared" si="13"/>
        <v>1807.6727337927693</v>
      </c>
      <c r="E171" s="2">
        <v>22</v>
      </c>
      <c r="F171" s="1">
        <v>162.16694244512587</v>
      </c>
      <c r="G171" s="1">
        <v>82.166942445125883</v>
      </c>
      <c r="H171" s="1">
        <v>80</v>
      </c>
      <c r="I171" s="1">
        <f t="shared" si="14"/>
        <v>344369</v>
      </c>
      <c r="J171" s="1">
        <f t="shared" si="15"/>
        <v>669433.79398921214</v>
      </c>
      <c r="K171" s="1">
        <f t="shared" si="16"/>
        <v>325064.79398921219</v>
      </c>
      <c r="L171" s="5">
        <f t="shared" si="17"/>
        <v>5034</v>
      </c>
    </row>
    <row r="172" spans="1:12" x14ac:dyDescent="0.25">
      <c r="A172" s="3">
        <v>41499</v>
      </c>
      <c r="B172" s="1">
        <f t="shared" si="12"/>
        <v>8125</v>
      </c>
      <c r="C172" s="1">
        <v>13574.489785741507</v>
      </c>
      <c r="D172" s="1">
        <f t="shared" si="13"/>
        <v>5449.4897857415062</v>
      </c>
      <c r="E172" s="2">
        <v>65</v>
      </c>
      <c r="F172" s="1">
        <v>208.83830439602318</v>
      </c>
      <c r="G172" s="1">
        <v>83.838304396023176</v>
      </c>
      <c r="H172" s="1">
        <v>125</v>
      </c>
      <c r="I172" s="1">
        <f t="shared" si="14"/>
        <v>352494</v>
      </c>
      <c r="J172" s="1">
        <f t="shared" si="15"/>
        <v>683008.28377495368</v>
      </c>
      <c r="K172" s="1">
        <f t="shared" si="16"/>
        <v>330514.28377495368</v>
      </c>
      <c r="L172" s="5">
        <f t="shared" si="17"/>
        <v>5099</v>
      </c>
    </row>
    <row r="173" spans="1:12" x14ac:dyDescent="0.25">
      <c r="A173" s="3">
        <v>41535</v>
      </c>
      <c r="B173" s="1">
        <f t="shared" si="12"/>
        <v>189</v>
      </c>
      <c r="C173" s="1">
        <v>526.59928801193723</v>
      </c>
      <c r="D173" s="1">
        <f t="shared" si="13"/>
        <v>337.59928801193718</v>
      </c>
      <c r="E173" s="2">
        <v>7</v>
      </c>
      <c r="F173" s="1">
        <v>75.228469715991025</v>
      </c>
      <c r="G173" s="1">
        <v>48.228469715991025</v>
      </c>
      <c r="H173" s="1">
        <v>27</v>
      </c>
      <c r="I173" s="1">
        <f t="shared" si="14"/>
        <v>352683</v>
      </c>
      <c r="J173" s="1">
        <f t="shared" si="15"/>
        <v>683534.88306296559</v>
      </c>
      <c r="K173" s="1">
        <f t="shared" si="16"/>
        <v>330851.88306296564</v>
      </c>
      <c r="L173" s="5">
        <f t="shared" si="17"/>
        <v>5106</v>
      </c>
    </row>
    <row r="174" spans="1:12" x14ac:dyDescent="0.25">
      <c r="A174" s="3">
        <v>41539</v>
      </c>
      <c r="B174" s="1">
        <f t="shared" si="12"/>
        <v>2880</v>
      </c>
      <c r="C174" s="1">
        <v>8253.6309269013291</v>
      </c>
      <c r="D174" s="1">
        <f t="shared" si="13"/>
        <v>5373.63092690133</v>
      </c>
      <c r="E174" s="2">
        <v>120</v>
      </c>
      <c r="F174" s="1">
        <v>68.780257724177744</v>
      </c>
      <c r="G174" s="1">
        <v>44.780257724177751</v>
      </c>
      <c r="H174" s="1">
        <v>24</v>
      </c>
      <c r="I174" s="1">
        <f t="shared" si="14"/>
        <v>355563</v>
      </c>
      <c r="J174" s="1">
        <f t="shared" si="15"/>
        <v>691788.51398986694</v>
      </c>
      <c r="K174" s="1">
        <f t="shared" si="16"/>
        <v>336225.513989867</v>
      </c>
      <c r="L174" s="5">
        <f t="shared" si="17"/>
        <v>5226</v>
      </c>
    </row>
    <row r="175" spans="1:12" x14ac:dyDescent="0.25">
      <c r="A175" s="3">
        <v>41548</v>
      </c>
      <c r="B175" s="1">
        <f t="shared" si="12"/>
        <v>175</v>
      </c>
      <c r="C175" s="1">
        <v>421.13175030135858</v>
      </c>
      <c r="D175" s="1">
        <f t="shared" si="13"/>
        <v>246.13175030135858</v>
      </c>
      <c r="E175" s="2">
        <v>5</v>
      </c>
      <c r="F175" s="1">
        <v>84.226350060271713</v>
      </c>
      <c r="G175" s="1">
        <v>49.226350060271713</v>
      </c>
      <c r="H175" s="1">
        <v>35</v>
      </c>
      <c r="I175" s="1">
        <f t="shared" si="14"/>
        <v>355738</v>
      </c>
      <c r="J175" s="1">
        <f t="shared" si="15"/>
        <v>692209.64574016829</v>
      </c>
      <c r="K175" s="1">
        <f t="shared" si="16"/>
        <v>336471.64574016834</v>
      </c>
      <c r="L175" s="5">
        <f t="shared" si="17"/>
        <v>5231</v>
      </c>
    </row>
    <row r="176" spans="1:12" x14ac:dyDescent="0.25">
      <c r="A176" s="3">
        <v>41552</v>
      </c>
      <c r="B176" s="1">
        <f t="shared" si="12"/>
        <v>2850</v>
      </c>
      <c r="C176" s="1">
        <v>4951.2883881218731</v>
      </c>
      <c r="D176" s="1">
        <f t="shared" si="13"/>
        <v>2101.2883881218727</v>
      </c>
      <c r="E176" s="2">
        <v>57</v>
      </c>
      <c r="F176" s="1">
        <v>86.864708563541626</v>
      </c>
      <c r="G176" s="1">
        <v>36.864708563541626</v>
      </c>
      <c r="H176" s="1">
        <v>50</v>
      </c>
      <c r="I176" s="1">
        <f t="shared" si="14"/>
        <v>358588</v>
      </c>
      <c r="J176" s="1">
        <f t="shared" si="15"/>
        <v>697160.93412829016</v>
      </c>
      <c r="K176" s="1">
        <f t="shared" si="16"/>
        <v>338572.93412829022</v>
      </c>
      <c r="L176" s="5">
        <f t="shared" si="17"/>
        <v>5288</v>
      </c>
    </row>
    <row r="177" spans="1:12" x14ac:dyDescent="0.25">
      <c r="A177" s="3">
        <v>41556</v>
      </c>
      <c r="B177" s="1">
        <f t="shared" si="12"/>
        <v>418</v>
      </c>
      <c r="C177" s="1">
        <v>1160.1656380677248</v>
      </c>
      <c r="D177" s="1">
        <f t="shared" si="13"/>
        <v>742.1656380677249</v>
      </c>
      <c r="E177" s="2">
        <v>11</v>
      </c>
      <c r="F177" s="1">
        <v>105.46960346070226</v>
      </c>
      <c r="G177" s="1">
        <v>67.46960346070226</v>
      </c>
      <c r="H177" s="1">
        <v>38</v>
      </c>
      <c r="I177" s="1">
        <f t="shared" si="14"/>
        <v>359006</v>
      </c>
      <c r="J177" s="1">
        <f t="shared" si="15"/>
        <v>698321.09976635792</v>
      </c>
      <c r="K177" s="1">
        <f t="shared" si="16"/>
        <v>339315.09976635792</v>
      </c>
      <c r="L177" s="5">
        <f t="shared" si="17"/>
        <v>5299</v>
      </c>
    </row>
    <row r="178" spans="1:12" x14ac:dyDescent="0.25">
      <c r="A178" s="3">
        <v>41563</v>
      </c>
      <c r="B178" s="1">
        <f t="shared" si="12"/>
        <v>4669</v>
      </c>
      <c r="C178" s="1">
        <v>9110.5976892723447</v>
      </c>
      <c r="D178" s="1">
        <f t="shared" si="13"/>
        <v>4441.5976892723438</v>
      </c>
      <c r="E178" s="2">
        <v>29</v>
      </c>
      <c r="F178" s="1">
        <v>314.15854100939117</v>
      </c>
      <c r="G178" s="1">
        <v>153.15854100939117</v>
      </c>
      <c r="H178" s="1">
        <v>161</v>
      </c>
      <c r="I178" s="1">
        <f t="shared" si="14"/>
        <v>363675</v>
      </c>
      <c r="J178" s="1">
        <f t="shared" si="15"/>
        <v>707431.69745563029</v>
      </c>
      <c r="K178" s="1">
        <f t="shared" si="16"/>
        <v>343756.69745563029</v>
      </c>
      <c r="L178" s="5">
        <f t="shared" si="17"/>
        <v>5328</v>
      </c>
    </row>
    <row r="179" spans="1:12" x14ac:dyDescent="0.25">
      <c r="A179" s="3">
        <v>41564</v>
      </c>
      <c r="B179" s="1">
        <f t="shared" si="12"/>
        <v>3600</v>
      </c>
      <c r="C179" s="1">
        <v>10030.42851753041</v>
      </c>
      <c r="D179" s="1">
        <f t="shared" si="13"/>
        <v>6430.4285175304103</v>
      </c>
      <c r="E179" s="2">
        <v>80</v>
      </c>
      <c r="F179" s="1">
        <v>125.38035646913013</v>
      </c>
      <c r="G179" s="1">
        <v>80.380356469130135</v>
      </c>
      <c r="H179" s="1">
        <v>45</v>
      </c>
      <c r="I179" s="1">
        <f t="shared" si="14"/>
        <v>367275</v>
      </c>
      <c r="J179" s="1">
        <f t="shared" si="15"/>
        <v>717462.12597316073</v>
      </c>
      <c r="K179" s="1">
        <f t="shared" si="16"/>
        <v>350187.12597316073</v>
      </c>
      <c r="L179" s="5">
        <f t="shared" si="17"/>
        <v>5408</v>
      </c>
    </row>
    <row r="180" spans="1:12" x14ac:dyDescent="0.25">
      <c r="A180" s="3">
        <v>41574</v>
      </c>
      <c r="B180" s="1">
        <f t="shared" si="12"/>
        <v>2703</v>
      </c>
      <c r="C180" s="1">
        <v>5112.925784779166</v>
      </c>
      <c r="D180" s="1">
        <f t="shared" si="13"/>
        <v>2409.9257847791664</v>
      </c>
      <c r="E180" s="2">
        <v>53</v>
      </c>
      <c r="F180" s="1">
        <v>96.470297826022005</v>
      </c>
      <c r="G180" s="1">
        <v>45.470297826022005</v>
      </c>
      <c r="H180" s="1">
        <v>51</v>
      </c>
      <c r="I180" s="1">
        <f t="shared" si="14"/>
        <v>369978</v>
      </c>
      <c r="J180" s="1">
        <f t="shared" si="15"/>
        <v>722575.05175793986</v>
      </c>
      <c r="K180" s="1">
        <f t="shared" si="16"/>
        <v>352597.05175793992</v>
      </c>
      <c r="L180" s="5">
        <f t="shared" si="17"/>
        <v>5461</v>
      </c>
    </row>
    <row r="181" spans="1:12" x14ac:dyDescent="0.25">
      <c r="A181" s="3">
        <v>41580</v>
      </c>
      <c r="B181" s="1">
        <f t="shared" si="12"/>
        <v>80</v>
      </c>
      <c r="C181" s="1">
        <v>202.70872236556107</v>
      </c>
      <c r="D181" s="1">
        <f t="shared" si="13"/>
        <v>122.70872236556106</v>
      </c>
      <c r="E181" s="2">
        <v>4</v>
      </c>
      <c r="F181" s="1">
        <v>50.677180591390268</v>
      </c>
      <c r="G181" s="1">
        <v>30.677180591390265</v>
      </c>
      <c r="H181" s="1">
        <v>20</v>
      </c>
      <c r="I181" s="1">
        <f t="shared" si="14"/>
        <v>370058</v>
      </c>
      <c r="J181" s="1">
        <f t="shared" si="15"/>
        <v>722777.76048030541</v>
      </c>
      <c r="K181" s="1">
        <f t="shared" si="16"/>
        <v>352719.76048030547</v>
      </c>
      <c r="L181" s="5">
        <f t="shared" si="17"/>
        <v>5465</v>
      </c>
    </row>
    <row r="182" spans="1:12" x14ac:dyDescent="0.25">
      <c r="A182" s="3">
        <v>41583</v>
      </c>
      <c r="B182" s="1">
        <f t="shared" si="12"/>
        <v>3634</v>
      </c>
      <c r="C182" s="1">
        <v>6121.4239211922595</v>
      </c>
      <c r="D182" s="1">
        <f t="shared" si="13"/>
        <v>2487.4239211922595</v>
      </c>
      <c r="E182" s="2">
        <v>23</v>
      </c>
      <c r="F182" s="1">
        <v>266.14886613879389</v>
      </c>
      <c r="G182" s="1">
        <v>108.14886613879389</v>
      </c>
      <c r="H182" s="1">
        <v>158</v>
      </c>
      <c r="I182" s="1">
        <f t="shared" si="14"/>
        <v>373692</v>
      </c>
      <c r="J182" s="1">
        <f t="shared" si="15"/>
        <v>728899.18440149771</v>
      </c>
      <c r="K182" s="1">
        <f t="shared" si="16"/>
        <v>355207.18440149771</v>
      </c>
      <c r="L182" s="5">
        <f t="shared" si="17"/>
        <v>5488</v>
      </c>
    </row>
    <row r="183" spans="1:12" x14ac:dyDescent="0.25">
      <c r="A183" s="3">
        <v>41587</v>
      </c>
      <c r="B183" s="1">
        <f t="shared" si="12"/>
        <v>1820</v>
      </c>
      <c r="C183" s="1">
        <v>3467.7310399336766</v>
      </c>
      <c r="D183" s="1">
        <f t="shared" si="13"/>
        <v>1647.7310399336768</v>
      </c>
      <c r="E183" s="2">
        <v>14</v>
      </c>
      <c r="F183" s="1">
        <v>247.69507428097691</v>
      </c>
      <c r="G183" s="1">
        <v>117.69507428097691</v>
      </c>
      <c r="H183" s="1">
        <v>130</v>
      </c>
      <c r="I183" s="1">
        <f t="shared" si="14"/>
        <v>375512</v>
      </c>
      <c r="J183" s="1">
        <f t="shared" si="15"/>
        <v>732366.91544143134</v>
      </c>
      <c r="K183" s="1">
        <f t="shared" si="16"/>
        <v>356854.9154414314</v>
      </c>
      <c r="L183" s="5">
        <f t="shared" si="17"/>
        <v>5502</v>
      </c>
    </row>
    <row r="184" spans="1:12" x14ac:dyDescent="0.25">
      <c r="A184" s="3">
        <v>41589</v>
      </c>
      <c r="B184" s="1">
        <f t="shared" si="12"/>
        <v>480</v>
      </c>
      <c r="C184" s="1">
        <v>1140.2350348468988</v>
      </c>
      <c r="D184" s="1">
        <f t="shared" si="13"/>
        <v>660.23503484689877</v>
      </c>
      <c r="E184" s="2">
        <v>8</v>
      </c>
      <c r="F184" s="1">
        <v>142.52937935586235</v>
      </c>
      <c r="G184" s="1">
        <v>82.529379355862346</v>
      </c>
      <c r="H184" s="1">
        <v>60</v>
      </c>
      <c r="I184" s="1">
        <f t="shared" si="14"/>
        <v>375992</v>
      </c>
      <c r="J184" s="1">
        <f t="shared" si="15"/>
        <v>733507.15047627827</v>
      </c>
      <c r="K184" s="1">
        <f t="shared" si="16"/>
        <v>357515.15047627827</v>
      </c>
      <c r="L184" s="5">
        <f t="shared" si="17"/>
        <v>5510</v>
      </c>
    </row>
    <row r="185" spans="1:12" x14ac:dyDescent="0.25">
      <c r="A185" s="3">
        <v>41609</v>
      </c>
      <c r="B185" s="1">
        <f t="shared" si="12"/>
        <v>518</v>
      </c>
      <c r="C185" s="1">
        <v>1053.7420842967149</v>
      </c>
      <c r="D185" s="1">
        <f t="shared" si="13"/>
        <v>535.74208429671489</v>
      </c>
      <c r="E185" s="2">
        <v>7</v>
      </c>
      <c r="F185" s="1">
        <v>150.53458347095926</v>
      </c>
      <c r="G185" s="1">
        <v>76.534583470959276</v>
      </c>
      <c r="H185" s="1">
        <v>74</v>
      </c>
      <c r="I185" s="1">
        <f t="shared" si="14"/>
        <v>376510</v>
      </c>
      <c r="J185" s="1">
        <f t="shared" si="15"/>
        <v>734560.89256057504</v>
      </c>
      <c r="K185" s="1">
        <f t="shared" si="16"/>
        <v>358050.89256057498</v>
      </c>
      <c r="L185" s="5">
        <f t="shared" si="17"/>
        <v>5517</v>
      </c>
    </row>
    <row r="186" spans="1:12" x14ac:dyDescent="0.25">
      <c r="A186" s="3">
        <v>41618</v>
      </c>
      <c r="B186" s="1">
        <f t="shared" si="12"/>
        <v>2562</v>
      </c>
      <c r="C186" s="1">
        <v>4426.5811789795443</v>
      </c>
      <c r="D186" s="1">
        <f t="shared" si="13"/>
        <v>1864.5811789795441</v>
      </c>
      <c r="E186" s="2">
        <v>21</v>
      </c>
      <c r="F186" s="1">
        <v>210.78957995140686</v>
      </c>
      <c r="G186" s="1">
        <v>88.789579951406864</v>
      </c>
      <c r="H186" s="1">
        <v>122</v>
      </c>
      <c r="I186" s="1">
        <f t="shared" si="14"/>
        <v>379072</v>
      </c>
      <c r="J186" s="1">
        <f t="shared" si="15"/>
        <v>738987.47373955464</v>
      </c>
      <c r="K186" s="1">
        <f t="shared" si="16"/>
        <v>359915.47373955452</v>
      </c>
      <c r="L186" s="5">
        <f t="shared" si="17"/>
        <v>5538</v>
      </c>
    </row>
    <row r="187" spans="1:12" x14ac:dyDescent="0.25">
      <c r="A187" s="3">
        <v>41623</v>
      </c>
      <c r="B187" s="1">
        <f t="shared" si="12"/>
        <v>288</v>
      </c>
      <c r="C187" s="1">
        <v>530.32456391929009</v>
      </c>
      <c r="D187" s="1">
        <f t="shared" si="13"/>
        <v>242.32456391929003</v>
      </c>
      <c r="E187" s="2">
        <v>6</v>
      </c>
      <c r="F187" s="1">
        <v>88.387427319881681</v>
      </c>
      <c r="G187" s="1">
        <v>40.387427319881674</v>
      </c>
      <c r="H187" s="1">
        <v>48</v>
      </c>
      <c r="I187" s="1">
        <f t="shared" si="14"/>
        <v>379360</v>
      </c>
      <c r="J187" s="1">
        <f t="shared" si="15"/>
        <v>739517.79830347397</v>
      </c>
      <c r="K187" s="1">
        <f t="shared" si="16"/>
        <v>360157.7983034738</v>
      </c>
      <c r="L187" s="5">
        <f t="shared" si="17"/>
        <v>5544</v>
      </c>
    </row>
    <row r="188" spans="1:12" x14ac:dyDescent="0.25">
      <c r="A188" s="3">
        <v>41633</v>
      </c>
      <c r="B188" s="1">
        <f t="shared" si="12"/>
        <v>810</v>
      </c>
      <c r="C188" s="1">
        <v>1594.1263084694472</v>
      </c>
      <c r="D188" s="1">
        <f t="shared" si="13"/>
        <v>784.12630846944717</v>
      </c>
      <c r="E188" s="2">
        <v>15</v>
      </c>
      <c r="F188" s="1">
        <v>106.27508723129648</v>
      </c>
      <c r="G188" s="1">
        <v>52.275087231296482</v>
      </c>
      <c r="H188" s="1">
        <v>54</v>
      </c>
      <c r="I188" s="1">
        <f t="shared" si="14"/>
        <v>380170</v>
      </c>
      <c r="J188" s="1">
        <f t="shared" si="15"/>
        <v>741111.92461194342</v>
      </c>
      <c r="K188" s="1">
        <f t="shared" si="16"/>
        <v>360941.92461194325</v>
      </c>
      <c r="L188" s="5">
        <f t="shared" si="17"/>
        <v>5559</v>
      </c>
    </row>
    <row r="189" spans="1:12" x14ac:dyDescent="0.25">
      <c r="A189" s="3">
        <v>41651</v>
      </c>
      <c r="B189" s="1">
        <f t="shared" si="12"/>
        <v>5047</v>
      </c>
      <c r="C189" s="1">
        <v>12203.593799417858</v>
      </c>
      <c r="D189" s="1">
        <f t="shared" si="13"/>
        <v>7156.5937994178585</v>
      </c>
      <c r="E189" s="2">
        <v>103</v>
      </c>
      <c r="F189" s="1">
        <v>118.48149319823163</v>
      </c>
      <c r="G189" s="1">
        <v>69.481493198231632</v>
      </c>
      <c r="H189" s="1">
        <v>49</v>
      </c>
      <c r="I189" s="1">
        <f t="shared" si="14"/>
        <v>385217</v>
      </c>
      <c r="J189" s="1">
        <f t="shared" si="15"/>
        <v>753315.51841136126</v>
      </c>
      <c r="K189" s="1">
        <f t="shared" si="16"/>
        <v>368098.51841136109</v>
      </c>
      <c r="L189" s="5">
        <f t="shared" si="17"/>
        <v>5662</v>
      </c>
    </row>
    <row r="190" spans="1:12" x14ac:dyDescent="0.25">
      <c r="A190" s="3">
        <v>41656</v>
      </c>
      <c r="B190" s="1">
        <f t="shared" si="12"/>
        <v>3450</v>
      </c>
      <c r="C190" s="1">
        <v>8996.6091805985852</v>
      </c>
      <c r="D190" s="1">
        <f t="shared" si="13"/>
        <v>5546.6091805985852</v>
      </c>
      <c r="E190" s="2">
        <v>75</v>
      </c>
      <c r="F190" s="1">
        <v>119.95478907464781</v>
      </c>
      <c r="G190" s="1">
        <v>73.954789074647806</v>
      </c>
      <c r="H190" s="1">
        <v>46</v>
      </c>
      <c r="I190" s="1">
        <f t="shared" si="14"/>
        <v>388667</v>
      </c>
      <c r="J190" s="1">
        <f t="shared" si="15"/>
        <v>762312.1275919599</v>
      </c>
      <c r="K190" s="1">
        <f t="shared" si="16"/>
        <v>373645.12759195967</v>
      </c>
      <c r="L190" s="5">
        <f t="shared" si="17"/>
        <v>5737</v>
      </c>
    </row>
    <row r="191" spans="1:12" x14ac:dyDescent="0.25">
      <c r="A191" s="3">
        <v>41665</v>
      </c>
      <c r="B191" s="1">
        <f t="shared" si="12"/>
        <v>689</v>
      </c>
      <c r="C191" s="1">
        <v>1582.0396460556865</v>
      </c>
      <c r="D191" s="1">
        <f t="shared" si="13"/>
        <v>893.03964605568638</v>
      </c>
      <c r="E191" s="2">
        <v>13</v>
      </c>
      <c r="F191" s="1">
        <v>121.69535738889896</v>
      </c>
      <c r="G191" s="1">
        <v>68.695357388898955</v>
      </c>
      <c r="H191" s="1">
        <v>53</v>
      </c>
      <c r="I191" s="1">
        <f t="shared" si="14"/>
        <v>389356</v>
      </c>
      <c r="J191" s="1">
        <f t="shared" si="15"/>
        <v>763894.16723801557</v>
      </c>
      <c r="K191" s="1">
        <f t="shared" si="16"/>
        <v>374538.16723801533</v>
      </c>
      <c r="L191" s="5">
        <f t="shared" si="17"/>
        <v>5750</v>
      </c>
    </row>
    <row r="192" spans="1:12" x14ac:dyDescent="0.25">
      <c r="A192" s="3">
        <v>41679</v>
      </c>
      <c r="B192" s="1">
        <f t="shared" si="12"/>
        <v>1680</v>
      </c>
      <c r="C192" s="1">
        <v>3287.7560039338791</v>
      </c>
      <c r="D192" s="1">
        <f t="shared" si="13"/>
        <v>1607.7560039338791</v>
      </c>
      <c r="E192" s="2">
        <v>56</v>
      </c>
      <c r="F192" s="1">
        <v>58.709928641676413</v>
      </c>
      <c r="G192" s="1">
        <v>28.709928641676413</v>
      </c>
      <c r="H192" s="1">
        <v>30</v>
      </c>
      <c r="I192" s="1">
        <f t="shared" si="14"/>
        <v>391036</v>
      </c>
      <c r="J192" s="1">
        <f t="shared" si="15"/>
        <v>767181.92324194941</v>
      </c>
      <c r="K192" s="1">
        <f t="shared" si="16"/>
        <v>376145.92324194923</v>
      </c>
      <c r="L192" s="5">
        <f t="shared" si="17"/>
        <v>5806</v>
      </c>
    </row>
    <row r="193" spans="1:12" x14ac:dyDescent="0.25">
      <c r="A193" s="3">
        <v>41680</v>
      </c>
      <c r="B193" s="1">
        <f t="shared" si="12"/>
        <v>4602</v>
      </c>
      <c r="C193" s="1">
        <v>10054.112327627679</v>
      </c>
      <c r="D193" s="1">
        <f t="shared" si="13"/>
        <v>5452.1123276276776</v>
      </c>
      <c r="E193" s="2">
        <v>59</v>
      </c>
      <c r="F193" s="1">
        <v>170.4086835191132</v>
      </c>
      <c r="G193" s="1">
        <v>92.408683519113183</v>
      </c>
      <c r="H193" s="1">
        <v>78</v>
      </c>
      <c r="I193" s="1">
        <f t="shared" si="14"/>
        <v>395638</v>
      </c>
      <c r="J193" s="1">
        <f t="shared" si="15"/>
        <v>777236.03556957713</v>
      </c>
      <c r="K193" s="1">
        <f t="shared" si="16"/>
        <v>381598.0355695769</v>
      </c>
      <c r="L193" s="5">
        <f t="shared" si="17"/>
        <v>5865</v>
      </c>
    </row>
    <row r="194" spans="1:12" x14ac:dyDescent="0.25">
      <c r="A194" s="3">
        <v>41688</v>
      </c>
      <c r="B194" s="1">
        <f t="shared" ref="B194:B257" si="18">+E194*H194</f>
        <v>429</v>
      </c>
      <c r="C194" s="1">
        <v>833.33375287905346</v>
      </c>
      <c r="D194" s="1">
        <f t="shared" ref="D194:D257" si="19">+E194*G194</f>
        <v>404.33375287905358</v>
      </c>
      <c r="E194" s="2">
        <v>13</v>
      </c>
      <c r="F194" s="1">
        <v>64.102596375311805</v>
      </c>
      <c r="G194" s="1">
        <v>31.102596375311812</v>
      </c>
      <c r="H194" s="1">
        <v>33</v>
      </c>
      <c r="I194" s="1">
        <f t="shared" si="14"/>
        <v>396067</v>
      </c>
      <c r="J194" s="1">
        <f t="shared" si="15"/>
        <v>778069.36932245619</v>
      </c>
      <c r="K194" s="1">
        <f t="shared" si="16"/>
        <v>382002.36932245595</v>
      </c>
      <c r="L194" s="5">
        <f t="shared" si="17"/>
        <v>5878</v>
      </c>
    </row>
    <row r="195" spans="1:12" x14ac:dyDescent="0.25">
      <c r="A195" s="3">
        <v>41692</v>
      </c>
      <c r="B195" s="1">
        <f t="shared" si="18"/>
        <v>923</v>
      </c>
      <c r="C195" s="1">
        <v>1705.3344964193382</v>
      </c>
      <c r="D195" s="1">
        <f t="shared" si="19"/>
        <v>782.33449641933794</v>
      </c>
      <c r="E195" s="2">
        <v>13</v>
      </c>
      <c r="F195" s="1">
        <v>131.1795766476414</v>
      </c>
      <c r="G195" s="1">
        <v>60.179576647641383</v>
      </c>
      <c r="H195" s="1">
        <v>71</v>
      </c>
      <c r="I195" s="1">
        <f t="shared" si="14"/>
        <v>396990</v>
      </c>
      <c r="J195" s="1">
        <f t="shared" si="15"/>
        <v>779774.70381887548</v>
      </c>
      <c r="K195" s="1">
        <f t="shared" si="16"/>
        <v>382784.70381887531</v>
      </c>
      <c r="L195" s="5">
        <f t="shared" si="17"/>
        <v>5891</v>
      </c>
    </row>
    <row r="196" spans="1:12" x14ac:dyDescent="0.25">
      <c r="A196" s="3">
        <v>41695</v>
      </c>
      <c r="B196" s="1">
        <f t="shared" si="18"/>
        <v>78</v>
      </c>
      <c r="C196" s="1">
        <v>206.78323120901214</v>
      </c>
      <c r="D196" s="1">
        <f t="shared" si="19"/>
        <v>128.78323120901214</v>
      </c>
      <c r="E196" s="2">
        <v>2</v>
      </c>
      <c r="F196" s="1">
        <v>103.39161560450607</v>
      </c>
      <c r="G196" s="1">
        <v>64.391615604506072</v>
      </c>
      <c r="H196" s="1">
        <v>39</v>
      </c>
      <c r="I196" s="1">
        <f t="shared" ref="I196:I259" si="20">+I195+B196</f>
        <v>397068</v>
      </c>
      <c r="J196" s="1">
        <f t="shared" ref="J196:J259" si="21">+J195+C196</f>
        <v>779981.48705008451</v>
      </c>
      <c r="K196" s="1">
        <f t="shared" ref="K196:K259" si="22">+K195+D196</f>
        <v>382913.48705008434</v>
      </c>
      <c r="L196" s="5">
        <f t="shared" ref="L196:L259" si="23">+L195+E196</f>
        <v>5893</v>
      </c>
    </row>
    <row r="197" spans="1:12" x14ac:dyDescent="0.25">
      <c r="A197" s="3">
        <v>41697</v>
      </c>
      <c r="B197" s="1">
        <f t="shared" si="18"/>
        <v>3835</v>
      </c>
      <c r="C197" s="1">
        <v>7522.2258600668974</v>
      </c>
      <c r="D197" s="1">
        <f t="shared" si="19"/>
        <v>3687.2258600668979</v>
      </c>
      <c r="E197" s="2">
        <v>59</v>
      </c>
      <c r="F197" s="1">
        <v>127.4953535604559</v>
      </c>
      <c r="G197" s="1">
        <v>62.495353560455897</v>
      </c>
      <c r="H197" s="1">
        <v>65</v>
      </c>
      <c r="I197" s="1">
        <f t="shared" si="20"/>
        <v>400903</v>
      </c>
      <c r="J197" s="1">
        <f t="shared" si="21"/>
        <v>787503.71291015146</v>
      </c>
      <c r="K197" s="1">
        <f t="shared" si="22"/>
        <v>386600.71291015123</v>
      </c>
      <c r="L197" s="5">
        <f t="shared" si="23"/>
        <v>5952</v>
      </c>
    </row>
    <row r="198" spans="1:12" x14ac:dyDescent="0.25">
      <c r="A198" s="3">
        <v>41711</v>
      </c>
      <c r="B198" s="1">
        <f t="shared" si="18"/>
        <v>1920</v>
      </c>
      <c r="C198" s="1">
        <v>3662.5936350119882</v>
      </c>
      <c r="D198" s="1">
        <f t="shared" si="19"/>
        <v>1742.5936350119882</v>
      </c>
      <c r="E198" s="2">
        <v>15</v>
      </c>
      <c r="F198" s="1">
        <v>244.17290900079922</v>
      </c>
      <c r="G198" s="1">
        <v>116.17290900079921</v>
      </c>
      <c r="H198" s="1">
        <v>128</v>
      </c>
      <c r="I198" s="1">
        <f t="shared" si="20"/>
        <v>402823</v>
      </c>
      <c r="J198" s="1">
        <f t="shared" si="21"/>
        <v>791166.3065451635</v>
      </c>
      <c r="K198" s="1">
        <f t="shared" si="22"/>
        <v>388343.30654516321</v>
      </c>
      <c r="L198" s="5">
        <f t="shared" si="23"/>
        <v>5967</v>
      </c>
    </row>
    <row r="199" spans="1:12" x14ac:dyDescent="0.25">
      <c r="A199" s="3">
        <v>41711</v>
      </c>
      <c r="B199" s="1">
        <f t="shared" si="18"/>
        <v>1518</v>
      </c>
      <c r="C199" s="1">
        <v>3023.4578848277642</v>
      </c>
      <c r="D199" s="1">
        <f t="shared" si="19"/>
        <v>1505.4578848277645</v>
      </c>
      <c r="E199" s="2">
        <v>23</v>
      </c>
      <c r="F199" s="1">
        <v>131.4546906446854</v>
      </c>
      <c r="G199" s="1">
        <v>65.454690644685414</v>
      </c>
      <c r="H199" s="1">
        <v>66</v>
      </c>
      <c r="I199" s="1">
        <f t="shared" si="20"/>
        <v>404341</v>
      </c>
      <c r="J199" s="1">
        <f t="shared" si="21"/>
        <v>794189.76442999125</v>
      </c>
      <c r="K199" s="1">
        <f t="shared" si="22"/>
        <v>389848.76442999096</v>
      </c>
      <c r="L199" s="5">
        <f t="shared" si="23"/>
        <v>5990</v>
      </c>
    </row>
    <row r="200" spans="1:12" x14ac:dyDescent="0.25">
      <c r="A200" s="3">
        <v>41717</v>
      </c>
      <c r="B200" s="1">
        <f t="shared" si="18"/>
        <v>9936</v>
      </c>
      <c r="C200" s="1">
        <v>22377.89245883936</v>
      </c>
      <c r="D200" s="1">
        <f t="shared" si="19"/>
        <v>12441.892458839358</v>
      </c>
      <c r="E200" s="2">
        <v>184</v>
      </c>
      <c r="F200" s="1">
        <v>121.61898075456173</v>
      </c>
      <c r="G200" s="1">
        <v>67.618980754561733</v>
      </c>
      <c r="H200" s="1">
        <v>54</v>
      </c>
      <c r="I200" s="1">
        <f t="shared" si="20"/>
        <v>414277</v>
      </c>
      <c r="J200" s="1">
        <f t="shared" si="21"/>
        <v>816567.65688883059</v>
      </c>
      <c r="K200" s="1">
        <f t="shared" si="22"/>
        <v>402290.6568888303</v>
      </c>
      <c r="L200" s="5">
        <f t="shared" si="23"/>
        <v>6174</v>
      </c>
    </row>
    <row r="201" spans="1:12" x14ac:dyDescent="0.25">
      <c r="A201" s="3">
        <v>41724</v>
      </c>
      <c r="B201" s="1">
        <f t="shared" si="18"/>
        <v>148</v>
      </c>
      <c r="C201" s="1">
        <v>433.26655361847918</v>
      </c>
      <c r="D201" s="1">
        <f t="shared" si="19"/>
        <v>285.26655361847918</v>
      </c>
      <c r="E201" s="2">
        <v>4</v>
      </c>
      <c r="F201" s="1">
        <v>108.31663840461979</v>
      </c>
      <c r="G201" s="1">
        <v>71.316638404619795</v>
      </c>
      <c r="H201" s="1">
        <v>37</v>
      </c>
      <c r="I201" s="1">
        <f t="shared" si="20"/>
        <v>414425</v>
      </c>
      <c r="J201" s="1">
        <f t="shared" si="21"/>
        <v>817000.92344244907</v>
      </c>
      <c r="K201" s="1">
        <f t="shared" si="22"/>
        <v>402575.92344244878</v>
      </c>
      <c r="L201" s="5">
        <f t="shared" si="23"/>
        <v>6178</v>
      </c>
    </row>
    <row r="202" spans="1:12" x14ac:dyDescent="0.25">
      <c r="A202" s="3">
        <v>41743</v>
      </c>
      <c r="B202" s="1">
        <f t="shared" si="18"/>
        <v>164</v>
      </c>
      <c r="C202" s="1">
        <v>361.94126916518087</v>
      </c>
      <c r="D202" s="1">
        <f t="shared" si="19"/>
        <v>197.94126916518084</v>
      </c>
      <c r="E202" s="2">
        <v>4</v>
      </c>
      <c r="F202" s="1">
        <v>90.485317291295218</v>
      </c>
      <c r="G202" s="1">
        <v>49.48531729129521</v>
      </c>
      <c r="H202" s="1">
        <v>41</v>
      </c>
      <c r="I202" s="1">
        <f t="shared" si="20"/>
        <v>414589</v>
      </c>
      <c r="J202" s="1">
        <f t="shared" si="21"/>
        <v>817362.86471161421</v>
      </c>
      <c r="K202" s="1">
        <f t="shared" si="22"/>
        <v>402773.86471161398</v>
      </c>
      <c r="L202" s="5">
        <f t="shared" si="23"/>
        <v>6182</v>
      </c>
    </row>
    <row r="203" spans="1:12" x14ac:dyDescent="0.25">
      <c r="A203" s="3">
        <v>41746</v>
      </c>
      <c r="B203" s="1">
        <f t="shared" si="18"/>
        <v>7473</v>
      </c>
      <c r="C203" s="1">
        <v>12697.555740437121</v>
      </c>
      <c r="D203" s="1">
        <f t="shared" si="19"/>
        <v>5224.5557404371193</v>
      </c>
      <c r="E203" s="2">
        <v>141</v>
      </c>
      <c r="F203" s="1">
        <v>90.053586811610785</v>
      </c>
      <c r="G203" s="1">
        <v>37.053586811610778</v>
      </c>
      <c r="H203" s="1">
        <v>53</v>
      </c>
      <c r="I203" s="1">
        <f t="shared" si="20"/>
        <v>422062</v>
      </c>
      <c r="J203" s="1">
        <f t="shared" si="21"/>
        <v>830060.42045205133</v>
      </c>
      <c r="K203" s="1">
        <f t="shared" si="22"/>
        <v>407998.4204520511</v>
      </c>
      <c r="L203" s="5">
        <f t="shared" si="23"/>
        <v>6323</v>
      </c>
    </row>
    <row r="204" spans="1:12" x14ac:dyDescent="0.25">
      <c r="A204" s="3">
        <v>41751</v>
      </c>
      <c r="B204" s="1">
        <f t="shared" si="18"/>
        <v>610</v>
      </c>
      <c r="C204" s="1">
        <v>1299.2252770594491</v>
      </c>
      <c r="D204" s="1">
        <f t="shared" si="19"/>
        <v>689.22527705944901</v>
      </c>
      <c r="E204" s="2">
        <v>10</v>
      </c>
      <c r="F204" s="1">
        <v>129.9225277059449</v>
      </c>
      <c r="G204" s="1">
        <v>68.922527705944901</v>
      </c>
      <c r="H204" s="1">
        <v>61</v>
      </c>
      <c r="I204" s="1">
        <f t="shared" si="20"/>
        <v>422672</v>
      </c>
      <c r="J204" s="1">
        <f t="shared" si="21"/>
        <v>831359.64572911081</v>
      </c>
      <c r="K204" s="1">
        <f t="shared" si="22"/>
        <v>408687.64572911052</v>
      </c>
      <c r="L204" s="5">
        <f t="shared" si="23"/>
        <v>6333</v>
      </c>
    </row>
    <row r="205" spans="1:12" x14ac:dyDescent="0.25">
      <c r="A205" s="3">
        <v>41755</v>
      </c>
      <c r="B205" s="1">
        <f t="shared" si="18"/>
        <v>1003</v>
      </c>
      <c r="C205" s="1">
        <v>2091.1930111384509</v>
      </c>
      <c r="D205" s="1">
        <f t="shared" si="19"/>
        <v>1088.1930111384509</v>
      </c>
      <c r="E205" s="2">
        <v>17</v>
      </c>
      <c r="F205" s="1">
        <v>123.01135359637946</v>
      </c>
      <c r="G205" s="1">
        <v>64.011353596379465</v>
      </c>
      <c r="H205" s="1">
        <v>59</v>
      </c>
      <c r="I205" s="1">
        <f t="shared" si="20"/>
        <v>423675</v>
      </c>
      <c r="J205" s="1">
        <f t="shared" si="21"/>
        <v>833450.83874024928</v>
      </c>
      <c r="K205" s="1">
        <f t="shared" si="22"/>
        <v>409775.83874024899</v>
      </c>
      <c r="L205" s="5">
        <f t="shared" si="23"/>
        <v>6350</v>
      </c>
    </row>
    <row r="206" spans="1:12" x14ac:dyDescent="0.25">
      <c r="A206" s="3">
        <v>41755</v>
      </c>
      <c r="B206" s="1">
        <f t="shared" si="18"/>
        <v>930</v>
      </c>
      <c r="C206" s="1">
        <v>2192.3799680411012</v>
      </c>
      <c r="D206" s="1">
        <f t="shared" si="19"/>
        <v>1262.3799680411012</v>
      </c>
      <c r="E206" s="2">
        <v>62</v>
      </c>
      <c r="F206" s="1">
        <v>35.36096722646937</v>
      </c>
      <c r="G206" s="1">
        <v>20.360967226469374</v>
      </c>
      <c r="H206" s="1">
        <v>15</v>
      </c>
      <c r="I206" s="1">
        <f t="shared" si="20"/>
        <v>424605</v>
      </c>
      <c r="J206" s="1">
        <f t="shared" si="21"/>
        <v>835643.21870829037</v>
      </c>
      <c r="K206" s="1">
        <f t="shared" si="22"/>
        <v>411038.21870829008</v>
      </c>
      <c r="L206" s="5">
        <f t="shared" si="23"/>
        <v>6412</v>
      </c>
    </row>
    <row r="207" spans="1:12" x14ac:dyDescent="0.25">
      <c r="A207" s="3">
        <v>41761</v>
      </c>
      <c r="B207" s="1">
        <f t="shared" si="18"/>
        <v>6912</v>
      </c>
      <c r="C207" s="1">
        <v>13525.22631399288</v>
      </c>
      <c r="D207" s="1">
        <f t="shared" si="19"/>
        <v>6613.22631399288</v>
      </c>
      <c r="E207" s="2">
        <v>64</v>
      </c>
      <c r="F207" s="1">
        <v>211.33166115613875</v>
      </c>
      <c r="G207" s="1">
        <v>103.33166115613875</v>
      </c>
      <c r="H207" s="1">
        <v>108</v>
      </c>
      <c r="I207" s="1">
        <f t="shared" si="20"/>
        <v>431517</v>
      </c>
      <c r="J207" s="1">
        <f t="shared" si="21"/>
        <v>849168.44502228324</v>
      </c>
      <c r="K207" s="1">
        <f t="shared" si="22"/>
        <v>417651.44502228295</v>
      </c>
      <c r="L207" s="5">
        <f t="shared" si="23"/>
        <v>6476</v>
      </c>
    </row>
    <row r="208" spans="1:12" x14ac:dyDescent="0.25">
      <c r="A208" s="3">
        <v>41765</v>
      </c>
      <c r="B208" s="1">
        <f t="shared" si="18"/>
        <v>630</v>
      </c>
      <c r="C208" s="1">
        <v>1590.8215668640046</v>
      </c>
      <c r="D208" s="1">
        <f t="shared" si="19"/>
        <v>960.82156686400458</v>
      </c>
      <c r="E208" s="2">
        <v>14</v>
      </c>
      <c r="F208" s="1">
        <v>113.63011191885747</v>
      </c>
      <c r="G208" s="1">
        <v>68.630111918857466</v>
      </c>
      <c r="H208" s="1">
        <v>45</v>
      </c>
      <c r="I208" s="1">
        <f t="shared" si="20"/>
        <v>432147</v>
      </c>
      <c r="J208" s="1">
        <f t="shared" si="21"/>
        <v>850759.26658914727</v>
      </c>
      <c r="K208" s="1">
        <f t="shared" si="22"/>
        <v>418612.26658914698</v>
      </c>
      <c r="L208" s="5">
        <f t="shared" si="23"/>
        <v>6490</v>
      </c>
    </row>
    <row r="209" spans="1:12" x14ac:dyDescent="0.25">
      <c r="A209" s="3">
        <v>41787</v>
      </c>
      <c r="B209" s="1">
        <f t="shared" si="18"/>
        <v>2356</v>
      </c>
      <c r="C209" s="1">
        <v>4700.580341368629</v>
      </c>
      <c r="D209" s="1">
        <f t="shared" si="19"/>
        <v>2344.5803413686294</v>
      </c>
      <c r="E209" s="2">
        <v>19</v>
      </c>
      <c r="F209" s="1">
        <v>247.39896533519101</v>
      </c>
      <c r="G209" s="1">
        <v>123.39896533519102</v>
      </c>
      <c r="H209" s="1">
        <v>124</v>
      </c>
      <c r="I209" s="1">
        <f t="shared" si="20"/>
        <v>434503</v>
      </c>
      <c r="J209" s="1">
        <f t="shared" si="21"/>
        <v>855459.84693051595</v>
      </c>
      <c r="K209" s="1">
        <f t="shared" si="22"/>
        <v>420956.8469305156</v>
      </c>
      <c r="L209" s="5">
        <f t="shared" si="23"/>
        <v>6509</v>
      </c>
    </row>
    <row r="210" spans="1:12" x14ac:dyDescent="0.25">
      <c r="A210" s="3">
        <v>41809</v>
      </c>
      <c r="B210" s="1">
        <f t="shared" si="18"/>
        <v>740</v>
      </c>
      <c r="C210" s="1">
        <v>1927.1890924196027</v>
      </c>
      <c r="D210" s="1">
        <f t="shared" si="19"/>
        <v>1187.1890924196027</v>
      </c>
      <c r="E210" s="2">
        <v>20</v>
      </c>
      <c r="F210" s="1">
        <v>96.359454620980131</v>
      </c>
      <c r="G210" s="1">
        <v>59.359454620980131</v>
      </c>
      <c r="H210" s="1">
        <v>37</v>
      </c>
      <c r="I210" s="1">
        <f t="shared" si="20"/>
        <v>435243</v>
      </c>
      <c r="J210" s="1">
        <f t="shared" si="21"/>
        <v>857387.03602293553</v>
      </c>
      <c r="K210" s="1">
        <f t="shared" si="22"/>
        <v>422144.03602293518</v>
      </c>
      <c r="L210" s="5">
        <f t="shared" si="23"/>
        <v>6529</v>
      </c>
    </row>
    <row r="211" spans="1:12" x14ac:dyDescent="0.25">
      <c r="A211" s="3">
        <v>41819</v>
      </c>
      <c r="B211" s="1">
        <f t="shared" si="18"/>
        <v>310</v>
      </c>
      <c r="C211" s="1">
        <v>577.67170336946083</v>
      </c>
      <c r="D211" s="1">
        <f t="shared" si="19"/>
        <v>267.67170336946089</v>
      </c>
      <c r="E211" s="2">
        <v>2</v>
      </c>
      <c r="F211" s="1">
        <v>288.83585168473041</v>
      </c>
      <c r="G211" s="1">
        <v>133.83585168473044</v>
      </c>
      <c r="H211" s="1">
        <v>155</v>
      </c>
      <c r="I211" s="1">
        <f t="shared" si="20"/>
        <v>435553</v>
      </c>
      <c r="J211" s="1">
        <f t="shared" si="21"/>
        <v>857964.707726305</v>
      </c>
      <c r="K211" s="1">
        <f t="shared" si="22"/>
        <v>422411.70772630465</v>
      </c>
      <c r="L211" s="5">
        <f t="shared" si="23"/>
        <v>6531</v>
      </c>
    </row>
    <row r="212" spans="1:12" x14ac:dyDescent="0.25">
      <c r="A212" s="3">
        <v>41833</v>
      </c>
      <c r="B212" s="1">
        <f t="shared" si="18"/>
        <v>1107</v>
      </c>
      <c r="C212" s="1">
        <v>3045.2144558087725</v>
      </c>
      <c r="D212" s="1">
        <f t="shared" si="19"/>
        <v>1938.2144558087721</v>
      </c>
      <c r="E212" s="2">
        <v>41</v>
      </c>
      <c r="F212" s="1">
        <v>74.273523312409083</v>
      </c>
      <c r="G212" s="1">
        <v>47.273523312409075</v>
      </c>
      <c r="H212" s="1">
        <v>27</v>
      </c>
      <c r="I212" s="1">
        <f t="shared" si="20"/>
        <v>436660</v>
      </c>
      <c r="J212" s="1">
        <f t="shared" si="21"/>
        <v>861009.92218211375</v>
      </c>
      <c r="K212" s="1">
        <f t="shared" si="22"/>
        <v>424349.9221821134</v>
      </c>
      <c r="L212" s="5">
        <f t="shared" si="23"/>
        <v>6572</v>
      </c>
    </row>
    <row r="213" spans="1:12" x14ac:dyDescent="0.25">
      <c r="A213" s="3">
        <v>41834</v>
      </c>
      <c r="B213" s="1">
        <f t="shared" si="18"/>
        <v>3900</v>
      </c>
      <c r="C213" s="1">
        <v>6640.5699105719432</v>
      </c>
      <c r="D213" s="1">
        <f t="shared" si="19"/>
        <v>2740.5699105719441</v>
      </c>
      <c r="E213" s="2">
        <v>39</v>
      </c>
      <c r="F213" s="1">
        <v>170.27102334799855</v>
      </c>
      <c r="G213" s="1">
        <v>70.271023347998565</v>
      </c>
      <c r="H213" s="1">
        <v>100</v>
      </c>
      <c r="I213" s="1">
        <f t="shared" si="20"/>
        <v>440560</v>
      </c>
      <c r="J213" s="1">
        <f t="shared" si="21"/>
        <v>867650.49209268566</v>
      </c>
      <c r="K213" s="1">
        <f t="shared" si="22"/>
        <v>427090.49209268537</v>
      </c>
      <c r="L213" s="5">
        <f t="shared" si="23"/>
        <v>6611</v>
      </c>
    </row>
    <row r="214" spans="1:12" x14ac:dyDescent="0.25">
      <c r="A214" s="3">
        <v>41842</v>
      </c>
      <c r="B214" s="1">
        <f t="shared" si="18"/>
        <v>420</v>
      </c>
      <c r="C214" s="1">
        <v>828.01284583996312</v>
      </c>
      <c r="D214" s="1">
        <f t="shared" si="19"/>
        <v>408.01284583996301</v>
      </c>
      <c r="E214" s="2">
        <v>6</v>
      </c>
      <c r="F214" s="1">
        <v>138.00214097332719</v>
      </c>
      <c r="G214" s="1">
        <v>68.002140973327172</v>
      </c>
      <c r="H214" s="1">
        <v>70</v>
      </c>
      <c r="I214" s="1">
        <f t="shared" si="20"/>
        <v>440980</v>
      </c>
      <c r="J214" s="1">
        <f t="shared" si="21"/>
        <v>868478.50493852561</v>
      </c>
      <c r="K214" s="1">
        <f t="shared" si="22"/>
        <v>427498.50493852532</v>
      </c>
      <c r="L214" s="5">
        <f t="shared" si="23"/>
        <v>6617</v>
      </c>
    </row>
    <row r="215" spans="1:12" x14ac:dyDescent="0.25">
      <c r="A215" s="3">
        <v>41843</v>
      </c>
      <c r="B215" s="1">
        <f t="shared" si="18"/>
        <v>1272</v>
      </c>
      <c r="C215" s="1">
        <v>2315.7503528825837</v>
      </c>
      <c r="D215" s="1">
        <f t="shared" si="19"/>
        <v>1043.7503528825835</v>
      </c>
      <c r="E215" s="2">
        <v>24</v>
      </c>
      <c r="F215" s="1">
        <v>96.489598036774311</v>
      </c>
      <c r="G215" s="1">
        <v>43.489598036774311</v>
      </c>
      <c r="H215" s="1">
        <v>53</v>
      </c>
      <c r="I215" s="1">
        <f t="shared" si="20"/>
        <v>442252</v>
      </c>
      <c r="J215" s="1">
        <f t="shared" si="21"/>
        <v>870794.25529140816</v>
      </c>
      <c r="K215" s="1">
        <f t="shared" si="22"/>
        <v>428542.25529140793</v>
      </c>
      <c r="L215" s="5">
        <f t="shared" si="23"/>
        <v>6641</v>
      </c>
    </row>
    <row r="216" spans="1:12" x14ac:dyDescent="0.25">
      <c r="A216" s="3">
        <v>41848</v>
      </c>
      <c r="B216" s="1">
        <f t="shared" si="18"/>
        <v>741</v>
      </c>
      <c r="C216" s="1">
        <v>2071.6369177692832</v>
      </c>
      <c r="D216" s="1">
        <f t="shared" si="19"/>
        <v>1330.6369177692829</v>
      </c>
      <c r="E216" s="2">
        <v>19</v>
      </c>
      <c r="F216" s="1">
        <v>109.033521987857</v>
      </c>
      <c r="G216" s="1">
        <v>70.033521987857</v>
      </c>
      <c r="H216" s="1">
        <v>39</v>
      </c>
      <c r="I216" s="1">
        <f t="shared" si="20"/>
        <v>442993</v>
      </c>
      <c r="J216" s="1">
        <f t="shared" si="21"/>
        <v>872865.89220917749</v>
      </c>
      <c r="K216" s="1">
        <f t="shared" si="22"/>
        <v>429872.8922091772</v>
      </c>
      <c r="L216" s="5">
        <f t="shared" si="23"/>
        <v>6660</v>
      </c>
    </row>
    <row r="217" spans="1:12" x14ac:dyDescent="0.25">
      <c r="A217" s="3">
        <v>41872</v>
      </c>
      <c r="B217" s="1">
        <f t="shared" si="18"/>
        <v>1581</v>
      </c>
      <c r="C217" s="1">
        <v>2774.4678713941657</v>
      </c>
      <c r="D217" s="1">
        <f t="shared" si="19"/>
        <v>1193.4678713941653</v>
      </c>
      <c r="E217" s="2">
        <v>17</v>
      </c>
      <c r="F217" s="1">
        <v>163.20399243495092</v>
      </c>
      <c r="G217" s="1">
        <v>70.203992434950905</v>
      </c>
      <c r="H217" s="1">
        <v>93</v>
      </c>
      <c r="I217" s="1">
        <f t="shared" si="20"/>
        <v>444574</v>
      </c>
      <c r="J217" s="1">
        <f t="shared" si="21"/>
        <v>875640.36008057161</v>
      </c>
      <c r="K217" s="1">
        <f t="shared" si="22"/>
        <v>431066.36008057138</v>
      </c>
      <c r="L217" s="5">
        <f t="shared" si="23"/>
        <v>6677</v>
      </c>
    </row>
    <row r="218" spans="1:12" x14ac:dyDescent="0.25">
      <c r="A218" s="3">
        <v>41892</v>
      </c>
      <c r="B218" s="1">
        <f t="shared" si="18"/>
        <v>3536</v>
      </c>
      <c r="C218" s="1">
        <v>6059.0467549208452</v>
      </c>
      <c r="D218" s="1">
        <f t="shared" si="19"/>
        <v>2523.0467549208452</v>
      </c>
      <c r="E218" s="2">
        <v>52</v>
      </c>
      <c r="F218" s="1">
        <v>116.52012990232394</v>
      </c>
      <c r="G218" s="1">
        <v>48.520129902323944</v>
      </c>
      <c r="H218" s="1">
        <v>68</v>
      </c>
      <c r="I218" s="1">
        <f t="shared" si="20"/>
        <v>448110</v>
      </c>
      <c r="J218" s="1">
        <f t="shared" si="21"/>
        <v>881699.40683549247</v>
      </c>
      <c r="K218" s="1">
        <f t="shared" si="22"/>
        <v>433589.40683549223</v>
      </c>
      <c r="L218" s="5">
        <f t="shared" si="23"/>
        <v>6729</v>
      </c>
    </row>
    <row r="219" spans="1:12" x14ac:dyDescent="0.25">
      <c r="A219" s="3">
        <v>41916</v>
      </c>
      <c r="B219" s="1">
        <f t="shared" si="18"/>
        <v>4248</v>
      </c>
      <c r="C219" s="1">
        <v>7486.5676338455996</v>
      </c>
      <c r="D219" s="1">
        <f t="shared" si="19"/>
        <v>3238.5676338456001</v>
      </c>
      <c r="E219" s="2">
        <v>36</v>
      </c>
      <c r="F219" s="1">
        <v>207.96021205126667</v>
      </c>
      <c r="G219" s="1">
        <v>89.960212051266666</v>
      </c>
      <c r="H219" s="1">
        <v>118</v>
      </c>
      <c r="I219" s="1">
        <f t="shared" si="20"/>
        <v>452358</v>
      </c>
      <c r="J219" s="1">
        <f t="shared" si="21"/>
        <v>889185.97446933808</v>
      </c>
      <c r="K219" s="1">
        <f t="shared" si="22"/>
        <v>436827.97446933785</v>
      </c>
      <c r="L219" s="5">
        <f t="shared" si="23"/>
        <v>6765</v>
      </c>
    </row>
    <row r="220" spans="1:12" x14ac:dyDescent="0.25">
      <c r="A220" s="3">
        <v>41933</v>
      </c>
      <c r="B220" s="1">
        <f t="shared" si="18"/>
        <v>1380</v>
      </c>
      <c r="C220" s="1">
        <v>2843.3875610632108</v>
      </c>
      <c r="D220" s="1">
        <f t="shared" si="19"/>
        <v>1463.387561063211</v>
      </c>
      <c r="E220" s="2">
        <v>30</v>
      </c>
      <c r="F220" s="1">
        <v>94.779585368773695</v>
      </c>
      <c r="G220" s="1">
        <v>48.779585368773702</v>
      </c>
      <c r="H220" s="1">
        <v>46</v>
      </c>
      <c r="I220" s="1">
        <f t="shared" si="20"/>
        <v>453738</v>
      </c>
      <c r="J220" s="1">
        <f t="shared" si="21"/>
        <v>892029.36203040124</v>
      </c>
      <c r="K220" s="1">
        <f t="shared" si="22"/>
        <v>438291.36203040107</v>
      </c>
      <c r="L220" s="5">
        <f t="shared" si="23"/>
        <v>6795</v>
      </c>
    </row>
    <row r="221" spans="1:12" x14ac:dyDescent="0.25">
      <c r="A221" s="3">
        <v>41951</v>
      </c>
      <c r="B221" s="1">
        <f t="shared" si="18"/>
        <v>588</v>
      </c>
      <c r="C221" s="1">
        <v>1325.6874043167822</v>
      </c>
      <c r="D221" s="1">
        <f t="shared" si="19"/>
        <v>737.68740431678236</v>
      </c>
      <c r="E221" s="2">
        <v>14</v>
      </c>
      <c r="F221" s="1">
        <v>94.691957451198732</v>
      </c>
      <c r="G221" s="1">
        <v>52.691957451198739</v>
      </c>
      <c r="H221" s="1">
        <v>42</v>
      </c>
      <c r="I221" s="1">
        <f t="shared" si="20"/>
        <v>454326</v>
      </c>
      <c r="J221" s="1">
        <f t="shared" si="21"/>
        <v>893355.04943471798</v>
      </c>
      <c r="K221" s="1">
        <f t="shared" si="22"/>
        <v>439029.04943471786</v>
      </c>
      <c r="L221" s="5">
        <f t="shared" si="23"/>
        <v>6809</v>
      </c>
    </row>
    <row r="222" spans="1:12" x14ac:dyDescent="0.25">
      <c r="A222" s="3">
        <v>41975</v>
      </c>
      <c r="B222" s="1">
        <f t="shared" si="18"/>
        <v>736</v>
      </c>
      <c r="C222" s="1">
        <v>1751.0996353419141</v>
      </c>
      <c r="D222" s="1">
        <f t="shared" si="19"/>
        <v>1015.0996353419141</v>
      </c>
      <c r="E222" s="2">
        <v>16</v>
      </c>
      <c r="F222" s="1">
        <v>109.44372720886963</v>
      </c>
      <c r="G222" s="1">
        <v>63.443727208869632</v>
      </c>
      <c r="H222" s="1">
        <v>46</v>
      </c>
      <c r="I222" s="1">
        <f t="shared" si="20"/>
        <v>455062</v>
      </c>
      <c r="J222" s="1">
        <f t="shared" si="21"/>
        <v>895106.14907005988</v>
      </c>
      <c r="K222" s="1">
        <f t="shared" si="22"/>
        <v>440044.14907005976</v>
      </c>
      <c r="L222" s="5">
        <f t="shared" si="23"/>
        <v>6825</v>
      </c>
    </row>
    <row r="223" spans="1:12" x14ac:dyDescent="0.25">
      <c r="A223" s="3">
        <v>41996</v>
      </c>
      <c r="B223" s="1">
        <f t="shared" si="18"/>
        <v>2537</v>
      </c>
      <c r="C223" s="1">
        <v>5268.6441930678029</v>
      </c>
      <c r="D223" s="1">
        <f t="shared" si="19"/>
        <v>2731.6441930678029</v>
      </c>
      <c r="E223" s="2">
        <v>43</v>
      </c>
      <c r="F223" s="1">
        <v>122.52660914111169</v>
      </c>
      <c r="G223" s="1">
        <v>63.526609141111699</v>
      </c>
      <c r="H223" s="1">
        <v>59</v>
      </c>
      <c r="I223" s="1">
        <f t="shared" si="20"/>
        <v>457599</v>
      </c>
      <c r="J223" s="1">
        <f t="shared" si="21"/>
        <v>900374.79326312768</v>
      </c>
      <c r="K223" s="1">
        <f t="shared" si="22"/>
        <v>442775.79326312756</v>
      </c>
      <c r="L223" s="5">
        <f t="shared" si="23"/>
        <v>6868</v>
      </c>
    </row>
    <row r="224" spans="1:12" x14ac:dyDescent="0.25">
      <c r="A224" s="3">
        <v>42001</v>
      </c>
      <c r="B224" s="1">
        <f t="shared" si="18"/>
        <v>295</v>
      </c>
      <c r="C224" s="1">
        <v>555.69273382077893</v>
      </c>
      <c r="D224" s="1">
        <f t="shared" si="19"/>
        <v>260.69273382077893</v>
      </c>
      <c r="E224" s="2">
        <v>5</v>
      </c>
      <c r="F224" s="1">
        <v>111.13854676415579</v>
      </c>
      <c r="G224" s="1">
        <v>52.138546764155791</v>
      </c>
      <c r="H224" s="1">
        <v>59</v>
      </c>
      <c r="I224" s="1">
        <f t="shared" si="20"/>
        <v>457894</v>
      </c>
      <c r="J224" s="1">
        <f t="shared" si="21"/>
        <v>900930.48599694844</v>
      </c>
      <c r="K224" s="1">
        <f t="shared" si="22"/>
        <v>443036.48599694832</v>
      </c>
      <c r="L224" s="5">
        <f t="shared" si="23"/>
        <v>6873</v>
      </c>
    </row>
    <row r="225" spans="1:12" x14ac:dyDescent="0.25">
      <c r="A225" s="3">
        <v>42007</v>
      </c>
      <c r="B225" s="1">
        <f t="shared" si="18"/>
        <v>704</v>
      </c>
      <c r="C225" s="1">
        <v>1636.2880825833699</v>
      </c>
      <c r="D225" s="1">
        <f t="shared" si="19"/>
        <v>932.28808258337006</v>
      </c>
      <c r="E225" s="2">
        <v>16</v>
      </c>
      <c r="F225" s="1">
        <v>102.26800516146062</v>
      </c>
      <c r="G225" s="1">
        <v>58.268005161460628</v>
      </c>
      <c r="H225" s="1">
        <v>44</v>
      </c>
      <c r="I225" s="1">
        <f t="shared" si="20"/>
        <v>458598</v>
      </c>
      <c r="J225" s="1">
        <f t="shared" si="21"/>
        <v>902566.77407953178</v>
      </c>
      <c r="K225" s="1">
        <f t="shared" si="22"/>
        <v>443968.77407953166</v>
      </c>
      <c r="L225" s="5">
        <f t="shared" si="23"/>
        <v>6889</v>
      </c>
    </row>
    <row r="226" spans="1:12" x14ac:dyDescent="0.25">
      <c r="A226" s="3">
        <v>42025</v>
      </c>
      <c r="B226" s="1">
        <f t="shared" si="18"/>
        <v>408</v>
      </c>
      <c r="C226" s="1">
        <v>689.36879897867198</v>
      </c>
      <c r="D226" s="1">
        <f t="shared" si="19"/>
        <v>281.36879897867203</v>
      </c>
      <c r="E226" s="2">
        <v>8</v>
      </c>
      <c r="F226" s="1">
        <v>86.171099872333997</v>
      </c>
      <c r="G226" s="1">
        <v>35.171099872334004</v>
      </c>
      <c r="H226" s="1">
        <v>51</v>
      </c>
      <c r="I226" s="1">
        <f t="shared" si="20"/>
        <v>459006</v>
      </c>
      <c r="J226" s="1">
        <f t="shared" si="21"/>
        <v>903256.14287851041</v>
      </c>
      <c r="K226" s="1">
        <f t="shared" si="22"/>
        <v>444250.14287851035</v>
      </c>
      <c r="L226" s="5">
        <f t="shared" si="23"/>
        <v>6897</v>
      </c>
    </row>
    <row r="227" spans="1:12" x14ac:dyDescent="0.25">
      <c r="A227" s="3">
        <v>42038</v>
      </c>
      <c r="B227" s="1">
        <f t="shared" si="18"/>
        <v>512</v>
      </c>
      <c r="C227" s="1">
        <v>1052.5905044766482</v>
      </c>
      <c r="D227" s="1">
        <f t="shared" si="19"/>
        <v>540.59050447664822</v>
      </c>
      <c r="E227" s="2">
        <v>8</v>
      </c>
      <c r="F227" s="1">
        <v>131.57381305958103</v>
      </c>
      <c r="G227" s="1">
        <v>67.573813059581028</v>
      </c>
      <c r="H227" s="1">
        <v>64</v>
      </c>
      <c r="I227" s="1">
        <f t="shared" si="20"/>
        <v>459518</v>
      </c>
      <c r="J227" s="1">
        <f t="shared" si="21"/>
        <v>904308.73338298709</v>
      </c>
      <c r="K227" s="1">
        <f t="shared" si="22"/>
        <v>444790.73338298697</v>
      </c>
      <c r="L227" s="5">
        <f t="shared" si="23"/>
        <v>6905</v>
      </c>
    </row>
    <row r="228" spans="1:12" x14ac:dyDescent="0.25">
      <c r="A228" s="3">
        <v>42044</v>
      </c>
      <c r="B228" s="1">
        <f t="shared" si="18"/>
        <v>1414</v>
      </c>
      <c r="C228" s="1">
        <v>2522.4671144032941</v>
      </c>
      <c r="D228" s="1">
        <f t="shared" si="19"/>
        <v>1108.4671144032941</v>
      </c>
      <c r="E228" s="2">
        <v>14</v>
      </c>
      <c r="F228" s="1">
        <v>180.17622245737815</v>
      </c>
      <c r="G228" s="1">
        <v>79.176222457378145</v>
      </c>
      <c r="H228" s="1">
        <v>101</v>
      </c>
      <c r="I228" s="1">
        <f t="shared" si="20"/>
        <v>460932</v>
      </c>
      <c r="J228" s="1">
        <f t="shared" si="21"/>
        <v>906831.20049739035</v>
      </c>
      <c r="K228" s="1">
        <f t="shared" si="22"/>
        <v>445899.20049739029</v>
      </c>
      <c r="L228" s="5">
        <f t="shared" si="23"/>
        <v>6919</v>
      </c>
    </row>
    <row r="229" spans="1:12" x14ac:dyDescent="0.25">
      <c r="A229" s="3">
        <v>42048</v>
      </c>
      <c r="B229" s="1">
        <f t="shared" si="18"/>
        <v>1391</v>
      </c>
      <c r="C229" s="1">
        <v>2370.8703122519032</v>
      </c>
      <c r="D229" s="1">
        <f t="shared" si="19"/>
        <v>979.87031225190333</v>
      </c>
      <c r="E229" s="2">
        <v>13</v>
      </c>
      <c r="F229" s="1">
        <v>182.37463940399255</v>
      </c>
      <c r="G229" s="1">
        <v>75.37463940399256</v>
      </c>
      <c r="H229" s="1">
        <v>107</v>
      </c>
      <c r="I229" s="1">
        <f t="shared" si="20"/>
        <v>462323</v>
      </c>
      <c r="J229" s="1">
        <f t="shared" si="21"/>
        <v>909202.0708096422</v>
      </c>
      <c r="K229" s="1">
        <f t="shared" si="22"/>
        <v>446879.0708096422</v>
      </c>
      <c r="L229" s="5">
        <f t="shared" si="23"/>
        <v>6932</v>
      </c>
    </row>
    <row r="230" spans="1:12" x14ac:dyDescent="0.25">
      <c r="A230" s="3">
        <v>42049</v>
      </c>
      <c r="B230" s="1">
        <f t="shared" si="18"/>
        <v>2079</v>
      </c>
      <c r="C230" s="1">
        <v>3493.6484225825643</v>
      </c>
      <c r="D230" s="1">
        <f t="shared" si="19"/>
        <v>1414.6484225825639</v>
      </c>
      <c r="E230" s="2">
        <v>21</v>
      </c>
      <c r="F230" s="1">
        <v>166.36421059916972</v>
      </c>
      <c r="G230" s="1">
        <v>67.364210599169709</v>
      </c>
      <c r="H230" s="1">
        <v>99</v>
      </c>
      <c r="I230" s="1">
        <f t="shared" si="20"/>
        <v>464402</v>
      </c>
      <c r="J230" s="1">
        <f t="shared" si="21"/>
        <v>912695.71923222474</v>
      </c>
      <c r="K230" s="1">
        <f t="shared" si="22"/>
        <v>448293.71923222474</v>
      </c>
      <c r="L230" s="5">
        <f t="shared" si="23"/>
        <v>6953</v>
      </c>
    </row>
    <row r="231" spans="1:12" x14ac:dyDescent="0.25">
      <c r="A231" s="3">
        <v>42060</v>
      </c>
      <c r="B231" s="1">
        <f t="shared" si="18"/>
        <v>7480</v>
      </c>
      <c r="C231" s="1">
        <v>14022.850478921431</v>
      </c>
      <c r="D231" s="1">
        <f t="shared" si="19"/>
        <v>6542.8504789214312</v>
      </c>
      <c r="E231" s="2">
        <v>85</v>
      </c>
      <c r="F231" s="1">
        <v>164.97471151672272</v>
      </c>
      <c r="G231" s="1">
        <v>76.974711516722721</v>
      </c>
      <c r="H231" s="1">
        <v>88</v>
      </c>
      <c r="I231" s="1">
        <f t="shared" si="20"/>
        <v>471882</v>
      </c>
      <c r="J231" s="1">
        <f t="shared" si="21"/>
        <v>926718.56971114618</v>
      </c>
      <c r="K231" s="1">
        <f t="shared" si="22"/>
        <v>454836.56971114618</v>
      </c>
      <c r="L231" s="5">
        <f t="shared" si="23"/>
        <v>7038</v>
      </c>
    </row>
    <row r="232" spans="1:12" x14ac:dyDescent="0.25">
      <c r="A232" s="3">
        <v>42070</v>
      </c>
      <c r="B232" s="1">
        <f t="shared" si="18"/>
        <v>3180</v>
      </c>
      <c r="C232" s="1">
        <v>5360.4246064487161</v>
      </c>
      <c r="D232" s="1">
        <f t="shared" si="19"/>
        <v>2180.4246064487156</v>
      </c>
      <c r="E232" s="2">
        <v>53</v>
      </c>
      <c r="F232" s="1">
        <v>101.14008691412671</v>
      </c>
      <c r="G232" s="1">
        <v>41.140086914126712</v>
      </c>
      <c r="H232" s="1">
        <v>60</v>
      </c>
      <c r="I232" s="1">
        <f t="shared" si="20"/>
        <v>475062</v>
      </c>
      <c r="J232" s="1">
        <f t="shared" si="21"/>
        <v>932078.99431759492</v>
      </c>
      <c r="K232" s="1">
        <f t="shared" si="22"/>
        <v>457016.99431759492</v>
      </c>
      <c r="L232" s="5">
        <f t="shared" si="23"/>
        <v>7091</v>
      </c>
    </row>
    <row r="233" spans="1:12" x14ac:dyDescent="0.25">
      <c r="A233" s="3">
        <v>42098</v>
      </c>
      <c r="B233" s="1">
        <f t="shared" si="18"/>
        <v>1763</v>
      </c>
      <c r="C233" s="1">
        <v>4062.4914354278553</v>
      </c>
      <c r="D233" s="1">
        <f t="shared" si="19"/>
        <v>2299.4914354278553</v>
      </c>
      <c r="E233" s="2">
        <v>41</v>
      </c>
      <c r="F233" s="1">
        <v>99.085156961655002</v>
      </c>
      <c r="G233" s="1">
        <v>56.085156961655009</v>
      </c>
      <c r="H233" s="1">
        <v>43</v>
      </c>
      <c r="I233" s="1">
        <f t="shared" si="20"/>
        <v>476825</v>
      </c>
      <c r="J233" s="1">
        <f t="shared" si="21"/>
        <v>936141.48575302272</v>
      </c>
      <c r="K233" s="1">
        <f t="shared" si="22"/>
        <v>459316.48575302277</v>
      </c>
      <c r="L233" s="5">
        <f t="shared" si="23"/>
        <v>7132</v>
      </c>
    </row>
    <row r="234" spans="1:12" x14ac:dyDescent="0.25">
      <c r="A234" s="3">
        <v>42113</v>
      </c>
      <c r="B234" s="1">
        <f t="shared" si="18"/>
        <v>6536</v>
      </c>
      <c r="C234" s="1">
        <v>13695.881867259124</v>
      </c>
      <c r="D234" s="1">
        <f t="shared" si="19"/>
        <v>7159.8818672591224</v>
      </c>
      <c r="E234" s="2">
        <v>76</v>
      </c>
      <c r="F234" s="1">
        <v>180.20897193762005</v>
      </c>
      <c r="G234" s="1">
        <v>94.208971937620035</v>
      </c>
      <c r="H234" s="1">
        <v>86</v>
      </c>
      <c r="I234" s="1">
        <f t="shared" si="20"/>
        <v>483361</v>
      </c>
      <c r="J234" s="1">
        <f t="shared" si="21"/>
        <v>949837.36762028188</v>
      </c>
      <c r="K234" s="1">
        <f t="shared" si="22"/>
        <v>466476.36762028188</v>
      </c>
      <c r="L234" s="5">
        <f t="shared" si="23"/>
        <v>7208</v>
      </c>
    </row>
    <row r="235" spans="1:12" x14ac:dyDescent="0.25">
      <c r="A235" s="3">
        <v>42126</v>
      </c>
      <c r="B235" s="1">
        <f t="shared" si="18"/>
        <v>7654</v>
      </c>
      <c r="C235" s="1">
        <v>21971.326567309126</v>
      </c>
      <c r="D235" s="1">
        <f t="shared" si="19"/>
        <v>14317.326567309126</v>
      </c>
      <c r="E235" s="2">
        <v>178</v>
      </c>
      <c r="F235" s="1">
        <v>123.434418917467</v>
      </c>
      <c r="G235" s="1">
        <v>80.434418917466999</v>
      </c>
      <c r="H235" s="1">
        <v>43</v>
      </c>
      <c r="I235" s="1">
        <f t="shared" si="20"/>
        <v>491015</v>
      </c>
      <c r="J235" s="1">
        <f t="shared" si="21"/>
        <v>971808.69418759097</v>
      </c>
      <c r="K235" s="1">
        <f t="shared" si="22"/>
        <v>480793.69418759103</v>
      </c>
      <c r="L235" s="5">
        <f t="shared" si="23"/>
        <v>7386</v>
      </c>
    </row>
    <row r="236" spans="1:12" x14ac:dyDescent="0.25">
      <c r="A236" s="3">
        <v>42141</v>
      </c>
      <c r="B236" s="1">
        <f t="shared" si="18"/>
        <v>420</v>
      </c>
      <c r="C236" s="1">
        <v>929.66790699768262</v>
      </c>
      <c r="D236" s="1">
        <f t="shared" si="19"/>
        <v>509.66790699768268</v>
      </c>
      <c r="E236" s="2">
        <v>10</v>
      </c>
      <c r="F236" s="1">
        <v>92.966790699768268</v>
      </c>
      <c r="G236" s="1">
        <v>50.966790699768268</v>
      </c>
      <c r="H236" s="1">
        <v>42</v>
      </c>
      <c r="I236" s="1">
        <f t="shared" si="20"/>
        <v>491435</v>
      </c>
      <c r="J236" s="1">
        <f t="shared" si="21"/>
        <v>972738.36209458869</v>
      </c>
      <c r="K236" s="1">
        <f t="shared" si="22"/>
        <v>481303.36209458869</v>
      </c>
      <c r="L236" s="5">
        <f t="shared" si="23"/>
        <v>7396</v>
      </c>
    </row>
    <row r="237" spans="1:12" x14ac:dyDescent="0.25">
      <c r="A237" s="3">
        <v>42150</v>
      </c>
      <c r="B237" s="1">
        <f t="shared" si="18"/>
        <v>1488</v>
      </c>
      <c r="C237" s="1">
        <v>2709.9220095987748</v>
      </c>
      <c r="D237" s="1">
        <f t="shared" si="19"/>
        <v>1221.9220095987748</v>
      </c>
      <c r="E237" s="2">
        <v>12</v>
      </c>
      <c r="F237" s="1">
        <v>225.82683413323124</v>
      </c>
      <c r="G237" s="1">
        <v>101.82683413323124</v>
      </c>
      <c r="H237" s="1">
        <v>124</v>
      </c>
      <c r="I237" s="1">
        <f t="shared" si="20"/>
        <v>492923</v>
      </c>
      <c r="J237" s="1">
        <f t="shared" si="21"/>
        <v>975448.28410418751</v>
      </c>
      <c r="K237" s="1">
        <f t="shared" si="22"/>
        <v>482525.28410418745</v>
      </c>
      <c r="L237" s="5">
        <f t="shared" si="23"/>
        <v>7408</v>
      </c>
    </row>
    <row r="238" spans="1:12" x14ac:dyDescent="0.25">
      <c r="A238" s="3">
        <v>42171</v>
      </c>
      <c r="B238" s="1">
        <f t="shared" si="18"/>
        <v>5428</v>
      </c>
      <c r="C238" s="1">
        <v>9748.9687206601993</v>
      </c>
      <c r="D238" s="1">
        <f t="shared" si="19"/>
        <v>4320.9687206601993</v>
      </c>
      <c r="E238" s="2">
        <v>92</v>
      </c>
      <c r="F238" s="1">
        <v>105.9670513115239</v>
      </c>
      <c r="G238" s="1">
        <v>46.967051311523903</v>
      </c>
      <c r="H238" s="1">
        <v>59</v>
      </c>
      <c r="I238" s="1">
        <f t="shared" si="20"/>
        <v>498351</v>
      </c>
      <c r="J238" s="1">
        <f t="shared" si="21"/>
        <v>985197.2528248477</v>
      </c>
      <c r="K238" s="1">
        <f t="shared" si="22"/>
        <v>486846.25282484764</v>
      </c>
      <c r="L238" s="5">
        <f t="shared" si="23"/>
        <v>7500</v>
      </c>
    </row>
    <row r="239" spans="1:12" x14ac:dyDescent="0.25">
      <c r="A239" s="3">
        <v>42177</v>
      </c>
      <c r="B239" s="1">
        <f t="shared" si="18"/>
        <v>924</v>
      </c>
      <c r="C239" s="1">
        <v>1665.6016705894071</v>
      </c>
      <c r="D239" s="1">
        <f t="shared" si="19"/>
        <v>741.60167058940704</v>
      </c>
      <c r="E239" s="2">
        <v>7</v>
      </c>
      <c r="F239" s="1">
        <v>237.94309579848672</v>
      </c>
      <c r="G239" s="1">
        <v>105.94309579848672</v>
      </c>
      <c r="H239" s="1">
        <v>132</v>
      </c>
      <c r="I239" s="1">
        <f t="shared" si="20"/>
        <v>499275</v>
      </c>
      <c r="J239" s="1">
        <f t="shared" si="21"/>
        <v>986862.85449543712</v>
      </c>
      <c r="K239" s="1">
        <f t="shared" si="22"/>
        <v>487587.85449543706</v>
      </c>
      <c r="L239" s="5">
        <f t="shared" si="23"/>
        <v>7507</v>
      </c>
    </row>
    <row r="240" spans="1:12" x14ac:dyDescent="0.25">
      <c r="A240" s="3">
        <v>42184</v>
      </c>
      <c r="B240" s="1">
        <f t="shared" si="18"/>
        <v>1008</v>
      </c>
      <c r="C240" s="1">
        <v>1695.1334814136078</v>
      </c>
      <c r="D240" s="1">
        <f t="shared" si="19"/>
        <v>687.13348141360768</v>
      </c>
      <c r="E240" s="2">
        <v>18</v>
      </c>
      <c r="F240" s="1">
        <v>94.174082300755984</v>
      </c>
      <c r="G240" s="1">
        <v>38.174082300755984</v>
      </c>
      <c r="H240" s="1">
        <v>56</v>
      </c>
      <c r="I240" s="1">
        <f t="shared" si="20"/>
        <v>500283</v>
      </c>
      <c r="J240" s="1">
        <f t="shared" si="21"/>
        <v>988557.98797685071</v>
      </c>
      <c r="K240" s="1">
        <f t="shared" si="22"/>
        <v>488274.98797685065</v>
      </c>
      <c r="L240" s="5">
        <f t="shared" si="23"/>
        <v>7525</v>
      </c>
    </row>
    <row r="241" spans="1:12" x14ac:dyDescent="0.25">
      <c r="A241" s="3">
        <v>42195</v>
      </c>
      <c r="B241" s="1">
        <f t="shared" si="18"/>
        <v>832</v>
      </c>
      <c r="C241" s="1">
        <v>1742.2129369825111</v>
      </c>
      <c r="D241" s="1">
        <f t="shared" si="19"/>
        <v>910.21293698251111</v>
      </c>
      <c r="E241" s="2">
        <v>16</v>
      </c>
      <c r="F241" s="1">
        <v>108.88830856140694</v>
      </c>
      <c r="G241" s="1">
        <v>56.888308561406944</v>
      </c>
      <c r="H241" s="1">
        <v>52</v>
      </c>
      <c r="I241" s="1">
        <f t="shared" si="20"/>
        <v>501115</v>
      </c>
      <c r="J241" s="1">
        <f t="shared" si="21"/>
        <v>990300.20091383322</v>
      </c>
      <c r="K241" s="1">
        <f t="shared" si="22"/>
        <v>489185.20091383316</v>
      </c>
      <c r="L241" s="5">
        <f t="shared" si="23"/>
        <v>7541</v>
      </c>
    </row>
    <row r="242" spans="1:12" x14ac:dyDescent="0.25">
      <c r="A242" s="3">
        <v>42195</v>
      </c>
      <c r="B242" s="1">
        <f t="shared" si="18"/>
        <v>176</v>
      </c>
      <c r="C242" s="1">
        <v>448.38439461195395</v>
      </c>
      <c r="D242" s="1">
        <f t="shared" si="19"/>
        <v>272.38439461195395</v>
      </c>
      <c r="E242" s="2">
        <v>11</v>
      </c>
      <c r="F242" s="1">
        <v>40.762217691995815</v>
      </c>
      <c r="G242" s="1">
        <v>24.762217691995815</v>
      </c>
      <c r="H242" s="1">
        <v>16</v>
      </c>
      <c r="I242" s="1">
        <f t="shared" si="20"/>
        <v>501291</v>
      </c>
      <c r="J242" s="1">
        <f t="shared" si="21"/>
        <v>990748.58530844515</v>
      </c>
      <c r="K242" s="1">
        <f t="shared" si="22"/>
        <v>489457.58530844509</v>
      </c>
      <c r="L242" s="5">
        <f t="shared" si="23"/>
        <v>7552</v>
      </c>
    </row>
    <row r="243" spans="1:12" x14ac:dyDescent="0.25">
      <c r="A243" s="3">
        <v>42205</v>
      </c>
      <c r="B243" s="1">
        <f t="shared" si="18"/>
        <v>2700</v>
      </c>
      <c r="C243" s="1">
        <v>6788.9081118099693</v>
      </c>
      <c r="D243" s="1">
        <f t="shared" si="19"/>
        <v>4088.9081118099689</v>
      </c>
      <c r="E243" s="2">
        <v>45</v>
      </c>
      <c r="F243" s="1">
        <v>150.86462470688821</v>
      </c>
      <c r="G243" s="1">
        <v>90.864624706888193</v>
      </c>
      <c r="H243" s="1">
        <v>60</v>
      </c>
      <c r="I243" s="1">
        <f t="shared" si="20"/>
        <v>503991</v>
      </c>
      <c r="J243" s="1">
        <f t="shared" si="21"/>
        <v>997537.49342025514</v>
      </c>
      <c r="K243" s="1">
        <f t="shared" si="22"/>
        <v>493546.49342025508</v>
      </c>
      <c r="L243" s="5">
        <f t="shared" si="23"/>
        <v>7597</v>
      </c>
    </row>
    <row r="244" spans="1:12" x14ac:dyDescent="0.25">
      <c r="A244" s="3">
        <v>42210</v>
      </c>
      <c r="B244" s="1">
        <f t="shared" si="18"/>
        <v>1378</v>
      </c>
      <c r="C244" s="1">
        <v>3162.4034414271637</v>
      </c>
      <c r="D244" s="1">
        <f t="shared" si="19"/>
        <v>1784.4034414271639</v>
      </c>
      <c r="E244" s="2">
        <v>53</v>
      </c>
      <c r="F244" s="1">
        <v>59.667989460889885</v>
      </c>
      <c r="G244" s="1">
        <v>33.667989460889885</v>
      </c>
      <c r="H244" s="1">
        <v>26</v>
      </c>
      <c r="I244" s="1">
        <f t="shared" si="20"/>
        <v>505369</v>
      </c>
      <c r="J244" s="1">
        <f t="shared" si="21"/>
        <v>1000699.8968616823</v>
      </c>
      <c r="K244" s="1">
        <f t="shared" si="22"/>
        <v>495330.89686168224</v>
      </c>
      <c r="L244" s="5">
        <f t="shared" si="23"/>
        <v>7650</v>
      </c>
    </row>
    <row r="245" spans="1:12" x14ac:dyDescent="0.25">
      <c r="A245" s="3">
        <v>42214</v>
      </c>
      <c r="B245" s="1">
        <f t="shared" si="18"/>
        <v>558</v>
      </c>
      <c r="C245" s="1">
        <v>1084.2501011530426</v>
      </c>
      <c r="D245" s="1">
        <f t="shared" si="19"/>
        <v>526.25010115304258</v>
      </c>
      <c r="E245" s="2">
        <v>6</v>
      </c>
      <c r="F245" s="1">
        <v>180.70835019217375</v>
      </c>
      <c r="G245" s="1">
        <v>87.708350192173754</v>
      </c>
      <c r="H245" s="1">
        <v>93</v>
      </c>
      <c r="I245" s="1">
        <f t="shared" si="20"/>
        <v>505927</v>
      </c>
      <c r="J245" s="1">
        <f t="shared" si="21"/>
        <v>1001784.1469628353</v>
      </c>
      <c r="K245" s="1">
        <f t="shared" si="22"/>
        <v>495857.14696283528</v>
      </c>
      <c r="L245" s="5">
        <f t="shared" si="23"/>
        <v>7656</v>
      </c>
    </row>
    <row r="246" spans="1:12" x14ac:dyDescent="0.25">
      <c r="A246" s="3">
        <v>42216</v>
      </c>
      <c r="B246" s="1">
        <f t="shared" si="18"/>
        <v>2145</v>
      </c>
      <c r="C246" s="1">
        <v>5124.1901899455752</v>
      </c>
      <c r="D246" s="1">
        <f t="shared" si="19"/>
        <v>2979.1901899455752</v>
      </c>
      <c r="E246" s="2">
        <v>55</v>
      </c>
      <c r="F246" s="1">
        <v>93.167094362646822</v>
      </c>
      <c r="G246" s="1">
        <v>54.167094362646822</v>
      </c>
      <c r="H246" s="1">
        <v>39</v>
      </c>
      <c r="I246" s="1">
        <f t="shared" si="20"/>
        <v>508072</v>
      </c>
      <c r="J246" s="1">
        <f t="shared" si="21"/>
        <v>1006908.337152781</v>
      </c>
      <c r="K246" s="1">
        <f t="shared" si="22"/>
        <v>498836.33715278085</v>
      </c>
      <c r="L246" s="5">
        <f t="shared" si="23"/>
        <v>7711</v>
      </c>
    </row>
    <row r="247" spans="1:12" x14ac:dyDescent="0.25">
      <c r="A247" s="3">
        <v>42218</v>
      </c>
      <c r="B247" s="1">
        <f t="shared" si="18"/>
        <v>2010</v>
      </c>
      <c r="C247" s="1">
        <v>5149.4853439559192</v>
      </c>
      <c r="D247" s="1">
        <f t="shared" si="19"/>
        <v>3139.4853439559188</v>
      </c>
      <c r="E247" s="2">
        <v>30</v>
      </c>
      <c r="F247" s="1">
        <v>171.64951146519729</v>
      </c>
      <c r="G247" s="1">
        <v>104.64951146519729</v>
      </c>
      <c r="H247" s="1">
        <v>67</v>
      </c>
      <c r="I247" s="1">
        <f t="shared" si="20"/>
        <v>510082</v>
      </c>
      <c r="J247" s="1">
        <f t="shared" si="21"/>
        <v>1012057.8224967369</v>
      </c>
      <c r="K247" s="1">
        <f t="shared" si="22"/>
        <v>501975.82249673677</v>
      </c>
      <c r="L247" s="5">
        <f t="shared" si="23"/>
        <v>7741</v>
      </c>
    </row>
    <row r="248" spans="1:12" x14ac:dyDescent="0.25">
      <c r="A248" s="3">
        <v>42232</v>
      </c>
      <c r="B248" s="1">
        <f t="shared" si="18"/>
        <v>684</v>
      </c>
      <c r="C248" s="1">
        <v>1141.1078842099716</v>
      </c>
      <c r="D248" s="1">
        <f t="shared" si="19"/>
        <v>457.10788420997159</v>
      </c>
      <c r="E248" s="2">
        <v>6</v>
      </c>
      <c r="F248" s="1">
        <v>190.1846473683286</v>
      </c>
      <c r="G248" s="1">
        <v>76.184647368328598</v>
      </c>
      <c r="H248" s="1">
        <v>114</v>
      </c>
      <c r="I248" s="1">
        <f t="shared" si="20"/>
        <v>510766</v>
      </c>
      <c r="J248" s="1">
        <f t="shared" si="21"/>
        <v>1013198.9303809468</v>
      </c>
      <c r="K248" s="1">
        <f t="shared" si="22"/>
        <v>502432.93038094672</v>
      </c>
      <c r="L248" s="5">
        <f t="shared" si="23"/>
        <v>7747</v>
      </c>
    </row>
    <row r="249" spans="1:12" x14ac:dyDescent="0.25">
      <c r="A249" s="3">
        <v>42238</v>
      </c>
      <c r="B249" s="1">
        <f t="shared" si="18"/>
        <v>856</v>
      </c>
      <c r="C249" s="1">
        <v>1506.1547726441074</v>
      </c>
      <c r="D249" s="1">
        <f t="shared" si="19"/>
        <v>650.15477264410742</v>
      </c>
      <c r="E249" s="2">
        <v>8</v>
      </c>
      <c r="F249" s="1">
        <v>188.26934658051343</v>
      </c>
      <c r="G249" s="1">
        <v>81.269346580513428</v>
      </c>
      <c r="H249" s="1">
        <v>107</v>
      </c>
      <c r="I249" s="1">
        <f t="shared" si="20"/>
        <v>511622</v>
      </c>
      <c r="J249" s="1">
        <f t="shared" si="21"/>
        <v>1014705.085153591</v>
      </c>
      <c r="K249" s="1">
        <f t="shared" si="22"/>
        <v>503083.08515359083</v>
      </c>
      <c r="L249" s="5">
        <f t="shared" si="23"/>
        <v>7755</v>
      </c>
    </row>
    <row r="250" spans="1:12" x14ac:dyDescent="0.25">
      <c r="A250" s="3">
        <v>42246</v>
      </c>
      <c r="B250" s="1">
        <f t="shared" si="18"/>
        <v>445</v>
      </c>
      <c r="C250" s="1">
        <v>785.97115297929099</v>
      </c>
      <c r="D250" s="1">
        <f t="shared" si="19"/>
        <v>340.97115297929088</v>
      </c>
      <c r="E250" s="2">
        <v>5</v>
      </c>
      <c r="F250" s="1">
        <v>157.19423059585819</v>
      </c>
      <c r="G250" s="1">
        <v>68.194230595858173</v>
      </c>
      <c r="H250" s="1">
        <v>89</v>
      </c>
      <c r="I250" s="1">
        <f t="shared" si="20"/>
        <v>512067</v>
      </c>
      <c r="J250" s="1">
        <f t="shared" si="21"/>
        <v>1015491.0563065703</v>
      </c>
      <c r="K250" s="1">
        <f t="shared" si="22"/>
        <v>503424.05630657013</v>
      </c>
      <c r="L250" s="5">
        <f t="shared" si="23"/>
        <v>7760</v>
      </c>
    </row>
    <row r="251" spans="1:12" x14ac:dyDescent="0.25">
      <c r="A251" s="3">
        <v>42256</v>
      </c>
      <c r="B251" s="1">
        <f t="shared" si="18"/>
        <v>240</v>
      </c>
      <c r="C251" s="1">
        <v>534.39258490342422</v>
      </c>
      <c r="D251" s="1">
        <f t="shared" si="19"/>
        <v>294.39258490342417</v>
      </c>
      <c r="E251" s="2">
        <v>16</v>
      </c>
      <c r="F251" s="1">
        <v>33.399536556464014</v>
      </c>
      <c r="G251" s="1">
        <v>18.39953655646401</v>
      </c>
      <c r="H251" s="1">
        <v>15</v>
      </c>
      <c r="I251" s="1">
        <f t="shared" si="20"/>
        <v>512307</v>
      </c>
      <c r="J251" s="1">
        <f t="shared" si="21"/>
        <v>1016025.4488914737</v>
      </c>
      <c r="K251" s="1">
        <f t="shared" si="22"/>
        <v>503718.44889147353</v>
      </c>
      <c r="L251" s="5">
        <f t="shared" si="23"/>
        <v>7776</v>
      </c>
    </row>
    <row r="252" spans="1:12" x14ac:dyDescent="0.25">
      <c r="A252" s="3">
        <v>42268</v>
      </c>
      <c r="B252" s="1">
        <f t="shared" si="18"/>
        <v>390</v>
      </c>
      <c r="C252" s="1">
        <v>1146.78142200196</v>
      </c>
      <c r="D252" s="1">
        <f t="shared" si="19"/>
        <v>756.7814220019601</v>
      </c>
      <c r="E252" s="2">
        <v>10</v>
      </c>
      <c r="F252" s="1">
        <v>114.67814220019601</v>
      </c>
      <c r="G252" s="1">
        <v>75.678142200196007</v>
      </c>
      <c r="H252" s="1">
        <v>39</v>
      </c>
      <c r="I252" s="1">
        <f t="shared" si="20"/>
        <v>512697</v>
      </c>
      <c r="J252" s="1">
        <f t="shared" si="21"/>
        <v>1017172.2303134757</v>
      </c>
      <c r="K252" s="1">
        <f t="shared" si="22"/>
        <v>504475.23031347548</v>
      </c>
      <c r="L252" s="5">
        <f t="shared" si="23"/>
        <v>7786</v>
      </c>
    </row>
    <row r="253" spans="1:12" x14ac:dyDescent="0.25">
      <c r="A253" s="3">
        <v>42269</v>
      </c>
      <c r="B253" s="1">
        <f t="shared" si="18"/>
        <v>792</v>
      </c>
      <c r="C253" s="1">
        <v>1673.4531230390953</v>
      </c>
      <c r="D253" s="1">
        <f t="shared" si="19"/>
        <v>881.45312303909532</v>
      </c>
      <c r="E253" s="2">
        <v>9</v>
      </c>
      <c r="F253" s="1">
        <v>185.93923589323282</v>
      </c>
      <c r="G253" s="1">
        <v>97.939235893232819</v>
      </c>
      <c r="H253" s="1">
        <v>88</v>
      </c>
      <c r="I253" s="1">
        <f t="shared" si="20"/>
        <v>513489</v>
      </c>
      <c r="J253" s="1">
        <f t="shared" si="21"/>
        <v>1018845.6834365148</v>
      </c>
      <c r="K253" s="1">
        <f t="shared" si="22"/>
        <v>505356.68343651458</v>
      </c>
      <c r="L253" s="5">
        <f t="shared" si="23"/>
        <v>7795</v>
      </c>
    </row>
    <row r="254" spans="1:12" x14ac:dyDescent="0.25">
      <c r="A254" s="3">
        <v>42271</v>
      </c>
      <c r="B254" s="1">
        <f t="shared" si="18"/>
        <v>658</v>
      </c>
      <c r="C254" s="1">
        <v>1112.2629134590973</v>
      </c>
      <c r="D254" s="1">
        <f t="shared" si="19"/>
        <v>454.26291345909732</v>
      </c>
      <c r="E254" s="2">
        <v>7</v>
      </c>
      <c r="F254" s="1">
        <v>158.89470192272819</v>
      </c>
      <c r="G254" s="1">
        <v>64.894701922728188</v>
      </c>
      <c r="H254" s="1">
        <v>94</v>
      </c>
      <c r="I254" s="1">
        <f t="shared" si="20"/>
        <v>514147</v>
      </c>
      <c r="J254" s="1">
        <f t="shared" si="21"/>
        <v>1019957.9463499739</v>
      </c>
      <c r="K254" s="1">
        <f t="shared" si="22"/>
        <v>505810.94634997367</v>
      </c>
      <c r="L254" s="5">
        <f t="shared" si="23"/>
        <v>7802</v>
      </c>
    </row>
    <row r="255" spans="1:12" x14ac:dyDescent="0.25">
      <c r="A255" s="3">
        <v>42274</v>
      </c>
      <c r="B255" s="1">
        <f t="shared" si="18"/>
        <v>960</v>
      </c>
      <c r="C255" s="1">
        <v>1908.2362208878801</v>
      </c>
      <c r="D255" s="1">
        <f t="shared" si="19"/>
        <v>948.23622088788022</v>
      </c>
      <c r="E255" s="2">
        <v>15</v>
      </c>
      <c r="F255" s="1">
        <v>127.21574805919201</v>
      </c>
      <c r="G255" s="1">
        <v>63.215748059192016</v>
      </c>
      <c r="H255" s="1">
        <v>64</v>
      </c>
      <c r="I255" s="1">
        <f t="shared" si="20"/>
        <v>515107</v>
      </c>
      <c r="J255" s="1">
        <f t="shared" si="21"/>
        <v>1021866.1825708618</v>
      </c>
      <c r="K255" s="1">
        <f t="shared" si="22"/>
        <v>506759.18257086154</v>
      </c>
      <c r="L255" s="5">
        <f t="shared" si="23"/>
        <v>7817</v>
      </c>
    </row>
    <row r="256" spans="1:12" x14ac:dyDescent="0.25">
      <c r="A256" s="3">
        <v>42295</v>
      </c>
      <c r="B256" s="1">
        <f t="shared" si="18"/>
        <v>1350</v>
      </c>
      <c r="C256" s="1">
        <v>2606.9536289765115</v>
      </c>
      <c r="D256" s="1">
        <f t="shared" si="19"/>
        <v>1256.9536289765115</v>
      </c>
      <c r="E256" s="2">
        <v>27</v>
      </c>
      <c r="F256" s="1">
        <v>96.553838110241173</v>
      </c>
      <c r="G256" s="1">
        <v>46.553838110241166</v>
      </c>
      <c r="H256" s="1">
        <v>50</v>
      </c>
      <c r="I256" s="1">
        <f t="shared" si="20"/>
        <v>516457</v>
      </c>
      <c r="J256" s="1">
        <f t="shared" si="21"/>
        <v>1024473.1361998382</v>
      </c>
      <c r="K256" s="1">
        <f t="shared" si="22"/>
        <v>508016.13619983807</v>
      </c>
      <c r="L256" s="5">
        <f t="shared" si="23"/>
        <v>7844</v>
      </c>
    </row>
    <row r="257" spans="1:12" x14ac:dyDescent="0.25">
      <c r="A257" s="3">
        <v>42305</v>
      </c>
      <c r="B257" s="1">
        <f t="shared" si="18"/>
        <v>272</v>
      </c>
      <c r="C257" s="1">
        <v>488.28784377662942</v>
      </c>
      <c r="D257" s="1">
        <f t="shared" si="19"/>
        <v>216.28784377662939</v>
      </c>
      <c r="E257" s="2">
        <v>4</v>
      </c>
      <c r="F257" s="1">
        <v>122.07196094415735</v>
      </c>
      <c r="G257" s="1">
        <v>54.071960944157347</v>
      </c>
      <c r="H257" s="1">
        <v>68</v>
      </c>
      <c r="I257" s="1">
        <f t="shared" si="20"/>
        <v>516729</v>
      </c>
      <c r="J257" s="1">
        <f t="shared" si="21"/>
        <v>1024961.4240436149</v>
      </c>
      <c r="K257" s="1">
        <f t="shared" si="22"/>
        <v>508232.42404361471</v>
      </c>
      <c r="L257" s="5">
        <f t="shared" si="23"/>
        <v>7848</v>
      </c>
    </row>
    <row r="258" spans="1:12" x14ac:dyDescent="0.25">
      <c r="A258" s="3">
        <v>42308</v>
      </c>
      <c r="B258" s="1">
        <f t="shared" ref="B258:B321" si="24">+E258*H258</f>
        <v>276</v>
      </c>
      <c r="C258" s="1">
        <v>480.57119793924835</v>
      </c>
      <c r="D258" s="1">
        <f t="shared" ref="D258:D321" si="25">+E258*G258</f>
        <v>204.57119793924838</v>
      </c>
      <c r="E258" s="2">
        <v>6</v>
      </c>
      <c r="F258" s="1">
        <v>80.095199656541396</v>
      </c>
      <c r="G258" s="1">
        <v>34.095199656541396</v>
      </c>
      <c r="H258" s="1">
        <v>46</v>
      </c>
      <c r="I258" s="1">
        <f t="shared" si="20"/>
        <v>517005</v>
      </c>
      <c r="J258" s="1">
        <f t="shared" si="21"/>
        <v>1025441.9952415541</v>
      </c>
      <c r="K258" s="1">
        <f t="shared" si="22"/>
        <v>508436.99524155393</v>
      </c>
      <c r="L258" s="5">
        <f t="shared" si="23"/>
        <v>7854</v>
      </c>
    </row>
    <row r="259" spans="1:12" x14ac:dyDescent="0.25">
      <c r="A259" s="3">
        <v>42312</v>
      </c>
      <c r="B259" s="1">
        <f t="shared" si="24"/>
        <v>840</v>
      </c>
      <c r="C259" s="1">
        <v>2066.5974512829557</v>
      </c>
      <c r="D259" s="1">
        <f t="shared" si="25"/>
        <v>1226.5974512829557</v>
      </c>
      <c r="E259" s="2">
        <v>35</v>
      </c>
      <c r="F259" s="1">
        <v>59.045641465227305</v>
      </c>
      <c r="G259" s="1">
        <v>35.045641465227305</v>
      </c>
      <c r="H259" s="1">
        <v>24</v>
      </c>
      <c r="I259" s="1">
        <f t="shared" si="20"/>
        <v>517845</v>
      </c>
      <c r="J259" s="1">
        <f t="shared" si="21"/>
        <v>1027508.592692837</v>
      </c>
      <c r="K259" s="1">
        <f t="shared" si="22"/>
        <v>509663.59269283689</v>
      </c>
      <c r="L259" s="5">
        <f t="shared" si="23"/>
        <v>7889</v>
      </c>
    </row>
    <row r="260" spans="1:12" x14ac:dyDescent="0.25">
      <c r="A260" s="3">
        <v>42323</v>
      </c>
      <c r="B260" s="1">
        <f t="shared" si="24"/>
        <v>1681</v>
      </c>
      <c r="C260" s="1">
        <v>3626.6833177027465</v>
      </c>
      <c r="D260" s="1">
        <f t="shared" si="25"/>
        <v>1945.683317702747</v>
      </c>
      <c r="E260" s="2">
        <v>41</v>
      </c>
      <c r="F260" s="1">
        <v>88.455690675676749</v>
      </c>
      <c r="G260" s="1">
        <v>47.455690675676756</v>
      </c>
      <c r="H260" s="1">
        <v>41</v>
      </c>
      <c r="I260" s="1">
        <f t="shared" ref="I260:I323" si="26">+I259+B260</f>
        <v>519526</v>
      </c>
      <c r="J260" s="1">
        <f t="shared" ref="J260:J323" si="27">+J259+C260</f>
        <v>1031135.2760105397</v>
      </c>
      <c r="K260" s="1">
        <f t="shared" ref="K260:K323" si="28">+K259+D260</f>
        <v>511609.27601053962</v>
      </c>
      <c r="L260" s="5">
        <f t="shared" ref="L260:L323" si="29">+L259+E260</f>
        <v>7930</v>
      </c>
    </row>
    <row r="261" spans="1:12" x14ac:dyDescent="0.25">
      <c r="A261" s="3">
        <v>42330</v>
      </c>
      <c r="B261" s="1">
        <f t="shared" si="24"/>
        <v>3094</v>
      </c>
      <c r="C261" s="1">
        <v>5471.2013823504203</v>
      </c>
      <c r="D261" s="1">
        <f t="shared" si="25"/>
        <v>2377.2013823504199</v>
      </c>
      <c r="E261" s="2">
        <v>26</v>
      </c>
      <c r="F261" s="1">
        <v>210.43082239809308</v>
      </c>
      <c r="G261" s="1">
        <v>91.430822398093071</v>
      </c>
      <c r="H261" s="1">
        <v>119</v>
      </c>
      <c r="I261" s="1">
        <f t="shared" si="26"/>
        <v>522620</v>
      </c>
      <c r="J261" s="1">
        <f t="shared" si="27"/>
        <v>1036606.4773928901</v>
      </c>
      <c r="K261" s="1">
        <f t="shared" si="28"/>
        <v>513986.47739289002</v>
      </c>
      <c r="L261" s="5">
        <f t="shared" si="29"/>
        <v>7956</v>
      </c>
    </row>
    <row r="262" spans="1:12" x14ac:dyDescent="0.25">
      <c r="A262" s="3">
        <v>42357</v>
      </c>
      <c r="B262" s="1">
        <f t="shared" si="24"/>
        <v>1680</v>
      </c>
      <c r="C262" s="1">
        <v>3591.62655441164</v>
      </c>
      <c r="D262" s="1">
        <f t="shared" si="25"/>
        <v>1911.62655441164</v>
      </c>
      <c r="E262" s="2">
        <v>28</v>
      </c>
      <c r="F262" s="1">
        <v>128.27237694327286</v>
      </c>
      <c r="G262" s="1">
        <v>68.27237694327286</v>
      </c>
      <c r="H262" s="1">
        <v>60</v>
      </c>
      <c r="I262" s="1">
        <f t="shared" si="26"/>
        <v>524300</v>
      </c>
      <c r="J262" s="1">
        <f t="shared" si="27"/>
        <v>1040198.1039473017</v>
      </c>
      <c r="K262" s="1">
        <f t="shared" si="28"/>
        <v>515898.10394730169</v>
      </c>
      <c r="L262" s="5">
        <f t="shared" si="29"/>
        <v>7984</v>
      </c>
    </row>
    <row r="263" spans="1:12" x14ac:dyDescent="0.25">
      <c r="A263" s="3">
        <v>42360</v>
      </c>
      <c r="B263" s="1">
        <f t="shared" si="24"/>
        <v>837</v>
      </c>
      <c r="C263" s="1">
        <v>2492.5742575549307</v>
      </c>
      <c r="D263" s="1">
        <f t="shared" si="25"/>
        <v>1655.5742575549305</v>
      </c>
      <c r="E263" s="2">
        <v>27</v>
      </c>
      <c r="F263" s="1">
        <v>92.317565094627057</v>
      </c>
      <c r="G263" s="1">
        <v>61.317565094627057</v>
      </c>
      <c r="H263" s="1">
        <v>31</v>
      </c>
      <c r="I263" s="1">
        <f t="shared" si="26"/>
        <v>525137</v>
      </c>
      <c r="J263" s="1">
        <f t="shared" si="27"/>
        <v>1042690.6782048567</v>
      </c>
      <c r="K263" s="1">
        <f t="shared" si="28"/>
        <v>517553.67820485664</v>
      </c>
      <c r="L263" s="5">
        <f t="shared" si="29"/>
        <v>8011</v>
      </c>
    </row>
    <row r="264" spans="1:12" x14ac:dyDescent="0.25">
      <c r="A264" s="3">
        <v>42363</v>
      </c>
      <c r="B264" s="1">
        <f t="shared" si="24"/>
        <v>253</v>
      </c>
      <c r="C264" s="1">
        <v>562.93107180971901</v>
      </c>
      <c r="D264" s="1">
        <f t="shared" si="25"/>
        <v>309.93107180971901</v>
      </c>
      <c r="E264" s="2">
        <v>11</v>
      </c>
      <c r="F264" s="1">
        <v>51.175551982701734</v>
      </c>
      <c r="G264" s="1">
        <v>28.17555198270173</v>
      </c>
      <c r="H264" s="1">
        <v>23</v>
      </c>
      <c r="I264" s="1">
        <f t="shared" si="26"/>
        <v>525390</v>
      </c>
      <c r="J264" s="1">
        <f t="shared" si="27"/>
        <v>1043253.6092766664</v>
      </c>
      <c r="K264" s="1">
        <f t="shared" si="28"/>
        <v>517863.60927666636</v>
      </c>
      <c r="L264" s="5">
        <f t="shared" si="29"/>
        <v>8022</v>
      </c>
    </row>
    <row r="265" spans="1:12" x14ac:dyDescent="0.25">
      <c r="A265" s="3">
        <v>42364</v>
      </c>
      <c r="B265" s="1">
        <f t="shared" si="24"/>
        <v>344</v>
      </c>
      <c r="C265" s="1">
        <v>792.84143914675724</v>
      </c>
      <c r="D265" s="1">
        <f t="shared" si="25"/>
        <v>448.84143914675724</v>
      </c>
      <c r="E265" s="2">
        <v>8</v>
      </c>
      <c r="F265" s="1">
        <v>99.105179893344655</v>
      </c>
      <c r="G265" s="1">
        <v>56.105179893344655</v>
      </c>
      <c r="H265" s="1">
        <v>43</v>
      </c>
      <c r="I265" s="1">
        <f t="shared" si="26"/>
        <v>525734</v>
      </c>
      <c r="J265" s="1">
        <f t="shared" si="27"/>
        <v>1044046.4507158132</v>
      </c>
      <c r="K265" s="1">
        <f t="shared" si="28"/>
        <v>518312.45071581315</v>
      </c>
      <c r="L265" s="5">
        <f t="shared" si="29"/>
        <v>8030</v>
      </c>
    </row>
    <row r="266" spans="1:12" x14ac:dyDescent="0.25">
      <c r="A266" s="3">
        <v>42368</v>
      </c>
      <c r="B266" s="1">
        <f t="shared" si="24"/>
        <v>657</v>
      </c>
      <c r="C266" s="1">
        <v>1381.2921200943022</v>
      </c>
      <c r="D266" s="1">
        <f t="shared" si="25"/>
        <v>724.29212009430216</v>
      </c>
      <c r="E266" s="2">
        <v>9</v>
      </c>
      <c r="F266" s="1">
        <v>153.47690223270024</v>
      </c>
      <c r="G266" s="1">
        <v>80.47690223270024</v>
      </c>
      <c r="H266" s="1">
        <v>73</v>
      </c>
      <c r="I266" s="1">
        <f t="shared" si="26"/>
        <v>526391</v>
      </c>
      <c r="J266" s="1">
        <f t="shared" si="27"/>
        <v>1045427.7428359075</v>
      </c>
      <c r="K266" s="1">
        <f t="shared" si="28"/>
        <v>519036.74283590744</v>
      </c>
      <c r="L266" s="5">
        <f t="shared" si="29"/>
        <v>8039</v>
      </c>
    </row>
    <row r="267" spans="1:12" x14ac:dyDescent="0.25">
      <c r="A267" s="3">
        <v>42388</v>
      </c>
      <c r="B267" s="1">
        <f t="shared" si="24"/>
        <v>364</v>
      </c>
      <c r="C267" s="1">
        <v>836.21782522092258</v>
      </c>
      <c r="D267" s="1">
        <f t="shared" si="25"/>
        <v>472.21782522092263</v>
      </c>
      <c r="E267" s="2">
        <v>4</v>
      </c>
      <c r="F267" s="1">
        <v>209.05445630523064</v>
      </c>
      <c r="G267" s="1">
        <v>118.05445630523066</v>
      </c>
      <c r="H267" s="1">
        <v>91</v>
      </c>
      <c r="I267" s="1">
        <f t="shared" si="26"/>
        <v>526755</v>
      </c>
      <c r="J267" s="1">
        <f t="shared" si="27"/>
        <v>1046263.9606611284</v>
      </c>
      <c r="K267" s="1">
        <f t="shared" si="28"/>
        <v>519508.96066112834</v>
      </c>
      <c r="L267" s="5">
        <f t="shared" si="29"/>
        <v>8043</v>
      </c>
    </row>
    <row r="268" spans="1:12" x14ac:dyDescent="0.25">
      <c r="A268" s="3">
        <v>42389</v>
      </c>
      <c r="B268" s="1">
        <f t="shared" si="24"/>
        <v>2752</v>
      </c>
      <c r="C268" s="1">
        <v>4660.137887728135</v>
      </c>
      <c r="D268" s="1">
        <f t="shared" si="25"/>
        <v>1908.1378877281345</v>
      </c>
      <c r="E268" s="2">
        <v>32</v>
      </c>
      <c r="F268" s="1">
        <v>145.62930899150422</v>
      </c>
      <c r="G268" s="1">
        <v>59.629308991504203</v>
      </c>
      <c r="H268" s="1">
        <v>86</v>
      </c>
      <c r="I268" s="1">
        <f t="shared" si="26"/>
        <v>529507</v>
      </c>
      <c r="J268" s="1">
        <f t="shared" si="27"/>
        <v>1050924.0985488566</v>
      </c>
      <c r="K268" s="1">
        <f t="shared" si="28"/>
        <v>521417.09854885645</v>
      </c>
      <c r="L268" s="5">
        <f t="shared" si="29"/>
        <v>8075</v>
      </c>
    </row>
    <row r="269" spans="1:12" x14ac:dyDescent="0.25">
      <c r="A269" s="3">
        <v>42389</v>
      </c>
      <c r="B269" s="1">
        <f t="shared" si="24"/>
        <v>1224</v>
      </c>
      <c r="C269" s="1">
        <v>3296.731394362324</v>
      </c>
      <c r="D269" s="1">
        <f t="shared" si="25"/>
        <v>2072.731394362324</v>
      </c>
      <c r="E269" s="2">
        <v>36</v>
      </c>
      <c r="F269" s="1">
        <v>91.575872065620104</v>
      </c>
      <c r="G269" s="1">
        <v>57.575872065620104</v>
      </c>
      <c r="H269" s="1">
        <v>34</v>
      </c>
      <c r="I269" s="1">
        <f t="shared" si="26"/>
        <v>530731</v>
      </c>
      <c r="J269" s="1">
        <f t="shared" si="27"/>
        <v>1054220.829943219</v>
      </c>
      <c r="K269" s="1">
        <f t="shared" si="28"/>
        <v>523489.82994321879</v>
      </c>
      <c r="L269" s="5">
        <f t="shared" si="29"/>
        <v>8111</v>
      </c>
    </row>
    <row r="270" spans="1:12" x14ac:dyDescent="0.25">
      <c r="A270" s="3">
        <v>42428</v>
      </c>
      <c r="B270" s="1">
        <f t="shared" si="24"/>
        <v>3136</v>
      </c>
      <c r="C270" s="1">
        <v>6505.183733594461</v>
      </c>
      <c r="D270" s="1">
        <f t="shared" si="25"/>
        <v>3369.183733594461</v>
      </c>
      <c r="E270" s="2">
        <v>64</v>
      </c>
      <c r="F270" s="1">
        <v>101.64349583741345</v>
      </c>
      <c r="G270" s="1">
        <v>52.643495837413454</v>
      </c>
      <c r="H270" s="1">
        <v>49</v>
      </c>
      <c r="I270" s="1">
        <f t="shared" si="26"/>
        <v>533867</v>
      </c>
      <c r="J270" s="1">
        <f t="shared" si="27"/>
        <v>1060726.0136768133</v>
      </c>
      <c r="K270" s="1">
        <f t="shared" si="28"/>
        <v>526859.01367681322</v>
      </c>
      <c r="L270" s="5">
        <f t="shared" si="29"/>
        <v>8175</v>
      </c>
    </row>
    <row r="271" spans="1:12" x14ac:dyDescent="0.25">
      <c r="A271" s="3">
        <v>42430</v>
      </c>
      <c r="B271" s="1">
        <f t="shared" si="24"/>
        <v>3550</v>
      </c>
      <c r="C271" s="1">
        <v>9329.5152286761841</v>
      </c>
      <c r="D271" s="1">
        <f t="shared" si="25"/>
        <v>5779.5152286761822</v>
      </c>
      <c r="E271" s="2">
        <v>71</v>
      </c>
      <c r="F271" s="1">
        <v>131.40162293910117</v>
      </c>
      <c r="G271" s="1">
        <v>81.401622939101159</v>
      </c>
      <c r="H271" s="1">
        <v>50</v>
      </c>
      <c r="I271" s="1">
        <f t="shared" si="26"/>
        <v>537417</v>
      </c>
      <c r="J271" s="1">
        <f t="shared" si="27"/>
        <v>1070055.5289054895</v>
      </c>
      <c r="K271" s="1">
        <f t="shared" si="28"/>
        <v>532638.52890548937</v>
      </c>
      <c r="L271" s="5">
        <f t="shared" si="29"/>
        <v>8246</v>
      </c>
    </row>
    <row r="272" spans="1:12" x14ac:dyDescent="0.25">
      <c r="A272" s="3">
        <v>42433</v>
      </c>
      <c r="B272" s="1">
        <f t="shared" si="24"/>
        <v>14328</v>
      </c>
      <c r="C272" s="1">
        <v>41926.891291215135</v>
      </c>
      <c r="D272" s="1">
        <f t="shared" si="25"/>
        <v>27598.891291215135</v>
      </c>
      <c r="E272" s="2">
        <v>199</v>
      </c>
      <c r="F272" s="1">
        <v>210.68789593575445</v>
      </c>
      <c r="G272" s="1">
        <v>138.68789593575445</v>
      </c>
      <c r="H272" s="1">
        <v>72</v>
      </c>
      <c r="I272" s="1">
        <f t="shared" si="26"/>
        <v>551745</v>
      </c>
      <c r="J272" s="1">
        <f t="shared" si="27"/>
        <v>1111982.4201967046</v>
      </c>
      <c r="K272" s="1">
        <f t="shared" si="28"/>
        <v>560237.42019670445</v>
      </c>
      <c r="L272" s="5">
        <f t="shared" si="29"/>
        <v>8445</v>
      </c>
    </row>
    <row r="273" spans="1:12" x14ac:dyDescent="0.25">
      <c r="A273" s="3">
        <v>42448</v>
      </c>
      <c r="B273" s="1">
        <f t="shared" si="24"/>
        <v>297</v>
      </c>
      <c r="C273" s="1">
        <v>658.1554520823845</v>
      </c>
      <c r="D273" s="1">
        <f t="shared" si="25"/>
        <v>361.15545208238456</v>
      </c>
      <c r="E273" s="2">
        <v>9</v>
      </c>
      <c r="F273" s="1">
        <v>73.128383564709395</v>
      </c>
      <c r="G273" s="1">
        <v>40.128383564709395</v>
      </c>
      <c r="H273" s="1">
        <v>33</v>
      </c>
      <c r="I273" s="1">
        <f t="shared" si="26"/>
        <v>552042</v>
      </c>
      <c r="J273" s="1">
        <f t="shared" si="27"/>
        <v>1112640.575648787</v>
      </c>
      <c r="K273" s="1">
        <f t="shared" si="28"/>
        <v>560598.57564878685</v>
      </c>
      <c r="L273" s="5">
        <f t="shared" si="29"/>
        <v>8454</v>
      </c>
    </row>
    <row r="274" spans="1:12" x14ac:dyDescent="0.25">
      <c r="A274" s="3">
        <v>42452</v>
      </c>
      <c r="B274" s="1">
        <f t="shared" si="24"/>
        <v>837</v>
      </c>
      <c r="C274" s="1">
        <v>1497.0252383870259</v>
      </c>
      <c r="D274" s="1">
        <f t="shared" si="25"/>
        <v>660.02523838702575</v>
      </c>
      <c r="E274" s="2">
        <v>31</v>
      </c>
      <c r="F274" s="1">
        <v>48.291136722162122</v>
      </c>
      <c r="G274" s="1">
        <v>21.291136722162122</v>
      </c>
      <c r="H274" s="1">
        <v>27</v>
      </c>
      <c r="I274" s="1">
        <f t="shared" si="26"/>
        <v>552879</v>
      </c>
      <c r="J274" s="1">
        <f t="shared" si="27"/>
        <v>1114137.600887174</v>
      </c>
      <c r="K274" s="1">
        <f t="shared" si="28"/>
        <v>561258.6008871739</v>
      </c>
      <c r="L274" s="5">
        <f t="shared" si="29"/>
        <v>8485</v>
      </c>
    </row>
    <row r="275" spans="1:12" x14ac:dyDescent="0.25">
      <c r="A275" s="3">
        <v>42456</v>
      </c>
      <c r="B275" s="1">
        <f t="shared" si="24"/>
        <v>1026</v>
      </c>
      <c r="C275" s="1">
        <v>1980.1400547703802</v>
      </c>
      <c r="D275" s="1">
        <f t="shared" si="25"/>
        <v>954.14005477038017</v>
      </c>
      <c r="E275" s="2">
        <v>19</v>
      </c>
      <c r="F275" s="1">
        <v>104.2178976194937</v>
      </c>
      <c r="G275" s="1">
        <v>50.217897619493691</v>
      </c>
      <c r="H275" s="1">
        <v>54</v>
      </c>
      <c r="I275" s="1">
        <f t="shared" si="26"/>
        <v>553905</v>
      </c>
      <c r="J275" s="1">
        <f t="shared" si="27"/>
        <v>1116117.7409419443</v>
      </c>
      <c r="K275" s="1">
        <f t="shared" si="28"/>
        <v>562212.7409419443</v>
      </c>
      <c r="L275" s="5">
        <f t="shared" si="29"/>
        <v>8504</v>
      </c>
    </row>
    <row r="276" spans="1:12" x14ac:dyDescent="0.25">
      <c r="A276" s="3">
        <v>42468</v>
      </c>
      <c r="B276" s="1">
        <f t="shared" si="24"/>
        <v>1170</v>
      </c>
      <c r="C276" s="1">
        <v>2228.4137301545011</v>
      </c>
      <c r="D276" s="1">
        <f t="shared" si="25"/>
        <v>1058.4137301545011</v>
      </c>
      <c r="E276" s="2">
        <v>30</v>
      </c>
      <c r="F276" s="1">
        <v>74.280457671816706</v>
      </c>
      <c r="G276" s="1">
        <v>35.280457671816706</v>
      </c>
      <c r="H276" s="1">
        <v>39</v>
      </c>
      <c r="I276" s="1">
        <f t="shared" si="26"/>
        <v>555075</v>
      </c>
      <c r="J276" s="1">
        <f t="shared" si="27"/>
        <v>1118346.1546720988</v>
      </c>
      <c r="K276" s="1">
        <f t="shared" si="28"/>
        <v>563271.15467209881</v>
      </c>
      <c r="L276" s="5">
        <f t="shared" si="29"/>
        <v>8534</v>
      </c>
    </row>
    <row r="277" spans="1:12" x14ac:dyDescent="0.25">
      <c r="A277" s="3">
        <v>42470</v>
      </c>
      <c r="B277" s="1">
        <f t="shared" si="24"/>
        <v>68</v>
      </c>
      <c r="C277" s="1">
        <v>201.37098711286376</v>
      </c>
      <c r="D277" s="1">
        <f t="shared" si="25"/>
        <v>133.37098711286376</v>
      </c>
      <c r="E277" s="2">
        <v>2</v>
      </c>
      <c r="F277" s="1">
        <v>100.68549355643188</v>
      </c>
      <c r="G277" s="1">
        <v>66.685493556431879</v>
      </c>
      <c r="H277" s="1">
        <v>34</v>
      </c>
      <c r="I277" s="1">
        <f t="shared" si="26"/>
        <v>555143</v>
      </c>
      <c r="J277" s="1">
        <f t="shared" si="27"/>
        <v>1118547.5256592117</v>
      </c>
      <c r="K277" s="1">
        <f t="shared" si="28"/>
        <v>563404.52565921168</v>
      </c>
      <c r="L277" s="5">
        <f t="shared" si="29"/>
        <v>8536</v>
      </c>
    </row>
    <row r="278" spans="1:12" x14ac:dyDescent="0.25">
      <c r="A278" s="3">
        <v>42475</v>
      </c>
      <c r="B278" s="1">
        <f t="shared" si="24"/>
        <v>1458</v>
      </c>
      <c r="C278" s="1">
        <v>3086.5180512953807</v>
      </c>
      <c r="D278" s="1">
        <f t="shared" si="25"/>
        <v>1628.5180512953807</v>
      </c>
      <c r="E278" s="2">
        <v>27</v>
      </c>
      <c r="F278" s="1">
        <v>114.3154833813104</v>
      </c>
      <c r="G278" s="1">
        <v>60.315483381310401</v>
      </c>
      <c r="H278" s="1">
        <v>54</v>
      </c>
      <c r="I278" s="1">
        <f t="shared" si="26"/>
        <v>556601</v>
      </c>
      <c r="J278" s="1">
        <f t="shared" si="27"/>
        <v>1121634.043710507</v>
      </c>
      <c r="K278" s="1">
        <f t="shared" si="28"/>
        <v>565033.0437105071</v>
      </c>
      <c r="L278" s="5">
        <f t="shared" si="29"/>
        <v>8563</v>
      </c>
    </row>
    <row r="279" spans="1:12" x14ac:dyDescent="0.25">
      <c r="A279" s="3">
        <v>42485</v>
      </c>
      <c r="B279" s="1">
        <f t="shared" si="24"/>
        <v>429</v>
      </c>
      <c r="C279" s="1">
        <v>800.21152821062867</v>
      </c>
      <c r="D279" s="1">
        <f t="shared" si="25"/>
        <v>371.21152821062867</v>
      </c>
      <c r="E279" s="2">
        <v>11</v>
      </c>
      <c r="F279" s="1">
        <v>72.746502564602608</v>
      </c>
      <c r="G279" s="1">
        <v>33.746502564602608</v>
      </c>
      <c r="H279" s="1">
        <v>39</v>
      </c>
      <c r="I279" s="1">
        <f t="shared" si="26"/>
        <v>557030</v>
      </c>
      <c r="J279" s="1">
        <f t="shared" si="27"/>
        <v>1122434.2552387177</v>
      </c>
      <c r="K279" s="1">
        <f t="shared" si="28"/>
        <v>565404.25523871777</v>
      </c>
      <c r="L279" s="5">
        <f t="shared" si="29"/>
        <v>8574</v>
      </c>
    </row>
    <row r="280" spans="1:12" x14ac:dyDescent="0.25">
      <c r="A280" s="3">
        <v>42490</v>
      </c>
      <c r="B280" s="1">
        <f t="shared" si="24"/>
        <v>212</v>
      </c>
      <c r="C280" s="1">
        <v>440.50997324580885</v>
      </c>
      <c r="D280" s="1">
        <f t="shared" si="25"/>
        <v>228.50997324580882</v>
      </c>
      <c r="E280" s="2">
        <v>4</v>
      </c>
      <c r="F280" s="1">
        <v>110.12749331145221</v>
      </c>
      <c r="G280" s="1">
        <v>57.127493311452206</v>
      </c>
      <c r="H280" s="1">
        <v>53</v>
      </c>
      <c r="I280" s="1">
        <f t="shared" si="26"/>
        <v>557242</v>
      </c>
      <c r="J280" s="1">
        <f t="shared" si="27"/>
        <v>1122874.7652119636</v>
      </c>
      <c r="K280" s="1">
        <f t="shared" si="28"/>
        <v>565632.76521196356</v>
      </c>
      <c r="L280" s="5">
        <f t="shared" si="29"/>
        <v>8578</v>
      </c>
    </row>
    <row r="281" spans="1:12" x14ac:dyDescent="0.25">
      <c r="A281" s="3">
        <v>42495</v>
      </c>
      <c r="B281" s="1">
        <f t="shared" si="24"/>
        <v>558</v>
      </c>
      <c r="C281" s="1">
        <v>1263.1492139565148</v>
      </c>
      <c r="D281" s="1">
        <f t="shared" si="25"/>
        <v>705.14921395651481</v>
      </c>
      <c r="E281" s="2">
        <v>9</v>
      </c>
      <c r="F281" s="1">
        <v>140.34991266183499</v>
      </c>
      <c r="G281" s="1">
        <v>78.349912661834978</v>
      </c>
      <c r="H281" s="1">
        <v>62</v>
      </c>
      <c r="I281" s="1">
        <f t="shared" si="26"/>
        <v>557800</v>
      </c>
      <c r="J281" s="1">
        <f t="shared" si="27"/>
        <v>1124137.91442592</v>
      </c>
      <c r="K281" s="1">
        <f t="shared" si="28"/>
        <v>566337.91442592011</v>
      </c>
      <c r="L281" s="5">
        <f t="shared" si="29"/>
        <v>8587</v>
      </c>
    </row>
    <row r="282" spans="1:12" x14ac:dyDescent="0.25">
      <c r="A282" s="3">
        <v>42504</v>
      </c>
      <c r="B282" s="1">
        <f t="shared" si="24"/>
        <v>2112</v>
      </c>
      <c r="C282" s="1">
        <v>3875.652927028023</v>
      </c>
      <c r="D282" s="1">
        <f t="shared" si="25"/>
        <v>1763.652927028023</v>
      </c>
      <c r="E282" s="2">
        <v>24</v>
      </c>
      <c r="F282" s="1">
        <v>161.48553862616762</v>
      </c>
      <c r="G282" s="1">
        <v>73.485538626167624</v>
      </c>
      <c r="H282" s="1">
        <v>88</v>
      </c>
      <c r="I282" s="1">
        <f t="shared" si="26"/>
        <v>559912</v>
      </c>
      <c r="J282" s="1">
        <f t="shared" si="27"/>
        <v>1128013.567352948</v>
      </c>
      <c r="K282" s="1">
        <f t="shared" si="28"/>
        <v>568101.56735294813</v>
      </c>
      <c r="L282" s="5">
        <f t="shared" si="29"/>
        <v>8611</v>
      </c>
    </row>
    <row r="283" spans="1:12" x14ac:dyDescent="0.25">
      <c r="A283" s="3">
        <v>42524</v>
      </c>
      <c r="B283" s="1">
        <f t="shared" si="24"/>
        <v>5612</v>
      </c>
      <c r="C283" s="1">
        <v>11737.851254765186</v>
      </c>
      <c r="D283" s="1">
        <f t="shared" si="25"/>
        <v>6125.8512547651862</v>
      </c>
      <c r="E283" s="2">
        <v>61</v>
      </c>
      <c r="F283" s="1">
        <v>192.42379106172436</v>
      </c>
      <c r="G283" s="1">
        <v>100.42379106172436</v>
      </c>
      <c r="H283" s="1">
        <v>92</v>
      </c>
      <c r="I283" s="1">
        <f t="shared" si="26"/>
        <v>565524</v>
      </c>
      <c r="J283" s="1">
        <f t="shared" si="27"/>
        <v>1139751.4186077132</v>
      </c>
      <c r="K283" s="1">
        <f t="shared" si="28"/>
        <v>574227.41860771331</v>
      </c>
      <c r="L283" s="5">
        <f t="shared" si="29"/>
        <v>8672</v>
      </c>
    </row>
    <row r="284" spans="1:12" x14ac:dyDescent="0.25">
      <c r="A284" s="3">
        <v>42533</v>
      </c>
      <c r="B284" s="1">
        <f t="shared" si="24"/>
        <v>650</v>
      </c>
      <c r="C284" s="1">
        <v>1421.129033740699</v>
      </c>
      <c r="D284" s="1">
        <f t="shared" si="25"/>
        <v>771.12903374069901</v>
      </c>
      <c r="E284" s="2">
        <v>10</v>
      </c>
      <c r="F284" s="1">
        <v>142.1129033740699</v>
      </c>
      <c r="G284" s="1">
        <v>77.112903374069901</v>
      </c>
      <c r="H284" s="1">
        <v>65</v>
      </c>
      <c r="I284" s="1">
        <f t="shared" si="26"/>
        <v>566174</v>
      </c>
      <c r="J284" s="1">
        <f t="shared" si="27"/>
        <v>1141172.5476414538</v>
      </c>
      <c r="K284" s="1">
        <f t="shared" si="28"/>
        <v>574998.54764145403</v>
      </c>
      <c r="L284" s="5">
        <f t="shared" si="29"/>
        <v>8682</v>
      </c>
    </row>
    <row r="285" spans="1:12" x14ac:dyDescent="0.25">
      <c r="A285" s="3">
        <v>42541</v>
      </c>
      <c r="B285" s="1">
        <f t="shared" si="24"/>
        <v>2016</v>
      </c>
      <c r="C285" s="1">
        <v>3400.5150547906651</v>
      </c>
      <c r="D285" s="1">
        <f t="shared" si="25"/>
        <v>1384.5150547906649</v>
      </c>
      <c r="E285" s="2">
        <v>12</v>
      </c>
      <c r="F285" s="1">
        <v>283.37625456588876</v>
      </c>
      <c r="G285" s="1">
        <v>115.37625456588874</v>
      </c>
      <c r="H285" s="1">
        <v>168</v>
      </c>
      <c r="I285" s="1">
        <f t="shared" si="26"/>
        <v>568190</v>
      </c>
      <c r="J285" s="1">
        <f t="shared" si="27"/>
        <v>1144573.0626962446</v>
      </c>
      <c r="K285" s="1">
        <f t="shared" si="28"/>
        <v>576383.06269624468</v>
      </c>
      <c r="L285" s="5">
        <f t="shared" si="29"/>
        <v>8694</v>
      </c>
    </row>
    <row r="286" spans="1:12" x14ac:dyDescent="0.25">
      <c r="A286" s="3">
        <v>42546</v>
      </c>
      <c r="B286" s="1">
        <f t="shared" si="24"/>
        <v>132</v>
      </c>
      <c r="C286" s="1">
        <v>293.25382240453382</v>
      </c>
      <c r="D286" s="1">
        <f t="shared" si="25"/>
        <v>161.25382240453382</v>
      </c>
      <c r="E286" s="2">
        <v>6</v>
      </c>
      <c r="F286" s="1">
        <v>48.875637067422304</v>
      </c>
      <c r="G286" s="1">
        <v>26.875637067422304</v>
      </c>
      <c r="H286" s="1">
        <v>22</v>
      </c>
      <c r="I286" s="1">
        <f t="shared" si="26"/>
        <v>568322</v>
      </c>
      <c r="J286" s="1">
        <f t="shared" si="27"/>
        <v>1144866.316518649</v>
      </c>
      <c r="K286" s="1">
        <f t="shared" si="28"/>
        <v>576544.31651864923</v>
      </c>
      <c r="L286" s="5">
        <f t="shared" si="29"/>
        <v>8700</v>
      </c>
    </row>
    <row r="287" spans="1:12" x14ac:dyDescent="0.25">
      <c r="A287" s="3">
        <v>42568</v>
      </c>
      <c r="B287" s="1">
        <f t="shared" si="24"/>
        <v>8774</v>
      </c>
      <c r="C287" s="1">
        <v>17001.022723463269</v>
      </c>
      <c r="D287" s="1">
        <f t="shared" si="25"/>
        <v>8227.0227234632694</v>
      </c>
      <c r="E287" s="2">
        <v>107</v>
      </c>
      <c r="F287" s="1">
        <v>158.88806283610532</v>
      </c>
      <c r="G287" s="1">
        <v>76.88806283610532</v>
      </c>
      <c r="H287" s="1">
        <v>82</v>
      </c>
      <c r="I287" s="1">
        <f t="shared" si="26"/>
        <v>577096</v>
      </c>
      <c r="J287" s="1">
        <f t="shared" si="27"/>
        <v>1161867.3392421124</v>
      </c>
      <c r="K287" s="1">
        <f t="shared" si="28"/>
        <v>584771.33924211247</v>
      </c>
      <c r="L287" s="5">
        <f t="shared" si="29"/>
        <v>8807</v>
      </c>
    </row>
    <row r="288" spans="1:12" x14ac:dyDescent="0.25">
      <c r="A288" s="3">
        <v>42587</v>
      </c>
      <c r="B288" s="1">
        <f t="shared" si="24"/>
        <v>264</v>
      </c>
      <c r="C288" s="1">
        <v>627.12169776250403</v>
      </c>
      <c r="D288" s="1">
        <f t="shared" si="25"/>
        <v>363.12169776250403</v>
      </c>
      <c r="E288" s="2">
        <v>11</v>
      </c>
      <c r="F288" s="1">
        <v>57.011063432954913</v>
      </c>
      <c r="G288" s="1">
        <v>33.011063432954913</v>
      </c>
      <c r="H288" s="1">
        <v>24</v>
      </c>
      <c r="I288" s="1">
        <f t="shared" si="26"/>
        <v>577360</v>
      </c>
      <c r="J288" s="1">
        <f t="shared" si="27"/>
        <v>1162494.4609398749</v>
      </c>
      <c r="K288" s="1">
        <f t="shared" si="28"/>
        <v>585134.46093987499</v>
      </c>
      <c r="L288" s="5">
        <f t="shared" si="29"/>
        <v>8818</v>
      </c>
    </row>
    <row r="289" spans="1:12" x14ac:dyDescent="0.25">
      <c r="A289" s="3">
        <v>42608</v>
      </c>
      <c r="B289" s="1">
        <f t="shared" si="24"/>
        <v>1320</v>
      </c>
      <c r="C289" s="1">
        <v>2305.6543926010745</v>
      </c>
      <c r="D289" s="1">
        <f t="shared" si="25"/>
        <v>985.65439260107473</v>
      </c>
      <c r="E289" s="2">
        <v>12</v>
      </c>
      <c r="F289" s="1">
        <v>192.13786605008954</v>
      </c>
      <c r="G289" s="1">
        <v>82.137866050089556</v>
      </c>
      <c r="H289" s="1">
        <v>110</v>
      </c>
      <c r="I289" s="1">
        <f t="shared" si="26"/>
        <v>578680</v>
      </c>
      <c r="J289" s="1">
        <f t="shared" si="27"/>
        <v>1164800.1153324759</v>
      </c>
      <c r="K289" s="1">
        <f t="shared" si="28"/>
        <v>586120.1153324761</v>
      </c>
      <c r="L289" s="5">
        <f t="shared" si="29"/>
        <v>8830</v>
      </c>
    </row>
    <row r="290" spans="1:12" x14ac:dyDescent="0.25">
      <c r="A290" s="3">
        <v>42618</v>
      </c>
      <c r="B290" s="1">
        <f t="shared" si="24"/>
        <v>1860</v>
      </c>
      <c r="C290" s="1">
        <v>4018.6029453383303</v>
      </c>
      <c r="D290" s="1">
        <f t="shared" si="25"/>
        <v>2158.6029453383303</v>
      </c>
      <c r="E290" s="2">
        <v>15</v>
      </c>
      <c r="F290" s="1">
        <v>267.90686302255534</v>
      </c>
      <c r="G290" s="1">
        <v>143.90686302255534</v>
      </c>
      <c r="H290" s="1">
        <v>124</v>
      </c>
      <c r="I290" s="1">
        <f t="shared" si="26"/>
        <v>580540</v>
      </c>
      <c r="J290" s="1">
        <f t="shared" si="27"/>
        <v>1168818.7182778141</v>
      </c>
      <c r="K290" s="1">
        <f t="shared" si="28"/>
        <v>588278.71827781445</v>
      </c>
      <c r="L290" s="5">
        <f t="shared" si="29"/>
        <v>8845</v>
      </c>
    </row>
    <row r="291" spans="1:12" x14ac:dyDescent="0.25">
      <c r="A291" s="3">
        <v>42618</v>
      </c>
      <c r="B291" s="1">
        <f t="shared" si="24"/>
        <v>776</v>
      </c>
      <c r="C291" s="1">
        <v>1463.5118502400246</v>
      </c>
      <c r="D291" s="1">
        <f t="shared" si="25"/>
        <v>687.51185024002473</v>
      </c>
      <c r="E291" s="2">
        <v>8</v>
      </c>
      <c r="F291" s="1">
        <v>182.93898128000308</v>
      </c>
      <c r="G291" s="1">
        <v>85.938981280003091</v>
      </c>
      <c r="H291" s="1">
        <v>97</v>
      </c>
      <c r="I291" s="1">
        <f t="shared" si="26"/>
        <v>581316</v>
      </c>
      <c r="J291" s="1">
        <f t="shared" si="27"/>
        <v>1170282.230128054</v>
      </c>
      <c r="K291" s="1">
        <f t="shared" si="28"/>
        <v>588966.23012805451</v>
      </c>
      <c r="L291" s="5">
        <f t="shared" si="29"/>
        <v>8853</v>
      </c>
    </row>
    <row r="292" spans="1:12" x14ac:dyDescent="0.25">
      <c r="A292" s="3">
        <v>42624</v>
      </c>
      <c r="B292" s="1">
        <f t="shared" si="24"/>
        <v>231</v>
      </c>
      <c r="C292" s="1">
        <v>566.84727024897745</v>
      </c>
      <c r="D292" s="1">
        <f t="shared" si="25"/>
        <v>335.8472702489774</v>
      </c>
      <c r="E292" s="2">
        <v>11</v>
      </c>
      <c r="F292" s="1">
        <v>51.531570022634313</v>
      </c>
      <c r="G292" s="1">
        <v>30.531570022634309</v>
      </c>
      <c r="H292" s="1">
        <v>21</v>
      </c>
      <c r="I292" s="1">
        <f t="shared" si="26"/>
        <v>581547</v>
      </c>
      <c r="J292" s="1">
        <f t="shared" si="27"/>
        <v>1170849.077398303</v>
      </c>
      <c r="K292" s="1">
        <f t="shared" si="28"/>
        <v>589302.07739830343</v>
      </c>
      <c r="L292" s="5">
        <f t="shared" si="29"/>
        <v>8864</v>
      </c>
    </row>
    <row r="293" spans="1:12" x14ac:dyDescent="0.25">
      <c r="A293" s="3">
        <v>42628</v>
      </c>
      <c r="B293" s="1">
        <f t="shared" si="24"/>
        <v>1188</v>
      </c>
      <c r="C293" s="1">
        <v>2188.2777767192911</v>
      </c>
      <c r="D293" s="1">
        <f t="shared" si="25"/>
        <v>1000.2777767192912</v>
      </c>
      <c r="E293" s="2">
        <v>33</v>
      </c>
      <c r="F293" s="1">
        <v>66.311447779372457</v>
      </c>
      <c r="G293" s="1">
        <v>30.311447779372461</v>
      </c>
      <c r="H293" s="1">
        <v>36</v>
      </c>
      <c r="I293" s="1">
        <f t="shared" si="26"/>
        <v>582735</v>
      </c>
      <c r="J293" s="1">
        <f t="shared" si="27"/>
        <v>1173037.3551750223</v>
      </c>
      <c r="K293" s="1">
        <f t="shared" si="28"/>
        <v>590302.35517502273</v>
      </c>
      <c r="L293" s="5">
        <f t="shared" si="29"/>
        <v>8897</v>
      </c>
    </row>
    <row r="294" spans="1:12" x14ac:dyDescent="0.25">
      <c r="A294" s="3">
        <v>42629</v>
      </c>
      <c r="B294" s="1">
        <f t="shared" si="24"/>
        <v>1755</v>
      </c>
      <c r="C294" s="1">
        <v>3142.3281442306816</v>
      </c>
      <c r="D294" s="1">
        <f t="shared" si="25"/>
        <v>1387.3281442306813</v>
      </c>
      <c r="E294" s="2">
        <v>27</v>
      </c>
      <c r="F294" s="1">
        <v>116.38252386039561</v>
      </c>
      <c r="G294" s="1">
        <v>51.382523860395608</v>
      </c>
      <c r="H294" s="1">
        <v>65</v>
      </c>
      <c r="I294" s="1">
        <f t="shared" si="26"/>
        <v>584490</v>
      </c>
      <c r="J294" s="1">
        <f t="shared" si="27"/>
        <v>1176179.6833192529</v>
      </c>
      <c r="K294" s="1">
        <f t="shared" si="28"/>
        <v>591689.68331925338</v>
      </c>
      <c r="L294" s="5">
        <f t="shared" si="29"/>
        <v>8924</v>
      </c>
    </row>
    <row r="295" spans="1:12" x14ac:dyDescent="0.25">
      <c r="A295" s="3">
        <v>42638</v>
      </c>
      <c r="B295" s="1">
        <f t="shared" si="24"/>
        <v>651</v>
      </c>
      <c r="C295" s="1">
        <v>1189.9805742082863</v>
      </c>
      <c r="D295" s="1">
        <f t="shared" si="25"/>
        <v>538.98057420828638</v>
      </c>
      <c r="E295" s="2">
        <v>7</v>
      </c>
      <c r="F295" s="1">
        <v>169.99722488689804</v>
      </c>
      <c r="G295" s="1">
        <v>76.997224886898053</v>
      </c>
      <c r="H295" s="1">
        <v>93</v>
      </c>
      <c r="I295" s="1">
        <f t="shared" si="26"/>
        <v>585141</v>
      </c>
      <c r="J295" s="1">
        <f t="shared" si="27"/>
        <v>1177369.6638934612</v>
      </c>
      <c r="K295" s="1">
        <f t="shared" si="28"/>
        <v>592228.66389346169</v>
      </c>
      <c r="L295" s="5">
        <f t="shared" si="29"/>
        <v>8931</v>
      </c>
    </row>
    <row r="296" spans="1:12" x14ac:dyDescent="0.25">
      <c r="A296" s="3">
        <v>42646</v>
      </c>
      <c r="B296" s="1">
        <f t="shared" si="24"/>
        <v>1209</v>
      </c>
      <c r="C296" s="1">
        <v>2918.5735732345879</v>
      </c>
      <c r="D296" s="1">
        <f t="shared" si="25"/>
        <v>1709.5735732345879</v>
      </c>
      <c r="E296" s="2">
        <v>39</v>
      </c>
      <c r="F296" s="1">
        <v>74.83521982652789</v>
      </c>
      <c r="G296" s="1">
        <v>43.835219826527897</v>
      </c>
      <c r="H296" s="1">
        <v>31</v>
      </c>
      <c r="I296" s="1">
        <f t="shared" si="26"/>
        <v>586350</v>
      </c>
      <c r="J296" s="1">
        <f t="shared" si="27"/>
        <v>1180288.2374666957</v>
      </c>
      <c r="K296" s="1">
        <f t="shared" si="28"/>
        <v>593938.2374666963</v>
      </c>
      <c r="L296" s="5">
        <f t="shared" si="29"/>
        <v>8970</v>
      </c>
    </row>
    <row r="297" spans="1:12" x14ac:dyDescent="0.25">
      <c r="A297" s="3">
        <v>42650</v>
      </c>
      <c r="B297" s="1">
        <f t="shared" si="24"/>
        <v>624</v>
      </c>
      <c r="C297" s="1">
        <v>1199.9097973571811</v>
      </c>
      <c r="D297" s="1">
        <f t="shared" si="25"/>
        <v>575.90979735718111</v>
      </c>
      <c r="E297" s="2">
        <v>12</v>
      </c>
      <c r="F297" s="1">
        <v>99.99248311309843</v>
      </c>
      <c r="G297" s="1">
        <v>47.99248311309843</v>
      </c>
      <c r="H297" s="1">
        <v>52</v>
      </c>
      <c r="I297" s="1">
        <f t="shared" si="26"/>
        <v>586974</v>
      </c>
      <c r="J297" s="1">
        <f t="shared" si="27"/>
        <v>1181488.1472640529</v>
      </c>
      <c r="K297" s="1">
        <f t="shared" si="28"/>
        <v>594514.14726405346</v>
      </c>
      <c r="L297" s="5">
        <f t="shared" si="29"/>
        <v>8982</v>
      </c>
    </row>
    <row r="298" spans="1:12" x14ac:dyDescent="0.25">
      <c r="A298" s="3">
        <v>42653</v>
      </c>
      <c r="B298" s="1">
        <f t="shared" si="24"/>
        <v>522</v>
      </c>
      <c r="C298" s="1">
        <v>1008.7822271839731</v>
      </c>
      <c r="D298" s="1">
        <f t="shared" si="25"/>
        <v>486.78222718397296</v>
      </c>
      <c r="E298" s="2">
        <v>9</v>
      </c>
      <c r="F298" s="1">
        <v>112.08691413155256</v>
      </c>
      <c r="G298" s="1">
        <v>54.086914131552554</v>
      </c>
      <c r="H298" s="1">
        <v>58</v>
      </c>
      <c r="I298" s="1">
        <f t="shared" si="26"/>
        <v>587496</v>
      </c>
      <c r="J298" s="1">
        <f t="shared" si="27"/>
        <v>1182496.9294912368</v>
      </c>
      <c r="K298" s="1">
        <f t="shared" si="28"/>
        <v>595000.92949123739</v>
      </c>
      <c r="L298" s="5">
        <f t="shared" si="29"/>
        <v>8991</v>
      </c>
    </row>
    <row r="299" spans="1:12" x14ac:dyDescent="0.25">
      <c r="A299" s="3">
        <v>42672</v>
      </c>
      <c r="B299" s="1">
        <f t="shared" si="24"/>
        <v>475</v>
      </c>
      <c r="C299" s="1">
        <v>900.66600519512895</v>
      </c>
      <c r="D299" s="1">
        <f t="shared" si="25"/>
        <v>425.66600519512889</v>
      </c>
      <c r="E299" s="2">
        <v>25</v>
      </c>
      <c r="F299" s="1">
        <v>36.026640207805158</v>
      </c>
      <c r="G299" s="1">
        <v>17.026640207805155</v>
      </c>
      <c r="H299" s="1">
        <v>19</v>
      </c>
      <c r="I299" s="1">
        <f t="shared" si="26"/>
        <v>587971</v>
      </c>
      <c r="J299" s="1">
        <f t="shared" si="27"/>
        <v>1183397.5954964319</v>
      </c>
      <c r="K299" s="1">
        <f t="shared" si="28"/>
        <v>595426.59549643251</v>
      </c>
      <c r="L299" s="5">
        <f t="shared" si="29"/>
        <v>9016</v>
      </c>
    </row>
    <row r="300" spans="1:12" x14ac:dyDescent="0.25">
      <c r="A300" s="3">
        <v>42685</v>
      </c>
      <c r="B300" s="1">
        <f t="shared" si="24"/>
        <v>369</v>
      </c>
      <c r="C300" s="1">
        <v>728.00133857768969</v>
      </c>
      <c r="D300" s="1">
        <f t="shared" si="25"/>
        <v>359.00133857768981</v>
      </c>
      <c r="E300" s="2">
        <v>9</v>
      </c>
      <c r="F300" s="1">
        <v>80.889037619743306</v>
      </c>
      <c r="G300" s="1">
        <v>39.889037619743313</v>
      </c>
      <c r="H300" s="1">
        <v>41</v>
      </c>
      <c r="I300" s="1">
        <f t="shared" si="26"/>
        <v>588340</v>
      </c>
      <c r="J300" s="1">
        <f t="shared" si="27"/>
        <v>1184125.5968350095</v>
      </c>
      <c r="K300" s="1">
        <f t="shared" si="28"/>
        <v>595785.59683501022</v>
      </c>
      <c r="L300" s="5">
        <f t="shared" si="29"/>
        <v>9025</v>
      </c>
    </row>
    <row r="301" spans="1:12" x14ac:dyDescent="0.25">
      <c r="A301" s="3">
        <v>42711</v>
      </c>
      <c r="B301" s="1">
        <f t="shared" si="24"/>
        <v>1460</v>
      </c>
      <c r="C301" s="1">
        <v>4198.6643653517376</v>
      </c>
      <c r="D301" s="1">
        <f t="shared" si="25"/>
        <v>2738.6643653517381</v>
      </c>
      <c r="E301" s="2">
        <v>73</v>
      </c>
      <c r="F301" s="1">
        <v>57.515950210297781</v>
      </c>
      <c r="G301" s="1">
        <v>37.515950210297781</v>
      </c>
      <c r="H301" s="1">
        <v>20</v>
      </c>
      <c r="I301" s="1">
        <f t="shared" si="26"/>
        <v>589800</v>
      </c>
      <c r="J301" s="1">
        <f t="shared" si="27"/>
        <v>1188324.2612003612</v>
      </c>
      <c r="K301" s="1">
        <f t="shared" si="28"/>
        <v>598524.261200362</v>
      </c>
      <c r="L301" s="5">
        <f t="shared" si="29"/>
        <v>9098</v>
      </c>
    </row>
    <row r="302" spans="1:12" x14ac:dyDescent="0.25">
      <c r="A302" s="3">
        <v>42726</v>
      </c>
      <c r="B302" s="1">
        <f t="shared" si="24"/>
        <v>780</v>
      </c>
      <c r="C302" s="1">
        <v>1630.8223086724397</v>
      </c>
      <c r="D302" s="1">
        <f t="shared" si="25"/>
        <v>850.82230867243982</v>
      </c>
      <c r="E302" s="2">
        <v>26</v>
      </c>
      <c r="F302" s="1">
        <v>62.723934948939991</v>
      </c>
      <c r="G302" s="1">
        <v>32.723934948939991</v>
      </c>
      <c r="H302" s="1">
        <v>30</v>
      </c>
      <c r="I302" s="1">
        <f t="shared" si="26"/>
        <v>590580</v>
      </c>
      <c r="J302" s="1">
        <f t="shared" si="27"/>
        <v>1189955.0835090335</v>
      </c>
      <c r="K302" s="1">
        <f t="shared" si="28"/>
        <v>599375.08350903448</v>
      </c>
      <c r="L302" s="5">
        <f t="shared" si="29"/>
        <v>9124</v>
      </c>
    </row>
    <row r="303" spans="1:12" x14ac:dyDescent="0.25">
      <c r="A303" s="3">
        <v>42727</v>
      </c>
      <c r="B303" s="1">
        <f t="shared" si="24"/>
        <v>924</v>
      </c>
      <c r="C303" s="1">
        <v>2429.7204621728283</v>
      </c>
      <c r="D303" s="1">
        <f t="shared" si="25"/>
        <v>1505.7204621728283</v>
      </c>
      <c r="E303" s="2">
        <v>21</v>
      </c>
      <c r="F303" s="1">
        <v>115.70097438918231</v>
      </c>
      <c r="G303" s="1">
        <v>71.700974389182306</v>
      </c>
      <c r="H303" s="1">
        <v>44</v>
      </c>
      <c r="I303" s="1">
        <f t="shared" si="26"/>
        <v>591504</v>
      </c>
      <c r="J303" s="1">
        <f t="shared" si="27"/>
        <v>1192384.8039712063</v>
      </c>
      <c r="K303" s="1">
        <f t="shared" si="28"/>
        <v>600880.80397120735</v>
      </c>
      <c r="L303" s="5">
        <f t="shared" si="29"/>
        <v>9145</v>
      </c>
    </row>
    <row r="304" spans="1:12" x14ac:dyDescent="0.25">
      <c r="A304" s="3">
        <v>42730</v>
      </c>
      <c r="B304" s="1">
        <f t="shared" si="24"/>
        <v>1404</v>
      </c>
      <c r="C304" s="1">
        <v>2801.7906325157751</v>
      </c>
      <c r="D304" s="1">
        <f t="shared" si="25"/>
        <v>1397.7906325157751</v>
      </c>
      <c r="E304" s="2">
        <v>18</v>
      </c>
      <c r="F304" s="1">
        <v>155.65503513976529</v>
      </c>
      <c r="G304" s="1">
        <v>77.655035139765289</v>
      </c>
      <c r="H304" s="1">
        <v>78</v>
      </c>
      <c r="I304" s="1">
        <f t="shared" si="26"/>
        <v>592908</v>
      </c>
      <c r="J304" s="1">
        <f t="shared" si="27"/>
        <v>1195186.594603722</v>
      </c>
      <c r="K304" s="1">
        <f t="shared" si="28"/>
        <v>602278.59460372315</v>
      </c>
      <c r="L304" s="5">
        <f t="shared" si="29"/>
        <v>9163</v>
      </c>
    </row>
    <row r="305" spans="1:12" x14ac:dyDescent="0.25">
      <c r="A305" s="3">
        <v>42739</v>
      </c>
      <c r="B305" s="1">
        <f t="shared" si="24"/>
        <v>162</v>
      </c>
      <c r="C305" s="1">
        <v>385.8886620659556</v>
      </c>
      <c r="D305" s="1">
        <f t="shared" si="25"/>
        <v>223.88866206595554</v>
      </c>
      <c r="E305" s="2">
        <v>3</v>
      </c>
      <c r="F305" s="1">
        <v>128.6295540219852</v>
      </c>
      <c r="G305" s="1">
        <v>74.629554021985186</v>
      </c>
      <c r="H305" s="1">
        <v>54</v>
      </c>
      <c r="I305" s="1">
        <f t="shared" si="26"/>
        <v>593070</v>
      </c>
      <c r="J305" s="1">
        <f t="shared" si="27"/>
        <v>1195572.4832657878</v>
      </c>
      <c r="K305" s="1">
        <f t="shared" si="28"/>
        <v>602502.48326578911</v>
      </c>
      <c r="L305" s="5">
        <f t="shared" si="29"/>
        <v>9166</v>
      </c>
    </row>
    <row r="306" spans="1:12" x14ac:dyDescent="0.25">
      <c r="A306" s="3">
        <v>42756</v>
      </c>
      <c r="B306" s="1">
        <f t="shared" si="24"/>
        <v>3828</v>
      </c>
      <c r="C306" s="1">
        <v>6452.5148059645198</v>
      </c>
      <c r="D306" s="1">
        <f t="shared" si="25"/>
        <v>2624.5148059645203</v>
      </c>
      <c r="E306" s="2">
        <v>33</v>
      </c>
      <c r="F306" s="1">
        <v>195.53075169589454</v>
      </c>
      <c r="G306" s="1">
        <v>79.530751695894551</v>
      </c>
      <c r="H306" s="1">
        <v>116</v>
      </c>
      <c r="I306" s="1">
        <f t="shared" si="26"/>
        <v>596898</v>
      </c>
      <c r="J306" s="1">
        <f t="shared" si="27"/>
        <v>1202024.9980717523</v>
      </c>
      <c r="K306" s="1">
        <f t="shared" si="28"/>
        <v>605126.99807175365</v>
      </c>
      <c r="L306" s="5">
        <f t="shared" si="29"/>
        <v>9199</v>
      </c>
    </row>
    <row r="307" spans="1:12" x14ac:dyDescent="0.25">
      <c r="A307" s="3">
        <v>42759</v>
      </c>
      <c r="B307" s="1">
        <f t="shared" si="24"/>
        <v>987</v>
      </c>
      <c r="C307" s="1">
        <v>1986.2683565057853</v>
      </c>
      <c r="D307" s="1">
        <f t="shared" si="25"/>
        <v>999.26835650578528</v>
      </c>
      <c r="E307" s="2">
        <v>21</v>
      </c>
      <c r="F307" s="1">
        <v>94.584207452656443</v>
      </c>
      <c r="G307" s="1">
        <v>47.584207452656443</v>
      </c>
      <c r="H307" s="1">
        <v>47</v>
      </c>
      <c r="I307" s="1">
        <f t="shared" si="26"/>
        <v>597885</v>
      </c>
      <c r="J307" s="1">
        <f t="shared" si="27"/>
        <v>1204011.266428258</v>
      </c>
      <c r="K307" s="1">
        <f t="shared" si="28"/>
        <v>606126.26642825943</v>
      </c>
      <c r="L307" s="5">
        <f t="shared" si="29"/>
        <v>9220</v>
      </c>
    </row>
    <row r="308" spans="1:12" x14ac:dyDescent="0.25">
      <c r="A308" s="3">
        <v>42787</v>
      </c>
      <c r="B308" s="1">
        <f t="shared" si="24"/>
        <v>288</v>
      </c>
      <c r="C308" s="1">
        <v>577.18834648151847</v>
      </c>
      <c r="D308" s="1">
        <f t="shared" si="25"/>
        <v>289.18834648151841</v>
      </c>
      <c r="E308" s="2">
        <v>8</v>
      </c>
      <c r="F308" s="1">
        <v>72.148543310189808</v>
      </c>
      <c r="G308" s="1">
        <v>36.148543310189801</v>
      </c>
      <c r="H308" s="1">
        <v>36</v>
      </c>
      <c r="I308" s="1">
        <f t="shared" si="26"/>
        <v>598173</v>
      </c>
      <c r="J308" s="1">
        <f t="shared" si="27"/>
        <v>1204588.4547747395</v>
      </c>
      <c r="K308" s="1">
        <f t="shared" si="28"/>
        <v>606415.45477474097</v>
      </c>
      <c r="L308" s="5">
        <f t="shared" si="29"/>
        <v>9228</v>
      </c>
    </row>
    <row r="309" spans="1:12" x14ac:dyDescent="0.25">
      <c r="A309" s="3">
        <v>42792</v>
      </c>
      <c r="B309" s="1">
        <f t="shared" si="24"/>
        <v>405</v>
      </c>
      <c r="C309" s="1">
        <v>697.36663507256571</v>
      </c>
      <c r="D309" s="1">
        <f t="shared" si="25"/>
        <v>292.36663507256571</v>
      </c>
      <c r="E309" s="2">
        <v>5</v>
      </c>
      <c r="F309" s="1">
        <v>139.47332701451313</v>
      </c>
      <c r="G309" s="1">
        <v>58.473327014513146</v>
      </c>
      <c r="H309" s="1">
        <v>81</v>
      </c>
      <c r="I309" s="1">
        <f t="shared" si="26"/>
        <v>598578</v>
      </c>
      <c r="J309" s="1">
        <f t="shared" si="27"/>
        <v>1205285.821409812</v>
      </c>
      <c r="K309" s="1">
        <f t="shared" si="28"/>
        <v>606707.82140981348</v>
      </c>
      <c r="L309" s="5">
        <f t="shared" si="29"/>
        <v>9233</v>
      </c>
    </row>
    <row r="310" spans="1:12" x14ac:dyDescent="0.25">
      <c r="A310" s="3">
        <v>42796</v>
      </c>
      <c r="B310" s="1">
        <f t="shared" si="24"/>
        <v>2688</v>
      </c>
      <c r="C310" s="1">
        <v>4551.4976662263216</v>
      </c>
      <c r="D310" s="1">
        <f t="shared" si="25"/>
        <v>1863.4976662263216</v>
      </c>
      <c r="E310" s="2">
        <v>56</v>
      </c>
      <c r="F310" s="1">
        <v>81.276744039755741</v>
      </c>
      <c r="G310" s="1">
        <v>33.276744039755741</v>
      </c>
      <c r="H310" s="1">
        <v>48</v>
      </c>
      <c r="I310" s="1">
        <f t="shared" si="26"/>
        <v>601266</v>
      </c>
      <c r="J310" s="1">
        <f t="shared" si="27"/>
        <v>1209837.3190760382</v>
      </c>
      <c r="K310" s="1">
        <f t="shared" si="28"/>
        <v>608571.31907603983</v>
      </c>
      <c r="L310" s="5">
        <f t="shared" si="29"/>
        <v>9289</v>
      </c>
    </row>
    <row r="311" spans="1:12" x14ac:dyDescent="0.25">
      <c r="A311" s="3">
        <v>42797</v>
      </c>
      <c r="B311" s="1">
        <f t="shared" si="24"/>
        <v>196</v>
      </c>
      <c r="C311" s="1">
        <v>543.52748308029368</v>
      </c>
      <c r="D311" s="1">
        <f t="shared" si="25"/>
        <v>347.52748308029373</v>
      </c>
      <c r="E311" s="2">
        <v>4</v>
      </c>
      <c r="F311" s="1">
        <v>135.88187077007342</v>
      </c>
      <c r="G311" s="1">
        <v>86.881870770073434</v>
      </c>
      <c r="H311" s="1">
        <v>49</v>
      </c>
      <c r="I311" s="1">
        <f t="shared" si="26"/>
        <v>601462</v>
      </c>
      <c r="J311" s="1">
        <f t="shared" si="27"/>
        <v>1210380.8465591185</v>
      </c>
      <c r="K311" s="1">
        <f t="shared" si="28"/>
        <v>608918.84655912011</v>
      </c>
      <c r="L311" s="5">
        <f t="shared" si="29"/>
        <v>9293</v>
      </c>
    </row>
    <row r="312" spans="1:12" x14ac:dyDescent="0.25">
      <c r="A312" s="3">
        <v>42799</v>
      </c>
      <c r="B312" s="1">
        <f t="shared" si="24"/>
        <v>132</v>
      </c>
      <c r="C312" s="1">
        <v>373.05779136047227</v>
      </c>
      <c r="D312" s="1">
        <f t="shared" si="25"/>
        <v>241.05779136047221</v>
      </c>
      <c r="E312" s="2">
        <v>11</v>
      </c>
      <c r="F312" s="1">
        <v>33.91434466913384</v>
      </c>
      <c r="G312" s="1">
        <v>21.914344669133836</v>
      </c>
      <c r="H312" s="1">
        <v>12</v>
      </c>
      <c r="I312" s="1">
        <f t="shared" si="26"/>
        <v>601594</v>
      </c>
      <c r="J312" s="1">
        <f t="shared" si="27"/>
        <v>1210753.9043504789</v>
      </c>
      <c r="K312" s="1">
        <f t="shared" si="28"/>
        <v>609159.90435048053</v>
      </c>
      <c r="L312" s="5">
        <f t="shared" si="29"/>
        <v>9304</v>
      </c>
    </row>
    <row r="313" spans="1:12" x14ac:dyDescent="0.25">
      <c r="A313" s="3">
        <v>42813</v>
      </c>
      <c r="B313" s="1">
        <f t="shared" si="24"/>
        <v>290</v>
      </c>
      <c r="C313" s="1">
        <v>537.21591532425168</v>
      </c>
      <c r="D313" s="1">
        <f t="shared" si="25"/>
        <v>247.21591532425168</v>
      </c>
      <c r="E313" s="2">
        <v>5</v>
      </c>
      <c r="F313" s="1">
        <v>107.44318306485033</v>
      </c>
      <c r="G313" s="1">
        <v>49.443183064850338</v>
      </c>
      <c r="H313" s="1">
        <v>58</v>
      </c>
      <c r="I313" s="1">
        <f t="shared" si="26"/>
        <v>601884</v>
      </c>
      <c r="J313" s="1">
        <f t="shared" si="27"/>
        <v>1211291.1202658031</v>
      </c>
      <c r="K313" s="1">
        <f t="shared" si="28"/>
        <v>609407.12026580481</v>
      </c>
      <c r="L313" s="5">
        <f t="shared" si="29"/>
        <v>9309</v>
      </c>
    </row>
    <row r="314" spans="1:12" x14ac:dyDescent="0.25">
      <c r="A314" s="3">
        <v>42819</v>
      </c>
      <c r="B314" s="1">
        <f t="shared" si="24"/>
        <v>207</v>
      </c>
      <c r="C314" s="1">
        <v>401.55061191131273</v>
      </c>
      <c r="D314" s="1">
        <f t="shared" si="25"/>
        <v>194.55061191131267</v>
      </c>
      <c r="E314" s="2">
        <v>3</v>
      </c>
      <c r="F314" s="1">
        <v>133.85020397043758</v>
      </c>
      <c r="G314" s="1">
        <v>64.850203970437562</v>
      </c>
      <c r="H314" s="1">
        <v>69</v>
      </c>
      <c r="I314" s="1">
        <f t="shared" si="26"/>
        <v>602091</v>
      </c>
      <c r="J314" s="1">
        <f t="shared" si="27"/>
        <v>1211692.6708777144</v>
      </c>
      <c r="K314" s="1">
        <f t="shared" si="28"/>
        <v>609601.67087771615</v>
      </c>
      <c r="L314" s="5">
        <f t="shared" si="29"/>
        <v>9312</v>
      </c>
    </row>
    <row r="315" spans="1:12" x14ac:dyDescent="0.25">
      <c r="A315" s="3">
        <v>42822</v>
      </c>
      <c r="B315" s="1">
        <f t="shared" si="24"/>
        <v>1328</v>
      </c>
      <c r="C315" s="1">
        <v>3123.3379875602322</v>
      </c>
      <c r="D315" s="1">
        <f t="shared" si="25"/>
        <v>1795.3379875602325</v>
      </c>
      <c r="E315" s="2">
        <v>16</v>
      </c>
      <c r="F315" s="1">
        <v>195.20862422251452</v>
      </c>
      <c r="G315" s="1">
        <v>112.20862422251453</v>
      </c>
      <c r="H315" s="1">
        <v>83</v>
      </c>
      <c r="I315" s="1">
        <f t="shared" si="26"/>
        <v>603419</v>
      </c>
      <c r="J315" s="1">
        <f t="shared" si="27"/>
        <v>1214816.0088652747</v>
      </c>
      <c r="K315" s="1">
        <f t="shared" si="28"/>
        <v>611397.00886527635</v>
      </c>
      <c r="L315" s="5">
        <f t="shared" si="29"/>
        <v>9328</v>
      </c>
    </row>
    <row r="316" spans="1:12" x14ac:dyDescent="0.25">
      <c r="A316" s="3">
        <v>42837</v>
      </c>
      <c r="B316" s="1">
        <f t="shared" si="24"/>
        <v>1958</v>
      </c>
      <c r="C316" s="1">
        <v>3516.0738020989584</v>
      </c>
      <c r="D316" s="1">
        <f t="shared" si="25"/>
        <v>1558.0738020989586</v>
      </c>
      <c r="E316" s="2">
        <v>22</v>
      </c>
      <c r="F316" s="1">
        <v>159.82153645904356</v>
      </c>
      <c r="G316" s="1">
        <v>70.821536459043571</v>
      </c>
      <c r="H316" s="1">
        <v>89</v>
      </c>
      <c r="I316" s="1">
        <f t="shared" si="26"/>
        <v>605377</v>
      </c>
      <c r="J316" s="1">
        <f t="shared" si="27"/>
        <v>1218332.0826673736</v>
      </c>
      <c r="K316" s="1">
        <f t="shared" si="28"/>
        <v>612955.08266737533</v>
      </c>
      <c r="L316" s="5">
        <f t="shared" si="29"/>
        <v>9350</v>
      </c>
    </row>
    <row r="317" spans="1:12" x14ac:dyDescent="0.25">
      <c r="A317" s="3">
        <v>42856</v>
      </c>
      <c r="B317" s="1">
        <f t="shared" si="24"/>
        <v>99</v>
      </c>
      <c r="C317" s="1">
        <v>209.76800721511574</v>
      </c>
      <c r="D317" s="1">
        <f t="shared" si="25"/>
        <v>110.76800721511573</v>
      </c>
      <c r="E317" s="2">
        <v>3</v>
      </c>
      <c r="F317" s="1">
        <v>69.922669071705243</v>
      </c>
      <c r="G317" s="1">
        <v>36.922669071705243</v>
      </c>
      <c r="H317" s="1">
        <v>33</v>
      </c>
      <c r="I317" s="1">
        <f t="shared" si="26"/>
        <v>605476</v>
      </c>
      <c r="J317" s="1">
        <f t="shared" si="27"/>
        <v>1218541.8506745887</v>
      </c>
      <c r="K317" s="1">
        <f t="shared" si="28"/>
        <v>613065.85067459045</v>
      </c>
      <c r="L317" s="5">
        <f t="shared" si="29"/>
        <v>9353</v>
      </c>
    </row>
    <row r="318" spans="1:12" x14ac:dyDescent="0.25">
      <c r="A318" s="3">
        <v>42866</v>
      </c>
      <c r="B318" s="1">
        <f t="shared" si="24"/>
        <v>1150</v>
      </c>
      <c r="C318" s="1">
        <v>2596.475708350551</v>
      </c>
      <c r="D318" s="1">
        <f t="shared" si="25"/>
        <v>1446.4757083505508</v>
      </c>
      <c r="E318" s="2">
        <v>25</v>
      </c>
      <c r="F318" s="1">
        <v>103.85902833402204</v>
      </c>
      <c r="G318" s="1">
        <v>57.859028334022035</v>
      </c>
      <c r="H318" s="1">
        <v>46</v>
      </c>
      <c r="I318" s="1">
        <f t="shared" si="26"/>
        <v>606626</v>
      </c>
      <c r="J318" s="1">
        <f t="shared" si="27"/>
        <v>1221138.3263829392</v>
      </c>
      <c r="K318" s="1">
        <f t="shared" si="28"/>
        <v>614512.32638294098</v>
      </c>
      <c r="L318" s="5">
        <f t="shared" si="29"/>
        <v>9378</v>
      </c>
    </row>
    <row r="319" spans="1:12" x14ac:dyDescent="0.25">
      <c r="A319" s="3">
        <v>42869</v>
      </c>
      <c r="B319" s="1">
        <f t="shared" si="24"/>
        <v>784</v>
      </c>
      <c r="C319" s="1">
        <v>1514.9028517219742</v>
      </c>
      <c r="D319" s="1">
        <f t="shared" si="25"/>
        <v>730.90285172197423</v>
      </c>
      <c r="E319" s="2">
        <v>16</v>
      </c>
      <c r="F319" s="1">
        <v>94.681428232623389</v>
      </c>
      <c r="G319" s="1">
        <v>45.681428232623389</v>
      </c>
      <c r="H319" s="1">
        <v>49</v>
      </c>
      <c r="I319" s="1">
        <f t="shared" si="26"/>
        <v>607410</v>
      </c>
      <c r="J319" s="1">
        <f t="shared" si="27"/>
        <v>1222653.2292346612</v>
      </c>
      <c r="K319" s="1">
        <f t="shared" si="28"/>
        <v>615243.22923466295</v>
      </c>
      <c r="L319" s="5">
        <f t="shared" si="29"/>
        <v>9394</v>
      </c>
    </row>
    <row r="320" spans="1:12" x14ac:dyDescent="0.25">
      <c r="A320" s="3">
        <v>42874</v>
      </c>
      <c r="B320" s="1">
        <f t="shared" si="24"/>
        <v>988</v>
      </c>
      <c r="C320" s="1">
        <v>2360.778611844602</v>
      </c>
      <c r="D320" s="1">
        <f t="shared" si="25"/>
        <v>1372.7786118446024</v>
      </c>
      <c r="E320" s="2">
        <v>26</v>
      </c>
      <c r="F320" s="1">
        <v>90.799177378638547</v>
      </c>
      <c r="G320" s="1">
        <v>52.799177378638554</v>
      </c>
      <c r="H320" s="1">
        <v>38</v>
      </c>
      <c r="I320" s="1">
        <f t="shared" si="26"/>
        <v>608398</v>
      </c>
      <c r="J320" s="1">
        <f t="shared" si="27"/>
        <v>1225014.0078465058</v>
      </c>
      <c r="K320" s="1">
        <f t="shared" si="28"/>
        <v>616616.00784650759</v>
      </c>
      <c r="L320" s="5">
        <f t="shared" si="29"/>
        <v>9420</v>
      </c>
    </row>
    <row r="321" spans="1:12" x14ac:dyDescent="0.25">
      <c r="A321" s="3">
        <v>42887</v>
      </c>
      <c r="B321" s="1">
        <f t="shared" si="24"/>
        <v>3645</v>
      </c>
      <c r="C321" s="1">
        <v>6669.147323824739</v>
      </c>
      <c r="D321" s="1">
        <f t="shared" si="25"/>
        <v>3024.1473238247395</v>
      </c>
      <c r="E321" s="2">
        <v>81</v>
      </c>
      <c r="F321" s="1">
        <v>82.335152145984438</v>
      </c>
      <c r="G321" s="1">
        <v>37.335152145984438</v>
      </c>
      <c r="H321" s="1">
        <v>45</v>
      </c>
      <c r="I321" s="1">
        <f t="shared" si="26"/>
        <v>612043</v>
      </c>
      <c r="J321" s="1">
        <f t="shared" si="27"/>
        <v>1231683.1551703305</v>
      </c>
      <c r="K321" s="1">
        <f t="shared" si="28"/>
        <v>619640.15517033229</v>
      </c>
      <c r="L321" s="5">
        <f t="shared" si="29"/>
        <v>9501</v>
      </c>
    </row>
    <row r="322" spans="1:12" x14ac:dyDescent="0.25">
      <c r="A322" s="3">
        <v>42888</v>
      </c>
      <c r="B322" s="1">
        <f t="shared" ref="B322:B385" si="30">+E322*H322</f>
        <v>1785</v>
      </c>
      <c r="C322" s="1">
        <v>4445.1735525561853</v>
      </c>
      <c r="D322" s="1">
        <f t="shared" ref="D322:D385" si="31">+E322*G322</f>
        <v>2660.1735525561853</v>
      </c>
      <c r="E322" s="2">
        <v>51</v>
      </c>
      <c r="F322" s="1">
        <v>87.160265736395786</v>
      </c>
      <c r="G322" s="1">
        <v>52.160265736395793</v>
      </c>
      <c r="H322" s="1">
        <v>35</v>
      </c>
      <c r="I322" s="1">
        <f t="shared" si="26"/>
        <v>613828</v>
      </c>
      <c r="J322" s="1">
        <f t="shared" si="27"/>
        <v>1236128.3287228867</v>
      </c>
      <c r="K322" s="1">
        <f t="shared" si="28"/>
        <v>622300.32872288849</v>
      </c>
      <c r="L322" s="5">
        <f t="shared" si="29"/>
        <v>9552</v>
      </c>
    </row>
    <row r="323" spans="1:12" x14ac:dyDescent="0.25">
      <c r="A323" s="3">
        <v>42892</v>
      </c>
      <c r="B323" s="1">
        <f t="shared" si="30"/>
        <v>396</v>
      </c>
      <c r="C323" s="1">
        <v>982.20268738348364</v>
      </c>
      <c r="D323" s="1">
        <f t="shared" si="31"/>
        <v>586.20268738348364</v>
      </c>
      <c r="E323" s="2">
        <v>11</v>
      </c>
      <c r="F323" s="1">
        <v>89.291153398498508</v>
      </c>
      <c r="G323" s="1">
        <v>53.291153398498508</v>
      </c>
      <c r="H323" s="1">
        <v>36</v>
      </c>
      <c r="I323" s="1">
        <f t="shared" si="26"/>
        <v>614224</v>
      </c>
      <c r="J323" s="1">
        <f t="shared" si="27"/>
        <v>1237110.5314102701</v>
      </c>
      <c r="K323" s="1">
        <f t="shared" si="28"/>
        <v>622886.531410272</v>
      </c>
      <c r="L323" s="5">
        <f t="shared" si="29"/>
        <v>9563</v>
      </c>
    </row>
    <row r="324" spans="1:12" x14ac:dyDescent="0.25">
      <c r="A324" s="3">
        <v>42912</v>
      </c>
      <c r="B324" s="1">
        <f t="shared" si="30"/>
        <v>4800</v>
      </c>
      <c r="C324" s="1">
        <v>12637.808043010031</v>
      </c>
      <c r="D324" s="1">
        <f t="shared" si="31"/>
        <v>7837.808043010029</v>
      </c>
      <c r="E324" s="2">
        <v>96</v>
      </c>
      <c r="F324" s="1">
        <v>131.64383378135449</v>
      </c>
      <c r="G324" s="1">
        <v>81.643833781354473</v>
      </c>
      <c r="H324" s="1">
        <v>50</v>
      </c>
      <c r="I324" s="1">
        <f t="shared" ref="I324:I387" si="32">+I323+B324</f>
        <v>619024</v>
      </c>
      <c r="J324" s="1">
        <f t="shared" ref="J324:J387" si="33">+J323+C324</f>
        <v>1249748.3394532802</v>
      </c>
      <c r="K324" s="1">
        <f t="shared" ref="K324:K387" si="34">+K323+D324</f>
        <v>630724.33945328207</v>
      </c>
      <c r="L324" s="5">
        <f t="shared" ref="L324:L387" si="35">+L323+E324</f>
        <v>9659</v>
      </c>
    </row>
    <row r="325" spans="1:12" x14ac:dyDescent="0.25">
      <c r="A325" s="3">
        <v>42913</v>
      </c>
      <c r="B325" s="1">
        <f t="shared" si="30"/>
        <v>1533</v>
      </c>
      <c r="C325" s="1">
        <v>2620.4472330269018</v>
      </c>
      <c r="D325" s="1">
        <f t="shared" si="31"/>
        <v>1087.4472330269018</v>
      </c>
      <c r="E325" s="2">
        <v>21</v>
      </c>
      <c r="F325" s="1">
        <v>124.78320157270961</v>
      </c>
      <c r="G325" s="1">
        <v>51.783201572709615</v>
      </c>
      <c r="H325" s="1">
        <v>73</v>
      </c>
      <c r="I325" s="1">
        <f t="shared" si="32"/>
        <v>620557</v>
      </c>
      <c r="J325" s="1">
        <f t="shared" si="33"/>
        <v>1252368.7866863071</v>
      </c>
      <c r="K325" s="1">
        <f t="shared" si="34"/>
        <v>631811.78668630891</v>
      </c>
      <c r="L325" s="5">
        <f t="shared" si="35"/>
        <v>9680</v>
      </c>
    </row>
    <row r="326" spans="1:12" x14ac:dyDescent="0.25">
      <c r="A326" s="3">
        <v>42918</v>
      </c>
      <c r="B326" s="1">
        <f t="shared" si="30"/>
        <v>630</v>
      </c>
      <c r="C326" s="1">
        <v>1549.0976529277016</v>
      </c>
      <c r="D326" s="1">
        <f t="shared" si="31"/>
        <v>919.09765292770157</v>
      </c>
      <c r="E326" s="2">
        <v>14</v>
      </c>
      <c r="F326" s="1">
        <v>110.64983235197869</v>
      </c>
      <c r="G326" s="1">
        <v>65.649832351978688</v>
      </c>
      <c r="H326" s="1">
        <v>45</v>
      </c>
      <c r="I326" s="1">
        <f t="shared" si="32"/>
        <v>621187</v>
      </c>
      <c r="J326" s="1">
        <f t="shared" si="33"/>
        <v>1253917.8843392348</v>
      </c>
      <c r="K326" s="1">
        <f t="shared" si="34"/>
        <v>632730.88433923665</v>
      </c>
      <c r="L326" s="5">
        <f t="shared" si="35"/>
        <v>9694</v>
      </c>
    </row>
    <row r="327" spans="1:12" x14ac:dyDescent="0.25">
      <c r="A327" s="3">
        <v>42919</v>
      </c>
      <c r="B327" s="1">
        <f t="shared" si="30"/>
        <v>2736</v>
      </c>
      <c r="C327" s="1">
        <v>6037.753451149938</v>
      </c>
      <c r="D327" s="1">
        <f t="shared" si="31"/>
        <v>3301.753451149938</v>
      </c>
      <c r="E327" s="2">
        <v>48</v>
      </c>
      <c r="F327" s="1">
        <v>125.78653023229037</v>
      </c>
      <c r="G327" s="1">
        <v>68.786530232290374</v>
      </c>
      <c r="H327" s="1">
        <v>57</v>
      </c>
      <c r="I327" s="1">
        <f t="shared" si="32"/>
        <v>623923</v>
      </c>
      <c r="J327" s="1">
        <f t="shared" si="33"/>
        <v>1259955.6377903847</v>
      </c>
      <c r="K327" s="1">
        <f t="shared" si="34"/>
        <v>636032.63779038657</v>
      </c>
      <c r="L327" s="5">
        <f t="shared" si="35"/>
        <v>9742</v>
      </c>
    </row>
    <row r="328" spans="1:12" x14ac:dyDescent="0.25">
      <c r="A328" s="3">
        <v>42937</v>
      </c>
      <c r="B328" s="1">
        <f t="shared" si="30"/>
        <v>371</v>
      </c>
      <c r="C328" s="1">
        <v>798.03788830279143</v>
      </c>
      <c r="D328" s="1">
        <f t="shared" si="31"/>
        <v>427.03788830279143</v>
      </c>
      <c r="E328" s="2">
        <v>7</v>
      </c>
      <c r="F328" s="1">
        <v>114.00541261468449</v>
      </c>
      <c r="G328" s="1">
        <v>61.005412614684488</v>
      </c>
      <c r="H328" s="1">
        <v>53</v>
      </c>
      <c r="I328" s="1">
        <f t="shared" si="32"/>
        <v>624294</v>
      </c>
      <c r="J328" s="1">
        <f t="shared" si="33"/>
        <v>1260753.6756786874</v>
      </c>
      <c r="K328" s="1">
        <f t="shared" si="34"/>
        <v>636459.67567868938</v>
      </c>
      <c r="L328" s="5">
        <f t="shared" si="35"/>
        <v>9749</v>
      </c>
    </row>
    <row r="329" spans="1:12" x14ac:dyDescent="0.25">
      <c r="A329" s="3">
        <v>42949</v>
      </c>
      <c r="B329" s="1">
        <f t="shared" si="30"/>
        <v>10149</v>
      </c>
      <c r="C329" s="1">
        <v>18840.841067063695</v>
      </c>
      <c r="D329" s="1">
        <f t="shared" si="31"/>
        <v>8691.8410670636931</v>
      </c>
      <c r="E329" s="2">
        <v>199</v>
      </c>
      <c r="F329" s="1">
        <v>94.677593301827613</v>
      </c>
      <c r="G329" s="1">
        <v>43.677593301827606</v>
      </c>
      <c r="H329" s="1">
        <v>51</v>
      </c>
      <c r="I329" s="1">
        <f t="shared" si="32"/>
        <v>634443</v>
      </c>
      <c r="J329" s="1">
        <f t="shared" si="33"/>
        <v>1279594.516745751</v>
      </c>
      <c r="K329" s="1">
        <f t="shared" si="34"/>
        <v>645151.51674575312</v>
      </c>
      <c r="L329" s="5">
        <f t="shared" si="35"/>
        <v>9948</v>
      </c>
    </row>
    <row r="330" spans="1:12" x14ac:dyDescent="0.25">
      <c r="A330" s="3">
        <v>42951</v>
      </c>
      <c r="B330" s="1">
        <f t="shared" si="30"/>
        <v>1716</v>
      </c>
      <c r="C330" s="1">
        <v>2901.0457929713875</v>
      </c>
      <c r="D330" s="1">
        <f t="shared" si="31"/>
        <v>1185.0457929713873</v>
      </c>
      <c r="E330" s="2">
        <v>13</v>
      </c>
      <c r="F330" s="1">
        <v>223.15736869010672</v>
      </c>
      <c r="G330" s="1">
        <v>91.157368690106722</v>
      </c>
      <c r="H330" s="1">
        <v>132</v>
      </c>
      <c r="I330" s="1">
        <f t="shared" si="32"/>
        <v>636159</v>
      </c>
      <c r="J330" s="1">
        <f t="shared" si="33"/>
        <v>1282495.5625387223</v>
      </c>
      <c r="K330" s="1">
        <f t="shared" si="34"/>
        <v>646336.56253872451</v>
      </c>
      <c r="L330" s="5">
        <f t="shared" si="35"/>
        <v>9961</v>
      </c>
    </row>
    <row r="331" spans="1:12" x14ac:dyDescent="0.25">
      <c r="A331" s="3">
        <v>42961</v>
      </c>
      <c r="B331" s="1">
        <f t="shared" si="30"/>
        <v>1404</v>
      </c>
      <c r="C331" s="1">
        <v>2423.190643401223</v>
      </c>
      <c r="D331" s="1">
        <f t="shared" si="31"/>
        <v>1019.1906434012233</v>
      </c>
      <c r="E331" s="2">
        <v>18</v>
      </c>
      <c r="F331" s="1">
        <v>134.62170241117906</v>
      </c>
      <c r="G331" s="1">
        <v>56.621702411179072</v>
      </c>
      <c r="H331" s="1">
        <v>78</v>
      </c>
      <c r="I331" s="1">
        <f t="shared" si="32"/>
        <v>637563</v>
      </c>
      <c r="J331" s="1">
        <f t="shared" si="33"/>
        <v>1284918.7531821234</v>
      </c>
      <c r="K331" s="1">
        <f t="shared" si="34"/>
        <v>647355.75318212574</v>
      </c>
      <c r="L331" s="5">
        <f t="shared" si="35"/>
        <v>9979</v>
      </c>
    </row>
    <row r="332" spans="1:12" x14ac:dyDescent="0.25">
      <c r="A332" s="3">
        <v>42977</v>
      </c>
      <c r="B332" s="1">
        <f t="shared" si="30"/>
        <v>4650</v>
      </c>
      <c r="C332" s="1">
        <v>8119.5054826808191</v>
      </c>
      <c r="D332" s="1">
        <f t="shared" si="31"/>
        <v>3469.5054826808187</v>
      </c>
      <c r="E332" s="2">
        <v>31</v>
      </c>
      <c r="F332" s="1">
        <v>261.91953169938125</v>
      </c>
      <c r="G332" s="1">
        <v>111.91953169938125</v>
      </c>
      <c r="H332" s="1">
        <v>150</v>
      </c>
      <c r="I332" s="1">
        <f t="shared" si="32"/>
        <v>642213</v>
      </c>
      <c r="J332" s="1">
        <f t="shared" si="33"/>
        <v>1293038.2586648043</v>
      </c>
      <c r="K332" s="1">
        <f t="shared" si="34"/>
        <v>650825.25866480661</v>
      </c>
      <c r="L332" s="5">
        <f t="shared" si="35"/>
        <v>10010</v>
      </c>
    </row>
    <row r="333" spans="1:12" x14ac:dyDescent="0.25">
      <c r="A333" s="3">
        <v>42984</v>
      </c>
      <c r="B333" s="1">
        <f t="shared" si="30"/>
        <v>2800</v>
      </c>
      <c r="C333" s="1">
        <v>5440.3274404616941</v>
      </c>
      <c r="D333" s="1">
        <f t="shared" si="31"/>
        <v>2640.3274404616946</v>
      </c>
      <c r="E333" s="2">
        <v>56</v>
      </c>
      <c r="F333" s="1">
        <v>97.148704293958829</v>
      </c>
      <c r="G333" s="1">
        <v>47.148704293958829</v>
      </c>
      <c r="H333" s="1">
        <v>50</v>
      </c>
      <c r="I333" s="1">
        <f t="shared" si="32"/>
        <v>645013</v>
      </c>
      <c r="J333" s="1">
        <f t="shared" si="33"/>
        <v>1298478.5861052659</v>
      </c>
      <c r="K333" s="1">
        <f t="shared" si="34"/>
        <v>653465.58610526833</v>
      </c>
      <c r="L333" s="5">
        <f t="shared" si="35"/>
        <v>10066</v>
      </c>
    </row>
    <row r="334" spans="1:12" x14ac:dyDescent="0.25">
      <c r="A334" s="3">
        <v>42988</v>
      </c>
      <c r="B334" s="1">
        <f t="shared" si="30"/>
        <v>1080</v>
      </c>
      <c r="C334" s="1">
        <v>1845.3760131126269</v>
      </c>
      <c r="D334" s="1">
        <f t="shared" si="31"/>
        <v>765.37601311262677</v>
      </c>
      <c r="E334" s="2">
        <v>12</v>
      </c>
      <c r="F334" s="1">
        <v>153.78133442605224</v>
      </c>
      <c r="G334" s="1">
        <v>63.781334426052233</v>
      </c>
      <c r="H334" s="1">
        <v>90</v>
      </c>
      <c r="I334" s="1">
        <f t="shared" si="32"/>
        <v>646093</v>
      </c>
      <c r="J334" s="1">
        <f t="shared" si="33"/>
        <v>1300323.9621183786</v>
      </c>
      <c r="K334" s="1">
        <f t="shared" si="34"/>
        <v>654230.96211838094</v>
      </c>
      <c r="L334" s="5">
        <f t="shared" si="35"/>
        <v>10078</v>
      </c>
    </row>
    <row r="335" spans="1:12" x14ac:dyDescent="0.25">
      <c r="A335" s="3">
        <v>42991</v>
      </c>
      <c r="B335" s="1">
        <f t="shared" si="30"/>
        <v>1240</v>
      </c>
      <c r="C335" s="1">
        <v>2868.1466123142663</v>
      </c>
      <c r="D335" s="1">
        <f t="shared" si="31"/>
        <v>1628.1466123142661</v>
      </c>
      <c r="E335" s="2">
        <v>20</v>
      </c>
      <c r="F335" s="1">
        <v>143.40733061571331</v>
      </c>
      <c r="G335" s="1">
        <v>81.407330615713306</v>
      </c>
      <c r="H335" s="1">
        <v>62</v>
      </c>
      <c r="I335" s="1">
        <f t="shared" si="32"/>
        <v>647333</v>
      </c>
      <c r="J335" s="1">
        <f t="shared" si="33"/>
        <v>1303192.1087306929</v>
      </c>
      <c r="K335" s="1">
        <f t="shared" si="34"/>
        <v>655859.10873069521</v>
      </c>
      <c r="L335" s="5">
        <f t="shared" si="35"/>
        <v>10098</v>
      </c>
    </row>
    <row r="336" spans="1:12" x14ac:dyDescent="0.25">
      <c r="A336" s="3">
        <v>43008</v>
      </c>
      <c r="B336" s="1">
        <f t="shared" si="30"/>
        <v>588</v>
      </c>
      <c r="C336" s="1">
        <v>989.3713685888689</v>
      </c>
      <c r="D336" s="1">
        <f t="shared" si="31"/>
        <v>401.37136858886879</v>
      </c>
      <c r="E336" s="2">
        <v>21</v>
      </c>
      <c r="F336" s="1">
        <v>47.112922313755661</v>
      </c>
      <c r="G336" s="1">
        <v>19.112922313755657</v>
      </c>
      <c r="H336" s="1">
        <v>28</v>
      </c>
      <c r="I336" s="1">
        <f t="shared" si="32"/>
        <v>647921</v>
      </c>
      <c r="J336" s="1">
        <f t="shared" si="33"/>
        <v>1304181.4800992818</v>
      </c>
      <c r="K336" s="1">
        <f t="shared" si="34"/>
        <v>656260.48009928409</v>
      </c>
      <c r="L336" s="5">
        <f t="shared" si="35"/>
        <v>10119</v>
      </c>
    </row>
    <row r="337" spans="1:12" x14ac:dyDescent="0.25">
      <c r="A337" s="3">
        <v>43012</v>
      </c>
      <c r="B337" s="1">
        <f t="shared" si="30"/>
        <v>576</v>
      </c>
      <c r="C337" s="1">
        <v>1635.7920266463836</v>
      </c>
      <c r="D337" s="1">
        <f t="shared" si="31"/>
        <v>1059.7920266463839</v>
      </c>
      <c r="E337" s="2">
        <v>18</v>
      </c>
      <c r="F337" s="1">
        <v>90.87733481368798</v>
      </c>
      <c r="G337" s="1">
        <v>58.877334813687987</v>
      </c>
      <c r="H337" s="1">
        <v>32</v>
      </c>
      <c r="I337" s="1">
        <f t="shared" si="32"/>
        <v>648497</v>
      </c>
      <c r="J337" s="1">
        <f t="shared" si="33"/>
        <v>1305817.2721259282</v>
      </c>
      <c r="K337" s="1">
        <f t="shared" si="34"/>
        <v>657320.27212593053</v>
      </c>
      <c r="L337" s="5">
        <f t="shared" si="35"/>
        <v>10137</v>
      </c>
    </row>
    <row r="338" spans="1:12" x14ac:dyDescent="0.25">
      <c r="A338" s="3">
        <v>43020</v>
      </c>
      <c r="B338" s="1">
        <f t="shared" si="30"/>
        <v>100</v>
      </c>
      <c r="C338" s="1">
        <v>289.56841207814108</v>
      </c>
      <c r="D338" s="1">
        <f t="shared" si="31"/>
        <v>189.56841207814108</v>
      </c>
      <c r="E338" s="2">
        <v>5</v>
      </c>
      <c r="F338" s="1">
        <v>57.913682415628216</v>
      </c>
      <c r="G338" s="1">
        <v>37.913682415628216</v>
      </c>
      <c r="H338" s="1">
        <v>20</v>
      </c>
      <c r="I338" s="1">
        <f t="shared" si="32"/>
        <v>648597</v>
      </c>
      <c r="J338" s="1">
        <f t="shared" si="33"/>
        <v>1306106.8405380063</v>
      </c>
      <c r="K338" s="1">
        <f t="shared" si="34"/>
        <v>657509.84053800872</v>
      </c>
      <c r="L338" s="5">
        <f t="shared" si="35"/>
        <v>10142</v>
      </c>
    </row>
    <row r="339" spans="1:12" x14ac:dyDescent="0.25">
      <c r="A339" s="3">
        <v>43020</v>
      </c>
      <c r="B339" s="1">
        <f t="shared" si="30"/>
        <v>650</v>
      </c>
      <c r="C339" s="1">
        <v>1527.1190597880798</v>
      </c>
      <c r="D339" s="1">
        <f t="shared" si="31"/>
        <v>877.11905978807988</v>
      </c>
      <c r="E339" s="2">
        <v>13</v>
      </c>
      <c r="F339" s="1">
        <v>117.47069690677537</v>
      </c>
      <c r="G339" s="1">
        <v>67.470696906775373</v>
      </c>
      <c r="H339" s="1">
        <v>50</v>
      </c>
      <c r="I339" s="1">
        <f t="shared" si="32"/>
        <v>649247</v>
      </c>
      <c r="J339" s="1">
        <f t="shared" si="33"/>
        <v>1307633.9595977943</v>
      </c>
      <c r="K339" s="1">
        <f t="shared" si="34"/>
        <v>658386.95959779678</v>
      </c>
      <c r="L339" s="5">
        <f t="shared" si="35"/>
        <v>10155</v>
      </c>
    </row>
    <row r="340" spans="1:12" x14ac:dyDescent="0.25">
      <c r="A340" s="3">
        <v>43026</v>
      </c>
      <c r="B340" s="1">
        <f t="shared" si="30"/>
        <v>975</v>
      </c>
      <c r="C340" s="1">
        <v>1798.42054531753</v>
      </c>
      <c r="D340" s="1">
        <f t="shared" si="31"/>
        <v>823.42054531753001</v>
      </c>
      <c r="E340" s="2">
        <v>15</v>
      </c>
      <c r="F340" s="1">
        <v>119.89470302116867</v>
      </c>
      <c r="G340" s="1">
        <v>54.894703021168667</v>
      </c>
      <c r="H340" s="1">
        <v>65</v>
      </c>
      <c r="I340" s="1">
        <f t="shared" si="32"/>
        <v>650222</v>
      </c>
      <c r="J340" s="1">
        <f t="shared" si="33"/>
        <v>1309432.3801431118</v>
      </c>
      <c r="K340" s="1">
        <f t="shared" si="34"/>
        <v>659210.38014311437</v>
      </c>
      <c r="L340" s="5">
        <f t="shared" si="35"/>
        <v>10170</v>
      </c>
    </row>
    <row r="341" spans="1:12" x14ac:dyDescent="0.25">
      <c r="A341" s="3">
        <v>43041</v>
      </c>
      <c r="B341" s="1">
        <f t="shared" si="30"/>
        <v>161</v>
      </c>
      <c r="C341" s="1">
        <v>358.5108401146112</v>
      </c>
      <c r="D341" s="1">
        <f t="shared" si="31"/>
        <v>197.5108401146112</v>
      </c>
      <c r="E341" s="2">
        <v>7</v>
      </c>
      <c r="F341" s="1">
        <v>51.215834302087316</v>
      </c>
      <c r="G341" s="1">
        <v>28.215834302087313</v>
      </c>
      <c r="H341" s="1">
        <v>23</v>
      </c>
      <c r="I341" s="1">
        <f t="shared" si="32"/>
        <v>650383</v>
      </c>
      <c r="J341" s="1">
        <f t="shared" si="33"/>
        <v>1309790.8909832265</v>
      </c>
      <c r="K341" s="1">
        <f t="shared" si="34"/>
        <v>659407.89098322892</v>
      </c>
      <c r="L341" s="5">
        <f t="shared" si="35"/>
        <v>10177</v>
      </c>
    </row>
    <row r="342" spans="1:12" x14ac:dyDescent="0.25">
      <c r="A342" s="3">
        <v>43041</v>
      </c>
      <c r="B342" s="1">
        <f t="shared" si="30"/>
        <v>657</v>
      </c>
      <c r="C342" s="1">
        <v>1860.3549452933262</v>
      </c>
      <c r="D342" s="1">
        <f t="shared" si="31"/>
        <v>1203.3549452933262</v>
      </c>
      <c r="E342" s="2">
        <v>9</v>
      </c>
      <c r="F342" s="1">
        <v>206.70610503259181</v>
      </c>
      <c r="G342" s="1">
        <v>133.70610503259181</v>
      </c>
      <c r="H342" s="1">
        <v>73</v>
      </c>
      <c r="I342" s="1">
        <f t="shared" si="32"/>
        <v>651040</v>
      </c>
      <c r="J342" s="1">
        <f t="shared" si="33"/>
        <v>1311651.2459285199</v>
      </c>
      <c r="K342" s="1">
        <f t="shared" si="34"/>
        <v>660611.2459285222</v>
      </c>
      <c r="L342" s="5">
        <f t="shared" si="35"/>
        <v>10186</v>
      </c>
    </row>
    <row r="343" spans="1:12" x14ac:dyDescent="0.25">
      <c r="A343" s="3">
        <v>43065</v>
      </c>
      <c r="B343" s="1">
        <f t="shared" si="30"/>
        <v>155</v>
      </c>
      <c r="C343" s="1">
        <v>422.31963628779653</v>
      </c>
      <c r="D343" s="1">
        <f t="shared" si="31"/>
        <v>267.31963628779653</v>
      </c>
      <c r="E343" s="2">
        <v>5</v>
      </c>
      <c r="F343" s="1">
        <v>84.463927257559305</v>
      </c>
      <c r="G343" s="1">
        <v>53.463927257559305</v>
      </c>
      <c r="H343" s="1">
        <v>31</v>
      </c>
      <c r="I343" s="1">
        <f t="shared" si="32"/>
        <v>651195</v>
      </c>
      <c r="J343" s="1">
        <f t="shared" si="33"/>
        <v>1312073.5655648077</v>
      </c>
      <c r="K343" s="1">
        <f t="shared" si="34"/>
        <v>660878.56556480995</v>
      </c>
      <c r="L343" s="5">
        <f t="shared" si="35"/>
        <v>10191</v>
      </c>
    </row>
    <row r="344" spans="1:12" x14ac:dyDescent="0.25">
      <c r="A344" s="3">
        <v>43068</v>
      </c>
      <c r="B344" s="1">
        <f t="shared" si="30"/>
        <v>600</v>
      </c>
      <c r="C344" s="1">
        <v>1202.2844480722106</v>
      </c>
      <c r="D344" s="1">
        <f t="shared" si="31"/>
        <v>602.28444807221069</v>
      </c>
      <c r="E344" s="2">
        <v>12</v>
      </c>
      <c r="F344" s="1">
        <v>100.19037067268422</v>
      </c>
      <c r="G344" s="1">
        <v>50.190370672684224</v>
      </c>
      <c r="H344" s="1">
        <v>50</v>
      </c>
      <c r="I344" s="1">
        <f t="shared" si="32"/>
        <v>651795</v>
      </c>
      <c r="J344" s="1">
        <f t="shared" si="33"/>
        <v>1313275.8500128801</v>
      </c>
      <c r="K344" s="1">
        <f t="shared" si="34"/>
        <v>661480.85001288215</v>
      </c>
      <c r="L344" s="5">
        <f t="shared" si="35"/>
        <v>10203</v>
      </c>
    </row>
    <row r="345" spans="1:12" x14ac:dyDescent="0.25">
      <c r="A345" s="3">
        <v>43070</v>
      </c>
      <c r="B345" s="1">
        <f t="shared" si="30"/>
        <v>198</v>
      </c>
      <c r="C345" s="1">
        <v>431.81127863149942</v>
      </c>
      <c r="D345" s="1">
        <f t="shared" si="31"/>
        <v>233.81127863149942</v>
      </c>
      <c r="E345" s="2">
        <v>2</v>
      </c>
      <c r="F345" s="1">
        <v>215.90563931574971</v>
      </c>
      <c r="G345" s="1">
        <v>116.90563931574971</v>
      </c>
      <c r="H345" s="1">
        <v>99</v>
      </c>
      <c r="I345" s="1">
        <f t="shared" si="32"/>
        <v>651993</v>
      </c>
      <c r="J345" s="1">
        <f t="shared" si="33"/>
        <v>1313707.6612915115</v>
      </c>
      <c r="K345" s="1">
        <f t="shared" si="34"/>
        <v>661714.66129151359</v>
      </c>
      <c r="L345" s="5">
        <f t="shared" si="35"/>
        <v>10205</v>
      </c>
    </row>
    <row r="346" spans="1:12" x14ac:dyDescent="0.25">
      <c r="A346" s="3">
        <v>43092</v>
      </c>
      <c r="B346" s="1">
        <f t="shared" si="30"/>
        <v>434</v>
      </c>
      <c r="C346" s="1">
        <v>1188.3477426038623</v>
      </c>
      <c r="D346" s="1">
        <f t="shared" si="31"/>
        <v>754.34774260386234</v>
      </c>
      <c r="E346" s="2">
        <v>14</v>
      </c>
      <c r="F346" s="1">
        <v>84.881981614561596</v>
      </c>
      <c r="G346" s="1">
        <v>53.881981614561596</v>
      </c>
      <c r="H346" s="1">
        <v>31</v>
      </c>
      <c r="I346" s="1">
        <f t="shared" si="32"/>
        <v>652427</v>
      </c>
      <c r="J346" s="1">
        <f t="shared" si="33"/>
        <v>1314896.0090341154</v>
      </c>
      <c r="K346" s="1">
        <f t="shared" si="34"/>
        <v>662469.00903411745</v>
      </c>
      <c r="L346" s="5">
        <f t="shared" si="35"/>
        <v>10219</v>
      </c>
    </row>
    <row r="347" spans="1:12" x14ac:dyDescent="0.25">
      <c r="A347" s="3">
        <v>43101</v>
      </c>
      <c r="B347" s="1">
        <f t="shared" si="30"/>
        <v>440</v>
      </c>
      <c r="C347" s="1">
        <v>966.51978069120753</v>
      </c>
      <c r="D347" s="1">
        <f t="shared" si="31"/>
        <v>526.51978069120742</v>
      </c>
      <c r="E347" s="2">
        <v>11</v>
      </c>
      <c r="F347" s="1">
        <v>87.865434608291594</v>
      </c>
      <c r="G347" s="1">
        <v>47.865434608291586</v>
      </c>
      <c r="H347" s="1">
        <v>40</v>
      </c>
      <c r="I347" s="1">
        <f t="shared" si="32"/>
        <v>652867</v>
      </c>
      <c r="J347" s="1">
        <f t="shared" si="33"/>
        <v>1315862.5288148066</v>
      </c>
      <c r="K347" s="1">
        <f t="shared" si="34"/>
        <v>662995.5288148087</v>
      </c>
      <c r="L347" s="5">
        <f t="shared" si="35"/>
        <v>10230</v>
      </c>
    </row>
    <row r="348" spans="1:12" x14ac:dyDescent="0.25">
      <c r="A348" s="3">
        <v>43105</v>
      </c>
      <c r="B348" s="1">
        <f t="shared" si="30"/>
        <v>1036</v>
      </c>
      <c r="C348" s="1">
        <v>2745.8765185528346</v>
      </c>
      <c r="D348" s="1">
        <f t="shared" si="31"/>
        <v>1709.8765185528346</v>
      </c>
      <c r="E348" s="2">
        <v>28</v>
      </c>
      <c r="F348" s="1">
        <v>98.067018519744096</v>
      </c>
      <c r="G348" s="1">
        <v>61.067018519744096</v>
      </c>
      <c r="H348" s="1">
        <v>37</v>
      </c>
      <c r="I348" s="1">
        <f t="shared" si="32"/>
        <v>653903</v>
      </c>
      <c r="J348" s="1">
        <f t="shared" si="33"/>
        <v>1318608.4053333595</v>
      </c>
      <c r="K348" s="1">
        <f t="shared" si="34"/>
        <v>664705.40533336159</v>
      </c>
      <c r="L348" s="5">
        <f t="shared" si="35"/>
        <v>10258</v>
      </c>
    </row>
    <row r="349" spans="1:12" x14ac:dyDescent="0.25">
      <c r="A349" s="3">
        <v>43113</v>
      </c>
      <c r="B349" s="1">
        <f t="shared" si="30"/>
        <v>377</v>
      </c>
      <c r="C349" s="1">
        <v>979.10156736937495</v>
      </c>
      <c r="D349" s="1">
        <f t="shared" si="31"/>
        <v>602.10156736937483</v>
      </c>
      <c r="E349" s="2">
        <v>13</v>
      </c>
      <c r="F349" s="1">
        <v>75.315505182259614</v>
      </c>
      <c r="G349" s="1">
        <v>46.315505182259606</v>
      </c>
      <c r="H349" s="1">
        <v>29</v>
      </c>
      <c r="I349" s="1">
        <f t="shared" si="32"/>
        <v>654280</v>
      </c>
      <c r="J349" s="1">
        <f t="shared" si="33"/>
        <v>1319587.5069007289</v>
      </c>
      <c r="K349" s="1">
        <f t="shared" si="34"/>
        <v>665307.50690073101</v>
      </c>
      <c r="L349" s="5">
        <f t="shared" si="35"/>
        <v>10271</v>
      </c>
    </row>
    <row r="350" spans="1:12" x14ac:dyDescent="0.25">
      <c r="A350" s="3">
        <v>43120</v>
      </c>
      <c r="B350" s="1">
        <f t="shared" si="30"/>
        <v>9640</v>
      </c>
      <c r="C350" s="1">
        <v>25477.307176838989</v>
      </c>
      <c r="D350" s="1">
        <f t="shared" si="31"/>
        <v>15837.307176838991</v>
      </c>
      <c r="E350" s="2">
        <v>241</v>
      </c>
      <c r="F350" s="1">
        <v>105.714967538751</v>
      </c>
      <c r="G350" s="1">
        <v>65.714967538750997</v>
      </c>
      <c r="H350" s="1">
        <v>40</v>
      </c>
      <c r="I350" s="1">
        <f t="shared" si="32"/>
        <v>663920</v>
      </c>
      <c r="J350" s="1">
        <f t="shared" si="33"/>
        <v>1345064.814077568</v>
      </c>
      <c r="K350" s="1">
        <f t="shared" si="34"/>
        <v>681144.81407756999</v>
      </c>
      <c r="L350" s="5">
        <f t="shared" si="35"/>
        <v>10512</v>
      </c>
    </row>
    <row r="351" spans="1:12" x14ac:dyDescent="0.25">
      <c r="A351" s="3">
        <v>43129</v>
      </c>
      <c r="B351" s="1">
        <f t="shared" si="30"/>
        <v>2205</v>
      </c>
      <c r="C351" s="1">
        <v>4821.5925266114655</v>
      </c>
      <c r="D351" s="1">
        <f t="shared" si="31"/>
        <v>2616.592526611465</v>
      </c>
      <c r="E351" s="2">
        <v>63</v>
      </c>
      <c r="F351" s="1">
        <v>76.533214708118493</v>
      </c>
      <c r="G351" s="1">
        <v>41.533214708118493</v>
      </c>
      <c r="H351" s="1">
        <v>35</v>
      </c>
      <c r="I351" s="1">
        <f t="shared" si="32"/>
        <v>666125</v>
      </c>
      <c r="J351" s="1">
        <f t="shared" si="33"/>
        <v>1349886.4066041794</v>
      </c>
      <c r="K351" s="1">
        <f t="shared" si="34"/>
        <v>683761.40660418151</v>
      </c>
      <c r="L351" s="5">
        <f t="shared" si="35"/>
        <v>10575</v>
      </c>
    </row>
    <row r="352" spans="1:12" x14ac:dyDescent="0.25">
      <c r="A352" s="3">
        <v>43130</v>
      </c>
      <c r="B352" s="1">
        <f t="shared" si="30"/>
        <v>1995</v>
      </c>
      <c r="C352" s="1">
        <v>3867.6585419562316</v>
      </c>
      <c r="D352" s="1">
        <f t="shared" si="31"/>
        <v>1872.6585419562321</v>
      </c>
      <c r="E352" s="2">
        <v>57</v>
      </c>
      <c r="F352" s="1">
        <v>67.853658630811083</v>
      </c>
      <c r="G352" s="1">
        <v>32.85365863081109</v>
      </c>
      <c r="H352" s="1">
        <v>35</v>
      </c>
      <c r="I352" s="1">
        <f t="shared" si="32"/>
        <v>668120</v>
      </c>
      <c r="J352" s="1">
        <f t="shared" si="33"/>
        <v>1353754.0651461356</v>
      </c>
      <c r="K352" s="1">
        <f t="shared" si="34"/>
        <v>685634.06514613773</v>
      </c>
      <c r="L352" s="5">
        <f t="shared" si="35"/>
        <v>10632</v>
      </c>
    </row>
    <row r="353" spans="1:12" x14ac:dyDescent="0.25">
      <c r="A353" s="3">
        <v>43130</v>
      </c>
      <c r="B353" s="1">
        <f t="shared" si="30"/>
        <v>756</v>
      </c>
      <c r="C353" s="1">
        <v>1310.7658480416037</v>
      </c>
      <c r="D353" s="1">
        <f t="shared" si="31"/>
        <v>554.7658480416037</v>
      </c>
      <c r="E353" s="2">
        <v>4</v>
      </c>
      <c r="F353" s="1">
        <v>327.69146201040093</v>
      </c>
      <c r="G353" s="1">
        <v>138.69146201040093</v>
      </c>
      <c r="H353" s="1">
        <v>189</v>
      </c>
      <c r="I353" s="1">
        <f t="shared" si="32"/>
        <v>668876</v>
      </c>
      <c r="J353" s="1">
        <f t="shared" si="33"/>
        <v>1355064.8309941771</v>
      </c>
      <c r="K353" s="1">
        <f t="shared" si="34"/>
        <v>686188.83099417936</v>
      </c>
      <c r="L353" s="5">
        <f t="shared" si="35"/>
        <v>10636</v>
      </c>
    </row>
    <row r="354" spans="1:12" x14ac:dyDescent="0.25">
      <c r="A354" s="3">
        <v>43147</v>
      </c>
      <c r="B354" s="1">
        <f t="shared" si="30"/>
        <v>5824</v>
      </c>
      <c r="C354" s="1">
        <v>11839.86370584257</v>
      </c>
      <c r="D354" s="1">
        <f t="shared" si="31"/>
        <v>6015.8637058425702</v>
      </c>
      <c r="E354" s="2">
        <v>112</v>
      </c>
      <c r="F354" s="1">
        <v>105.71306880216581</v>
      </c>
      <c r="G354" s="1">
        <v>53.713068802165807</v>
      </c>
      <c r="H354" s="1">
        <v>52</v>
      </c>
      <c r="I354" s="1">
        <f t="shared" si="32"/>
        <v>674700</v>
      </c>
      <c r="J354" s="1">
        <f t="shared" si="33"/>
        <v>1366904.6947000197</v>
      </c>
      <c r="K354" s="1">
        <f t="shared" si="34"/>
        <v>692204.69470002188</v>
      </c>
      <c r="L354" s="5">
        <f t="shared" si="35"/>
        <v>10748</v>
      </c>
    </row>
    <row r="355" spans="1:12" x14ac:dyDescent="0.25">
      <c r="A355" s="3">
        <v>43158</v>
      </c>
      <c r="B355" s="1">
        <f t="shared" si="30"/>
        <v>720</v>
      </c>
      <c r="C355" s="1">
        <v>1473.1296069700884</v>
      </c>
      <c r="D355" s="1">
        <f t="shared" si="31"/>
        <v>753.12960697008839</v>
      </c>
      <c r="E355" s="2">
        <v>12</v>
      </c>
      <c r="F355" s="1">
        <v>122.76080058084069</v>
      </c>
      <c r="G355" s="1">
        <v>62.760800580840694</v>
      </c>
      <c r="H355" s="1">
        <v>60</v>
      </c>
      <c r="I355" s="1">
        <f t="shared" si="32"/>
        <v>675420</v>
      </c>
      <c r="J355" s="1">
        <f t="shared" si="33"/>
        <v>1368377.8243069898</v>
      </c>
      <c r="K355" s="1">
        <f t="shared" si="34"/>
        <v>692957.824306992</v>
      </c>
      <c r="L355" s="5">
        <f t="shared" si="35"/>
        <v>10760</v>
      </c>
    </row>
    <row r="356" spans="1:12" x14ac:dyDescent="0.25">
      <c r="A356" s="3">
        <v>43160</v>
      </c>
      <c r="B356" s="1">
        <f t="shared" si="30"/>
        <v>1926</v>
      </c>
      <c r="C356" s="1">
        <v>3465.7147289993686</v>
      </c>
      <c r="D356" s="1">
        <f t="shared" si="31"/>
        <v>1539.7147289993686</v>
      </c>
      <c r="E356" s="2">
        <v>18</v>
      </c>
      <c r="F356" s="1">
        <v>192.53970716663159</v>
      </c>
      <c r="G356" s="1">
        <v>85.539707166631587</v>
      </c>
      <c r="H356" s="1">
        <v>107</v>
      </c>
      <c r="I356" s="1">
        <f t="shared" si="32"/>
        <v>677346</v>
      </c>
      <c r="J356" s="1">
        <f t="shared" si="33"/>
        <v>1371843.5390359892</v>
      </c>
      <c r="K356" s="1">
        <f t="shared" si="34"/>
        <v>694497.53903599142</v>
      </c>
      <c r="L356" s="5">
        <f t="shared" si="35"/>
        <v>10778</v>
      </c>
    </row>
    <row r="357" spans="1:12" x14ac:dyDescent="0.25">
      <c r="A357" s="3">
        <v>43161</v>
      </c>
      <c r="B357" s="1">
        <f t="shared" si="30"/>
        <v>448</v>
      </c>
      <c r="C357" s="1">
        <v>808.77758520966279</v>
      </c>
      <c r="D357" s="1">
        <f t="shared" si="31"/>
        <v>360.77758520966285</v>
      </c>
      <c r="E357" s="2">
        <v>7</v>
      </c>
      <c r="F357" s="1">
        <v>115.53965502995183</v>
      </c>
      <c r="G357" s="1">
        <v>51.539655029951838</v>
      </c>
      <c r="H357" s="1">
        <v>64</v>
      </c>
      <c r="I357" s="1">
        <f t="shared" si="32"/>
        <v>677794</v>
      </c>
      <c r="J357" s="1">
        <f t="shared" si="33"/>
        <v>1372652.3166211988</v>
      </c>
      <c r="K357" s="1">
        <f t="shared" si="34"/>
        <v>694858.31662120111</v>
      </c>
      <c r="L357" s="5">
        <f t="shared" si="35"/>
        <v>10785</v>
      </c>
    </row>
    <row r="358" spans="1:12" x14ac:dyDescent="0.25">
      <c r="A358" s="3">
        <v>43166</v>
      </c>
      <c r="B358" s="1">
        <f t="shared" si="30"/>
        <v>290</v>
      </c>
      <c r="C358" s="1">
        <v>506.52455944013673</v>
      </c>
      <c r="D358" s="1">
        <f t="shared" si="31"/>
        <v>216.52455944013673</v>
      </c>
      <c r="E358" s="2">
        <v>5</v>
      </c>
      <c r="F358" s="1">
        <v>101.30491188802735</v>
      </c>
      <c r="G358" s="1">
        <v>43.304911888027348</v>
      </c>
      <c r="H358" s="1">
        <v>58</v>
      </c>
      <c r="I358" s="1">
        <f t="shared" si="32"/>
        <v>678084</v>
      </c>
      <c r="J358" s="1">
        <f t="shared" si="33"/>
        <v>1373158.8411806389</v>
      </c>
      <c r="K358" s="1">
        <f t="shared" si="34"/>
        <v>695074.8411806412</v>
      </c>
      <c r="L358" s="5">
        <f t="shared" si="35"/>
        <v>10790</v>
      </c>
    </row>
    <row r="359" spans="1:12" x14ac:dyDescent="0.25">
      <c r="A359" s="3">
        <v>43174</v>
      </c>
      <c r="B359" s="1">
        <f t="shared" si="30"/>
        <v>180</v>
      </c>
      <c r="C359" s="1">
        <v>310.52477364548162</v>
      </c>
      <c r="D359" s="1">
        <f t="shared" si="31"/>
        <v>130.52477364548162</v>
      </c>
      <c r="E359" s="2">
        <v>4</v>
      </c>
      <c r="F359" s="1">
        <v>77.631193411370404</v>
      </c>
      <c r="G359" s="1">
        <v>32.631193411370404</v>
      </c>
      <c r="H359" s="1">
        <v>45</v>
      </c>
      <c r="I359" s="1">
        <f t="shared" si="32"/>
        <v>678264</v>
      </c>
      <c r="J359" s="1">
        <f t="shared" si="33"/>
        <v>1373469.3659542843</v>
      </c>
      <c r="K359" s="1">
        <f t="shared" si="34"/>
        <v>695205.36595428665</v>
      </c>
      <c r="L359" s="5">
        <f t="shared" si="35"/>
        <v>10794</v>
      </c>
    </row>
    <row r="360" spans="1:12" x14ac:dyDescent="0.25">
      <c r="A360" s="3">
        <v>43177</v>
      </c>
      <c r="B360" s="1">
        <f t="shared" si="30"/>
        <v>520</v>
      </c>
      <c r="C360" s="1">
        <v>873.80047125785586</v>
      </c>
      <c r="D360" s="1">
        <f t="shared" si="31"/>
        <v>353.80047125785592</v>
      </c>
      <c r="E360" s="2">
        <v>4</v>
      </c>
      <c r="F360" s="1">
        <v>218.45011781446397</v>
      </c>
      <c r="G360" s="1">
        <v>88.450117814463979</v>
      </c>
      <c r="H360" s="1">
        <v>130</v>
      </c>
      <c r="I360" s="1">
        <f t="shared" si="32"/>
        <v>678784</v>
      </c>
      <c r="J360" s="1">
        <f t="shared" si="33"/>
        <v>1374343.1664255422</v>
      </c>
      <c r="K360" s="1">
        <f t="shared" si="34"/>
        <v>695559.16642554454</v>
      </c>
      <c r="L360" s="5">
        <f t="shared" si="35"/>
        <v>10798</v>
      </c>
    </row>
    <row r="361" spans="1:12" x14ac:dyDescent="0.25">
      <c r="A361" s="3">
        <v>43185</v>
      </c>
      <c r="B361" s="1">
        <f t="shared" si="30"/>
        <v>2150</v>
      </c>
      <c r="C361" s="1">
        <v>4760.9758926075783</v>
      </c>
      <c r="D361" s="1">
        <f t="shared" si="31"/>
        <v>2610.9758926075779</v>
      </c>
      <c r="E361" s="2">
        <v>50</v>
      </c>
      <c r="F361" s="1">
        <v>95.219517852151569</v>
      </c>
      <c r="G361" s="1">
        <v>52.219517852151561</v>
      </c>
      <c r="H361" s="1">
        <v>43</v>
      </c>
      <c r="I361" s="1">
        <f t="shared" si="32"/>
        <v>680934</v>
      </c>
      <c r="J361" s="1">
        <f t="shared" si="33"/>
        <v>1379104.1423181498</v>
      </c>
      <c r="K361" s="1">
        <f t="shared" si="34"/>
        <v>698170.14231815212</v>
      </c>
      <c r="L361" s="5">
        <f t="shared" si="35"/>
        <v>10848</v>
      </c>
    </row>
    <row r="362" spans="1:12" x14ac:dyDescent="0.25">
      <c r="A362" s="3">
        <v>43205</v>
      </c>
      <c r="B362" s="1">
        <f t="shared" si="30"/>
        <v>1122</v>
      </c>
      <c r="C362" s="1">
        <v>1967.0181764401029</v>
      </c>
      <c r="D362" s="1">
        <f t="shared" si="31"/>
        <v>845.01817644010293</v>
      </c>
      <c r="E362" s="2">
        <v>22</v>
      </c>
      <c r="F362" s="1">
        <v>89.409917110913767</v>
      </c>
      <c r="G362" s="1">
        <v>38.409917110913767</v>
      </c>
      <c r="H362" s="1">
        <v>51</v>
      </c>
      <c r="I362" s="1">
        <f t="shared" si="32"/>
        <v>682056</v>
      </c>
      <c r="J362" s="1">
        <f t="shared" si="33"/>
        <v>1381071.1604945899</v>
      </c>
      <c r="K362" s="1">
        <f t="shared" si="34"/>
        <v>699015.16049459227</v>
      </c>
      <c r="L362" s="5">
        <f t="shared" si="35"/>
        <v>10870</v>
      </c>
    </row>
    <row r="363" spans="1:12" x14ac:dyDescent="0.25">
      <c r="A363" s="3">
        <v>43208</v>
      </c>
      <c r="B363" s="1">
        <f t="shared" si="30"/>
        <v>435</v>
      </c>
      <c r="C363" s="1">
        <v>1019.420725502142</v>
      </c>
      <c r="D363" s="1">
        <f t="shared" si="31"/>
        <v>584.42072550214198</v>
      </c>
      <c r="E363" s="2">
        <v>29</v>
      </c>
      <c r="F363" s="1">
        <v>35.152438810418687</v>
      </c>
      <c r="G363" s="1">
        <v>20.15243881041869</v>
      </c>
      <c r="H363" s="1">
        <v>15</v>
      </c>
      <c r="I363" s="1">
        <f t="shared" si="32"/>
        <v>682491</v>
      </c>
      <c r="J363" s="1">
        <f t="shared" si="33"/>
        <v>1382090.581220092</v>
      </c>
      <c r="K363" s="1">
        <f t="shared" si="34"/>
        <v>699599.58122009446</v>
      </c>
      <c r="L363" s="5">
        <f t="shared" si="35"/>
        <v>10899</v>
      </c>
    </row>
    <row r="364" spans="1:12" x14ac:dyDescent="0.25">
      <c r="A364" s="3">
        <v>43219</v>
      </c>
      <c r="B364" s="1">
        <f t="shared" si="30"/>
        <v>1989</v>
      </c>
      <c r="C364" s="1">
        <v>3876.0739985129139</v>
      </c>
      <c r="D364" s="1">
        <f t="shared" si="31"/>
        <v>1887.0739985129137</v>
      </c>
      <c r="E364" s="2">
        <v>51</v>
      </c>
      <c r="F364" s="1">
        <v>76.001450951233608</v>
      </c>
      <c r="G364" s="1">
        <v>37.001450951233601</v>
      </c>
      <c r="H364" s="1">
        <v>39</v>
      </c>
      <c r="I364" s="1">
        <f t="shared" si="32"/>
        <v>684480</v>
      </c>
      <c r="J364" s="1">
        <f t="shared" si="33"/>
        <v>1385966.655218605</v>
      </c>
      <c r="K364" s="1">
        <f t="shared" si="34"/>
        <v>701486.6552186074</v>
      </c>
      <c r="L364" s="5">
        <f t="shared" si="35"/>
        <v>10950</v>
      </c>
    </row>
    <row r="365" spans="1:12" x14ac:dyDescent="0.25">
      <c r="A365" s="3">
        <v>43220</v>
      </c>
      <c r="B365" s="1">
        <f t="shared" si="30"/>
        <v>3726</v>
      </c>
      <c r="C365" s="1">
        <v>6465.0474129829954</v>
      </c>
      <c r="D365" s="1">
        <f t="shared" si="31"/>
        <v>2739.0474129829954</v>
      </c>
      <c r="E365" s="2">
        <v>69</v>
      </c>
      <c r="F365" s="1">
        <v>93.696339318594141</v>
      </c>
      <c r="G365" s="1">
        <v>39.696339318594134</v>
      </c>
      <c r="H365" s="1">
        <v>54</v>
      </c>
      <c r="I365" s="1">
        <f t="shared" si="32"/>
        <v>688206</v>
      </c>
      <c r="J365" s="1">
        <f t="shared" si="33"/>
        <v>1392431.7026315879</v>
      </c>
      <c r="K365" s="1">
        <f t="shared" si="34"/>
        <v>704225.70263159042</v>
      </c>
      <c r="L365" s="5">
        <f t="shared" si="35"/>
        <v>11019</v>
      </c>
    </row>
    <row r="366" spans="1:12" x14ac:dyDescent="0.25">
      <c r="A366" s="3">
        <v>43233</v>
      </c>
      <c r="B366" s="1">
        <f t="shared" si="30"/>
        <v>3500</v>
      </c>
      <c r="C366" s="1">
        <v>7351.4824416208494</v>
      </c>
      <c r="D366" s="1">
        <f t="shared" si="31"/>
        <v>3851.4824416208498</v>
      </c>
      <c r="E366" s="2">
        <v>50</v>
      </c>
      <c r="F366" s="1">
        <v>147.029648832417</v>
      </c>
      <c r="G366" s="1">
        <v>77.029648832416996</v>
      </c>
      <c r="H366" s="1">
        <v>70</v>
      </c>
      <c r="I366" s="1">
        <f t="shared" si="32"/>
        <v>691706</v>
      </c>
      <c r="J366" s="1">
        <f t="shared" si="33"/>
        <v>1399783.1850732088</v>
      </c>
      <c r="K366" s="1">
        <f t="shared" si="34"/>
        <v>708077.18507321132</v>
      </c>
      <c r="L366" s="5">
        <f t="shared" si="35"/>
        <v>11069</v>
      </c>
    </row>
    <row r="367" spans="1:12" x14ac:dyDescent="0.25">
      <c r="A367" s="3">
        <v>43233</v>
      </c>
      <c r="B367" s="1">
        <f t="shared" si="30"/>
        <v>629</v>
      </c>
      <c r="C367" s="1">
        <v>1073.162996821387</v>
      </c>
      <c r="D367" s="1">
        <f t="shared" si="31"/>
        <v>444.16299682138697</v>
      </c>
      <c r="E367" s="2">
        <v>17</v>
      </c>
      <c r="F367" s="1">
        <v>63.127235107140407</v>
      </c>
      <c r="G367" s="1">
        <v>26.127235107140411</v>
      </c>
      <c r="H367" s="1">
        <v>37</v>
      </c>
      <c r="I367" s="1">
        <f t="shared" si="32"/>
        <v>692335</v>
      </c>
      <c r="J367" s="1">
        <f t="shared" si="33"/>
        <v>1400856.3480700301</v>
      </c>
      <c r="K367" s="1">
        <f t="shared" si="34"/>
        <v>708521.34807003266</v>
      </c>
      <c r="L367" s="5">
        <f t="shared" si="35"/>
        <v>11086</v>
      </c>
    </row>
    <row r="368" spans="1:12" x14ac:dyDescent="0.25">
      <c r="A368" s="3">
        <v>43252</v>
      </c>
      <c r="B368" s="1">
        <f t="shared" si="30"/>
        <v>854</v>
      </c>
      <c r="C368" s="1">
        <v>1634.1862208005614</v>
      </c>
      <c r="D368" s="1">
        <f t="shared" si="31"/>
        <v>780.18622080056116</v>
      </c>
      <c r="E368" s="2">
        <v>14</v>
      </c>
      <c r="F368" s="1">
        <v>116.72758720004009</v>
      </c>
      <c r="G368" s="1">
        <v>55.727587200040084</v>
      </c>
      <c r="H368" s="1">
        <v>61</v>
      </c>
      <c r="I368" s="1">
        <f t="shared" si="32"/>
        <v>693189</v>
      </c>
      <c r="J368" s="1">
        <f t="shared" si="33"/>
        <v>1402490.5342908306</v>
      </c>
      <c r="K368" s="1">
        <f t="shared" si="34"/>
        <v>709301.53429083317</v>
      </c>
      <c r="L368" s="5">
        <f t="shared" si="35"/>
        <v>11100</v>
      </c>
    </row>
    <row r="369" spans="1:12" x14ac:dyDescent="0.25">
      <c r="A369" s="3">
        <v>43262</v>
      </c>
      <c r="B369" s="1">
        <f t="shared" si="30"/>
        <v>1600</v>
      </c>
      <c r="C369" s="1">
        <v>3833.0908229322672</v>
      </c>
      <c r="D369" s="1">
        <f t="shared" si="31"/>
        <v>2233.0908229322672</v>
      </c>
      <c r="E369" s="2">
        <v>40</v>
      </c>
      <c r="F369" s="1">
        <v>95.827270573306677</v>
      </c>
      <c r="G369" s="1">
        <v>55.827270573306677</v>
      </c>
      <c r="H369" s="1">
        <v>40</v>
      </c>
      <c r="I369" s="1">
        <f t="shared" si="32"/>
        <v>694789</v>
      </c>
      <c r="J369" s="1">
        <f t="shared" si="33"/>
        <v>1406323.6251137629</v>
      </c>
      <c r="K369" s="1">
        <f t="shared" si="34"/>
        <v>711534.62511376548</v>
      </c>
      <c r="L369" s="5">
        <f t="shared" si="35"/>
        <v>11140</v>
      </c>
    </row>
    <row r="370" spans="1:12" x14ac:dyDescent="0.25">
      <c r="A370" s="3">
        <v>43279</v>
      </c>
      <c r="B370" s="1">
        <f t="shared" si="30"/>
        <v>1246</v>
      </c>
      <c r="C370" s="1">
        <v>2753.0073997998525</v>
      </c>
      <c r="D370" s="1">
        <f t="shared" si="31"/>
        <v>1507.0073997998525</v>
      </c>
      <c r="E370" s="2">
        <v>14</v>
      </c>
      <c r="F370" s="1">
        <v>196.64338569998947</v>
      </c>
      <c r="G370" s="1">
        <v>107.64338569998947</v>
      </c>
      <c r="H370" s="1">
        <v>89</v>
      </c>
      <c r="I370" s="1">
        <f t="shared" si="32"/>
        <v>696035</v>
      </c>
      <c r="J370" s="1">
        <f t="shared" si="33"/>
        <v>1409076.6325135627</v>
      </c>
      <c r="K370" s="1">
        <f t="shared" si="34"/>
        <v>713041.63251356536</v>
      </c>
      <c r="L370" s="5">
        <f t="shared" si="35"/>
        <v>11154</v>
      </c>
    </row>
    <row r="371" spans="1:12" x14ac:dyDescent="0.25">
      <c r="A371" s="3">
        <v>43281</v>
      </c>
      <c r="B371" s="1">
        <f t="shared" si="30"/>
        <v>140</v>
      </c>
      <c r="C371" s="1">
        <v>259.02571836581632</v>
      </c>
      <c r="D371" s="1">
        <f t="shared" si="31"/>
        <v>119.02571836581633</v>
      </c>
      <c r="E371" s="2">
        <v>2</v>
      </c>
      <c r="F371" s="1">
        <v>129.51285918290816</v>
      </c>
      <c r="G371" s="1">
        <v>59.512859182908166</v>
      </c>
      <c r="H371" s="1">
        <v>70</v>
      </c>
      <c r="I371" s="1">
        <f t="shared" si="32"/>
        <v>696175</v>
      </c>
      <c r="J371" s="1">
        <f t="shared" si="33"/>
        <v>1409335.6582319285</v>
      </c>
      <c r="K371" s="1">
        <f t="shared" si="34"/>
        <v>713160.65823193116</v>
      </c>
      <c r="L371" s="5">
        <f t="shared" si="35"/>
        <v>11156</v>
      </c>
    </row>
    <row r="372" spans="1:12" x14ac:dyDescent="0.25">
      <c r="A372" s="3">
        <v>43297</v>
      </c>
      <c r="B372" s="1">
        <f t="shared" si="30"/>
        <v>8064</v>
      </c>
      <c r="C372" s="1">
        <v>22115.504774785724</v>
      </c>
      <c r="D372" s="1">
        <f t="shared" si="31"/>
        <v>14051.504774785726</v>
      </c>
      <c r="E372" s="2">
        <v>144</v>
      </c>
      <c r="F372" s="1">
        <v>153.57989426934532</v>
      </c>
      <c r="G372" s="1">
        <v>97.579894269345317</v>
      </c>
      <c r="H372" s="1">
        <v>56</v>
      </c>
      <c r="I372" s="1">
        <f t="shared" si="32"/>
        <v>704239</v>
      </c>
      <c r="J372" s="1">
        <f t="shared" si="33"/>
        <v>1431451.1630067143</v>
      </c>
      <c r="K372" s="1">
        <f t="shared" si="34"/>
        <v>727212.16300671687</v>
      </c>
      <c r="L372" s="5">
        <f t="shared" si="35"/>
        <v>11300</v>
      </c>
    </row>
    <row r="373" spans="1:12" x14ac:dyDescent="0.25">
      <c r="A373" s="3">
        <v>43302</v>
      </c>
      <c r="B373" s="1">
        <f t="shared" si="30"/>
        <v>2009</v>
      </c>
      <c r="C373" s="1">
        <v>4750.2478058214983</v>
      </c>
      <c r="D373" s="1">
        <f t="shared" si="31"/>
        <v>2741.2478058214979</v>
      </c>
      <c r="E373" s="2">
        <v>41</v>
      </c>
      <c r="F373" s="1">
        <v>115.85970258101214</v>
      </c>
      <c r="G373" s="1">
        <v>66.859702581012144</v>
      </c>
      <c r="H373" s="1">
        <v>49</v>
      </c>
      <c r="I373" s="1">
        <f t="shared" si="32"/>
        <v>706248</v>
      </c>
      <c r="J373" s="1">
        <f t="shared" si="33"/>
        <v>1436201.4108125358</v>
      </c>
      <c r="K373" s="1">
        <f t="shared" si="34"/>
        <v>729953.41081253835</v>
      </c>
      <c r="L373" s="5">
        <f t="shared" si="35"/>
        <v>11341</v>
      </c>
    </row>
    <row r="374" spans="1:12" x14ac:dyDescent="0.25">
      <c r="A374" s="3">
        <v>43308</v>
      </c>
      <c r="B374" s="1">
        <f t="shared" si="30"/>
        <v>1020</v>
      </c>
      <c r="C374" s="1">
        <v>2814.1654899540249</v>
      </c>
      <c r="D374" s="1">
        <f t="shared" si="31"/>
        <v>1794.1654899540249</v>
      </c>
      <c r="E374" s="2">
        <v>30</v>
      </c>
      <c r="F374" s="1">
        <v>93.805516331800831</v>
      </c>
      <c r="G374" s="1">
        <v>59.805516331800831</v>
      </c>
      <c r="H374" s="1">
        <v>34</v>
      </c>
      <c r="I374" s="1">
        <f t="shared" si="32"/>
        <v>707268</v>
      </c>
      <c r="J374" s="1">
        <f t="shared" si="33"/>
        <v>1439015.5763024897</v>
      </c>
      <c r="K374" s="1">
        <f t="shared" si="34"/>
        <v>731747.57630249241</v>
      </c>
      <c r="L374" s="5">
        <f t="shared" si="35"/>
        <v>11371</v>
      </c>
    </row>
    <row r="375" spans="1:12" x14ac:dyDescent="0.25">
      <c r="A375" s="3">
        <v>43309</v>
      </c>
      <c r="B375" s="1">
        <f t="shared" si="30"/>
        <v>1134</v>
      </c>
      <c r="C375" s="1">
        <v>2884.3385247034385</v>
      </c>
      <c r="D375" s="1">
        <f t="shared" si="31"/>
        <v>1750.3385247034387</v>
      </c>
      <c r="E375" s="2">
        <v>27</v>
      </c>
      <c r="F375" s="1">
        <v>106.82735276679402</v>
      </c>
      <c r="G375" s="1">
        <v>64.827352766794021</v>
      </c>
      <c r="H375" s="1">
        <v>42</v>
      </c>
      <c r="I375" s="1">
        <f t="shared" si="32"/>
        <v>708402</v>
      </c>
      <c r="J375" s="1">
        <f t="shared" si="33"/>
        <v>1441899.9148271931</v>
      </c>
      <c r="K375" s="1">
        <f t="shared" si="34"/>
        <v>733497.91482719581</v>
      </c>
      <c r="L375" s="5">
        <f t="shared" si="35"/>
        <v>11398</v>
      </c>
    </row>
    <row r="376" spans="1:12" x14ac:dyDescent="0.25">
      <c r="A376" s="3">
        <v>43315</v>
      </c>
      <c r="B376" s="1">
        <f t="shared" si="30"/>
        <v>1083</v>
      </c>
      <c r="C376" s="1">
        <v>2746.4988104642903</v>
      </c>
      <c r="D376" s="1">
        <f t="shared" si="31"/>
        <v>1663.4988104642903</v>
      </c>
      <c r="E376" s="2">
        <v>19</v>
      </c>
      <c r="F376" s="1">
        <v>144.55256897180476</v>
      </c>
      <c r="G376" s="1">
        <v>87.552568971804746</v>
      </c>
      <c r="H376" s="1">
        <v>57</v>
      </c>
      <c r="I376" s="1">
        <f t="shared" si="32"/>
        <v>709485</v>
      </c>
      <c r="J376" s="1">
        <f t="shared" si="33"/>
        <v>1444646.4136376574</v>
      </c>
      <c r="K376" s="1">
        <f t="shared" si="34"/>
        <v>735161.41363766009</v>
      </c>
      <c r="L376" s="5">
        <f t="shared" si="35"/>
        <v>11417</v>
      </c>
    </row>
    <row r="377" spans="1:12" x14ac:dyDescent="0.25">
      <c r="A377" s="3">
        <v>43369</v>
      </c>
      <c r="B377" s="1">
        <f t="shared" si="30"/>
        <v>368</v>
      </c>
      <c r="C377" s="1">
        <v>825.28718633097947</v>
      </c>
      <c r="D377" s="1">
        <f t="shared" si="31"/>
        <v>457.28718633097941</v>
      </c>
      <c r="E377" s="2">
        <v>16</v>
      </c>
      <c r="F377" s="1">
        <v>51.580449145686217</v>
      </c>
      <c r="G377" s="1">
        <v>28.580449145686213</v>
      </c>
      <c r="H377" s="1">
        <v>23</v>
      </c>
      <c r="I377" s="1">
        <f t="shared" si="32"/>
        <v>709853</v>
      </c>
      <c r="J377" s="1">
        <f t="shared" si="33"/>
        <v>1445471.7008239883</v>
      </c>
      <c r="K377" s="1">
        <f t="shared" si="34"/>
        <v>735618.70082399109</v>
      </c>
      <c r="L377" s="5">
        <f t="shared" si="35"/>
        <v>11433</v>
      </c>
    </row>
    <row r="378" spans="1:12" x14ac:dyDescent="0.25">
      <c r="A378" s="3">
        <v>43379</v>
      </c>
      <c r="B378" s="1">
        <f t="shared" si="30"/>
        <v>1695</v>
      </c>
      <c r="C378" s="1">
        <v>2942.4128507480459</v>
      </c>
      <c r="D378" s="1">
        <f t="shared" si="31"/>
        <v>1247.4128507480459</v>
      </c>
      <c r="E378" s="2">
        <v>15</v>
      </c>
      <c r="F378" s="1">
        <v>196.16085671653639</v>
      </c>
      <c r="G378" s="1">
        <v>83.160856716536401</v>
      </c>
      <c r="H378" s="1">
        <v>113</v>
      </c>
      <c r="I378" s="1">
        <f t="shared" si="32"/>
        <v>711548</v>
      </c>
      <c r="J378" s="1">
        <f t="shared" si="33"/>
        <v>1448414.1136747363</v>
      </c>
      <c r="K378" s="1">
        <f t="shared" si="34"/>
        <v>736866.11367473914</v>
      </c>
      <c r="L378" s="5">
        <f t="shared" si="35"/>
        <v>11448</v>
      </c>
    </row>
    <row r="379" spans="1:12" x14ac:dyDescent="0.25">
      <c r="A379" s="3">
        <v>43382</v>
      </c>
      <c r="B379" s="1">
        <f t="shared" si="30"/>
        <v>285</v>
      </c>
      <c r="C379" s="1">
        <v>596.95161546955455</v>
      </c>
      <c r="D379" s="1">
        <f t="shared" si="31"/>
        <v>311.9516154695545</v>
      </c>
      <c r="E379" s="2">
        <v>15</v>
      </c>
      <c r="F379" s="1">
        <v>39.796774364636967</v>
      </c>
      <c r="G379" s="1">
        <v>20.796774364636967</v>
      </c>
      <c r="H379" s="1">
        <v>19</v>
      </c>
      <c r="I379" s="1">
        <f t="shared" si="32"/>
        <v>711833</v>
      </c>
      <c r="J379" s="1">
        <f t="shared" si="33"/>
        <v>1449011.0652902059</v>
      </c>
      <c r="K379" s="1">
        <f t="shared" si="34"/>
        <v>737178.06529020867</v>
      </c>
      <c r="L379" s="5">
        <f t="shared" si="35"/>
        <v>11463</v>
      </c>
    </row>
    <row r="380" spans="1:12" x14ac:dyDescent="0.25">
      <c r="A380" s="3">
        <v>43388</v>
      </c>
      <c r="B380" s="1">
        <f t="shared" si="30"/>
        <v>3710</v>
      </c>
      <c r="C380" s="1">
        <v>7775.4113915813705</v>
      </c>
      <c r="D380" s="1">
        <f t="shared" si="31"/>
        <v>4065.41139158137</v>
      </c>
      <c r="E380" s="2">
        <v>106</v>
      </c>
      <c r="F380" s="1">
        <v>73.352937656428026</v>
      </c>
      <c r="G380" s="1">
        <v>38.352937656428018</v>
      </c>
      <c r="H380" s="1">
        <v>35</v>
      </c>
      <c r="I380" s="1">
        <f t="shared" si="32"/>
        <v>715543</v>
      </c>
      <c r="J380" s="1">
        <f t="shared" si="33"/>
        <v>1456786.4766817873</v>
      </c>
      <c r="K380" s="1">
        <f t="shared" si="34"/>
        <v>741243.47668179008</v>
      </c>
      <c r="L380" s="5">
        <f t="shared" si="35"/>
        <v>11569</v>
      </c>
    </row>
    <row r="381" spans="1:12" x14ac:dyDescent="0.25">
      <c r="A381" s="3">
        <v>43417</v>
      </c>
      <c r="B381" s="1">
        <f t="shared" si="30"/>
        <v>3283</v>
      </c>
      <c r="C381" s="1">
        <v>5512.3920845569683</v>
      </c>
      <c r="D381" s="1">
        <f t="shared" si="31"/>
        <v>2229.3920845569678</v>
      </c>
      <c r="E381" s="2">
        <v>49</v>
      </c>
      <c r="F381" s="1">
        <v>112.49779764401976</v>
      </c>
      <c r="G381" s="1">
        <v>45.497797644019755</v>
      </c>
      <c r="H381" s="1">
        <v>67</v>
      </c>
      <c r="I381" s="1">
        <f t="shared" si="32"/>
        <v>718826</v>
      </c>
      <c r="J381" s="1">
        <f t="shared" si="33"/>
        <v>1462298.8687663442</v>
      </c>
      <c r="K381" s="1">
        <f t="shared" si="34"/>
        <v>743472.86876634706</v>
      </c>
      <c r="L381" s="5">
        <f t="shared" si="35"/>
        <v>11618</v>
      </c>
    </row>
    <row r="382" spans="1:12" x14ac:dyDescent="0.25">
      <c r="A382" s="3">
        <v>43419</v>
      </c>
      <c r="B382" s="1">
        <f t="shared" si="30"/>
        <v>864</v>
      </c>
      <c r="C382" s="1">
        <v>1577.5780766739947</v>
      </c>
      <c r="D382" s="1">
        <f t="shared" si="31"/>
        <v>713.57807667399459</v>
      </c>
      <c r="E382" s="2">
        <v>24</v>
      </c>
      <c r="F382" s="1">
        <v>65.732419861416446</v>
      </c>
      <c r="G382" s="1">
        <v>29.732419861416442</v>
      </c>
      <c r="H382" s="1">
        <v>36</v>
      </c>
      <c r="I382" s="1">
        <f t="shared" si="32"/>
        <v>719690</v>
      </c>
      <c r="J382" s="1">
        <f t="shared" si="33"/>
        <v>1463876.4468430181</v>
      </c>
      <c r="K382" s="1">
        <f t="shared" si="34"/>
        <v>744186.44684302108</v>
      </c>
      <c r="L382" s="5">
        <f t="shared" si="35"/>
        <v>11642</v>
      </c>
    </row>
    <row r="383" spans="1:12" x14ac:dyDescent="0.25">
      <c r="A383" s="3">
        <v>43420</v>
      </c>
      <c r="B383" s="1">
        <f t="shared" si="30"/>
        <v>1120</v>
      </c>
      <c r="C383" s="1">
        <v>1874.6169731935945</v>
      </c>
      <c r="D383" s="1">
        <f t="shared" si="31"/>
        <v>754.6169731935945</v>
      </c>
      <c r="E383" s="2">
        <v>20</v>
      </c>
      <c r="F383" s="1">
        <v>93.730848659679722</v>
      </c>
      <c r="G383" s="1">
        <v>37.730848659679722</v>
      </c>
      <c r="H383" s="1">
        <v>56</v>
      </c>
      <c r="I383" s="1">
        <f t="shared" si="32"/>
        <v>720810</v>
      </c>
      <c r="J383" s="1">
        <f t="shared" si="33"/>
        <v>1465751.0638162117</v>
      </c>
      <c r="K383" s="1">
        <f t="shared" si="34"/>
        <v>744941.06381621468</v>
      </c>
      <c r="L383" s="5">
        <f t="shared" si="35"/>
        <v>11662</v>
      </c>
    </row>
    <row r="384" spans="1:12" x14ac:dyDescent="0.25">
      <c r="A384" s="3">
        <v>43422</v>
      </c>
      <c r="B384" s="1">
        <f t="shared" si="30"/>
        <v>145</v>
      </c>
      <c r="C384" s="1">
        <v>392.5409800399384</v>
      </c>
      <c r="D384" s="1">
        <f t="shared" si="31"/>
        <v>247.5409800399384</v>
      </c>
      <c r="E384" s="2">
        <v>5</v>
      </c>
      <c r="F384" s="1">
        <v>78.508196007987678</v>
      </c>
      <c r="G384" s="1">
        <v>49.508196007987678</v>
      </c>
      <c r="H384" s="1">
        <v>29</v>
      </c>
      <c r="I384" s="1">
        <f t="shared" si="32"/>
        <v>720955</v>
      </c>
      <c r="J384" s="1">
        <f t="shared" si="33"/>
        <v>1466143.6047962515</v>
      </c>
      <c r="K384" s="1">
        <f t="shared" si="34"/>
        <v>745188.60479625466</v>
      </c>
      <c r="L384" s="5">
        <f t="shared" si="35"/>
        <v>11667</v>
      </c>
    </row>
    <row r="385" spans="1:12" x14ac:dyDescent="0.25">
      <c r="A385" s="3">
        <v>43434</v>
      </c>
      <c r="B385" s="1">
        <f t="shared" si="30"/>
        <v>2016</v>
      </c>
      <c r="C385" s="1">
        <v>5257.3957015789138</v>
      </c>
      <c r="D385" s="1">
        <f t="shared" si="31"/>
        <v>3241.3957015789133</v>
      </c>
      <c r="E385" s="2">
        <v>72</v>
      </c>
      <c r="F385" s="1">
        <v>73.01938474415158</v>
      </c>
      <c r="G385" s="1">
        <v>45.019384744151573</v>
      </c>
      <c r="H385" s="1">
        <v>28</v>
      </c>
      <c r="I385" s="1">
        <f t="shared" si="32"/>
        <v>722971</v>
      </c>
      <c r="J385" s="1">
        <f t="shared" si="33"/>
        <v>1471401.0004978303</v>
      </c>
      <c r="K385" s="1">
        <f t="shared" si="34"/>
        <v>748430.00049783359</v>
      </c>
      <c r="L385" s="5">
        <f t="shared" si="35"/>
        <v>11739</v>
      </c>
    </row>
    <row r="386" spans="1:12" x14ac:dyDescent="0.25">
      <c r="A386" s="3">
        <v>43463</v>
      </c>
      <c r="B386" s="1">
        <f t="shared" ref="B386:B449" si="36">+E386*H386</f>
        <v>420</v>
      </c>
      <c r="C386" s="1">
        <v>700.71371921657953</v>
      </c>
      <c r="D386" s="1">
        <f t="shared" ref="D386:D449" si="37">+E386*G386</f>
        <v>280.71371921657959</v>
      </c>
      <c r="E386" s="2">
        <v>6</v>
      </c>
      <c r="F386" s="1">
        <v>116.78561986942992</v>
      </c>
      <c r="G386" s="1">
        <v>46.785619869429929</v>
      </c>
      <c r="H386" s="1">
        <v>70</v>
      </c>
      <c r="I386" s="1">
        <f t="shared" si="32"/>
        <v>723391</v>
      </c>
      <c r="J386" s="1">
        <f t="shared" si="33"/>
        <v>1472101.714217047</v>
      </c>
      <c r="K386" s="1">
        <f t="shared" si="34"/>
        <v>748710.71421705012</v>
      </c>
      <c r="L386" s="5">
        <f t="shared" si="35"/>
        <v>11745</v>
      </c>
    </row>
    <row r="387" spans="1:12" x14ac:dyDescent="0.25">
      <c r="A387" s="3">
        <v>43466</v>
      </c>
      <c r="B387" s="1">
        <f t="shared" si="36"/>
        <v>1863</v>
      </c>
      <c r="C387" s="1">
        <v>3426.3612612443781</v>
      </c>
      <c r="D387" s="1">
        <f t="shared" si="37"/>
        <v>1563.3612612443781</v>
      </c>
      <c r="E387" s="2">
        <v>23</v>
      </c>
      <c r="F387" s="1">
        <v>148.97222874975557</v>
      </c>
      <c r="G387" s="1">
        <v>67.972228749755573</v>
      </c>
      <c r="H387" s="1">
        <v>81</v>
      </c>
      <c r="I387" s="1">
        <f t="shared" si="32"/>
        <v>725254</v>
      </c>
      <c r="J387" s="1">
        <f t="shared" si="33"/>
        <v>1475528.0754782914</v>
      </c>
      <c r="K387" s="1">
        <f t="shared" si="34"/>
        <v>750274.07547829452</v>
      </c>
      <c r="L387" s="5">
        <f t="shared" si="35"/>
        <v>11768</v>
      </c>
    </row>
    <row r="388" spans="1:12" x14ac:dyDescent="0.25">
      <c r="A388" s="3">
        <v>43498</v>
      </c>
      <c r="B388" s="1">
        <f t="shared" si="36"/>
        <v>840</v>
      </c>
      <c r="C388" s="1">
        <v>2462.0207728639889</v>
      </c>
      <c r="D388" s="1">
        <f t="shared" si="37"/>
        <v>1622.0207728639894</v>
      </c>
      <c r="E388" s="2">
        <v>28</v>
      </c>
      <c r="F388" s="1">
        <v>87.92931331657104</v>
      </c>
      <c r="G388" s="1">
        <v>57.929313316571047</v>
      </c>
      <c r="H388" s="1">
        <v>30</v>
      </c>
      <c r="I388" s="1">
        <f t="shared" ref="I388:I451" si="38">+I387+B388</f>
        <v>726094</v>
      </c>
      <c r="J388" s="1">
        <f t="shared" ref="J388:J451" si="39">+J387+C388</f>
        <v>1477990.0962511552</v>
      </c>
      <c r="K388" s="1">
        <f t="shared" ref="K388:K451" si="40">+K387+D388</f>
        <v>751896.09625115851</v>
      </c>
      <c r="L388" s="5">
        <f t="shared" ref="L388:L451" si="41">+L387+E388</f>
        <v>11796</v>
      </c>
    </row>
    <row r="389" spans="1:12" x14ac:dyDescent="0.25">
      <c r="A389" s="3">
        <v>43499</v>
      </c>
      <c r="B389" s="1">
        <f t="shared" si="36"/>
        <v>480</v>
      </c>
      <c r="C389" s="1">
        <v>1300.5940643500865</v>
      </c>
      <c r="D389" s="1">
        <f t="shared" si="37"/>
        <v>820.59406435008646</v>
      </c>
      <c r="E389" s="2">
        <v>12</v>
      </c>
      <c r="F389" s="1">
        <v>108.38283869584053</v>
      </c>
      <c r="G389" s="1">
        <v>68.382838695840533</v>
      </c>
      <c r="H389" s="1">
        <v>40</v>
      </c>
      <c r="I389" s="1">
        <f t="shared" si="38"/>
        <v>726574</v>
      </c>
      <c r="J389" s="1">
        <f t="shared" si="39"/>
        <v>1479290.6903155053</v>
      </c>
      <c r="K389" s="1">
        <f t="shared" si="40"/>
        <v>752716.69031550863</v>
      </c>
      <c r="L389" s="5">
        <f t="shared" si="41"/>
        <v>11808</v>
      </c>
    </row>
    <row r="390" spans="1:12" x14ac:dyDescent="0.25">
      <c r="A390" s="3">
        <v>43501</v>
      </c>
      <c r="B390" s="1">
        <f t="shared" si="36"/>
        <v>270</v>
      </c>
      <c r="C390" s="1">
        <v>725.0894329109575</v>
      </c>
      <c r="D390" s="1">
        <f t="shared" si="37"/>
        <v>455.0894329109575</v>
      </c>
      <c r="E390" s="2">
        <v>5</v>
      </c>
      <c r="F390" s="1">
        <v>145.01788658219149</v>
      </c>
      <c r="G390" s="1">
        <v>91.017886582191494</v>
      </c>
      <c r="H390" s="1">
        <v>54</v>
      </c>
      <c r="I390" s="1">
        <f t="shared" si="38"/>
        <v>726844</v>
      </c>
      <c r="J390" s="1">
        <f t="shared" si="39"/>
        <v>1480015.7797484163</v>
      </c>
      <c r="K390" s="1">
        <f t="shared" si="40"/>
        <v>753171.77974841953</v>
      </c>
      <c r="L390" s="5">
        <f t="shared" si="41"/>
        <v>11813</v>
      </c>
    </row>
    <row r="391" spans="1:12" x14ac:dyDescent="0.25">
      <c r="A391" s="3">
        <v>43517</v>
      </c>
      <c r="B391" s="1">
        <f t="shared" si="36"/>
        <v>1892</v>
      </c>
      <c r="C391" s="1">
        <v>3323.208542475415</v>
      </c>
      <c r="D391" s="1">
        <f t="shared" si="37"/>
        <v>1431.2085424754146</v>
      </c>
      <c r="E391" s="2">
        <v>22</v>
      </c>
      <c r="F391" s="1">
        <v>151.05493374888249</v>
      </c>
      <c r="G391" s="1">
        <v>65.054933748882476</v>
      </c>
      <c r="H391" s="1">
        <v>86</v>
      </c>
      <c r="I391" s="1">
        <f t="shared" si="38"/>
        <v>728736</v>
      </c>
      <c r="J391" s="1">
        <f t="shared" si="39"/>
        <v>1483338.9882908917</v>
      </c>
      <c r="K391" s="1">
        <f t="shared" si="40"/>
        <v>754602.98829089489</v>
      </c>
      <c r="L391" s="5">
        <f t="shared" si="41"/>
        <v>11835</v>
      </c>
    </row>
    <row r="392" spans="1:12" x14ac:dyDescent="0.25">
      <c r="A392" s="3">
        <v>43525</v>
      </c>
      <c r="B392" s="1">
        <f t="shared" si="36"/>
        <v>602</v>
      </c>
      <c r="C392" s="1">
        <v>1318.4273211861464</v>
      </c>
      <c r="D392" s="1">
        <f t="shared" si="37"/>
        <v>716.4273211861464</v>
      </c>
      <c r="E392" s="2">
        <v>14</v>
      </c>
      <c r="F392" s="1">
        <v>94.173380084724741</v>
      </c>
      <c r="G392" s="1">
        <v>51.173380084724741</v>
      </c>
      <c r="H392" s="1">
        <v>43</v>
      </c>
      <c r="I392" s="1">
        <f t="shared" si="38"/>
        <v>729338</v>
      </c>
      <c r="J392" s="1">
        <f t="shared" si="39"/>
        <v>1484657.4156120778</v>
      </c>
      <c r="K392" s="1">
        <f t="shared" si="40"/>
        <v>755319.41561208107</v>
      </c>
      <c r="L392" s="5">
        <f t="shared" si="41"/>
        <v>11849</v>
      </c>
    </row>
    <row r="393" spans="1:12" x14ac:dyDescent="0.25">
      <c r="A393" s="3">
        <v>43526</v>
      </c>
      <c r="B393" s="1">
        <f t="shared" si="36"/>
        <v>722</v>
      </c>
      <c r="C393" s="1">
        <v>2058.3453627646468</v>
      </c>
      <c r="D393" s="1">
        <f t="shared" si="37"/>
        <v>1336.345362764647</v>
      </c>
      <c r="E393" s="2">
        <v>19</v>
      </c>
      <c r="F393" s="1">
        <v>108.33396646129721</v>
      </c>
      <c r="G393" s="1">
        <v>70.333966461297209</v>
      </c>
      <c r="H393" s="1">
        <v>38</v>
      </c>
      <c r="I393" s="1">
        <f t="shared" si="38"/>
        <v>730060</v>
      </c>
      <c r="J393" s="1">
        <f t="shared" si="39"/>
        <v>1486715.7609748424</v>
      </c>
      <c r="K393" s="1">
        <f t="shared" si="40"/>
        <v>756655.76097484573</v>
      </c>
      <c r="L393" s="5">
        <f t="shared" si="41"/>
        <v>11868</v>
      </c>
    </row>
    <row r="394" spans="1:12" x14ac:dyDescent="0.25">
      <c r="A394" s="3">
        <v>43532</v>
      </c>
      <c r="B394" s="1">
        <f t="shared" si="36"/>
        <v>165</v>
      </c>
      <c r="C394" s="1">
        <v>364.11883049612743</v>
      </c>
      <c r="D394" s="1">
        <f t="shared" si="37"/>
        <v>199.1188304961274</v>
      </c>
      <c r="E394" s="2">
        <v>5</v>
      </c>
      <c r="F394" s="1">
        <v>72.82376609922548</v>
      </c>
      <c r="G394" s="1">
        <v>39.82376609922548</v>
      </c>
      <c r="H394" s="1">
        <v>33</v>
      </c>
      <c r="I394" s="1">
        <f t="shared" si="38"/>
        <v>730225</v>
      </c>
      <c r="J394" s="1">
        <f t="shared" si="39"/>
        <v>1487079.8798053386</v>
      </c>
      <c r="K394" s="1">
        <f t="shared" si="40"/>
        <v>756854.87980534183</v>
      </c>
      <c r="L394" s="5">
        <f t="shared" si="41"/>
        <v>11873</v>
      </c>
    </row>
    <row r="395" spans="1:12" x14ac:dyDescent="0.25">
      <c r="A395" s="3">
        <v>43533</v>
      </c>
      <c r="B395" s="1">
        <f t="shared" si="36"/>
        <v>158</v>
      </c>
      <c r="C395" s="1">
        <v>286.21210976344196</v>
      </c>
      <c r="D395" s="1">
        <f t="shared" si="37"/>
        <v>128.21210976344193</v>
      </c>
      <c r="E395" s="2">
        <v>2</v>
      </c>
      <c r="F395" s="1">
        <v>143.10605488172098</v>
      </c>
      <c r="G395" s="1">
        <v>64.106054881720965</v>
      </c>
      <c r="H395" s="1">
        <v>79</v>
      </c>
      <c r="I395" s="1">
        <f t="shared" si="38"/>
        <v>730383</v>
      </c>
      <c r="J395" s="1">
        <f t="shared" si="39"/>
        <v>1487366.091915102</v>
      </c>
      <c r="K395" s="1">
        <f t="shared" si="40"/>
        <v>756983.09191510524</v>
      </c>
      <c r="L395" s="5">
        <f t="shared" si="41"/>
        <v>11875</v>
      </c>
    </row>
    <row r="396" spans="1:12" x14ac:dyDescent="0.25">
      <c r="A396" s="3">
        <v>43537</v>
      </c>
      <c r="B396" s="1">
        <f t="shared" si="36"/>
        <v>429</v>
      </c>
      <c r="C396" s="1">
        <v>783.24629021113537</v>
      </c>
      <c r="D396" s="1">
        <f t="shared" si="37"/>
        <v>354.24629021113532</v>
      </c>
      <c r="E396" s="2">
        <v>11</v>
      </c>
      <c r="F396" s="1">
        <v>71.204208201012307</v>
      </c>
      <c r="G396" s="1">
        <v>32.2042082010123</v>
      </c>
      <c r="H396" s="1">
        <v>39</v>
      </c>
      <c r="I396" s="1">
        <f t="shared" si="38"/>
        <v>730812</v>
      </c>
      <c r="J396" s="1">
        <f t="shared" si="39"/>
        <v>1488149.3382053131</v>
      </c>
      <c r="K396" s="1">
        <f t="shared" si="40"/>
        <v>757337.33820531634</v>
      </c>
      <c r="L396" s="5">
        <f t="shared" si="41"/>
        <v>11886</v>
      </c>
    </row>
    <row r="397" spans="1:12" x14ac:dyDescent="0.25">
      <c r="A397" s="3">
        <v>43538</v>
      </c>
      <c r="B397" s="1">
        <f t="shared" si="36"/>
        <v>2623</v>
      </c>
      <c r="C397" s="1">
        <v>4921.5575570962437</v>
      </c>
      <c r="D397" s="1">
        <f t="shared" si="37"/>
        <v>2298.5575570962437</v>
      </c>
      <c r="E397" s="2">
        <v>43</v>
      </c>
      <c r="F397" s="1">
        <v>114.45482690921497</v>
      </c>
      <c r="G397" s="1">
        <v>53.454826909214972</v>
      </c>
      <c r="H397" s="1">
        <v>61</v>
      </c>
      <c r="I397" s="1">
        <f t="shared" si="38"/>
        <v>733435</v>
      </c>
      <c r="J397" s="1">
        <f t="shared" si="39"/>
        <v>1493070.8957624093</v>
      </c>
      <c r="K397" s="1">
        <f t="shared" si="40"/>
        <v>759635.89576241258</v>
      </c>
      <c r="L397" s="5">
        <f t="shared" si="41"/>
        <v>11929</v>
      </c>
    </row>
    <row r="398" spans="1:12" x14ac:dyDescent="0.25">
      <c r="A398" s="3">
        <v>43538</v>
      </c>
      <c r="B398" s="1">
        <f t="shared" si="36"/>
        <v>2376</v>
      </c>
      <c r="C398" s="1">
        <v>4547.0463544049644</v>
      </c>
      <c r="D398" s="1">
        <f t="shared" si="37"/>
        <v>2171.0463544049649</v>
      </c>
      <c r="E398" s="2">
        <v>33</v>
      </c>
      <c r="F398" s="1">
        <v>137.7892834668171</v>
      </c>
      <c r="G398" s="1">
        <v>65.78928346681711</v>
      </c>
      <c r="H398" s="1">
        <v>72</v>
      </c>
      <c r="I398" s="1">
        <f t="shared" si="38"/>
        <v>735811</v>
      </c>
      <c r="J398" s="1">
        <f t="shared" si="39"/>
        <v>1497617.9421168142</v>
      </c>
      <c r="K398" s="1">
        <f t="shared" si="40"/>
        <v>761806.94211681758</v>
      </c>
      <c r="L398" s="5">
        <f t="shared" si="41"/>
        <v>11962</v>
      </c>
    </row>
    <row r="399" spans="1:12" x14ac:dyDescent="0.25">
      <c r="A399" s="3">
        <v>43561</v>
      </c>
      <c r="B399" s="1">
        <f t="shared" si="36"/>
        <v>3600</v>
      </c>
      <c r="C399" s="1">
        <v>6879.6406864616565</v>
      </c>
      <c r="D399" s="1">
        <f t="shared" si="37"/>
        <v>3279.640686461657</v>
      </c>
      <c r="E399" s="2">
        <v>36</v>
      </c>
      <c r="F399" s="1">
        <v>191.10113017949047</v>
      </c>
      <c r="G399" s="1">
        <v>91.101130179490468</v>
      </c>
      <c r="H399" s="1">
        <v>100</v>
      </c>
      <c r="I399" s="1">
        <f t="shared" si="38"/>
        <v>739411</v>
      </c>
      <c r="J399" s="1">
        <f t="shared" si="39"/>
        <v>1504497.5828032759</v>
      </c>
      <c r="K399" s="1">
        <f t="shared" si="40"/>
        <v>765086.58280327928</v>
      </c>
      <c r="L399" s="5">
        <f t="shared" si="41"/>
        <v>11998</v>
      </c>
    </row>
    <row r="400" spans="1:12" x14ac:dyDescent="0.25">
      <c r="A400" s="3">
        <v>43575</v>
      </c>
      <c r="B400" s="1">
        <f t="shared" si="36"/>
        <v>1080</v>
      </c>
      <c r="C400" s="1">
        <v>2016.2122593586353</v>
      </c>
      <c r="D400" s="1">
        <f t="shared" si="37"/>
        <v>936.21225935863549</v>
      </c>
      <c r="E400" s="2">
        <v>15</v>
      </c>
      <c r="F400" s="1">
        <v>134.41415062390902</v>
      </c>
      <c r="G400" s="1">
        <v>62.41415062390903</v>
      </c>
      <c r="H400" s="1">
        <v>72</v>
      </c>
      <c r="I400" s="1">
        <f t="shared" si="38"/>
        <v>740491</v>
      </c>
      <c r="J400" s="1">
        <f t="shared" si="39"/>
        <v>1506513.7950626346</v>
      </c>
      <c r="K400" s="1">
        <f t="shared" si="40"/>
        <v>766022.79506263789</v>
      </c>
      <c r="L400" s="5">
        <f t="shared" si="41"/>
        <v>12013</v>
      </c>
    </row>
    <row r="401" spans="1:12" x14ac:dyDescent="0.25">
      <c r="A401" s="3">
        <v>43576</v>
      </c>
      <c r="B401" s="1">
        <f t="shared" si="36"/>
        <v>18</v>
      </c>
      <c r="C401" s="1">
        <v>43.415516358062575</v>
      </c>
      <c r="D401" s="1">
        <f t="shared" si="37"/>
        <v>25.415516358062572</v>
      </c>
      <c r="E401" s="2">
        <v>2</v>
      </c>
      <c r="F401" s="1">
        <v>21.707758179031288</v>
      </c>
      <c r="G401" s="1">
        <v>12.707758179031286</v>
      </c>
      <c r="H401" s="1">
        <v>9</v>
      </c>
      <c r="I401" s="1">
        <f t="shared" si="38"/>
        <v>740509</v>
      </c>
      <c r="J401" s="1">
        <f t="shared" si="39"/>
        <v>1506557.2105789927</v>
      </c>
      <c r="K401" s="1">
        <f t="shared" si="40"/>
        <v>766048.21057899599</v>
      </c>
      <c r="L401" s="5">
        <f t="shared" si="41"/>
        <v>12015</v>
      </c>
    </row>
    <row r="402" spans="1:12" x14ac:dyDescent="0.25">
      <c r="A402" s="3">
        <v>43580</v>
      </c>
      <c r="B402" s="1">
        <f t="shared" si="36"/>
        <v>980</v>
      </c>
      <c r="C402" s="1">
        <v>2034.2611545552995</v>
      </c>
      <c r="D402" s="1">
        <f t="shared" si="37"/>
        <v>1054.2611545552993</v>
      </c>
      <c r="E402" s="2">
        <v>20</v>
      </c>
      <c r="F402" s="1">
        <v>101.71305772776498</v>
      </c>
      <c r="G402" s="1">
        <v>52.713057727764969</v>
      </c>
      <c r="H402" s="1">
        <v>49</v>
      </c>
      <c r="I402" s="1">
        <f t="shared" si="38"/>
        <v>741489</v>
      </c>
      <c r="J402" s="1">
        <f t="shared" si="39"/>
        <v>1508591.471733548</v>
      </c>
      <c r="K402" s="1">
        <f t="shared" si="40"/>
        <v>767102.47173355124</v>
      </c>
      <c r="L402" s="5">
        <f t="shared" si="41"/>
        <v>12035</v>
      </c>
    </row>
    <row r="403" spans="1:12" x14ac:dyDescent="0.25">
      <c r="A403" s="3">
        <v>43586</v>
      </c>
      <c r="B403" s="1">
        <f t="shared" si="36"/>
        <v>144</v>
      </c>
      <c r="C403" s="1">
        <v>281.78268842497494</v>
      </c>
      <c r="D403" s="1">
        <f t="shared" si="37"/>
        <v>137.78268842497494</v>
      </c>
      <c r="E403" s="2">
        <v>4</v>
      </c>
      <c r="F403" s="1">
        <v>70.445672106243734</v>
      </c>
      <c r="G403" s="1">
        <v>34.445672106243734</v>
      </c>
      <c r="H403" s="1">
        <v>36</v>
      </c>
      <c r="I403" s="1">
        <f t="shared" si="38"/>
        <v>741633</v>
      </c>
      <c r="J403" s="1">
        <f t="shared" si="39"/>
        <v>1508873.2544219729</v>
      </c>
      <c r="K403" s="1">
        <f t="shared" si="40"/>
        <v>767240.25442197616</v>
      </c>
      <c r="L403" s="5">
        <f t="shared" si="41"/>
        <v>12039</v>
      </c>
    </row>
    <row r="404" spans="1:12" x14ac:dyDescent="0.25">
      <c r="A404" s="3">
        <v>43592</v>
      </c>
      <c r="B404" s="1">
        <f t="shared" si="36"/>
        <v>336</v>
      </c>
      <c r="C404" s="1">
        <v>694.57219823768196</v>
      </c>
      <c r="D404" s="1">
        <f t="shared" si="37"/>
        <v>358.57219823768207</v>
      </c>
      <c r="E404" s="2">
        <v>6</v>
      </c>
      <c r="F404" s="1">
        <v>115.76203303961367</v>
      </c>
      <c r="G404" s="1">
        <v>59.762033039613677</v>
      </c>
      <c r="H404" s="1">
        <v>56</v>
      </c>
      <c r="I404" s="1">
        <f t="shared" si="38"/>
        <v>741969</v>
      </c>
      <c r="J404" s="1">
        <f t="shared" si="39"/>
        <v>1509567.8266202107</v>
      </c>
      <c r="K404" s="1">
        <f t="shared" si="40"/>
        <v>767598.8266202138</v>
      </c>
      <c r="L404" s="5">
        <f t="shared" si="41"/>
        <v>12045</v>
      </c>
    </row>
    <row r="405" spans="1:12" x14ac:dyDescent="0.25">
      <c r="A405" s="3">
        <v>43608</v>
      </c>
      <c r="B405" s="1">
        <f t="shared" si="36"/>
        <v>2223</v>
      </c>
      <c r="C405" s="1">
        <v>4444.9323414051196</v>
      </c>
      <c r="D405" s="1">
        <f t="shared" si="37"/>
        <v>2221.9323414051196</v>
      </c>
      <c r="E405" s="2">
        <v>39</v>
      </c>
      <c r="F405" s="1">
        <v>113.97262413859281</v>
      </c>
      <c r="G405" s="1">
        <v>56.972624138592813</v>
      </c>
      <c r="H405" s="1">
        <v>57</v>
      </c>
      <c r="I405" s="1">
        <f t="shared" si="38"/>
        <v>744192</v>
      </c>
      <c r="J405" s="1">
        <f t="shared" si="39"/>
        <v>1514012.7589616159</v>
      </c>
      <c r="K405" s="1">
        <f t="shared" si="40"/>
        <v>769820.75896161888</v>
      </c>
      <c r="L405" s="5">
        <f t="shared" si="41"/>
        <v>12084</v>
      </c>
    </row>
    <row r="406" spans="1:12" x14ac:dyDescent="0.25">
      <c r="A406" s="3">
        <v>43609</v>
      </c>
      <c r="B406" s="1">
        <f t="shared" si="36"/>
        <v>3570</v>
      </c>
      <c r="C406" s="1">
        <v>6260.9032444982422</v>
      </c>
      <c r="D406" s="1">
        <f t="shared" si="37"/>
        <v>2690.9032444982427</v>
      </c>
      <c r="E406" s="2">
        <v>34</v>
      </c>
      <c r="F406" s="1">
        <v>184.14421307347772</v>
      </c>
      <c r="G406" s="1">
        <v>79.144213073477729</v>
      </c>
      <c r="H406" s="1">
        <v>105</v>
      </c>
      <c r="I406" s="1">
        <f t="shared" si="38"/>
        <v>747762</v>
      </c>
      <c r="J406" s="1">
        <f t="shared" si="39"/>
        <v>1520273.662206114</v>
      </c>
      <c r="K406" s="1">
        <f t="shared" si="40"/>
        <v>772511.66220611706</v>
      </c>
      <c r="L406" s="5">
        <f t="shared" si="41"/>
        <v>12118</v>
      </c>
    </row>
    <row r="407" spans="1:12" x14ac:dyDescent="0.25">
      <c r="A407" s="3">
        <v>43616</v>
      </c>
      <c r="B407" s="1">
        <f t="shared" si="36"/>
        <v>1739</v>
      </c>
      <c r="C407" s="1">
        <v>4407.5414197857708</v>
      </c>
      <c r="D407" s="1">
        <f t="shared" si="37"/>
        <v>2668.5414197857708</v>
      </c>
      <c r="E407" s="2">
        <v>37</v>
      </c>
      <c r="F407" s="1">
        <v>119.1227410752911</v>
      </c>
      <c r="G407" s="1">
        <v>72.122741075291103</v>
      </c>
      <c r="H407" s="1">
        <v>47</v>
      </c>
      <c r="I407" s="1">
        <f t="shared" si="38"/>
        <v>749501</v>
      </c>
      <c r="J407" s="1">
        <f t="shared" si="39"/>
        <v>1524681.2036258997</v>
      </c>
      <c r="K407" s="1">
        <f t="shared" si="40"/>
        <v>775180.20362590288</v>
      </c>
      <c r="L407" s="5">
        <f t="shared" si="41"/>
        <v>12155</v>
      </c>
    </row>
    <row r="408" spans="1:12" x14ac:dyDescent="0.25">
      <c r="A408" s="3">
        <v>43620</v>
      </c>
      <c r="B408" s="1">
        <f t="shared" si="36"/>
        <v>768</v>
      </c>
      <c r="C408" s="1">
        <v>1684.1198470002232</v>
      </c>
      <c r="D408" s="1">
        <f t="shared" si="37"/>
        <v>916.11984700022322</v>
      </c>
      <c r="E408" s="2">
        <v>16</v>
      </c>
      <c r="F408" s="1">
        <v>105.25749043751395</v>
      </c>
      <c r="G408" s="1">
        <v>57.257490437513951</v>
      </c>
      <c r="H408" s="1">
        <v>48</v>
      </c>
      <c r="I408" s="1">
        <f t="shared" si="38"/>
        <v>750269</v>
      </c>
      <c r="J408" s="1">
        <f t="shared" si="39"/>
        <v>1526365.3234728999</v>
      </c>
      <c r="K408" s="1">
        <f t="shared" si="40"/>
        <v>776096.32347290311</v>
      </c>
      <c r="L408" s="5">
        <f t="shared" si="41"/>
        <v>12171</v>
      </c>
    </row>
    <row r="409" spans="1:12" x14ac:dyDescent="0.25">
      <c r="A409" s="3">
        <v>43629</v>
      </c>
      <c r="B409" s="1">
        <f t="shared" si="36"/>
        <v>333</v>
      </c>
      <c r="C409" s="1">
        <v>667.43215316018927</v>
      </c>
      <c r="D409" s="1">
        <f t="shared" si="37"/>
        <v>334.43215316018922</v>
      </c>
      <c r="E409" s="2">
        <v>9</v>
      </c>
      <c r="F409" s="1">
        <v>74.159128128909913</v>
      </c>
      <c r="G409" s="1">
        <v>37.159128128909913</v>
      </c>
      <c r="H409" s="1">
        <v>37</v>
      </c>
      <c r="I409" s="1">
        <f t="shared" si="38"/>
        <v>750602</v>
      </c>
      <c r="J409" s="1">
        <f t="shared" si="39"/>
        <v>1527032.7556260601</v>
      </c>
      <c r="K409" s="1">
        <f t="shared" si="40"/>
        <v>776430.75562606333</v>
      </c>
      <c r="L409" s="5">
        <f t="shared" si="41"/>
        <v>12180</v>
      </c>
    </row>
    <row r="410" spans="1:12" x14ac:dyDescent="0.25">
      <c r="A410" s="3">
        <v>43650</v>
      </c>
      <c r="B410" s="1">
        <f t="shared" si="36"/>
        <v>287</v>
      </c>
      <c r="C410" s="1">
        <v>568.69068459811206</v>
      </c>
      <c r="D410" s="1">
        <f t="shared" si="37"/>
        <v>281.69068459811211</v>
      </c>
      <c r="E410" s="2">
        <v>7</v>
      </c>
      <c r="F410" s="1">
        <v>81.241526371158869</v>
      </c>
      <c r="G410" s="1">
        <v>40.241526371158876</v>
      </c>
      <c r="H410" s="1">
        <v>41</v>
      </c>
      <c r="I410" s="1">
        <f t="shared" si="38"/>
        <v>750889</v>
      </c>
      <c r="J410" s="1">
        <f t="shared" si="39"/>
        <v>1527601.4463106582</v>
      </c>
      <c r="K410" s="1">
        <f t="shared" si="40"/>
        <v>776712.44631066138</v>
      </c>
      <c r="L410" s="5">
        <f t="shared" si="41"/>
        <v>12187</v>
      </c>
    </row>
    <row r="411" spans="1:12" x14ac:dyDescent="0.25">
      <c r="A411" s="3">
        <v>43653</v>
      </c>
      <c r="B411" s="1">
        <f t="shared" si="36"/>
        <v>237</v>
      </c>
      <c r="C411" s="1">
        <v>469.61715803202941</v>
      </c>
      <c r="D411" s="1">
        <f t="shared" si="37"/>
        <v>232.61715803202941</v>
      </c>
      <c r="E411" s="2">
        <v>3</v>
      </c>
      <c r="F411" s="1">
        <v>156.53905267734314</v>
      </c>
      <c r="G411" s="1">
        <v>77.539052677343136</v>
      </c>
      <c r="H411" s="1">
        <v>79</v>
      </c>
      <c r="I411" s="1">
        <f t="shared" si="38"/>
        <v>751126</v>
      </c>
      <c r="J411" s="1">
        <f t="shared" si="39"/>
        <v>1528071.0634686903</v>
      </c>
      <c r="K411" s="1">
        <f t="shared" si="40"/>
        <v>776945.06346869341</v>
      </c>
      <c r="L411" s="5">
        <f t="shared" si="41"/>
        <v>12190</v>
      </c>
    </row>
    <row r="412" spans="1:12" x14ac:dyDescent="0.25">
      <c r="A412" s="3">
        <v>43655</v>
      </c>
      <c r="B412" s="1">
        <f t="shared" si="36"/>
        <v>4818</v>
      </c>
      <c r="C412" s="1">
        <v>8467.7346029795426</v>
      </c>
      <c r="D412" s="1">
        <f t="shared" si="37"/>
        <v>3649.7346029795431</v>
      </c>
      <c r="E412" s="2">
        <v>73</v>
      </c>
      <c r="F412" s="1">
        <v>115.9963644243773</v>
      </c>
      <c r="G412" s="1">
        <v>49.996364424377305</v>
      </c>
      <c r="H412" s="1">
        <v>66</v>
      </c>
      <c r="I412" s="1">
        <f t="shared" si="38"/>
        <v>755944</v>
      </c>
      <c r="J412" s="1">
        <f t="shared" si="39"/>
        <v>1536538.7980716699</v>
      </c>
      <c r="K412" s="1">
        <f t="shared" si="40"/>
        <v>780594.79807167291</v>
      </c>
      <c r="L412" s="5">
        <f t="shared" si="41"/>
        <v>12263</v>
      </c>
    </row>
    <row r="413" spans="1:12" x14ac:dyDescent="0.25">
      <c r="A413" s="3">
        <v>43662</v>
      </c>
      <c r="B413" s="1">
        <f t="shared" si="36"/>
        <v>590</v>
      </c>
      <c r="C413" s="1">
        <v>1056.8216422404171</v>
      </c>
      <c r="D413" s="1">
        <f t="shared" si="37"/>
        <v>466.82164224041696</v>
      </c>
      <c r="E413" s="2">
        <v>10</v>
      </c>
      <c r="F413" s="1">
        <v>105.6821642240417</v>
      </c>
      <c r="G413" s="1">
        <v>46.682164224041699</v>
      </c>
      <c r="H413" s="1">
        <v>59</v>
      </c>
      <c r="I413" s="1">
        <f t="shared" si="38"/>
        <v>756534</v>
      </c>
      <c r="J413" s="1">
        <f t="shared" si="39"/>
        <v>1537595.6197139104</v>
      </c>
      <c r="K413" s="1">
        <f t="shared" si="40"/>
        <v>781061.6197139133</v>
      </c>
      <c r="L413" s="5">
        <f t="shared" si="41"/>
        <v>12273</v>
      </c>
    </row>
    <row r="414" spans="1:12" x14ac:dyDescent="0.25">
      <c r="A414" s="3">
        <v>43678</v>
      </c>
      <c r="B414" s="1">
        <f t="shared" si="36"/>
        <v>176</v>
      </c>
      <c r="C414" s="1">
        <v>313.89895318498077</v>
      </c>
      <c r="D414" s="1">
        <f t="shared" si="37"/>
        <v>137.89895318498074</v>
      </c>
      <c r="E414" s="2">
        <v>4</v>
      </c>
      <c r="F414" s="1">
        <v>78.474738296245192</v>
      </c>
      <c r="G414" s="1">
        <v>34.474738296245185</v>
      </c>
      <c r="H414" s="1">
        <v>44</v>
      </c>
      <c r="I414" s="1">
        <f t="shared" si="38"/>
        <v>756710</v>
      </c>
      <c r="J414" s="1">
        <f t="shared" si="39"/>
        <v>1537909.5186670953</v>
      </c>
      <c r="K414" s="1">
        <f t="shared" si="40"/>
        <v>781199.51866709825</v>
      </c>
      <c r="L414" s="5">
        <f t="shared" si="41"/>
        <v>12277</v>
      </c>
    </row>
    <row r="415" spans="1:12" x14ac:dyDescent="0.25">
      <c r="A415" s="3">
        <v>43712</v>
      </c>
      <c r="B415" s="1">
        <f t="shared" si="36"/>
        <v>378</v>
      </c>
      <c r="C415" s="1">
        <v>879.72177538792766</v>
      </c>
      <c r="D415" s="1">
        <f t="shared" si="37"/>
        <v>501.72177538792772</v>
      </c>
      <c r="E415" s="2">
        <v>9</v>
      </c>
      <c r="F415" s="1">
        <v>97.746863931991967</v>
      </c>
      <c r="G415" s="1">
        <v>55.746863931991967</v>
      </c>
      <c r="H415" s="1">
        <v>42</v>
      </c>
      <c r="I415" s="1">
        <f t="shared" si="38"/>
        <v>757088</v>
      </c>
      <c r="J415" s="1">
        <f t="shared" si="39"/>
        <v>1538789.2404424832</v>
      </c>
      <c r="K415" s="1">
        <f t="shared" si="40"/>
        <v>781701.24044248613</v>
      </c>
      <c r="L415" s="5">
        <f t="shared" si="41"/>
        <v>12286</v>
      </c>
    </row>
    <row r="416" spans="1:12" x14ac:dyDescent="0.25">
      <c r="A416" s="3">
        <v>43714</v>
      </c>
      <c r="B416" s="1">
        <f t="shared" si="36"/>
        <v>228</v>
      </c>
      <c r="C416" s="1">
        <v>475.03080785226382</v>
      </c>
      <c r="D416" s="1">
        <f t="shared" si="37"/>
        <v>247.03080785226385</v>
      </c>
      <c r="E416" s="2">
        <v>4</v>
      </c>
      <c r="F416" s="1">
        <v>118.75770196306595</v>
      </c>
      <c r="G416" s="1">
        <v>61.757701963065962</v>
      </c>
      <c r="H416" s="1">
        <v>57</v>
      </c>
      <c r="I416" s="1">
        <f t="shared" si="38"/>
        <v>757316</v>
      </c>
      <c r="J416" s="1">
        <f t="shared" si="39"/>
        <v>1539264.2712503355</v>
      </c>
      <c r="K416" s="1">
        <f t="shared" si="40"/>
        <v>781948.27125033841</v>
      </c>
      <c r="L416" s="5">
        <f t="shared" si="41"/>
        <v>12290</v>
      </c>
    </row>
    <row r="417" spans="1:12" x14ac:dyDescent="0.25">
      <c r="A417" s="3">
        <v>43717</v>
      </c>
      <c r="B417" s="1">
        <f t="shared" si="36"/>
        <v>1596</v>
      </c>
      <c r="C417" s="1">
        <v>4146.8824297572364</v>
      </c>
      <c r="D417" s="1">
        <f t="shared" si="37"/>
        <v>2550.8824297572364</v>
      </c>
      <c r="E417" s="2">
        <v>28</v>
      </c>
      <c r="F417" s="1">
        <v>148.10294391990129</v>
      </c>
      <c r="G417" s="1">
        <v>91.102943919901307</v>
      </c>
      <c r="H417" s="1">
        <v>57</v>
      </c>
      <c r="I417" s="1">
        <f t="shared" si="38"/>
        <v>758912</v>
      </c>
      <c r="J417" s="1">
        <f t="shared" si="39"/>
        <v>1543411.1536800927</v>
      </c>
      <c r="K417" s="1">
        <f t="shared" si="40"/>
        <v>784499.15368009568</v>
      </c>
      <c r="L417" s="5">
        <f t="shared" si="41"/>
        <v>12318</v>
      </c>
    </row>
    <row r="418" spans="1:12" x14ac:dyDescent="0.25">
      <c r="A418" s="3">
        <v>43730</v>
      </c>
      <c r="B418" s="1">
        <f t="shared" si="36"/>
        <v>3808</v>
      </c>
      <c r="C418" s="1">
        <v>6622.5526727896731</v>
      </c>
      <c r="D418" s="1">
        <f t="shared" si="37"/>
        <v>2814.5526727896727</v>
      </c>
      <c r="E418" s="2">
        <v>34</v>
      </c>
      <c r="F418" s="1">
        <v>194.78096096440214</v>
      </c>
      <c r="G418" s="1">
        <v>82.780960964402141</v>
      </c>
      <c r="H418" s="1">
        <v>112</v>
      </c>
      <c r="I418" s="1">
        <f t="shared" si="38"/>
        <v>762720</v>
      </c>
      <c r="J418" s="1">
        <f t="shared" si="39"/>
        <v>1550033.7063528823</v>
      </c>
      <c r="K418" s="1">
        <f t="shared" si="40"/>
        <v>787313.70635288535</v>
      </c>
      <c r="L418" s="5">
        <f t="shared" si="41"/>
        <v>12352</v>
      </c>
    </row>
    <row r="419" spans="1:12" x14ac:dyDescent="0.25">
      <c r="A419" s="3">
        <v>43731</v>
      </c>
      <c r="B419" s="1">
        <f t="shared" si="36"/>
        <v>35002</v>
      </c>
      <c r="C419" s="1">
        <v>63613.49461122472</v>
      </c>
      <c r="D419" s="1">
        <f t="shared" si="37"/>
        <v>28611.494611224723</v>
      </c>
      <c r="E419" s="2">
        <v>814</v>
      </c>
      <c r="F419" s="1">
        <v>78.149256279145845</v>
      </c>
      <c r="G419" s="1">
        <v>35.149256279145852</v>
      </c>
      <c r="H419" s="1">
        <v>43</v>
      </c>
      <c r="I419" s="1">
        <f t="shared" si="38"/>
        <v>797722</v>
      </c>
      <c r="J419" s="1">
        <f t="shared" si="39"/>
        <v>1613647.2009641069</v>
      </c>
      <c r="K419" s="1">
        <f t="shared" si="40"/>
        <v>815925.20096411009</v>
      </c>
      <c r="L419" s="5">
        <f t="shared" si="41"/>
        <v>13166</v>
      </c>
    </row>
    <row r="420" spans="1:12" x14ac:dyDescent="0.25">
      <c r="A420" s="3">
        <v>43734</v>
      </c>
      <c r="B420" s="1">
        <f t="shared" si="36"/>
        <v>208</v>
      </c>
      <c r="C420" s="1">
        <v>383.53254678173693</v>
      </c>
      <c r="D420" s="1">
        <f t="shared" si="37"/>
        <v>175.53254678173693</v>
      </c>
      <c r="E420" s="2">
        <v>4</v>
      </c>
      <c r="F420" s="1">
        <v>95.883136695434231</v>
      </c>
      <c r="G420" s="1">
        <v>43.883136695434231</v>
      </c>
      <c r="H420" s="1">
        <v>52</v>
      </c>
      <c r="I420" s="1">
        <f t="shared" si="38"/>
        <v>797930</v>
      </c>
      <c r="J420" s="1">
        <f t="shared" si="39"/>
        <v>1614030.7335108886</v>
      </c>
      <c r="K420" s="1">
        <f t="shared" si="40"/>
        <v>816100.73351089179</v>
      </c>
      <c r="L420" s="5">
        <f t="shared" si="41"/>
        <v>13170</v>
      </c>
    </row>
    <row r="421" spans="1:12" x14ac:dyDescent="0.25">
      <c r="A421" s="3">
        <v>43735</v>
      </c>
      <c r="B421" s="1">
        <f t="shared" si="36"/>
        <v>1144</v>
      </c>
      <c r="C421" s="1">
        <v>2286.4925467420835</v>
      </c>
      <c r="D421" s="1">
        <f t="shared" si="37"/>
        <v>1142.4925467420837</v>
      </c>
      <c r="E421" s="2">
        <v>11</v>
      </c>
      <c r="F421" s="1">
        <v>207.86295879473488</v>
      </c>
      <c r="G421" s="1">
        <v>103.86295879473489</v>
      </c>
      <c r="H421" s="1">
        <v>104</v>
      </c>
      <c r="I421" s="1">
        <f t="shared" si="38"/>
        <v>799074</v>
      </c>
      <c r="J421" s="1">
        <f t="shared" si="39"/>
        <v>1616317.2260576307</v>
      </c>
      <c r="K421" s="1">
        <f t="shared" si="40"/>
        <v>817243.22605763387</v>
      </c>
      <c r="L421" s="5">
        <f t="shared" si="41"/>
        <v>13181</v>
      </c>
    </row>
    <row r="422" spans="1:12" x14ac:dyDescent="0.25">
      <c r="A422" s="3">
        <v>43739</v>
      </c>
      <c r="B422" s="1">
        <f t="shared" si="36"/>
        <v>1368</v>
      </c>
      <c r="C422" s="1">
        <v>3517.5705064492572</v>
      </c>
      <c r="D422" s="1">
        <f t="shared" si="37"/>
        <v>2149.5705064492568</v>
      </c>
      <c r="E422" s="2">
        <v>24</v>
      </c>
      <c r="F422" s="1">
        <v>146.56543776871905</v>
      </c>
      <c r="G422" s="1">
        <v>89.565437768719036</v>
      </c>
      <c r="H422" s="1">
        <v>57</v>
      </c>
      <c r="I422" s="1">
        <f t="shared" si="38"/>
        <v>800442</v>
      </c>
      <c r="J422" s="1">
        <f t="shared" si="39"/>
        <v>1619834.7965640801</v>
      </c>
      <c r="K422" s="1">
        <f t="shared" si="40"/>
        <v>819392.79656408308</v>
      </c>
      <c r="L422" s="5">
        <f t="shared" si="41"/>
        <v>13205</v>
      </c>
    </row>
    <row r="423" spans="1:12" x14ac:dyDescent="0.25">
      <c r="A423" s="3">
        <v>43745</v>
      </c>
      <c r="B423" s="1">
        <f t="shared" si="36"/>
        <v>2646</v>
      </c>
      <c r="C423" s="1">
        <v>4965.4466596933989</v>
      </c>
      <c r="D423" s="1">
        <f t="shared" si="37"/>
        <v>2319.4466596933989</v>
      </c>
      <c r="E423" s="2">
        <v>21</v>
      </c>
      <c r="F423" s="1">
        <v>236.44984093778089</v>
      </c>
      <c r="G423" s="1">
        <v>110.44984093778091</v>
      </c>
      <c r="H423" s="1">
        <v>126</v>
      </c>
      <c r="I423" s="1">
        <f t="shared" si="38"/>
        <v>803088</v>
      </c>
      <c r="J423" s="1">
        <f t="shared" si="39"/>
        <v>1624800.2432237735</v>
      </c>
      <c r="K423" s="1">
        <f t="shared" si="40"/>
        <v>821712.24322377646</v>
      </c>
      <c r="L423" s="5">
        <f t="shared" si="41"/>
        <v>13226</v>
      </c>
    </row>
    <row r="424" spans="1:12" x14ac:dyDescent="0.25">
      <c r="A424" s="3">
        <v>43754</v>
      </c>
      <c r="B424" s="1">
        <f t="shared" si="36"/>
        <v>1156</v>
      </c>
      <c r="C424" s="1">
        <v>2371.5315376163821</v>
      </c>
      <c r="D424" s="1">
        <f t="shared" si="37"/>
        <v>1215.5315376163824</v>
      </c>
      <c r="E424" s="2">
        <v>17</v>
      </c>
      <c r="F424" s="1">
        <v>139.50185515390484</v>
      </c>
      <c r="G424" s="1">
        <v>71.501855153904842</v>
      </c>
      <c r="H424" s="1">
        <v>68</v>
      </c>
      <c r="I424" s="1">
        <f t="shared" si="38"/>
        <v>804244</v>
      </c>
      <c r="J424" s="1">
        <f t="shared" si="39"/>
        <v>1627171.7747613899</v>
      </c>
      <c r="K424" s="1">
        <f t="shared" si="40"/>
        <v>822927.77476139285</v>
      </c>
      <c r="L424" s="5">
        <f t="shared" si="41"/>
        <v>13243</v>
      </c>
    </row>
    <row r="425" spans="1:12" x14ac:dyDescent="0.25">
      <c r="A425" s="3">
        <v>43767</v>
      </c>
      <c r="B425" s="1">
        <f t="shared" si="36"/>
        <v>1110</v>
      </c>
      <c r="C425" s="1">
        <v>2441.9790265776096</v>
      </c>
      <c r="D425" s="1">
        <f t="shared" si="37"/>
        <v>1331.9790265776098</v>
      </c>
      <c r="E425" s="2">
        <v>30</v>
      </c>
      <c r="F425" s="1">
        <v>81.399300885920326</v>
      </c>
      <c r="G425" s="1">
        <v>44.399300885920326</v>
      </c>
      <c r="H425" s="1">
        <v>37</v>
      </c>
      <c r="I425" s="1">
        <f t="shared" si="38"/>
        <v>805354</v>
      </c>
      <c r="J425" s="1">
        <f t="shared" si="39"/>
        <v>1629613.7537879676</v>
      </c>
      <c r="K425" s="1">
        <f t="shared" si="40"/>
        <v>824259.7537879704</v>
      </c>
      <c r="L425" s="5">
        <f t="shared" si="41"/>
        <v>13273</v>
      </c>
    </row>
    <row r="426" spans="1:12" x14ac:dyDescent="0.25">
      <c r="A426" s="3">
        <v>43769</v>
      </c>
      <c r="B426" s="1">
        <f t="shared" si="36"/>
        <v>2300</v>
      </c>
      <c r="C426" s="1">
        <v>6493.7021186141874</v>
      </c>
      <c r="D426" s="1">
        <f t="shared" si="37"/>
        <v>4193.7021186141874</v>
      </c>
      <c r="E426" s="2">
        <v>50</v>
      </c>
      <c r="F426" s="1">
        <v>129.87404237228375</v>
      </c>
      <c r="G426" s="1">
        <v>83.874042372283753</v>
      </c>
      <c r="H426" s="1">
        <v>46</v>
      </c>
      <c r="I426" s="1">
        <f t="shared" si="38"/>
        <v>807654</v>
      </c>
      <c r="J426" s="1">
        <f t="shared" si="39"/>
        <v>1636107.4559065818</v>
      </c>
      <c r="K426" s="1">
        <f t="shared" si="40"/>
        <v>828453.45590658463</v>
      </c>
      <c r="L426" s="5">
        <f t="shared" si="41"/>
        <v>13323</v>
      </c>
    </row>
    <row r="427" spans="1:12" x14ac:dyDescent="0.25">
      <c r="A427" s="3">
        <v>43772</v>
      </c>
      <c r="B427" s="1">
        <f t="shared" si="36"/>
        <v>923</v>
      </c>
      <c r="C427" s="1">
        <v>2156.6295785401176</v>
      </c>
      <c r="D427" s="1">
        <f t="shared" si="37"/>
        <v>1233.6295785401173</v>
      </c>
      <c r="E427" s="2">
        <v>13</v>
      </c>
      <c r="F427" s="1">
        <v>165.89458296462442</v>
      </c>
      <c r="G427" s="1">
        <v>94.894582964624405</v>
      </c>
      <c r="H427" s="1">
        <v>71</v>
      </c>
      <c r="I427" s="1">
        <f t="shared" si="38"/>
        <v>808577</v>
      </c>
      <c r="J427" s="1">
        <f t="shared" si="39"/>
        <v>1638264.0854851219</v>
      </c>
      <c r="K427" s="1">
        <f t="shared" si="40"/>
        <v>829687.08548512473</v>
      </c>
      <c r="L427" s="5">
        <f t="shared" si="41"/>
        <v>13336</v>
      </c>
    </row>
    <row r="428" spans="1:12" x14ac:dyDescent="0.25">
      <c r="A428" s="3">
        <v>43778</v>
      </c>
      <c r="B428" s="1">
        <f t="shared" si="36"/>
        <v>232</v>
      </c>
      <c r="C428" s="1">
        <v>672.70777424220068</v>
      </c>
      <c r="D428" s="1">
        <f t="shared" si="37"/>
        <v>440.70777424220074</v>
      </c>
      <c r="E428" s="2">
        <v>4</v>
      </c>
      <c r="F428" s="1">
        <v>168.17694356055017</v>
      </c>
      <c r="G428" s="1">
        <v>110.17694356055019</v>
      </c>
      <c r="H428" s="1">
        <v>58</v>
      </c>
      <c r="I428" s="1">
        <f t="shared" si="38"/>
        <v>808809</v>
      </c>
      <c r="J428" s="1">
        <f t="shared" si="39"/>
        <v>1638936.7932593641</v>
      </c>
      <c r="K428" s="1">
        <f t="shared" si="40"/>
        <v>830127.79325936688</v>
      </c>
      <c r="L428" s="5">
        <f t="shared" si="41"/>
        <v>13340</v>
      </c>
    </row>
    <row r="429" spans="1:12" x14ac:dyDescent="0.25">
      <c r="A429" s="3">
        <v>43795</v>
      </c>
      <c r="B429" s="1">
        <f t="shared" si="36"/>
        <v>9398</v>
      </c>
      <c r="C429" s="1">
        <v>16488.562551013834</v>
      </c>
      <c r="D429" s="1">
        <f t="shared" si="37"/>
        <v>7090.5625510138334</v>
      </c>
      <c r="E429" s="2">
        <v>74</v>
      </c>
      <c r="F429" s="1">
        <v>222.81841285153828</v>
      </c>
      <c r="G429" s="1">
        <v>95.818412851538284</v>
      </c>
      <c r="H429" s="1">
        <v>127</v>
      </c>
      <c r="I429" s="1">
        <f t="shared" si="38"/>
        <v>818207</v>
      </c>
      <c r="J429" s="1">
        <f t="shared" si="39"/>
        <v>1655425.355810378</v>
      </c>
      <c r="K429" s="1">
        <f t="shared" si="40"/>
        <v>837218.35581038066</v>
      </c>
      <c r="L429" s="5">
        <f t="shared" si="41"/>
        <v>13414</v>
      </c>
    </row>
    <row r="430" spans="1:12" x14ac:dyDescent="0.25">
      <c r="A430" s="3">
        <v>43800</v>
      </c>
      <c r="B430" s="1">
        <f t="shared" si="36"/>
        <v>6519</v>
      </c>
      <c r="C430" s="1">
        <v>11338.617086275133</v>
      </c>
      <c r="D430" s="1">
        <f t="shared" si="37"/>
        <v>4819.6170862751342</v>
      </c>
      <c r="E430" s="2">
        <v>53</v>
      </c>
      <c r="F430" s="1">
        <v>213.93617143915347</v>
      </c>
      <c r="G430" s="1">
        <v>90.936171439153469</v>
      </c>
      <c r="H430" s="1">
        <v>123</v>
      </c>
      <c r="I430" s="1">
        <f t="shared" si="38"/>
        <v>824726</v>
      </c>
      <c r="J430" s="1">
        <f t="shared" si="39"/>
        <v>1666763.9728966532</v>
      </c>
      <c r="K430" s="1">
        <f t="shared" si="40"/>
        <v>842037.97289665579</v>
      </c>
      <c r="L430" s="5">
        <f t="shared" si="41"/>
        <v>13467</v>
      </c>
    </row>
    <row r="431" spans="1:12" x14ac:dyDescent="0.25">
      <c r="A431" s="3">
        <v>43805</v>
      </c>
      <c r="B431" s="1">
        <f t="shared" si="36"/>
        <v>396</v>
      </c>
      <c r="C431" s="1">
        <v>669.2251267216584</v>
      </c>
      <c r="D431" s="1">
        <f t="shared" si="37"/>
        <v>273.22512672165846</v>
      </c>
      <c r="E431" s="2">
        <v>9</v>
      </c>
      <c r="F431" s="1">
        <v>74.358347413517606</v>
      </c>
      <c r="G431" s="1">
        <v>30.358347413517606</v>
      </c>
      <c r="H431" s="1">
        <v>44</v>
      </c>
      <c r="I431" s="1">
        <f t="shared" si="38"/>
        <v>825122</v>
      </c>
      <c r="J431" s="1">
        <f t="shared" si="39"/>
        <v>1667433.1980233749</v>
      </c>
      <c r="K431" s="1">
        <f t="shared" si="40"/>
        <v>842311.19802337745</v>
      </c>
      <c r="L431" s="5">
        <f t="shared" si="41"/>
        <v>13476</v>
      </c>
    </row>
    <row r="432" spans="1:12" x14ac:dyDescent="0.25">
      <c r="A432" s="3">
        <v>43809</v>
      </c>
      <c r="B432" s="1">
        <f t="shared" si="36"/>
        <v>3780</v>
      </c>
      <c r="C432" s="1">
        <v>7412.7421929311422</v>
      </c>
      <c r="D432" s="1">
        <f t="shared" si="37"/>
        <v>3632.7421929311413</v>
      </c>
      <c r="E432" s="2">
        <v>42</v>
      </c>
      <c r="F432" s="1">
        <v>176.49386173645576</v>
      </c>
      <c r="G432" s="1">
        <v>86.493861736455742</v>
      </c>
      <c r="H432" s="1">
        <v>90</v>
      </c>
      <c r="I432" s="1">
        <f t="shared" si="38"/>
        <v>828902</v>
      </c>
      <c r="J432" s="1">
        <f t="shared" si="39"/>
        <v>1674845.9402163061</v>
      </c>
      <c r="K432" s="1">
        <f t="shared" si="40"/>
        <v>845943.94021630858</v>
      </c>
      <c r="L432" s="5">
        <f t="shared" si="41"/>
        <v>13518</v>
      </c>
    </row>
    <row r="433" spans="1:12" x14ac:dyDescent="0.25">
      <c r="A433" s="3">
        <v>43809</v>
      </c>
      <c r="B433" s="1">
        <f t="shared" si="36"/>
        <v>3290</v>
      </c>
      <c r="C433" s="1">
        <v>6144.2860188286268</v>
      </c>
      <c r="D433" s="1">
        <f t="shared" si="37"/>
        <v>2854.2860188286268</v>
      </c>
      <c r="E433" s="2">
        <v>47</v>
      </c>
      <c r="F433" s="1">
        <v>130.7294897623112</v>
      </c>
      <c r="G433" s="1">
        <v>60.729489762311211</v>
      </c>
      <c r="H433" s="1">
        <v>70</v>
      </c>
      <c r="I433" s="1">
        <f t="shared" si="38"/>
        <v>832192</v>
      </c>
      <c r="J433" s="1">
        <f t="shared" si="39"/>
        <v>1680990.2262351348</v>
      </c>
      <c r="K433" s="1">
        <f t="shared" si="40"/>
        <v>848798.2262351372</v>
      </c>
      <c r="L433" s="5">
        <f t="shared" si="41"/>
        <v>13565</v>
      </c>
    </row>
    <row r="434" spans="1:12" x14ac:dyDescent="0.25">
      <c r="A434" s="3">
        <v>43830</v>
      </c>
      <c r="B434" s="1">
        <f t="shared" si="36"/>
        <v>2747</v>
      </c>
      <c r="C434" s="1">
        <v>5927.4676444662664</v>
      </c>
      <c r="D434" s="1">
        <f t="shared" si="37"/>
        <v>3180.4676444662659</v>
      </c>
      <c r="E434" s="2">
        <v>41</v>
      </c>
      <c r="F434" s="1">
        <v>144.57238157234795</v>
      </c>
      <c r="G434" s="1">
        <v>77.57238157234795</v>
      </c>
      <c r="H434" s="1">
        <v>67</v>
      </c>
      <c r="I434" s="1">
        <f t="shared" si="38"/>
        <v>834939</v>
      </c>
      <c r="J434" s="1">
        <f t="shared" si="39"/>
        <v>1686917.6938796011</v>
      </c>
      <c r="K434" s="1">
        <f t="shared" si="40"/>
        <v>851978.69387960352</v>
      </c>
      <c r="L434" s="5">
        <f t="shared" si="41"/>
        <v>13606</v>
      </c>
    </row>
    <row r="435" spans="1:12" x14ac:dyDescent="0.25">
      <c r="A435" s="3">
        <v>43835</v>
      </c>
      <c r="B435" s="1">
        <f t="shared" si="36"/>
        <v>670</v>
      </c>
      <c r="C435" s="1">
        <v>1284.1485061504968</v>
      </c>
      <c r="D435" s="1">
        <f t="shared" si="37"/>
        <v>614.14850615049681</v>
      </c>
      <c r="E435" s="2">
        <v>10</v>
      </c>
      <c r="F435" s="1">
        <v>128.41485061504969</v>
      </c>
      <c r="G435" s="1">
        <v>61.414850615049687</v>
      </c>
      <c r="H435" s="1">
        <v>67</v>
      </c>
      <c r="I435" s="1">
        <f t="shared" si="38"/>
        <v>835609</v>
      </c>
      <c r="J435" s="1">
        <f t="shared" si="39"/>
        <v>1688201.8423857517</v>
      </c>
      <c r="K435" s="1">
        <f t="shared" si="40"/>
        <v>852592.84238575399</v>
      </c>
      <c r="L435" s="5">
        <f t="shared" si="41"/>
        <v>13616</v>
      </c>
    </row>
    <row r="436" spans="1:12" x14ac:dyDescent="0.25">
      <c r="A436" s="3">
        <v>43839</v>
      </c>
      <c r="B436" s="1">
        <f t="shared" si="36"/>
        <v>1073</v>
      </c>
      <c r="C436" s="1">
        <v>2662.8484006213589</v>
      </c>
      <c r="D436" s="1">
        <f t="shared" si="37"/>
        <v>1589.8484006213591</v>
      </c>
      <c r="E436" s="2">
        <v>29</v>
      </c>
      <c r="F436" s="1">
        <v>91.82235864211583</v>
      </c>
      <c r="G436" s="1">
        <v>54.82235864211583</v>
      </c>
      <c r="H436" s="1">
        <v>37</v>
      </c>
      <c r="I436" s="1">
        <f t="shared" si="38"/>
        <v>836682</v>
      </c>
      <c r="J436" s="1">
        <f t="shared" si="39"/>
        <v>1690864.6907863731</v>
      </c>
      <c r="K436" s="1">
        <f t="shared" si="40"/>
        <v>854182.69078637531</v>
      </c>
      <c r="L436" s="5">
        <f t="shared" si="41"/>
        <v>13645</v>
      </c>
    </row>
    <row r="437" spans="1:12" x14ac:dyDescent="0.25">
      <c r="A437" s="3">
        <v>43840</v>
      </c>
      <c r="B437" s="1">
        <f t="shared" si="36"/>
        <v>80</v>
      </c>
      <c r="C437" s="1">
        <v>228.44562516672124</v>
      </c>
      <c r="D437" s="1">
        <f t="shared" si="37"/>
        <v>148.44562516672124</v>
      </c>
      <c r="E437" s="2">
        <v>4</v>
      </c>
      <c r="F437" s="1">
        <v>57.111406291680311</v>
      </c>
      <c r="G437" s="1">
        <v>37.111406291680311</v>
      </c>
      <c r="H437" s="1">
        <v>20</v>
      </c>
      <c r="I437" s="1">
        <f t="shared" si="38"/>
        <v>836762</v>
      </c>
      <c r="J437" s="1">
        <f t="shared" si="39"/>
        <v>1691093.1364115397</v>
      </c>
      <c r="K437" s="1">
        <f t="shared" si="40"/>
        <v>854331.13641154207</v>
      </c>
      <c r="L437" s="5">
        <f t="shared" si="41"/>
        <v>13649</v>
      </c>
    </row>
    <row r="438" spans="1:12" x14ac:dyDescent="0.25">
      <c r="A438" s="3">
        <v>43845</v>
      </c>
      <c r="B438" s="1">
        <f t="shared" si="36"/>
        <v>1260</v>
      </c>
      <c r="C438" s="1">
        <v>2152.883115525522</v>
      </c>
      <c r="D438" s="1">
        <f t="shared" si="37"/>
        <v>892.88311552552182</v>
      </c>
      <c r="E438" s="2">
        <v>12</v>
      </c>
      <c r="F438" s="1">
        <v>179.4069262937935</v>
      </c>
      <c r="G438" s="1">
        <v>74.406926293793489</v>
      </c>
      <c r="H438" s="1">
        <v>105</v>
      </c>
      <c r="I438" s="1">
        <f t="shared" si="38"/>
        <v>838022</v>
      </c>
      <c r="J438" s="1">
        <f t="shared" si="39"/>
        <v>1693246.0195270653</v>
      </c>
      <c r="K438" s="1">
        <f t="shared" si="40"/>
        <v>855224.01952706755</v>
      </c>
      <c r="L438" s="5">
        <f t="shared" si="41"/>
        <v>13661</v>
      </c>
    </row>
    <row r="439" spans="1:12" x14ac:dyDescent="0.25">
      <c r="A439" s="3">
        <v>43849</v>
      </c>
      <c r="B439" s="1">
        <f t="shared" si="36"/>
        <v>1428</v>
      </c>
      <c r="C439" s="1">
        <v>4025.4957237476124</v>
      </c>
      <c r="D439" s="1">
        <f t="shared" si="37"/>
        <v>2597.4957237476124</v>
      </c>
      <c r="E439" s="2">
        <v>34</v>
      </c>
      <c r="F439" s="1">
        <v>118.39693305140037</v>
      </c>
      <c r="G439" s="1">
        <v>76.396933051400367</v>
      </c>
      <c r="H439" s="1">
        <v>42</v>
      </c>
      <c r="I439" s="1">
        <f t="shared" si="38"/>
        <v>839450</v>
      </c>
      <c r="J439" s="1">
        <f t="shared" si="39"/>
        <v>1697271.515250813</v>
      </c>
      <c r="K439" s="1">
        <f t="shared" si="40"/>
        <v>857821.5152508152</v>
      </c>
      <c r="L439" s="5">
        <f t="shared" si="41"/>
        <v>13695</v>
      </c>
    </row>
    <row r="440" spans="1:12" x14ac:dyDescent="0.25">
      <c r="A440" s="3">
        <v>43859</v>
      </c>
      <c r="B440" s="1">
        <f t="shared" si="36"/>
        <v>784</v>
      </c>
      <c r="C440" s="1">
        <v>1523.6648389046331</v>
      </c>
      <c r="D440" s="1">
        <f t="shared" si="37"/>
        <v>739.66483890463314</v>
      </c>
      <c r="E440" s="2">
        <v>8</v>
      </c>
      <c r="F440" s="1">
        <v>190.45810486307914</v>
      </c>
      <c r="G440" s="1">
        <v>92.458104863079143</v>
      </c>
      <c r="H440" s="1">
        <v>98</v>
      </c>
      <c r="I440" s="1">
        <f t="shared" si="38"/>
        <v>840234</v>
      </c>
      <c r="J440" s="1">
        <f t="shared" si="39"/>
        <v>1698795.1800897177</v>
      </c>
      <c r="K440" s="1">
        <f t="shared" si="40"/>
        <v>858561.18008971983</v>
      </c>
      <c r="L440" s="5">
        <f t="shared" si="41"/>
        <v>13703</v>
      </c>
    </row>
    <row r="441" spans="1:12" x14ac:dyDescent="0.25">
      <c r="A441" s="3">
        <v>43859</v>
      </c>
      <c r="B441" s="1">
        <f t="shared" si="36"/>
        <v>6083</v>
      </c>
      <c r="C441" s="1">
        <v>10651.565968190027</v>
      </c>
      <c r="D441" s="1">
        <f t="shared" si="37"/>
        <v>4568.5659681900279</v>
      </c>
      <c r="E441" s="2">
        <v>77</v>
      </c>
      <c r="F441" s="1">
        <v>138.33202556090944</v>
      </c>
      <c r="G441" s="1">
        <v>59.33202556090945</v>
      </c>
      <c r="H441" s="1">
        <v>79</v>
      </c>
      <c r="I441" s="1">
        <f t="shared" si="38"/>
        <v>846317</v>
      </c>
      <c r="J441" s="1">
        <f t="shared" si="39"/>
        <v>1709446.7460579078</v>
      </c>
      <c r="K441" s="1">
        <f t="shared" si="40"/>
        <v>863129.7460579098</v>
      </c>
      <c r="L441" s="5">
        <f t="shared" si="41"/>
        <v>13780</v>
      </c>
    </row>
    <row r="442" spans="1:12" x14ac:dyDescent="0.25">
      <c r="A442" s="3">
        <v>43865</v>
      </c>
      <c r="B442" s="1">
        <f t="shared" si="36"/>
        <v>1700</v>
      </c>
      <c r="C442" s="1">
        <v>4942.1346800228612</v>
      </c>
      <c r="D442" s="1">
        <f t="shared" si="37"/>
        <v>3242.1346800228612</v>
      </c>
      <c r="E442" s="2">
        <v>50</v>
      </c>
      <c r="F442" s="1">
        <v>98.842693600457224</v>
      </c>
      <c r="G442" s="1">
        <v>64.842693600457224</v>
      </c>
      <c r="H442" s="1">
        <v>34</v>
      </c>
      <c r="I442" s="1">
        <f t="shared" si="38"/>
        <v>848017</v>
      </c>
      <c r="J442" s="1">
        <f t="shared" si="39"/>
        <v>1714388.8807379308</v>
      </c>
      <c r="K442" s="1">
        <f t="shared" si="40"/>
        <v>866371.88073793263</v>
      </c>
      <c r="L442" s="5">
        <f t="shared" si="41"/>
        <v>13830</v>
      </c>
    </row>
    <row r="443" spans="1:12" x14ac:dyDescent="0.25">
      <c r="A443" s="3">
        <v>43867</v>
      </c>
      <c r="B443" s="1">
        <f t="shared" si="36"/>
        <v>780</v>
      </c>
      <c r="C443" s="1">
        <v>1349.277276540362</v>
      </c>
      <c r="D443" s="1">
        <f t="shared" si="37"/>
        <v>569.27727654036221</v>
      </c>
      <c r="E443" s="2">
        <v>13</v>
      </c>
      <c r="F443" s="1">
        <v>103.79055973387401</v>
      </c>
      <c r="G443" s="1">
        <v>43.790559733874012</v>
      </c>
      <c r="H443" s="1">
        <v>60</v>
      </c>
      <c r="I443" s="1">
        <f t="shared" si="38"/>
        <v>848797</v>
      </c>
      <c r="J443" s="1">
        <f t="shared" si="39"/>
        <v>1715738.1580144712</v>
      </c>
      <c r="K443" s="1">
        <f t="shared" si="40"/>
        <v>866941.15801447304</v>
      </c>
      <c r="L443" s="5">
        <f t="shared" si="41"/>
        <v>13843</v>
      </c>
    </row>
    <row r="444" spans="1:12" x14ac:dyDescent="0.25">
      <c r="A444" s="3">
        <v>43868</v>
      </c>
      <c r="B444" s="1">
        <f t="shared" si="36"/>
        <v>444</v>
      </c>
      <c r="C444" s="1">
        <v>1149.9483740454452</v>
      </c>
      <c r="D444" s="1">
        <f t="shared" si="37"/>
        <v>705.94837404544523</v>
      </c>
      <c r="E444" s="2">
        <v>12</v>
      </c>
      <c r="F444" s="1">
        <v>95.829031170453774</v>
      </c>
      <c r="G444" s="1">
        <v>58.829031170453774</v>
      </c>
      <c r="H444" s="1">
        <v>37</v>
      </c>
      <c r="I444" s="1">
        <f t="shared" si="38"/>
        <v>849241</v>
      </c>
      <c r="J444" s="1">
        <f t="shared" si="39"/>
        <v>1716888.1063885167</v>
      </c>
      <c r="K444" s="1">
        <f t="shared" si="40"/>
        <v>867647.10638851847</v>
      </c>
      <c r="L444" s="5">
        <f t="shared" si="41"/>
        <v>13855</v>
      </c>
    </row>
    <row r="445" spans="1:12" x14ac:dyDescent="0.25">
      <c r="A445" s="3">
        <v>43874</v>
      </c>
      <c r="B445" s="1">
        <f t="shared" si="36"/>
        <v>560</v>
      </c>
      <c r="C445" s="1">
        <v>1511.1074924847967</v>
      </c>
      <c r="D445" s="1">
        <f t="shared" si="37"/>
        <v>951.10749248479658</v>
      </c>
      <c r="E445" s="2">
        <v>28</v>
      </c>
      <c r="F445" s="1">
        <v>53.968124731599879</v>
      </c>
      <c r="G445" s="1">
        <v>33.968124731599879</v>
      </c>
      <c r="H445" s="1">
        <v>20</v>
      </c>
      <c r="I445" s="1">
        <f t="shared" si="38"/>
        <v>849801</v>
      </c>
      <c r="J445" s="1">
        <f t="shared" si="39"/>
        <v>1718399.2138810016</v>
      </c>
      <c r="K445" s="1">
        <f t="shared" si="40"/>
        <v>868598.21388100332</v>
      </c>
      <c r="L445" s="5">
        <f t="shared" si="41"/>
        <v>13883</v>
      </c>
    </row>
    <row r="446" spans="1:12" x14ac:dyDescent="0.25">
      <c r="A446" s="3">
        <v>43877</v>
      </c>
      <c r="B446" s="1">
        <f t="shared" si="36"/>
        <v>120</v>
      </c>
      <c r="C446" s="1">
        <v>339.4761387111115</v>
      </c>
      <c r="D446" s="1">
        <f t="shared" si="37"/>
        <v>219.4761387111115</v>
      </c>
      <c r="E446" s="2">
        <v>10</v>
      </c>
      <c r="F446" s="1">
        <v>33.947613871111152</v>
      </c>
      <c r="G446" s="1">
        <v>21.947613871111152</v>
      </c>
      <c r="H446" s="1">
        <v>12</v>
      </c>
      <c r="I446" s="1">
        <f t="shared" si="38"/>
        <v>849921</v>
      </c>
      <c r="J446" s="1">
        <f t="shared" si="39"/>
        <v>1718738.6900197128</v>
      </c>
      <c r="K446" s="1">
        <f t="shared" si="40"/>
        <v>868817.69001971441</v>
      </c>
      <c r="L446" s="5">
        <f t="shared" si="41"/>
        <v>13893</v>
      </c>
    </row>
    <row r="447" spans="1:12" x14ac:dyDescent="0.25">
      <c r="A447" s="3">
        <v>43885</v>
      </c>
      <c r="B447" s="1">
        <f t="shared" si="36"/>
        <v>1794</v>
      </c>
      <c r="C447" s="1">
        <v>3587.8882062967368</v>
      </c>
      <c r="D447" s="1">
        <f t="shared" si="37"/>
        <v>1793.8882062967364</v>
      </c>
      <c r="E447" s="2">
        <v>26</v>
      </c>
      <c r="F447" s="1">
        <v>137.99570024218218</v>
      </c>
      <c r="G447" s="1">
        <v>68.995700242182167</v>
      </c>
      <c r="H447" s="1">
        <v>69</v>
      </c>
      <c r="I447" s="1">
        <f t="shared" si="38"/>
        <v>851715</v>
      </c>
      <c r="J447" s="1">
        <f t="shared" si="39"/>
        <v>1722326.5782260096</v>
      </c>
      <c r="K447" s="1">
        <f t="shared" si="40"/>
        <v>870611.57822601113</v>
      </c>
      <c r="L447" s="5">
        <f t="shared" si="41"/>
        <v>13919</v>
      </c>
    </row>
    <row r="448" spans="1:12" x14ac:dyDescent="0.25">
      <c r="A448" s="3">
        <v>43892</v>
      </c>
      <c r="B448" s="1">
        <f t="shared" si="36"/>
        <v>1334</v>
      </c>
      <c r="C448" s="1">
        <v>2648.402206841231</v>
      </c>
      <c r="D448" s="1">
        <f t="shared" si="37"/>
        <v>1314.4022068412312</v>
      </c>
      <c r="E448" s="2">
        <v>23</v>
      </c>
      <c r="F448" s="1">
        <v>115.14792203657527</v>
      </c>
      <c r="G448" s="1">
        <v>57.147922036575274</v>
      </c>
      <c r="H448" s="1">
        <v>58</v>
      </c>
      <c r="I448" s="1">
        <f t="shared" si="38"/>
        <v>853049</v>
      </c>
      <c r="J448" s="1">
        <f t="shared" si="39"/>
        <v>1724974.9804328508</v>
      </c>
      <c r="K448" s="1">
        <f t="shared" si="40"/>
        <v>871925.9804328524</v>
      </c>
      <c r="L448" s="5">
        <f t="shared" si="41"/>
        <v>13942</v>
      </c>
    </row>
    <row r="449" spans="1:12" x14ac:dyDescent="0.25">
      <c r="A449" s="3">
        <v>43893</v>
      </c>
      <c r="B449" s="1">
        <f t="shared" si="36"/>
        <v>23500</v>
      </c>
      <c r="C449" s="1">
        <v>40778.394586111419</v>
      </c>
      <c r="D449" s="1">
        <f t="shared" si="37"/>
        <v>17278.394586111419</v>
      </c>
      <c r="E449" s="2">
        <v>250</v>
      </c>
      <c r="F449" s="1">
        <v>163.11357834444567</v>
      </c>
      <c r="G449" s="1">
        <v>69.113578344445671</v>
      </c>
      <c r="H449" s="1">
        <v>94</v>
      </c>
      <c r="I449" s="1">
        <f t="shared" si="38"/>
        <v>876549</v>
      </c>
      <c r="J449" s="1">
        <f t="shared" si="39"/>
        <v>1765753.3750189622</v>
      </c>
      <c r="K449" s="1">
        <f t="shared" si="40"/>
        <v>889204.37501896382</v>
      </c>
      <c r="L449" s="5">
        <f t="shared" si="41"/>
        <v>14192</v>
      </c>
    </row>
    <row r="450" spans="1:12" x14ac:dyDescent="0.25">
      <c r="A450" s="3">
        <v>43895</v>
      </c>
      <c r="B450" s="1">
        <f t="shared" ref="B450:B501" si="42">+E450*H450</f>
        <v>117</v>
      </c>
      <c r="C450" s="1">
        <v>345.60279479222953</v>
      </c>
      <c r="D450" s="1">
        <f t="shared" ref="D450:D501" si="43">+E450*G450</f>
        <v>228.60279479222956</v>
      </c>
      <c r="E450" s="2">
        <v>13</v>
      </c>
      <c r="F450" s="1">
        <v>26.584830368633042</v>
      </c>
      <c r="G450" s="1">
        <v>17.584830368633042</v>
      </c>
      <c r="H450" s="1">
        <v>9</v>
      </c>
      <c r="I450" s="1">
        <f t="shared" si="38"/>
        <v>876666</v>
      </c>
      <c r="J450" s="1">
        <f t="shared" si="39"/>
        <v>1766098.9778137545</v>
      </c>
      <c r="K450" s="1">
        <f t="shared" si="40"/>
        <v>889432.97781375609</v>
      </c>
      <c r="L450" s="5">
        <f t="shared" si="41"/>
        <v>14205</v>
      </c>
    </row>
    <row r="451" spans="1:12" x14ac:dyDescent="0.25">
      <c r="A451" s="3">
        <v>43902</v>
      </c>
      <c r="B451" s="1">
        <f t="shared" si="42"/>
        <v>180</v>
      </c>
      <c r="C451" s="1">
        <v>409.31037777159486</v>
      </c>
      <c r="D451" s="1">
        <f t="shared" si="43"/>
        <v>229.31037777159486</v>
      </c>
      <c r="E451" s="2">
        <v>10</v>
      </c>
      <c r="F451" s="1">
        <v>40.931037777159489</v>
      </c>
      <c r="G451" s="1">
        <v>22.931037777159485</v>
      </c>
      <c r="H451" s="1">
        <v>18</v>
      </c>
      <c r="I451" s="1">
        <f t="shared" si="38"/>
        <v>876846</v>
      </c>
      <c r="J451" s="1">
        <f t="shared" si="39"/>
        <v>1766508.288191526</v>
      </c>
      <c r="K451" s="1">
        <f t="shared" si="40"/>
        <v>889662.28819152771</v>
      </c>
      <c r="L451" s="5">
        <f t="shared" si="41"/>
        <v>14215</v>
      </c>
    </row>
    <row r="452" spans="1:12" x14ac:dyDescent="0.25">
      <c r="A452" s="3">
        <v>43911</v>
      </c>
      <c r="B452" s="1">
        <f t="shared" si="42"/>
        <v>59</v>
      </c>
      <c r="C452" s="1">
        <v>148.42228232490095</v>
      </c>
      <c r="D452" s="1">
        <f t="shared" si="43"/>
        <v>89.422282324900962</v>
      </c>
      <c r="E452" s="2">
        <v>1</v>
      </c>
      <c r="F452" s="1">
        <v>148.42228232490095</v>
      </c>
      <c r="G452" s="1">
        <v>89.422282324900962</v>
      </c>
      <c r="H452" s="1">
        <v>59</v>
      </c>
      <c r="I452" s="1">
        <f t="shared" ref="I452:I501" si="44">+I451+B452</f>
        <v>876905</v>
      </c>
      <c r="J452" s="1">
        <f t="shared" ref="J452:J501" si="45">+J451+C452</f>
        <v>1766656.7104738508</v>
      </c>
      <c r="K452" s="1">
        <f t="shared" ref="K452:K501" si="46">+K451+D452</f>
        <v>889751.71047385258</v>
      </c>
      <c r="L452" s="5">
        <f t="shared" ref="L452:L501" si="47">+L451+E452</f>
        <v>14216</v>
      </c>
    </row>
    <row r="453" spans="1:12" x14ac:dyDescent="0.25">
      <c r="A453" s="3">
        <v>43914</v>
      </c>
      <c r="B453" s="1">
        <f t="shared" si="42"/>
        <v>2704</v>
      </c>
      <c r="C453" s="1">
        <v>5038.0325671094843</v>
      </c>
      <c r="D453" s="1">
        <f t="shared" si="43"/>
        <v>2334.0325671094843</v>
      </c>
      <c r="E453" s="2">
        <v>104</v>
      </c>
      <c r="F453" s="1">
        <v>48.442620837591193</v>
      </c>
      <c r="G453" s="1">
        <v>22.442620837591193</v>
      </c>
      <c r="H453" s="1">
        <v>26</v>
      </c>
      <c r="I453" s="1">
        <f t="shared" si="44"/>
        <v>879609</v>
      </c>
      <c r="J453" s="1">
        <f t="shared" si="45"/>
        <v>1771694.7430409603</v>
      </c>
      <c r="K453" s="1">
        <f t="shared" si="46"/>
        <v>892085.74304096203</v>
      </c>
      <c r="L453" s="5">
        <f t="shared" si="47"/>
        <v>14320</v>
      </c>
    </row>
    <row r="454" spans="1:12" x14ac:dyDescent="0.25">
      <c r="A454" s="3">
        <v>43921</v>
      </c>
      <c r="B454" s="1">
        <f t="shared" si="42"/>
        <v>1287</v>
      </c>
      <c r="C454" s="1">
        <v>2556.1909525132673</v>
      </c>
      <c r="D454" s="1">
        <f t="shared" si="43"/>
        <v>1269.1909525132673</v>
      </c>
      <c r="E454" s="2">
        <v>33</v>
      </c>
      <c r="F454" s="1">
        <v>77.460331894341437</v>
      </c>
      <c r="G454" s="1">
        <v>38.460331894341437</v>
      </c>
      <c r="H454" s="1">
        <v>39</v>
      </c>
      <c r="I454" s="1">
        <f t="shared" si="44"/>
        <v>880896</v>
      </c>
      <c r="J454" s="1">
        <f t="shared" si="45"/>
        <v>1774250.9339934736</v>
      </c>
      <c r="K454" s="1">
        <f t="shared" si="46"/>
        <v>893354.93399347528</v>
      </c>
      <c r="L454" s="5">
        <f t="shared" si="47"/>
        <v>14353</v>
      </c>
    </row>
    <row r="455" spans="1:12" x14ac:dyDescent="0.25">
      <c r="A455" s="3">
        <v>43921</v>
      </c>
      <c r="B455" s="1">
        <f t="shared" si="42"/>
        <v>2848</v>
      </c>
      <c r="C455" s="1">
        <v>7698.319721367141</v>
      </c>
      <c r="D455" s="1">
        <f t="shared" si="43"/>
        <v>4850.319721367141</v>
      </c>
      <c r="E455" s="2">
        <v>32</v>
      </c>
      <c r="F455" s="1">
        <v>240.57249129272316</v>
      </c>
      <c r="G455" s="1">
        <v>151.57249129272316</v>
      </c>
      <c r="H455" s="1">
        <v>89</v>
      </c>
      <c r="I455" s="1">
        <f t="shared" si="44"/>
        <v>883744</v>
      </c>
      <c r="J455" s="1">
        <f t="shared" si="45"/>
        <v>1781949.2537148409</v>
      </c>
      <c r="K455" s="1">
        <f t="shared" si="46"/>
        <v>898205.25371484237</v>
      </c>
      <c r="L455" s="5">
        <f t="shared" si="47"/>
        <v>14385</v>
      </c>
    </row>
    <row r="456" spans="1:12" x14ac:dyDescent="0.25">
      <c r="A456" s="3">
        <v>43929</v>
      </c>
      <c r="B456" s="1">
        <f t="shared" si="42"/>
        <v>1914</v>
      </c>
      <c r="C456" s="1">
        <v>3965.8397738484996</v>
      </c>
      <c r="D456" s="1">
        <f t="shared" si="43"/>
        <v>2051.8397738484996</v>
      </c>
      <c r="E456" s="2">
        <v>33</v>
      </c>
      <c r="F456" s="1">
        <v>120.17696284389393</v>
      </c>
      <c r="G456" s="1">
        <v>62.176962843893925</v>
      </c>
      <c r="H456" s="1">
        <v>58</v>
      </c>
      <c r="I456" s="1">
        <f t="shared" si="44"/>
        <v>885658</v>
      </c>
      <c r="J456" s="1">
        <f t="shared" si="45"/>
        <v>1785915.0934886893</v>
      </c>
      <c r="K456" s="1">
        <f t="shared" si="46"/>
        <v>900257.09348869091</v>
      </c>
      <c r="L456" s="5">
        <f t="shared" si="47"/>
        <v>14418</v>
      </c>
    </row>
    <row r="457" spans="1:12" x14ac:dyDescent="0.25">
      <c r="A457" s="3">
        <v>43951</v>
      </c>
      <c r="B457" s="1">
        <f t="shared" si="42"/>
        <v>1881</v>
      </c>
      <c r="C457" s="1">
        <v>3783.5765732582181</v>
      </c>
      <c r="D457" s="1">
        <f t="shared" si="43"/>
        <v>1902.5765732582181</v>
      </c>
      <c r="E457" s="2">
        <v>19</v>
      </c>
      <c r="F457" s="1">
        <v>199.13560911885358</v>
      </c>
      <c r="G457" s="1">
        <v>100.13560911885358</v>
      </c>
      <c r="H457" s="1">
        <v>99</v>
      </c>
      <c r="I457" s="1">
        <f t="shared" si="44"/>
        <v>887539</v>
      </c>
      <c r="J457" s="1">
        <f t="shared" si="45"/>
        <v>1789698.6700619475</v>
      </c>
      <c r="K457" s="1">
        <f t="shared" si="46"/>
        <v>902159.67006194917</v>
      </c>
      <c r="L457" s="5">
        <f t="shared" si="47"/>
        <v>14437</v>
      </c>
    </row>
    <row r="458" spans="1:12" x14ac:dyDescent="0.25">
      <c r="A458" s="3">
        <v>43951</v>
      </c>
      <c r="B458" s="1">
        <f t="shared" si="42"/>
        <v>7375</v>
      </c>
      <c r="C458" s="1">
        <v>12544.533461631529</v>
      </c>
      <c r="D458" s="1">
        <f t="shared" si="43"/>
        <v>5169.5334616315276</v>
      </c>
      <c r="E458" s="2">
        <v>59</v>
      </c>
      <c r="F458" s="1">
        <v>212.6192112140937</v>
      </c>
      <c r="G458" s="1">
        <v>87.619211214093696</v>
      </c>
      <c r="H458" s="1">
        <v>125</v>
      </c>
      <c r="I458" s="1">
        <f t="shared" si="44"/>
        <v>894914</v>
      </c>
      <c r="J458" s="1">
        <f t="shared" si="45"/>
        <v>1802243.2035235791</v>
      </c>
      <c r="K458" s="1">
        <f t="shared" si="46"/>
        <v>907329.20352358068</v>
      </c>
      <c r="L458" s="5">
        <f t="shared" si="47"/>
        <v>14496</v>
      </c>
    </row>
    <row r="459" spans="1:12" x14ac:dyDescent="0.25">
      <c r="A459" s="3">
        <v>43952</v>
      </c>
      <c r="B459" s="1">
        <f t="shared" si="42"/>
        <v>2032</v>
      </c>
      <c r="C459" s="1">
        <v>3477.6965034467839</v>
      </c>
      <c r="D459" s="1">
        <f t="shared" si="43"/>
        <v>1445.6965034467842</v>
      </c>
      <c r="E459" s="2">
        <v>16</v>
      </c>
      <c r="F459" s="1">
        <v>217.356031465424</v>
      </c>
      <c r="G459" s="1">
        <v>90.35603146542401</v>
      </c>
      <c r="H459" s="1">
        <v>127</v>
      </c>
      <c r="I459" s="1">
        <f t="shared" si="44"/>
        <v>896946</v>
      </c>
      <c r="J459" s="1">
        <f t="shared" si="45"/>
        <v>1805720.9000270257</v>
      </c>
      <c r="K459" s="1">
        <f t="shared" si="46"/>
        <v>908774.90002702747</v>
      </c>
      <c r="L459" s="5">
        <f t="shared" si="47"/>
        <v>14512</v>
      </c>
    </row>
    <row r="460" spans="1:12" x14ac:dyDescent="0.25">
      <c r="A460" s="3">
        <v>43957</v>
      </c>
      <c r="B460" s="1">
        <f t="shared" si="42"/>
        <v>1482</v>
      </c>
      <c r="C460" s="1">
        <v>3705.2320970096976</v>
      </c>
      <c r="D460" s="1">
        <f t="shared" si="43"/>
        <v>2223.232097009698</v>
      </c>
      <c r="E460" s="2">
        <v>57</v>
      </c>
      <c r="F460" s="1">
        <v>65.004071877363117</v>
      </c>
      <c r="G460" s="1">
        <v>39.004071877363124</v>
      </c>
      <c r="H460" s="1">
        <v>26</v>
      </c>
      <c r="I460" s="1">
        <f t="shared" si="44"/>
        <v>898428</v>
      </c>
      <c r="J460" s="1">
        <f t="shared" si="45"/>
        <v>1809426.1321240354</v>
      </c>
      <c r="K460" s="1">
        <f t="shared" si="46"/>
        <v>910998.13212403713</v>
      </c>
      <c r="L460" s="5">
        <f t="shared" si="47"/>
        <v>14569</v>
      </c>
    </row>
    <row r="461" spans="1:12" x14ac:dyDescent="0.25">
      <c r="A461" s="3">
        <v>43958</v>
      </c>
      <c r="B461" s="1">
        <f t="shared" si="42"/>
        <v>6230</v>
      </c>
      <c r="C461" s="1">
        <v>12091.262715702564</v>
      </c>
      <c r="D461" s="1">
        <f t="shared" si="43"/>
        <v>5861.2627157025636</v>
      </c>
      <c r="E461" s="2">
        <v>70</v>
      </c>
      <c r="F461" s="1">
        <v>172.73232451003662</v>
      </c>
      <c r="G461" s="1">
        <v>83.732324510036619</v>
      </c>
      <c r="H461" s="1">
        <v>89</v>
      </c>
      <c r="I461" s="1">
        <f t="shared" si="44"/>
        <v>904658</v>
      </c>
      <c r="J461" s="1">
        <f t="shared" si="45"/>
        <v>1821517.394839738</v>
      </c>
      <c r="K461" s="1">
        <f t="shared" si="46"/>
        <v>916859.39483973966</v>
      </c>
      <c r="L461" s="5">
        <f t="shared" si="47"/>
        <v>14639</v>
      </c>
    </row>
    <row r="462" spans="1:12" x14ac:dyDescent="0.25">
      <c r="A462" s="3">
        <v>43959</v>
      </c>
      <c r="B462" s="1">
        <f t="shared" si="42"/>
        <v>725</v>
      </c>
      <c r="C462" s="1">
        <v>2049.7136956396153</v>
      </c>
      <c r="D462" s="1">
        <f t="shared" si="43"/>
        <v>1324.7136956396153</v>
      </c>
      <c r="E462" s="2">
        <v>29</v>
      </c>
      <c r="F462" s="1">
        <v>70.679782608262599</v>
      </c>
      <c r="G462" s="1">
        <v>45.679782608262592</v>
      </c>
      <c r="H462" s="1">
        <v>25</v>
      </c>
      <c r="I462" s="1">
        <f t="shared" si="44"/>
        <v>905383</v>
      </c>
      <c r="J462" s="1">
        <f t="shared" si="45"/>
        <v>1823567.1085353775</v>
      </c>
      <c r="K462" s="1">
        <f t="shared" si="46"/>
        <v>918184.10853537929</v>
      </c>
      <c r="L462" s="5">
        <f t="shared" si="47"/>
        <v>14668</v>
      </c>
    </row>
    <row r="463" spans="1:12" x14ac:dyDescent="0.25">
      <c r="A463" s="3">
        <v>43977</v>
      </c>
      <c r="B463" s="1">
        <f t="shared" si="42"/>
        <v>7866</v>
      </c>
      <c r="C463" s="1">
        <v>14368.867018885629</v>
      </c>
      <c r="D463" s="1">
        <f t="shared" si="43"/>
        <v>6502.8670188856277</v>
      </c>
      <c r="E463" s="2">
        <v>138</v>
      </c>
      <c r="F463" s="1">
        <v>104.12222477453354</v>
      </c>
      <c r="G463" s="1">
        <v>47.122224774533535</v>
      </c>
      <c r="H463" s="1">
        <v>57</v>
      </c>
      <c r="I463" s="1">
        <f t="shared" si="44"/>
        <v>913249</v>
      </c>
      <c r="J463" s="1">
        <f t="shared" si="45"/>
        <v>1837935.9755542632</v>
      </c>
      <c r="K463" s="1">
        <f t="shared" si="46"/>
        <v>924686.97555426497</v>
      </c>
      <c r="L463" s="5">
        <f t="shared" si="47"/>
        <v>14806</v>
      </c>
    </row>
    <row r="464" spans="1:12" x14ac:dyDescent="0.25">
      <c r="A464" s="3">
        <v>43978</v>
      </c>
      <c r="B464" s="1">
        <f t="shared" si="42"/>
        <v>1586</v>
      </c>
      <c r="C464" s="1">
        <v>2729.8777102530426</v>
      </c>
      <c r="D464" s="1">
        <f t="shared" si="43"/>
        <v>1143.8777102530426</v>
      </c>
      <c r="E464" s="2">
        <v>13</v>
      </c>
      <c r="F464" s="1">
        <v>209.9905930963879</v>
      </c>
      <c r="G464" s="1">
        <v>87.990593096387883</v>
      </c>
      <c r="H464" s="1">
        <v>122</v>
      </c>
      <c r="I464" s="1">
        <f t="shared" si="44"/>
        <v>914835</v>
      </c>
      <c r="J464" s="1">
        <f t="shared" si="45"/>
        <v>1840665.8532645162</v>
      </c>
      <c r="K464" s="1">
        <f t="shared" si="46"/>
        <v>925830.85326451797</v>
      </c>
      <c r="L464" s="5">
        <f t="shared" si="47"/>
        <v>14819</v>
      </c>
    </row>
    <row r="465" spans="1:12" x14ac:dyDescent="0.25">
      <c r="A465" s="3">
        <v>43983</v>
      </c>
      <c r="B465" s="1">
        <f t="shared" si="42"/>
        <v>570</v>
      </c>
      <c r="C465" s="1">
        <v>1281.8884245408519</v>
      </c>
      <c r="D465" s="1">
        <f t="shared" si="43"/>
        <v>711.88842454085193</v>
      </c>
      <c r="E465" s="2">
        <v>19</v>
      </c>
      <c r="F465" s="1">
        <v>67.467811817939577</v>
      </c>
      <c r="G465" s="1">
        <v>37.467811817939577</v>
      </c>
      <c r="H465" s="1">
        <v>30</v>
      </c>
      <c r="I465" s="1">
        <f t="shared" si="44"/>
        <v>915405</v>
      </c>
      <c r="J465" s="1">
        <f t="shared" si="45"/>
        <v>1841947.7416890571</v>
      </c>
      <c r="K465" s="1">
        <f t="shared" si="46"/>
        <v>926542.74168905884</v>
      </c>
      <c r="L465" s="5">
        <f t="shared" si="47"/>
        <v>14838</v>
      </c>
    </row>
    <row r="466" spans="1:12" x14ac:dyDescent="0.25">
      <c r="A466" s="3">
        <v>43998</v>
      </c>
      <c r="B466" s="1">
        <f t="shared" si="42"/>
        <v>606</v>
      </c>
      <c r="C466" s="1">
        <v>1115.9977374340422</v>
      </c>
      <c r="D466" s="1">
        <f t="shared" si="43"/>
        <v>509.99773743404222</v>
      </c>
      <c r="E466" s="2">
        <v>6</v>
      </c>
      <c r="F466" s="1">
        <v>185.9996229056737</v>
      </c>
      <c r="G466" s="1">
        <v>84.999622905673704</v>
      </c>
      <c r="H466" s="1">
        <v>101</v>
      </c>
      <c r="I466" s="1">
        <f t="shared" si="44"/>
        <v>916011</v>
      </c>
      <c r="J466" s="1">
        <f t="shared" si="45"/>
        <v>1843063.7394264911</v>
      </c>
      <c r="K466" s="1">
        <f t="shared" si="46"/>
        <v>927052.73942649283</v>
      </c>
      <c r="L466" s="5">
        <f t="shared" si="47"/>
        <v>14844</v>
      </c>
    </row>
    <row r="467" spans="1:12" x14ac:dyDescent="0.25">
      <c r="A467" s="3">
        <v>44010</v>
      </c>
      <c r="B467" s="1">
        <f t="shared" si="42"/>
        <v>585</v>
      </c>
      <c r="C467" s="1">
        <v>1425.817332512536</v>
      </c>
      <c r="D467" s="1">
        <f t="shared" si="43"/>
        <v>840.81733251253615</v>
      </c>
      <c r="E467" s="2">
        <v>13</v>
      </c>
      <c r="F467" s="1">
        <v>109.67825634711816</v>
      </c>
      <c r="G467" s="1">
        <v>64.678256347118165</v>
      </c>
      <c r="H467" s="1">
        <v>45</v>
      </c>
      <c r="I467" s="1">
        <f t="shared" si="44"/>
        <v>916596</v>
      </c>
      <c r="J467" s="1">
        <f t="shared" si="45"/>
        <v>1844489.5567590035</v>
      </c>
      <c r="K467" s="1">
        <f t="shared" si="46"/>
        <v>927893.55675900541</v>
      </c>
      <c r="L467" s="5">
        <f t="shared" si="47"/>
        <v>14857</v>
      </c>
    </row>
    <row r="468" spans="1:12" x14ac:dyDescent="0.25">
      <c r="A468" s="3">
        <v>44014</v>
      </c>
      <c r="B468" s="1">
        <f t="shared" si="42"/>
        <v>40</v>
      </c>
      <c r="C468" s="1">
        <v>67.276980287112735</v>
      </c>
      <c r="D468" s="1">
        <f t="shared" si="43"/>
        <v>27.276980287112735</v>
      </c>
      <c r="E468" s="2">
        <v>1</v>
      </c>
      <c r="F468" s="1">
        <v>67.276980287112735</v>
      </c>
      <c r="G468" s="1">
        <v>27.276980287112735</v>
      </c>
      <c r="H468" s="1">
        <v>40</v>
      </c>
      <c r="I468" s="1">
        <f t="shared" si="44"/>
        <v>916636</v>
      </c>
      <c r="J468" s="1">
        <f t="shared" si="45"/>
        <v>1844556.8337392907</v>
      </c>
      <c r="K468" s="1">
        <f t="shared" si="46"/>
        <v>927920.83373929258</v>
      </c>
      <c r="L468" s="5">
        <f t="shared" si="47"/>
        <v>14858</v>
      </c>
    </row>
    <row r="469" spans="1:12" x14ac:dyDescent="0.25">
      <c r="A469" s="3">
        <v>44018</v>
      </c>
      <c r="B469" s="1">
        <f t="shared" si="42"/>
        <v>270</v>
      </c>
      <c r="C469" s="1">
        <v>640.82245502530009</v>
      </c>
      <c r="D469" s="1">
        <f t="shared" si="43"/>
        <v>370.82245502530014</v>
      </c>
      <c r="E469" s="2">
        <v>10</v>
      </c>
      <c r="F469" s="1">
        <v>64.082245502530014</v>
      </c>
      <c r="G469" s="1">
        <v>37.082245502530014</v>
      </c>
      <c r="H469" s="1">
        <v>27</v>
      </c>
      <c r="I469" s="1">
        <f t="shared" si="44"/>
        <v>916906</v>
      </c>
      <c r="J469" s="1">
        <f t="shared" si="45"/>
        <v>1845197.656194316</v>
      </c>
      <c r="K469" s="1">
        <f t="shared" si="46"/>
        <v>928291.65619431785</v>
      </c>
      <c r="L469" s="5">
        <f t="shared" si="47"/>
        <v>14868</v>
      </c>
    </row>
    <row r="470" spans="1:12" x14ac:dyDescent="0.25">
      <c r="A470" s="3">
        <v>44019</v>
      </c>
      <c r="B470" s="1">
        <f t="shared" si="42"/>
        <v>2150</v>
      </c>
      <c r="C470" s="1">
        <v>3886.4900564452028</v>
      </c>
      <c r="D470" s="1">
        <f t="shared" si="43"/>
        <v>1736.4900564452032</v>
      </c>
      <c r="E470" s="2">
        <v>25</v>
      </c>
      <c r="F470" s="1">
        <v>155.45960225780811</v>
      </c>
      <c r="G470" s="1">
        <v>69.459602257808129</v>
      </c>
      <c r="H470" s="1">
        <v>86</v>
      </c>
      <c r="I470" s="1">
        <f t="shared" si="44"/>
        <v>919056</v>
      </c>
      <c r="J470" s="1">
        <f t="shared" si="45"/>
        <v>1849084.1462507611</v>
      </c>
      <c r="K470" s="1">
        <f t="shared" si="46"/>
        <v>930028.14625076309</v>
      </c>
      <c r="L470" s="5">
        <f t="shared" si="47"/>
        <v>14893</v>
      </c>
    </row>
    <row r="471" spans="1:12" x14ac:dyDescent="0.25">
      <c r="A471" s="3">
        <v>44027</v>
      </c>
      <c r="B471" s="1">
        <f t="shared" si="42"/>
        <v>1280</v>
      </c>
      <c r="C471" s="1">
        <v>3341.5941748718797</v>
      </c>
      <c r="D471" s="1">
        <f t="shared" si="43"/>
        <v>2061.5941748718792</v>
      </c>
      <c r="E471" s="2">
        <v>20</v>
      </c>
      <c r="F471" s="1">
        <v>167.07970874359398</v>
      </c>
      <c r="G471" s="1">
        <v>103.07970874359397</v>
      </c>
      <c r="H471" s="1">
        <v>64</v>
      </c>
      <c r="I471" s="1">
        <f t="shared" si="44"/>
        <v>920336</v>
      </c>
      <c r="J471" s="1">
        <f t="shared" si="45"/>
        <v>1852425.740425633</v>
      </c>
      <c r="K471" s="1">
        <f t="shared" si="46"/>
        <v>932089.74042563501</v>
      </c>
      <c r="L471" s="5">
        <f t="shared" si="47"/>
        <v>14913</v>
      </c>
    </row>
    <row r="472" spans="1:12" x14ac:dyDescent="0.25">
      <c r="A472" s="3">
        <v>44032</v>
      </c>
      <c r="B472" s="1">
        <f t="shared" si="42"/>
        <v>4074</v>
      </c>
      <c r="C472" s="1">
        <v>8013.1626361673489</v>
      </c>
      <c r="D472" s="1">
        <f t="shared" si="43"/>
        <v>3939.1626361673493</v>
      </c>
      <c r="E472" s="2">
        <v>97</v>
      </c>
      <c r="F472" s="1">
        <v>82.609924084199477</v>
      </c>
      <c r="G472" s="1">
        <v>40.609924084199477</v>
      </c>
      <c r="H472" s="1">
        <v>42</v>
      </c>
      <c r="I472" s="1">
        <f t="shared" si="44"/>
        <v>924410</v>
      </c>
      <c r="J472" s="1">
        <f t="shared" si="45"/>
        <v>1860438.9030618004</v>
      </c>
      <c r="K472" s="1">
        <f t="shared" si="46"/>
        <v>936028.90306180238</v>
      </c>
      <c r="L472" s="5">
        <f t="shared" si="47"/>
        <v>15010</v>
      </c>
    </row>
    <row r="473" spans="1:12" x14ac:dyDescent="0.25">
      <c r="A473" s="3">
        <v>44040</v>
      </c>
      <c r="B473" s="1">
        <f t="shared" si="42"/>
        <v>1410</v>
      </c>
      <c r="C473" s="1">
        <v>2653.9361438102806</v>
      </c>
      <c r="D473" s="1">
        <f t="shared" si="43"/>
        <v>1243.9361438102806</v>
      </c>
      <c r="E473" s="2">
        <v>15</v>
      </c>
      <c r="F473" s="1">
        <v>176.9290762540187</v>
      </c>
      <c r="G473" s="1">
        <v>82.92907625401871</v>
      </c>
      <c r="H473" s="1">
        <v>94</v>
      </c>
      <c r="I473" s="1">
        <f t="shared" si="44"/>
        <v>925820</v>
      </c>
      <c r="J473" s="1">
        <f t="shared" si="45"/>
        <v>1863092.8392056108</v>
      </c>
      <c r="K473" s="1">
        <f t="shared" si="46"/>
        <v>937272.83920561266</v>
      </c>
      <c r="L473" s="5">
        <f t="shared" si="47"/>
        <v>15025</v>
      </c>
    </row>
    <row r="474" spans="1:12" x14ac:dyDescent="0.25">
      <c r="A474" s="3">
        <v>44040</v>
      </c>
      <c r="B474" s="1">
        <f t="shared" si="42"/>
        <v>8112</v>
      </c>
      <c r="C474" s="1">
        <v>17660.714657337128</v>
      </c>
      <c r="D474" s="1">
        <f t="shared" si="43"/>
        <v>9548.7146573371283</v>
      </c>
      <c r="E474" s="2">
        <v>169</v>
      </c>
      <c r="F474" s="1">
        <v>104.50127016175816</v>
      </c>
      <c r="G474" s="1">
        <v>56.501270161758157</v>
      </c>
      <c r="H474" s="1">
        <v>48</v>
      </c>
      <c r="I474" s="1">
        <f t="shared" si="44"/>
        <v>933932</v>
      </c>
      <c r="J474" s="1">
        <f t="shared" si="45"/>
        <v>1880753.553862948</v>
      </c>
      <c r="K474" s="1">
        <f t="shared" si="46"/>
        <v>946821.55386294983</v>
      </c>
      <c r="L474" s="5">
        <f t="shared" si="47"/>
        <v>15194</v>
      </c>
    </row>
    <row r="475" spans="1:12" x14ac:dyDescent="0.25">
      <c r="A475" s="3">
        <v>44047</v>
      </c>
      <c r="B475" s="1">
        <f t="shared" si="42"/>
        <v>532</v>
      </c>
      <c r="C475" s="1">
        <v>1199.5466961887139</v>
      </c>
      <c r="D475" s="1">
        <f t="shared" si="43"/>
        <v>667.5466961887139</v>
      </c>
      <c r="E475" s="2">
        <v>19</v>
      </c>
      <c r="F475" s="1">
        <v>63.134036641511258</v>
      </c>
      <c r="G475" s="1">
        <v>35.134036641511258</v>
      </c>
      <c r="H475" s="1">
        <v>28</v>
      </c>
      <c r="I475" s="1">
        <f t="shared" si="44"/>
        <v>934464</v>
      </c>
      <c r="J475" s="1">
        <f t="shared" si="45"/>
        <v>1881953.1005591366</v>
      </c>
      <c r="K475" s="1">
        <f t="shared" si="46"/>
        <v>947489.10055913858</v>
      </c>
      <c r="L475" s="5">
        <f t="shared" si="47"/>
        <v>15213</v>
      </c>
    </row>
    <row r="476" spans="1:12" x14ac:dyDescent="0.25">
      <c r="A476" s="3">
        <v>44047</v>
      </c>
      <c r="B476" s="1">
        <f t="shared" si="42"/>
        <v>731</v>
      </c>
      <c r="C476" s="1">
        <v>1913.0348643206573</v>
      </c>
      <c r="D476" s="1">
        <f t="shared" si="43"/>
        <v>1182.0348643206573</v>
      </c>
      <c r="E476" s="2">
        <v>17</v>
      </c>
      <c r="F476" s="1">
        <v>112.5314626070975</v>
      </c>
      <c r="G476" s="1">
        <v>69.531462607097495</v>
      </c>
      <c r="H476" s="1">
        <v>43</v>
      </c>
      <c r="I476" s="1">
        <f t="shared" si="44"/>
        <v>935195</v>
      </c>
      <c r="J476" s="1">
        <f t="shared" si="45"/>
        <v>1883866.1354234572</v>
      </c>
      <c r="K476" s="1">
        <f t="shared" si="46"/>
        <v>948671.13542345923</v>
      </c>
      <c r="L476" s="5">
        <f t="shared" si="47"/>
        <v>15230</v>
      </c>
    </row>
    <row r="477" spans="1:12" x14ac:dyDescent="0.25">
      <c r="A477" s="3">
        <v>44053</v>
      </c>
      <c r="B477" s="1">
        <f t="shared" si="42"/>
        <v>1300</v>
      </c>
      <c r="C477" s="1">
        <v>2588.6296693978238</v>
      </c>
      <c r="D477" s="1">
        <f t="shared" si="43"/>
        <v>1288.6296693978234</v>
      </c>
      <c r="E477" s="2">
        <v>26</v>
      </c>
      <c r="F477" s="1">
        <v>99.562679592223986</v>
      </c>
      <c r="G477" s="1">
        <v>49.562679592223979</v>
      </c>
      <c r="H477" s="1">
        <v>50</v>
      </c>
      <c r="I477" s="1">
        <f t="shared" si="44"/>
        <v>936495</v>
      </c>
      <c r="J477" s="1">
        <f t="shared" si="45"/>
        <v>1886454.7650928551</v>
      </c>
      <c r="K477" s="1">
        <f t="shared" si="46"/>
        <v>949959.76509285707</v>
      </c>
      <c r="L477" s="5">
        <f t="shared" si="47"/>
        <v>15256</v>
      </c>
    </row>
    <row r="478" spans="1:12" x14ac:dyDescent="0.25">
      <c r="A478" s="3">
        <v>44057</v>
      </c>
      <c r="B478" s="1">
        <f t="shared" si="42"/>
        <v>624</v>
      </c>
      <c r="C478" s="1">
        <v>1244.599770314348</v>
      </c>
      <c r="D478" s="1">
        <f t="shared" si="43"/>
        <v>620.59977031434801</v>
      </c>
      <c r="E478" s="2">
        <v>12</v>
      </c>
      <c r="F478" s="1">
        <v>103.71664752619566</v>
      </c>
      <c r="G478" s="1">
        <v>51.716647526195665</v>
      </c>
      <c r="H478" s="1">
        <v>52</v>
      </c>
      <c r="I478" s="1">
        <f t="shared" si="44"/>
        <v>937119</v>
      </c>
      <c r="J478" s="1">
        <f t="shared" si="45"/>
        <v>1887699.3648631694</v>
      </c>
      <c r="K478" s="1">
        <f t="shared" si="46"/>
        <v>950580.36486317136</v>
      </c>
      <c r="L478" s="5">
        <f t="shared" si="47"/>
        <v>15268</v>
      </c>
    </row>
    <row r="479" spans="1:12" x14ac:dyDescent="0.25">
      <c r="A479" s="3">
        <v>44063</v>
      </c>
      <c r="B479" s="1">
        <f t="shared" si="42"/>
        <v>648</v>
      </c>
      <c r="C479" s="1">
        <v>1445.2493671282691</v>
      </c>
      <c r="D479" s="1">
        <f t="shared" si="43"/>
        <v>797.24936712826889</v>
      </c>
      <c r="E479" s="2">
        <v>18</v>
      </c>
      <c r="F479" s="1">
        <v>80.291631507126056</v>
      </c>
      <c r="G479" s="1">
        <v>44.291631507126048</v>
      </c>
      <c r="H479" s="1">
        <v>36</v>
      </c>
      <c r="I479" s="1">
        <f t="shared" si="44"/>
        <v>937767</v>
      </c>
      <c r="J479" s="1">
        <f t="shared" si="45"/>
        <v>1889144.6142302977</v>
      </c>
      <c r="K479" s="1">
        <f t="shared" si="46"/>
        <v>951377.6142302996</v>
      </c>
      <c r="L479" s="5">
        <f t="shared" si="47"/>
        <v>15286</v>
      </c>
    </row>
    <row r="480" spans="1:12" x14ac:dyDescent="0.25">
      <c r="A480" s="3">
        <v>44073</v>
      </c>
      <c r="B480" s="1">
        <f t="shared" si="42"/>
        <v>111</v>
      </c>
      <c r="C480" s="1">
        <v>310.91565049488042</v>
      </c>
      <c r="D480" s="1">
        <f t="shared" si="43"/>
        <v>199.91565049488045</v>
      </c>
      <c r="E480" s="2">
        <v>3</v>
      </c>
      <c r="F480" s="1">
        <v>103.63855016496015</v>
      </c>
      <c r="G480" s="1">
        <v>66.638550164960151</v>
      </c>
      <c r="H480" s="1">
        <v>37</v>
      </c>
      <c r="I480" s="1">
        <f t="shared" si="44"/>
        <v>937878</v>
      </c>
      <c r="J480" s="1">
        <f t="shared" si="45"/>
        <v>1889455.5298807926</v>
      </c>
      <c r="K480" s="1">
        <f t="shared" si="46"/>
        <v>951577.52988079446</v>
      </c>
      <c r="L480" s="5">
        <f t="shared" si="47"/>
        <v>15289</v>
      </c>
    </row>
    <row r="481" spans="1:12" x14ac:dyDescent="0.25">
      <c r="A481" s="3">
        <v>44075</v>
      </c>
      <c r="B481" s="1">
        <f t="shared" si="42"/>
        <v>1813</v>
      </c>
      <c r="C481" s="1">
        <v>3951.0826788260824</v>
      </c>
      <c r="D481" s="1">
        <f t="shared" si="43"/>
        <v>2138.0826788260824</v>
      </c>
      <c r="E481" s="2">
        <v>37</v>
      </c>
      <c r="F481" s="1">
        <v>106.78601834665088</v>
      </c>
      <c r="G481" s="1">
        <v>57.786018346650877</v>
      </c>
      <c r="H481" s="1">
        <v>49</v>
      </c>
      <c r="I481" s="1">
        <f t="shared" si="44"/>
        <v>939691</v>
      </c>
      <c r="J481" s="1">
        <f t="shared" si="45"/>
        <v>1893406.6125596187</v>
      </c>
      <c r="K481" s="1">
        <f t="shared" si="46"/>
        <v>953715.61255962052</v>
      </c>
      <c r="L481" s="5">
        <f t="shared" si="47"/>
        <v>15326</v>
      </c>
    </row>
    <row r="482" spans="1:12" x14ac:dyDescent="0.25">
      <c r="A482" s="3">
        <v>44092</v>
      </c>
      <c r="B482" s="1">
        <f t="shared" si="42"/>
        <v>235</v>
      </c>
      <c r="C482" s="1">
        <v>544.20837094262833</v>
      </c>
      <c r="D482" s="1">
        <f t="shared" si="43"/>
        <v>309.20837094262833</v>
      </c>
      <c r="E482" s="2">
        <v>5</v>
      </c>
      <c r="F482" s="1">
        <v>108.84167418852567</v>
      </c>
      <c r="G482" s="1">
        <v>61.841674188525673</v>
      </c>
      <c r="H482" s="1">
        <v>47</v>
      </c>
      <c r="I482" s="1">
        <f t="shared" si="44"/>
        <v>939926</v>
      </c>
      <c r="J482" s="1">
        <f t="shared" si="45"/>
        <v>1893950.8209305613</v>
      </c>
      <c r="K482" s="1">
        <f t="shared" si="46"/>
        <v>954024.82093056315</v>
      </c>
      <c r="L482" s="5">
        <f t="shared" si="47"/>
        <v>15331</v>
      </c>
    </row>
    <row r="483" spans="1:12" x14ac:dyDescent="0.25">
      <c r="A483" s="3">
        <v>44097</v>
      </c>
      <c r="B483" s="1">
        <f t="shared" si="42"/>
        <v>1320</v>
      </c>
      <c r="C483" s="1">
        <v>2906.9300956130601</v>
      </c>
      <c r="D483" s="1">
        <f t="shared" si="43"/>
        <v>1586.9300956130601</v>
      </c>
      <c r="E483" s="2">
        <v>40</v>
      </c>
      <c r="F483" s="1">
        <v>72.673252390326496</v>
      </c>
      <c r="G483" s="1">
        <v>39.673252390326503</v>
      </c>
      <c r="H483" s="1">
        <v>33</v>
      </c>
      <c r="I483" s="1">
        <f t="shared" si="44"/>
        <v>941246</v>
      </c>
      <c r="J483" s="1">
        <f t="shared" si="45"/>
        <v>1896857.7510261743</v>
      </c>
      <c r="K483" s="1">
        <f t="shared" si="46"/>
        <v>955611.75102617615</v>
      </c>
      <c r="L483" s="5">
        <f t="shared" si="47"/>
        <v>15371</v>
      </c>
    </row>
    <row r="484" spans="1:12" x14ac:dyDescent="0.25">
      <c r="A484" s="3">
        <v>44098</v>
      </c>
      <c r="B484" s="1">
        <f t="shared" si="42"/>
        <v>594</v>
      </c>
      <c r="C484" s="1">
        <v>1154.9985014446413</v>
      </c>
      <c r="D484" s="1">
        <f t="shared" si="43"/>
        <v>560.99850144464142</v>
      </c>
      <c r="E484" s="2">
        <v>9</v>
      </c>
      <c r="F484" s="1">
        <v>128.33316682718237</v>
      </c>
      <c r="G484" s="1">
        <v>62.333166827182374</v>
      </c>
      <c r="H484" s="1">
        <v>66</v>
      </c>
      <c r="I484" s="1">
        <f t="shared" si="44"/>
        <v>941840</v>
      </c>
      <c r="J484" s="1">
        <f t="shared" si="45"/>
        <v>1898012.749527619</v>
      </c>
      <c r="K484" s="1">
        <f t="shared" si="46"/>
        <v>956172.74952762073</v>
      </c>
      <c r="L484" s="5">
        <f t="shared" si="47"/>
        <v>15380</v>
      </c>
    </row>
    <row r="485" spans="1:12" x14ac:dyDescent="0.25">
      <c r="A485" s="3">
        <v>44107</v>
      </c>
      <c r="B485" s="1">
        <f t="shared" si="42"/>
        <v>1680</v>
      </c>
      <c r="C485" s="1">
        <v>3489.7514686045552</v>
      </c>
      <c r="D485" s="1">
        <f t="shared" si="43"/>
        <v>1809.7514686045552</v>
      </c>
      <c r="E485" s="2">
        <v>40</v>
      </c>
      <c r="F485" s="1">
        <v>87.243786715113885</v>
      </c>
      <c r="G485" s="1">
        <v>45.243786715113878</v>
      </c>
      <c r="H485" s="1">
        <v>42</v>
      </c>
      <c r="I485" s="1">
        <f t="shared" si="44"/>
        <v>943520</v>
      </c>
      <c r="J485" s="1">
        <f t="shared" si="45"/>
        <v>1901502.5009962237</v>
      </c>
      <c r="K485" s="1">
        <f t="shared" si="46"/>
        <v>957982.50099622528</v>
      </c>
      <c r="L485" s="5">
        <f t="shared" si="47"/>
        <v>15420</v>
      </c>
    </row>
    <row r="486" spans="1:12" x14ac:dyDescent="0.25">
      <c r="A486" s="3">
        <v>44110</v>
      </c>
      <c r="B486" s="1">
        <f t="shared" si="42"/>
        <v>312</v>
      </c>
      <c r="C486" s="1">
        <v>711.39008698257203</v>
      </c>
      <c r="D486" s="1">
        <f t="shared" si="43"/>
        <v>399.39008698257203</v>
      </c>
      <c r="E486" s="2">
        <v>13</v>
      </c>
      <c r="F486" s="1">
        <v>54.722314383274771</v>
      </c>
      <c r="G486" s="1">
        <v>30.722314383274771</v>
      </c>
      <c r="H486" s="1">
        <v>24</v>
      </c>
      <c r="I486" s="1">
        <f t="shared" si="44"/>
        <v>943832</v>
      </c>
      <c r="J486" s="1">
        <f t="shared" si="45"/>
        <v>1902213.8910832063</v>
      </c>
      <c r="K486" s="1">
        <f t="shared" si="46"/>
        <v>958381.8910832078</v>
      </c>
      <c r="L486" s="5">
        <f t="shared" si="47"/>
        <v>15433</v>
      </c>
    </row>
    <row r="487" spans="1:12" x14ac:dyDescent="0.25">
      <c r="A487" s="3">
        <v>44114</v>
      </c>
      <c r="B487" s="1">
        <f t="shared" si="42"/>
        <v>1152</v>
      </c>
      <c r="C487" s="1">
        <v>2455.6378398413908</v>
      </c>
      <c r="D487" s="1">
        <f t="shared" si="43"/>
        <v>1303.6378398413908</v>
      </c>
      <c r="E487" s="2">
        <v>36</v>
      </c>
      <c r="F487" s="1">
        <v>68.212162217816413</v>
      </c>
      <c r="G487" s="1">
        <v>36.212162217816413</v>
      </c>
      <c r="H487" s="1">
        <v>32</v>
      </c>
      <c r="I487" s="1">
        <f t="shared" si="44"/>
        <v>944984</v>
      </c>
      <c r="J487" s="1">
        <f t="shared" si="45"/>
        <v>1904669.5289230477</v>
      </c>
      <c r="K487" s="1">
        <f t="shared" si="46"/>
        <v>959685.52892304922</v>
      </c>
      <c r="L487" s="5">
        <f t="shared" si="47"/>
        <v>15469</v>
      </c>
    </row>
    <row r="488" spans="1:12" x14ac:dyDescent="0.25">
      <c r="A488" s="3">
        <v>44125</v>
      </c>
      <c r="B488" s="1">
        <f t="shared" si="42"/>
        <v>846</v>
      </c>
      <c r="C488" s="1">
        <v>1476.2507396312167</v>
      </c>
      <c r="D488" s="1">
        <f t="shared" si="43"/>
        <v>630.25073963121679</v>
      </c>
      <c r="E488" s="2">
        <v>9</v>
      </c>
      <c r="F488" s="1">
        <v>164.02785995902408</v>
      </c>
      <c r="G488" s="1">
        <v>70.027859959024084</v>
      </c>
      <c r="H488" s="1">
        <v>94</v>
      </c>
      <c r="I488" s="1">
        <f t="shared" si="44"/>
        <v>945830</v>
      </c>
      <c r="J488" s="1">
        <f t="shared" si="45"/>
        <v>1906145.7796626789</v>
      </c>
      <c r="K488" s="1">
        <f t="shared" si="46"/>
        <v>960315.77966268046</v>
      </c>
      <c r="L488" s="5">
        <f t="shared" si="47"/>
        <v>15478</v>
      </c>
    </row>
    <row r="489" spans="1:12" x14ac:dyDescent="0.25">
      <c r="A489" s="3">
        <v>44126</v>
      </c>
      <c r="B489" s="1">
        <f t="shared" si="42"/>
        <v>671</v>
      </c>
      <c r="C489" s="1">
        <v>1302.9937884562232</v>
      </c>
      <c r="D489" s="1">
        <f t="shared" si="43"/>
        <v>631.993788456223</v>
      </c>
      <c r="E489" s="2">
        <v>11</v>
      </c>
      <c r="F489" s="1">
        <v>118.45398076874756</v>
      </c>
      <c r="G489" s="1">
        <v>57.453980768747549</v>
      </c>
      <c r="H489" s="1">
        <v>61</v>
      </c>
      <c r="I489" s="1">
        <f t="shared" si="44"/>
        <v>946501</v>
      </c>
      <c r="J489" s="1">
        <f t="shared" si="45"/>
        <v>1907448.7734511353</v>
      </c>
      <c r="K489" s="1">
        <f t="shared" si="46"/>
        <v>960947.77345113666</v>
      </c>
      <c r="L489" s="5">
        <f t="shared" si="47"/>
        <v>15489</v>
      </c>
    </row>
    <row r="490" spans="1:12" x14ac:dyDescent="0.25">
      <c r="A490" s="3">
        <v>44126</v>
      </c>
      <c r="B490" s="1">
        <f t="shared" si="42"/>
        <v>3078</v>
      </c>
      <c r="C490" s="1">
        <v>6935.9695605930874</v>
      </c>
      <c r="D490" s="1">
        <f t="shared" si="43"/>
        <v>3857.9695605930874</v>
      </c>
      <c r="E490" s="2">
        <v>57</v>
      </c>
      <c r="F490" s="1">
        <v>121.68367650163312</v>
      </c>
      <c r="G490" s="1">
        <v>67.683676501633116</v>
      </c>
      <c r="H490" s="1">
        <v>54</v>
      </c>
      <c r="I490" s="1">
        <f t="shared" si="44"/>
        <v>949579</v>
      </c>
      <c r="J490" s="1">
        <f t="shared" si="45"/>
        <v>1914384.7430117284</v>
      </c>
      <c r="K490" s="1">
        <f t="shared" si="46"/>
        <v>964805.74301172979</v>
      </c>
      <c r="L490" s="5">
        <f t="shared" si="47"/>
        <v>15546</v>
      </c>
    </row>
    <row r="491" spans="1:12" x14ac:dyDescent="0.25">
      <c r="A491" s="3">
        <v>44130</v>
      </c>
      <c r="B491" s="1">
        <f t="shared" si="42"/>
        <v>240</v>
      </c>
      <c r="C491" s="1">
        <v>650.94089966994284</v>
      </c>
      <c r="D491" s="1">
        <f t="shared" si="43"/>
        <v>410.94089966994289</v>
      </c>
      <c r="E491" s="2">
        <v>5</v>
      </c>
      <c r="F491" s="1">
        <v>130.18817993398858</v>
      </c>
      <c r="G491" s="1">
        <v>82.188179933988579</v>
      </c>
      <c r="H491" s="1">
        <v>48</v>
      </c>
      <c r="I491" s="1">
        <f t="shared" si="44"/>
        <v>949819</v>
      </c>
      <c r="J491" s="1">
        <f t="shared" si="45"/>
        <v>1915035.6839113983</v>
      </c>
      <c r="K491" s="1">
        <f t="shared" si="46"/>
        <v>965216.68391139968</v>
      </c>
      <c r="L491" s="5">
        <f t="shared" si="47"/>
        <v>15551</v>
      </c>
    </row>
    <row r="492" spans="1:12" x14ac:dyDescent="0.25">
      <c r="A492" s="3">
        <v>44139</v>
      </c>
      <c r="B492" s="1">
        <f t="shared" si="42"/>
        <v>1380</v>
      </c>
      <c r="C492" s="1">
        <v>2652.9646937188641</v>
      </c>
      <c r="D492" s="1">
        <f t="shared" si="43"/>
        <v>1272.9646937188643</v>
      </c>
      <c r="E492" s="2">
        <v>12</v>
      </c>
      <c r="F492" s="1">
        <v>221.08039114323867</v>
      </c>
      <c r="G492" s="1">
        <v>106.08039114323869</v>
      </c>
      <c r="H492" s="1">
        <v>115</v>
      </c>
      <c r="I492" s="1">
        <f t="shared" si="44"/>
        <v>951199</v>
      </c>
      <c r="J492" s="1">
        <f t="shared" si="45"/>
        <v>1917688.6486051171</v>
      </c>
      <c r="K492" s="1">
        <f t="shared" si="46"/>
        <v>966489.64860511851</v>
      </c>
      <c r="L492" s="5">
        <f t="shared" si="47"/>
        <v>15563</v>
      </c>
    </row>
    <row r="493" spans="1:12" x14ac:dyDescent="0.25">
      <c r="A493" s="3">
        <v>44139</v>
      </c>
      <c r="B493" s="1">
        <f t="shared" si="42"/>
        <v>129</v>
      </c>
      <c r="C493" s="1">
        <v>245.94220497104135</v>
      </c>
      <c r="D493" s="1">
        <f t="shared" si="43"/>
        <v>116.94220497104135</v>
      </c>
      <c r="E493" s="2">
        <v>3</v>
      </c>
      <c r="F493" s="1">
        <v>81.980734990347116</v>
      </c>
      <c r="G493" s="1">
        <v>38.980734990347116</v>
      </c>
      <c r="H493" s="1">
        <v>43</v>
      </c>
      <c r="I493" s="1">
        <f t="shared" si="44"/>
        <v>951328</v>
      </c>
      <c r="J493" s="1">
        <f t="shared" si="45"/>
        <v>1917934.5908100882</v>
      </c>
      <c r="K493" s="1">
        <f t="shared" si="46"/>
        <v>966606.5908100896</v>
      </c>
      <c r="L493" s="5">
        <f t="shared" si="47"/>
        <v>15566</v>
      </c>
    </row>
    <row r="494" spans="1:12" x14ac:dyDescent="0.25">
      <c r="A494" s="3">
        <v>44144</v>
      </c>
      <c r="B494" s="1">
        <f t="shared" si="42"/>
        <v>800</v>
      </c>
      <c r="C494" s="1">
        <v>2018.6707854889869</v>
      </c>
      <c r="D494" s="1">
        <f t="shared" si="43"/>
        <v>1218.6707854889869</v>
      </c>
      <c r="E494" s="2">
        <v>20</v>
      </c>
      <c r="F494" s="1">
        <v>100.93353927444934</v>
      </c>
      <c r="G494" s="1">
        <v>60.933539274449345</v>
      </c>
      <c r="H494" s="1">
        <v>40</v>
      </c>
      <c r="I494" s="1">
        <f t="shared" si="44"/>
        <v>952128</v>
      </c>
      <c r="J494" s="1">
        <f t="shared" si="45"/>
        <v>1919953.2615955772</v>
      </c>
      <c r="K494" s="1">
        <f t="shared" si="46"/>
        <v>967825.26159557863</v>
      </c>
      <c r="L494" s="5">
        <f t="shared" si="47"/>
        <v>15586</v>
      </c>
    </row>
    <row r="495" spans="1:12" x14ac:dyDescent="0.25">
      <c r="A495" s="3">
        <v>44152</v>
      </c>
      <c r="B495" s="1">
        <f t="shared" si="42"/>
        <v>819</v>
      </c>
      <c r="C495" s="1">
        <v>1554.6592951170171</v>
      </c>
      <c r="D495" s="1">
        <f t="shared" si="43"/>
        <v>735.65929511701711</v>
      </c>
      <c r="E495" s="2">
        <v>13</v>
      </c>
      <c r="F495" s="1">
        <v>119.58917654746286</v>
      </c>
      <c r="G495" s="1">
        <v>56.589176547462856</v>
      </c>
      <c r="H495" s="1">
        <v>63</v>
      </c>
      <c r="I495" s="1">
        <f t="shared" si="44"/>
        <v>952947</v>
      </c>
      <c r="J495" s="1">
        <f t="shared" si="45"/>
        <v>1921507.9208906943</v>
      </c>
      <c r="K495" s="1">
        <f t="shared" si="46"/>
        <v>968560.92089069565</v>
      </c>
      <c r="L495" s="5">
        <f t="shared" si="47"/>
        <v>15599</v>
      </c>
    </row>
    <row r="496" spans="1:12" x14ac:dyDescent="0.25">
      <c r="A496" s="3">
        <v>44159</v>
      </c>
      <c r="B496" s="1">
        <f t="shared" si="42"/>
        <v>3200</v>
      </c>
      <c r="C496" s="1">
        <v>5581.0923255227844</v>
      </c>
      <c r="D496" s="1">
        <f t="shared" si="43"/>
        <v>2381.092325522784</v>
      </c>
      <c r="E496" s="2">
        <v>40</v>
      </c>
      <c r="F496" s="1">
        <v>139.5273081380696</v>
      </c>
      <c r="G496" s="1">
        <v>59.5273081380696</v>
      </c>
      <c r="H496" s="1">
        <v>80</v>
      </c>
      <c r="I496" s="1">
        <f t="shared" si="44"/>
        <v>956147</v>
      </c>
      <c r="J496" s="1">
        <f t="shared" si="45"/>
        <v>1927089.013216217</v>
      </c>
      <c r="K496" s="1">
        <f t="shared" si="46"/>
        <v>970942.01321621845</v>
      </c>
      <c r="L496" s="5">
        <f t="shared" si="47"/>
        <v>15639</v>
      </c>
    </row>
    <row r="497" spans="1:12" x14ac:dyDescent="0.25">
      <c r="A497" s="3">
        <v>44160</v>
      </c>
      <c r="B497" s="1">
        <f t="shared" si="42"/>
        <v>700</v>
      </c>
      <c r="C497" s="1">
        <v>1572.4451189061003</v>
      </c>
      <c r="D497" s="1">
        <f t="shared" si="43"/>
        <v>872.44511890610033</v>
      </c>
      <c r="E497" s="2">
        <v>14</v>
      </c>
      <c r="F497" s="1">
        <v>112.31750849329288</v>
      </c>
      <c r="G497" s="1">
        <v>62.317508493292877</v>
      </c>
      <c r="H497" s="1">
        <v>50</v>
      </c>
      <c r="I497" s="1">
        <f t="shared" si="44"/>
        <v>956847</v>
      </c>
      <c r="J497" s="1">
        <f t="shared" si="45"/>
        <v>1928661.4583351233</v>
      </c>
      <c r="K497" s="1">
        <f t="shared" si="46"/>
        <v>971814.45833512454</v>
      </c>
      <c r="L497" s="5">
        <f t="shared" si="47"/>
        <v>15653</v>
      </c>
    </row>
    <row r="498" spans="1:12" x14ac:dyDescent="0.25">
      <c r="A498" s="3">
        <v>44163</v>
      </c>
      <c r="B498" s="1">
        <f t="shared" si="42"/>
        <v>1078</v>
      </c>
      <c r="C498" s="1">
        <v>1881.9656178577998</v>
      </c>
      <c r="D498" s="1">
        <f t="shared" si="43"/>
        <v>803.96561785779988</v>
      </c>
      <c r="E498" s="2">
        <v>22</v>
      </c>
      <c r="F498" s="1">
        <v>85.543891720809086</v>
      </c>
      <c r="G498" s="1">
        <v>36.543891720809086</v>
      </c>
      <c r="H498" s="1">
        <v>49</v>
      </c>
      <c r="I498" s="1">
        <f t="shared" si="44"/>
        <v>957925</v>
      </c>
      <c r="J498" s="1">
        <f t="shared" si="45"/>
        <v>1930543.4239529811</v>
      </c>
      <c r="K498" s="1">
        <f t="shared" si="46"/>
        <v>972618.4239529823</v>
      </c>
      <c r="L498" s="5">
        <f t="shared" si="47"/>
        <v>15675</v>
      </c>
    </row>
    <row r="499" spans="1:12" x14ac:dyDescent="0.25">
      <c r="A499" s="3">
        <v>44181</v>
      </c>
      <c r="B499" s="1">
        <f t="shared" si="42"/>
        <v>1080</v>
      </c>
      <c r="C499" s="1">
        <v>2313.6293014759617</v>
      </c>
      <c r="D499" s="1">
        <f t="shared" si="43"/>
        <v>1233.6293014759617</v>
      </c>
      <c r="E499" s="2">
        <v>12</v>
      </c>
      <c r="F499" s="1">
        <v>192.80244178966348</v>
      </c>
      <c r="G499" s="1">
        <v>102.80244178966348</v>
      </c>
      <c r="H499" s="1">
        <v>90</v>
      </c>
      <c r="I499" s="1">
        <f t="shared" si="44"/>
        <v>959005</v>
      </c>
      <c r="J499" s="1">
        <f t="shared" si="45"/>
        <v>1932857.0532544572</v>
      </c>
      <c r="K499" s="1">
        <f t="shared" si="46"/>
        <v>973852.05325445824</v>
      </c>
      <c r="L499" s="5">
        <f t="shared" si="47"/>
        <v>15687</v>
      </c>
    </row>
    <row r="500" spans="1:12" x14ac:dyDescent="0.25">
      <c r="A500" s="3">
        <v>44190</v>
      </c>
      <c r="B500" s="1">
        <f t="shared" si="42"/>
        <v>3920</v>
      </c>
      <c r="C500" s="1">
        <v>10830.484273708065</v>
      </c>
      <c r="D500" s="1">
        <f t="shared" si="43"/>
        <v>6910.4842737080662</v>
      </c>
      <c r="E500" s="2">
        <v>80</v>
      </c>
      <c r="F500" s="1">
        <v>135.38105342135083</v>
      </c>
      <c r="G500" s="1">
        <v>86.381053421350828</v>
      </c>
      <c r="H500" s="1">
        <v>49</v>
      </c>
      <c r="I500" s="1">
        <f t="shared" si="44"/>
        <v>962925</v>
      </c>
      <c r="J500" s="1">
        <f t="shared" si="45"/>
        <v>1943687.5375281652</v>
      </c>
      <c r="K500" s="1">
        <f t="shared" si="46"/>
        <v>980762.53752816631</v>
      </c>
      <c r="L500" s="5">
        <f t="shared" si="47"/>
        <v>15767</v>
      </c>
    </row>
    <row r="501" spans="1:12" x14ac:dyDescent="0.25">
      <c r="A501" s="3">
        <v>44196</v>
      </c>
      <c r="B501" s="1">
        <f t="shared" si="42"/>
        <v>621</v>
      </c>
      <c r="C501" s="1">
        <v>1564.407037995232</v>
      </c>
      <c r="D501" s="1">
        <f t="shared" si="43"/>
        <v>943.40703799523214</v>
      </c>
      <c r="E501" s="2">
        <v>9</v>
      </c>
      <c r="F501" s="1">
        <v>173.82300422169246</v>
      </c>
      <c r="G501" s="1">
        <v>104.82300422169246</v>
      </c>
      <c r="H501" s="1">
        <v>69</v>
      </c>
      <c r="I501" s="1">
        <f t="shared" si="44"/>
        <v>963546</v>
      </c>
      <c r="J501" s="1">
        <f t="shared" si="45"/>
        <v>1945251.9445661604</v>
      </c>
      <c r="K501" s="1">
        <f t="shared" si="46"/>
        <v>981705.9445661616</v>
      </c>
      <c r="L501" s="5">
        <f t="shared" si="47"/>
        <v>15776</v>
      </c>
    </row>
    <row r="502" spans="1:12" x14ac:dyDescent="0.25">
      <c r="A502" s="3"/>
      <c r="B502" s="1"/>
      <c r="C502" s="1"/>
      <c r="D502" s="1"/>
      <c r="E502" s="2"/>
      <c r="F502" s="1"/>
      <c r="G502" s="1"/>
      <c r="H502" s="1"/>
      <c r="I502" s="1"/>
    </row>
    <row r="503" spans="1:12" x14ac:dyDescent="0.25">
      <c r="A503" s="3"/>
      <c r="B503" s="1"/>
      <c r="C503" s="1"/>
      <c r="D503" s="1"/>
      <c r="E503" s="2"/>
      <c r="F503" s="1"/>
      <c r="G503" s="1"/>
      <c r="H503" s="1"/>
      <c r="I503" s="1"/>
    </row>
    <row r="504" spans="1:12" x14ac:dyDescent="0.25">
      <c r="A504" s="3"/>
      <c r="B504" s="1"/>
      <c r="C504" s="1"/>
      <c r="D504" s="1"/>
      <c r="E504" s="2"/>
      <c r="F504" s="1"/>
      <c r="G504" s="1"/>
      <c r="H504" s="1"/>
      <c r="I504" s="1"/>
    </row>
    <row r="505" spans="1:12" x14ac:dyDescent="0.25">
      <c r="A505" s="3"/>
      <c r="B505" s="1"/>
      <c r="C505" s="1"/>
      <c r="D505" s="1"/>
      <c r="E505" s="2"/>
      <c r="F505" s="1"/>
      <c r="G505" s="1"/>
      <c r="H505" s="1"/>
      <c r="I505" s="1"/>
    </row>
    <row r="506" spans="1:12" x14ac:dyDescent="0.25">
      <c r="A506" s="3"/>
      <c r="B506" s="1"/>
      <c r="C506" s="1"/>
      <c r="D506" s="1"/>
      <c r="E506" s="2"/>
      <c r="F506" s="1"/>
      <c r="G506" s="1"/>
      <c r="H506" s="1"/>
      <c r="I506" s="1"/>
    </row>
    <row r="507" spans="1:12" x14ac:dyDescent="0.25">
      <c r="A507" s="3"/>
      <c r="B507" s="1"/>
      <c r="C507" s="1"/>
      <c r="D507" s="1"/>
      <c r="E507" s="2"/>
      <c r="F507" s="1"/>
      <c r="G507" s="1"/>
      <c r="H507" s="1"/>
      <c r="I507" s="1"/>
    </row>
    <row r="508" spans="1:12" x14ac:dyDescent="0.25">
      <c r="A508" s="3"/>
      <c r="B508" s="1"/>
      <c r="C508" s="1"/>
      <c r="D508" s="1"/>
      <c r="E508" s="2"/>
      <c r="F508" s="1"/>
      <c r="G508" s="1"/>
      <c r="H508" s="1"/>
      <c r="I508" s="1"/>
    </row>
    <row r="509" spans="1:12" x14ac:dyDescent="0.25">
      <c r="A509" s="3"/>
      <c r="B509" s="1"/>
      <c r="C509" s="1"/>
      <c r="D509" s="1"/>
      <c r="E509" s="2"/>
      <c r="F509" s="1"/>
      <c r="G509" s="1"/>
      <c r="H509" s="1"/>
      <c r="I509" s="1"/>
    </row>
    <row r="510" spans="1:12" x14ac:dyDescent="0.25">
      <c r="A510" s="3"/>
      <c r="B510" s="1"/>
      <c r="C510" s="1"/>
      <c r="D510" s="1"/>
      <c r="E510" s="2"/>
      <c r="F510" s="1"/>
      <c r="G510" s="1"/>
      <c r="H510" s="1"/>
      <c r="I510" s="1"/>
    </row>
    <row r="511" spans="1:12" x14ac:dyDescent="0.25">
      <c r="A511" s="3"/>
      <c r="B511" s="1"/>
      <c r="C511" s="1"/>
      <c r="D511" s="1"/>
      <c r="E511" s="2"/>
      <c r="F511" s="1"/>
      <c r="G511" s="1"/>
      <c r="H511" s="1"/>
      <c r="I511" s="1"/>
    </row>
    <row r="512" spans="1:12" x14ac:dyDescent="0.25">
      <c r="A512" s="3"/>
      <c r="B512" s="1"/>
      <c r="C512" s="1"/>
      <c r="D512" s="1"/>
      <c r="E512" s="2"/>
      <c r="F512" s="1"/>
      <c r="G512" s="1"/>
      <c r="H512" s="1"/>
      <c r="I512" s="1"/>
    </row>
    <row r="513" spans="1:9" x14ac:dyDescent="0.25">
      <c r="A513" s="3"/>
      <c r="B513" s="1"/>
      <c r="C513" s="1"/>
      <c r="D513" s="1"/>
      <c r="E513" s="2"/>
      <c r="F513" s="1"/>
      <c r="G513" s="1"/>
      <c r="H513" s="1"/>
      <c r="I513" s="1"/>
    </row>
    <row r="514" spans="1:9" x14ac:dyDescent="0.25">
      <c r="A514" s="3"/>
      <c r="B514" s="1"/>
      <c r="C514" s="1"/>
      <c r="D514" s="1"/>
      <c r="E514" s="2"/>
      <c r="F514" s="1"/>
      <c r="G514" s="1"/>
      <c r="H514" s="1"/>
      <c r="I514" s="1"/>
    </row>
    <row r="515" spans="1:9" x14ac:dyDescent="0.25">
      <c r="A515" s="3"/>
      <c r="B515" s="1"/>
      <c r="C515" s="1"/>
      <c r="D515" s="1"/>
      <c r="E515" s="2"/>
      <c r="F515" s="1"/>
      <c r="G515" s="1"/>
      <c r="H515" s="1"/>
      <c r="I515" s="1"/>
    </row>
    <row r="516" spans="1:9" x14ac:dyDescent="0.25">
      <c r="A516" s="3"/>
      <c r="B516" s="1"/>
      <c r="C516" s="1"/>
      <c r="D516" s="1"/>
      <c r="E516" s="2"/>
      <c r="F516" s="1"/>
      <c r="G516" s="1"/>
      <c r="H516" s="1"/>
      <c r="I516" s="1"/>
    </row>
    <row r="517" spans="1:9" x14ac:dyDescent="0.25">
      <c r="A517" s="3"/>
      <c r="B517" s="1"/>
      <c r="C517" s="1"/>
      <c r="D517" s="1"/>
      <c r="E517" s="2"/>
      <c r="F517" s="1"/>
      <c r="G517" s="1"/>
      <c r="H517" s="1"/>
      <c r="I517" s="1"/>
    </row>
    <row r="518" spans="1:9" x14ac:dyDescent="0.25">
      <c r="A518" s="3"/>
      <c r="B518" s="1"/>
      <c r="C518" s="1"/>
      <c r="D518" s="1"/>
      <c r="E518" s="2"/>
      <c r="F518" s="1"/>
      <c r="G518" s="1"/>
      <c r="H518" s="1"/>
      <c r="I518" s="1"/>
    </row>
    <row r="519" spans="1:9" x14ac:dyDescent="0.25">
      <c r="A519" s="3"/>
      <c r="B519" s="1"/>
      <c r="C519" s="1"/>
      <c r="D519" s="1"/>
      <c r="E519" s="2"/>
      <c r="F519" s="1"/>
      <c r="G519" s="1"/>
      <c r="H519" s="1"/>
      <c r="I519" s="1"/>
    </row>
  </sheetData>
  <sortState xmlns:xlrd2="http://schemas.microsoft.com/office/spreadsheetml/2017/richdata2" ref="A2:H501">
    <sortCondition ref="A2:A50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3665-A7F5-4B44-ACBD-9E59A47EA406}">
  <dimension ref="A1:I519"/>
  <sheetViews>
    <sheetView topLeftCell="H1" workbookViewId="0">
      <selection activeCell="J2" sqref="J2"/>
    </sheetView>
  </sheetViews>
  <sheetFormatPr defaultRowHeight="15" x14ac:dyDescent="0.25"/>
  <cols>
    <col min="1" max="1" width="11.140625" bestFit="1" customWidth="1"/>
    <col min="9" max="9" width="20.5703125" style="6" customWidth="1"/>
  </cols>
  <sheetData>
    <row r="1" spans="1:9" ht="30" x14ac:dyDescent="0.25">
      <c r="A1" s="4" t="s">
        <v>4</v>
      </c>
      <c r="B1" s="4" t="s">
        <v>51</v>
      </c>
      <c r="C1" s="4" t="s">
        <v>5</v>
      </c>
      <c r="D1" s="4" t="s">
        <v>50</v>
      </c>
      <c r="E1" s="4" t="s">
        <v>7</v>
      </c>
      <c r="F1" s="4" t="s">
        <v>53</v>
      </c>
      <c r="G1" s="4" t="s">
        <v>8</v>
      </c>
      <c r="H1" s="4" t="s">
        <v>9</v>
      </c>
      <c r="I1" s="6" t="s">
        <v>56</v>
      </c>
    </row>
    <row r="2" spans="1:9" x14ac:dyDescent="0.25">
      <c r="A2" s="3">
        <v>44196</v>
      </c>
      <c r="B2" s="1">
        <f t="shared" ref="B2:B65" si="0">+E2*H2</f>
        <v>621</v>
      </c>
      <c r="C2" s="1">
        <v>1564.407037995232</v>
      </c>
      <c r="D2" s="1">
        <f t="shared" ref="D2:D65" si="1">+E2*G2</f>
        <v>943.40703799523214</v>
      </c>
      <c r="E2" s="2">
        <v>9</v>
      </c>
      <c r="F2" s="1">
        <v>173.82300422169246</v>
      </c>
      <c r="G2" s="1">
        <v>104.82300422169246</v>
      </c>
      <c r="H2" s="1">
        <v>69</v>
      </c>
      <c r="I2" s="6">
        <f>+(B2-MIN($B$2:$B$501))/(MAX($B$2:$B$501)-MIN($B$2:$B$501))</f>
        <v>1.723645094900526E-2</v>
      </c>
    </row>
    <row r="3" spans="1:9" x14ac:dyDescent="0.25">
      <c r="A3" s="3">
        <v>44190</v>
      </c>
      <c r="B3" s="1">
        <f t="shared" si="0"/>
        <v>3920</v>
      </c>
      <c r="C3" s="1">
        <v>10830.484273708065</v>
      </c>
      <c r="D3" s="1">
        <f t="shared" si="1"/>
        <v>6910.4842737080662</v>
      </c>
      <c r="E3" s="2">
        <v>80</v>
      </c>
      <c r="F3" s="1">
        <v>135.38105342135083</v>
      </c>
      <c r="G3" s="1">
        <v>86.381053421350828</v>
      </c>
      <c r="H3" s="1">
        <v>49</v>
      </c>
      <c r="I3" s="6">
        <f t="shared" ref="I3:I66" si="2">+(B3-MIN($B$2:$B$501))/(MAX($B$2:$B$501)-MIN($B$2:$B$501))</f>
        <v>0.11153670249256803</v>
      </c>
    </row>
    <row r="4" spans="1:9" x14ac:dyDescent="0.25">
      <c r="A4" s="3">
        <v>44181</v>
      </c>
      <c r="B4" s="1">
        <f t="shared" si="0"/>
        <v>1080</v>
      </c>
      <c r="C4" s="1">
        <v>2313.6293014759617</v>
      </c>
      <c r="D4" s="1">
        <f t="shared" si="1"/>
        <v>1233.6293014759617</v>
      </c>
      <c r="E4" s="2">
        <v>12</v>
      </c>
      <c r="F4" s="1">
        <v>192.80244178966348</v>
      </c>
      <c r="G4" s="1">
        <v>102.80244178966348</v>
      </c>
      <c r="H4" s="1">
        <v>90</v>
      </c>
      <c r="I4" s="6">
        <f t="shared" si="2"/>
        <v>3.0356734507203293E-2</v>
      </c>
    </row>
    <row r="5" spans="1:9" x14ac:dyDescent="0.25">
      <c r="A5" s="3">
        <v>44163</v>
      </c>
      <c r="B5" s="1">
        <f t="shared" si="0"/>
        <v>1078</v>
      </c>
      <c r="C5" s="1">
        <v>1881.9656178577998</v>
      </c>
      <c r="D5" s="1">
        <f t="shared" si="1"/>
        <v>803.96561785779988</v>
      </c>
      <c r="E5" s="2">
        <v>22</v>
      </c>
      <c r="F5" s="1">
        <v>85.543891720809086</v>
      </c>
      <c r="G5" s="1">
        <v>36.543891720809086</v>
      </c>
      <c r="H5" s="1">
        <v>49</v>
      </c>
      <c r="I5" s="6">
        <f t="shared" si="2"/>
        <v>3.0299565515664303E-2</v>
      </c>
    </row>
    <row r="6" spans="1:9" x14ac:dyDescent="0.25">
      <c r="A6" s="3">
        <v>44160</v>
      </c>
      <c r="B6" s="1">
        <f t="shared" si="0"/>
        <v>700</v>
      </c>
      <c r="C6" s="1">
        <v>1572.4451189061003</v>
      </c>
      <c r="D6" s="1">
        <f t="shared" si="1"/>
        <v>872.44511890610033</v>
      </c>
      <c r="E6" s="2">
        <v>14</v>
      </c>
      <c r="F6" s="1">
        <v>112.31750849329288</v>
      </c>
      <c r="G6" s="1">
        <v>62.317508493292877</v>
      </c>
      <c r="H6" s="1">
        <v>50</v>
      </c>
      <c r="I6" s="6">
        <f t="shared" si="2"/>
        <v>1.9494626114795334E-2</v>
      </c>
    </row>
    <row r="7" spans="1:9" x14ac:dyDescent="0.25">
      <c r="A7" s="3">
        <v>44159</v>
      </c>
      <c r="B7" s="1">
        <f t="shared" si="0"/>
        <v>3200</v>
      </c>
      <c r="C7" s="1">
        <v>5581.0923255227844</v>
      </c>
      <c r="D7" s="1">
        <f t="shared" si="1"/>
        <v>2381.092325522784</v>
      </c>
      <c r="E7" s="2">
        <v>40</v>
      </c>
      <c r="F7" s="1">
        <v>139.5273081380696</v>
      </c>
      <c r="G7" s="1">
        <v>59.5273081380696</v>
      </c>
      <c r="H7" s="1">
        <v>80</v>
      </c>
      <c r="I7" s="6">
        <f t="shared" si="2"/>
        <v>9.0955865538531896E-2</v>
      </c>
    </row>
    <row r="8" spans="1:9" x14ac:dyDescent="0.25">
      <c r="A8" s="3">
        <v>44152</v>
      </c>
      <c r="B8" s="1">
        <f t="shared" si="0"/>
        <v>819</v>
      </c>
      <c r="C8" s="1">
        <v>1554.6592951170171</v>
      </c>
      <c r="D8" s="1">
        <f t="shared" si="1"/>
        <v>735.65929511701711</v>
      </c>
      <c r="E8" s="2">
        <v>13</v>
      </c>
      <c r="F8" s="1">
        <v>119.58917654746286</v>
      </c>
      <c r="G8" s="1">
        <v>56.589176547462856</v>
      </c>
      <c r="H8" s="1">
        <v>63</v>
      </c>
      <c r="I8" s="6">
        <f t="shared" si="2"/>
        <v>2.2896181111365196E-2</v>
      </c>
    </row>
    <row r="9" spans="1:9" x14ac:dyDescent="0.25">
      <c r="A9" s="3">
        <v>44144</v>
      </c>
      <c r="B9" s="1">
        <f t="shared" si="0"/>
        <v>800</v>
      </c>
      <c r="C9" s="1">
        <v>2018.6707854889869</v>
      </c>
      <c r="D9" s="1">
        <f t="shared" si="1"/>
        <v>1218.6707854889869</v>
      </c>
      <c r="E9" s="2">
        <v>20</v>
      </c>
      <c r="F9" s="1">
        <v>100.93353927444934</v>
      </c>
      <c r="G9" s="1">
        <v>60.933539274449345</v>
      </c>
      <c r="H9" s="1">
        <v>40</v>
      </c>
      <c r="I9" s="6">
        <f t="shared" si="2"/>
        <v>2.2353075691744797E-2</v>
      </c>
    </row>
    <row r="10" spans="1:9" x14ac:dyDescent="0.25">
      <c r="A10" s="3">
        <v>44139</v>
      </c>
      <c r="B10" s="1">
        <f t="shared" si="0"/>
        <v>1380</v>
      </c>
      <c r="C10" s="1">
        <v>2652.9646937188641</v>
      </c>
      <c r="D10" s="1">
        <f t="shared" si="1"/>
        <v>1272.9646937188643</v>
      </c>
      <c r="E10" s="2">
        <v>12</v>
      </c>
      <c r="F10" s="1">
        <v>221.08039114323867</v>
      </c>
      <c r="G10" s="1">
        <v>106.08039114323869</v>
      </c>
      <c r="H10" s="1">
        <v>115</v>
      </c>
      <c r="I10" s="6">
        <f t="shared" si="2"/>
        <v>3.8932083238051682E-2</v>
      </c>
    </row>
    <row r="11" spans="1:9" x14ac:dyDescent="0.25">
      <c r="A11" s="3">
        <v>44139</v>
      </c>
      <c r="B11" s="1">
        <f t="shared" si="0"/>
        <v>129</v>
      </c>
      <c r="C11" s="1">
        <v>245.94220497104135</v>
      </c>
      <c r="D11" s="1">
        <f t="shared" si="1"/>
        <v>116.94220497104135</v>
      </c>
      <c r="E11" s="2">
        <v>3</v>
      </c>
      <c r="F11" s="1">
        <v>81.980734990347116</v>
      </c>
      <c r="G11" s="1">
        <v>38.980734990347116</v>
      </c>
      <c r="H11" s="1">
        <v>43</v>
      </c>
      <c r="I11" s="6">
        <f t="shared" si="2"/>
        <v>3.1728790304139036E-3</v>
      </c>
    </row>
    <row r="12" spans="1:9" x14ac:dyDescent="0.25">
      <c r="A12" s="3">
        <v>44130</v>
      </c>
      <c r="B12" s="1">
        <f t="shared" si="0"/>
        <v>240</v>
      </c>
      <c r="C12" s="1">
        <v>650.94089966994284</v>
      </c>
      <c r="D12" s="1">
        <f t="shared" si="1"/>
        <v>410.94089966994289</v>
      </c>
      <c r="E12" s="2">
        <v>5</v>
      </c>
      <c r="F12" s="1">
        <v>130.18817993398858</v>
      </c>
      <c r="G12" s="1">
        <v>82.188179933988579</v>
      </c>
      <c r="H12" s="1">
        <v>48</v>
      </c>
      <c r="I12" s="6">
        <f t="shared" si="2"/>
        <v>6.3457580608278072E-3</v>
      </c>
    </row>
    <row r="13" spans="1:9" x14ac:dyDescent="0.25">
      <c r="A13" s="3">
        <v>44126</v>
      </c>
      <c r="B13" s="1">
        <f t="shared" si="0"/>
        <v>671</v>
      </c>
      <c r="C13" s="1">
        <v>1302.9937884562232</v>
      </c>
      <c r="D13" s="1">
        <f t="shared" si="1"/>
        <v>631.993788456223</v>
      </c>
      <c r="E13" s="2">
        <v>11</v>
      </c>
      <c r="F13" s="1">
        <v>118.45398076874756</v>
      </c>
      <c r="G13" s="1">
        <v>57.453980768747549</v>
      </c>
      <c r="H13" s="1">
        <v>61</v>
      </c>
      <c r="I13" s="6">
        <f t="shared" si="2"/>
        <v>1.866567573747999E-2</v>
      </c>
    </row>
    <row r="14" spans="1:9" x14ac:dyDescent="0.25">
      <c r="A14" s="3">
        <v>44126</v>
      </c>
      <c r="B14" s="1">
        <f t="shared" si="0"/>
        <v>3078</v>
      </c>
      <c r="C14" s="1">
        <v>6935.9695605930874</v>
      </c>
      <c r="D14" s="1">
        <f t="shared" si="1"/>
        <v>3857.9695605930874</v>
      </c>
      <c r="E14" s="2">
        <v>57</v>
      </c>
      <c r="F14" s="1">
        <v>121.68367650163312</v>
      </c>
      <c r="G14" s="1">
        <v>67.683676501633116</v>
      </c>
      <c r="H14" s="1">
        <v>54</v>
      </c>
      <c r="I14" s="6">
        <f t="shared" si="2"/>
        <v>8.7468557054653562E-2</v>
      </c>
    </row>
    <row r="15" spans="1:9" x14ac:dyDescent="0.25">
      <c r="A15" s="3">
        <v>44125</v>
      </c>
      <c r="B15" s="1">
        <f t="shared" si="0"/>
        <v>846</v>
      </c>
      <c r="C15" s="1">
        <v>1476.2507396312167</v>
      </c>
      <c r="D15" s="1">
        <f t="shared" si="1"/>
        <v>630.25073963121679</v>
      </c>
      <c r="E15" s="2">
        <v>9</v>
      </c>
      <c r="F15" s="1">
        <v>164.02785995902408</v>
      </c>
      <c r="G15" s="1">
        <v>70.027859959024084</v>
      </c>
      <c r="H15" s="1">
        <v>94</v>
      </c>
      <c r="I15" s="6">
        <f t="shared" si="2"/>
        <v>2.3667962497141551E-2</v>
      </c>
    </row>
    <row r="16" spans="1:9" x14ac:dyDescent="0.25">
      <c r="A16" s="3">
        <v>44114</v>
      </c>
      <c r="B16" s="1">
        <f t="shared" si="0"/>
        <v>1152</v>
      </c>
      <c r="C16" s="1">
        <v>2455.6378398413908</v>
      </c>
      <c r="D16" s="1">
        <f t="shared" si="1"/>
        <v>1303.6378398413908</v>
      </c>
      <c r="E16" s="2">
        <v>36</v>
      </c>
      <c r="F16" s="1">
        <v>68.212162217816413</v>
      </c>
      <c r="G16" s="1">
        <v>36.212162217816413</v>
      </c>
      <c r="H16" s="1">
        <v>32</v>
      </c>
      <c r="I16" s="6">
        <f t="shared" si="2"/>
        <v>3.2414818202606908E-2</v>
      </c>
    </row>
    <row r="17" spans="1:9" x14ac:dyDescent="0.25">
      <c r="A17" s="3">
        <v>44110</v>
      </c>
      <c r="B17" s="1">
        <f t="shared" si="0"/>
        <v>312</v>
      </c>
      <c r="C17" s="1">
        <v>711.39008698257203</v>
      </c>
      <c r="D17" s="1">
        <f t="shared" si="1"/>
        <v>399.39008698257203</v>
      </c>
      <c r="E17" s="2">
        <v>13</v>
      </c>
      <c r="F17" s="1">
        <v>54.722314383274771</v>
      </c>
      <c r="G17" s="1">
        <v>30.722314383274771</v>
      </c>
      <c r="H17" s="1">
        <v>24</v>
      </c>
      <c r="I17" s="6">
        <f t="shared" si="2"/>
        <v>8.4038417562314199E-3</v>
      </c>
    </row>
    <row r="18" spans="1:9" x14ac:dyDescent="0.25">
      <c r="A18" s="3">
        <v>44107</v>
      </c>
      <c r="B18" s="1">
        <f t="shared" si="0"/>
        <v>1680</v>
      </c>
      <c r="C18" s="1">
        <v>3489.7514686045552</v>
      </c>
      <c r="D18" s="1">
        <f t="shared" si="1"/>
        <v>1809.7514686045552</v>
      </c>
      <c r="E18" s="2">
        <v>40</v>
      </c>
      <c r="F18" s="1">
        <v>87.243786715113885</v>
      </c>
      <c r="G18" s="1">
        <v>45.243786715113878</v>
      </c>
      <c r="H18" s="1">
        <v>42</v>
      </c>
      <c r="I18" s="6">
        <f t="shared" si="2"/>
        <v>4.7507431968900067E-2</v>
      </c>
    </row>
    <row r="19" spans="1:9" x14ac:dyDescent="0.25">
      <c r="A19" s="3">
        <v>44098</v>
      </c>
      <c r="B19" s="1">
        <f t="shared" si="0"/>
        <v>594</v>
      </c>
      <c r="C19" s="1">
        <v>1154.9985014446413</v>
      </c>
      <c r="D19" s="1">
        <f t="shared" si="1"/>
        <v>560.99850144464142</v>
      </c>
      <c r="E19" s="2">
        <v>9</v>
      </c>
      <c r="F19" s="1">
        <v>128.33316682718237</v>
      </c>
      <c r="G19" s="1">
        <v>62.333166827182374</v>
      </c>
      <c r="H19" s="1">
        <v>66</v>
      </c>
      <c r="I19" s="6">
        <f t="shared" si="2"/>
        <v>1.6464669563228906E-2</v>
      </c>
    </row>
    <row r="20" spans="1:9" x14ac:dyDescent="0.25">
      <c r="A20" s="3">
        <v>44097</v>
      </c>
      <c r="B20" s="1">
        <f t="shared" si="0"/>
        <v>1320</v>
      </c>
      <c r="C20" s="1">
        <v>2906.9300956130601</v>
      </c>
      <c r="D20" s="1">
        <f t="shared" si="1"/>
        <v>1586.9300956130601</v>
      </c>
      <c r="E20" s="2">
        <v>40</v>
      </c>
      <c r="F20" s="1">
        <v>72.673252390326496</v>
      </c>
      <c r="G20" s="1">
        <v>39.673252390326503</v>
      </c>
      <c r="H20" s="1">
        <v>33</v>
      </c>
      <c r="I20" s="6">
        <f t="shared" si="2"/>
        <v>3.7217013491882001E-2</v>
      </c>
    </row>
    <row r="21" spans="1:9" x14ac:dyDescent="0.25">
      <c r="A21" s="3">
        <v>44092</v>
      </c>
      <c r="B21" s="1">
        <f t="shared" si="0"/>
        <v>235</v>
      </c>
      <c r="C21" s="1">
        <v>544.20837094262833</v>
      </c>
      <c r="D21" s="1">
        <f t="shared" si="1"/>
        <v>309.20837094262833</v>
      </c>
      <c r="E21" s="2">
        <v>5</v>
      </c>
      <c r="F21" s="1">
        <v>108.84167418852567</v>
      </c>
      <c r="G21" s="1">
        <v>61.841674188525673</v>
      </c>
      <c r="H21" s="1">
        <v>47</v>
      </c>
      <c r="I21" s="6">
        <f t="shared" si="2"/>
        <v>6.202835581980334E-3</v>
      </c>
    </row>
    <row r="22" spans="1:9" x14ac:dyDescent="0.25">
      <c r="A22" s="3">
        <v>44075</v>
      </c>
      <c r="B22" s="1">
        <f t="shared" si="0"/>
        <v>1813</v>
      </c>
      <c r="C22" s="1">
        <v>3951.0826788260824</v>
      </c>
      <c r="D22" s="1">
        <f t="shared" si="1"/>
        <v>2138.0826788260824</v>
      </c>
      <c r="E22" s="2">
        <v>37</v>
      </c>
      <c r="F22" s="1">
        <v>106.78601834665088</v>
      </c>
      <c r="G22" s="1">
        <v>57.786018346650877</v>
      </c>
      <c r="H22" s="1">
        <v>49</v>
      </c>
      <c r="I22" s="6">
        <f t="shared" si="2"/>
        <v>5.1309169906242853E-2</v>
      </c>
    </row>
    <row r="23" spans="1:9" x14ac:dyDescent="0.25">
      <c r="A23" s="3">
        <v>44073</v>
      </c>
      <c r="B23" s="1">
        <f t="shared" si="0"/>
        <v>111</v>
      </c>
      <c r="C23" s="1">
        <v>310.91565049488042</v>
      </c>
      <c r="D23" s="1">
        <f t="shared" si="1"/>
        <v>199.91565049488045</v>
      </c>
      <c r="E23" s="2">
        <v>3</v>
      </c>
      <c r="F23" s="1">
        <v>103.63855016496015</v>
      </c>
      <c r="G23" s="1">
        <v>66.638550164960151</v>
      </c>
      <c r="H23" s="1">
        <v>37</v>
      </c>
      <c r="I23" s="6">
        <f t="shared" si="2"/>
        <v>2.6583581065630002E-3</v>
      </c>
    </row>
    <row r="24" spans="1:9" x14ac:dyDescent="0.25">
      <c r="A24" s="3">
        <v>44063</v>
      </c>
      <c r="B24" s="1">
        <f t="shared" si="0"/>
        <v>648</v>
      </c>
      <c r="C24" s="1">
        <v>1445.2493671282691</v>
      </c>
      <c r="D24" s="1">
        <f t="shared" si="1"/>
        <v>797.24936712826889</v>
      </c>
      <c r="E24" s="2">
        <v>18</v>
      </c>
      <c r="F24" s="1">
        <v>80.291631507126056</v>
      </c>
      <c r="G24" s="1">
        <v>44.291631507126048</v>
      </c>
      <c r="H24" s="1">
        <v>36</v>
      </c>
      <c r="I24" s="6">
        <f t="shared" si="2"/>
        <v>1.8008232334781615E-2</v>
      </c>
    </row>
    <row r="25" spans="1:9" x14ac:dyDescent="0.25">
      <c r="A25" s="3">
        <v>44057</v>
      </c>
      <c r="B25" s="1">
        <f t="shared" si="0"/>
        <v>624</v>
      </c>
      <c r="C25" s="1">
        <v>1244.599770314348</v>
      </c>
      <c r="D25" s="1">
        <f t="shared" si="1"/>
        <v>620.59977031434801</v>
      </c>
      <c r="E25" s="2">
        <v>12</v>
      </c>
      <c r="F25" s="1">
        <v>103.71664752619566</v>
      </c>
      <c r="G25" s="1">
        <v>51.716647526195665</v>
      </c>
      <c r="H25" s="1">
        <v>52</v>
      </c>
      <c r="I25" s="6">
        <f t="shared" si="2"/>
        <v>1.7322204436313743E-2</v>
      </c>
    </row>
    <row r="26" spans="1:9" x14ac:dyDescent="0.25">
      <c r="A26" s="3">
        <v>44053</v>
      </c>
      <c r="B26" s="1">
        <f t="shared" si="0"/>
        <v>1300</v>
      </c>
      <c r="C26" s="1">
        <v>2588.6296693978238</v>
      </c>
      <c r="D26" s="1">
        <f t="shared" si="1"/>
        <v>1288.6296693978234</v>
      </c>
      <c r="E26" s="2">
        <v>26</v>
      </c>
      <c r="F26" s="1">
        <v>99.562679592223986</v>
      </c>
      <c r="G26" s="1">
        <v>49.562679592223979</v>
      </c>
      <c r="H26" s="1">
        <v>50</v>
      </c>
      <c r="I26" s="6">
        <f t="shared" si="2"/>
        <v>3.6645323576492111E-2</v>
      </c>
    </row>
    <row r="27" spans="1:9" x14ac:dyDescent="0.25">
      <c r="A27" s="3">
        <v>44047</v>
      </c>
      <c r="B27" s="1">
        <f t="shared" si="0"/>
        <v>532</v>
      </c>
      <c r="C27" s="1">
        <v>1199.5466961887139</v>
      </c>
      <c r="D27" s="1">
        <f t="shared" si="1"/>
        <v>667.5466961887139</v>
      </c>
      <c r="E27" s="2">
        <v>19</v>
      </c>
      <c r="F27" s="1">
        <v>63.134036641511258</v>
      </c>
      <c r="G27" s="1">
        <v>35.134036641511258</v>
      </c>
      <c r="H27" s="1">
        <v>28</v>
      </c>
      <c r="I27" s="6">
        <f t="shared" si="2"/>
        <v>1.4692430825520238E-2</v>
      </c>
    </row>
    <row r="28" spans="1:9" x14ac:dyDescent="0.25">
      <c r="A28" s="3">
        <v>44047</v>
      </c>
      <c r="B28" s="1">
        <f t="shared" si="0"/>
        <v>731</v>
      </c>
      <c r="C28" s="1">
        <v>1913.0348643206573</v>
      </c>
      <c r="D28" s="1">
        <f t="shared" si="1"/>
        <v>1182.0348643206573</v>
      </c>
      <c r="E28" s="2">
        <v>17</v>
      </c>
      <c r="F28" s="1">
        <v>112.5314626070975</v>
      </c>
      <c r="G28" s="1">
        <v>69.531462607097495</v>
      </c>
      <c r="H28" s="1">
        <v>43</v>
      </c>
      <c r="I28" s="6">
        <f t="shared" si="2"/>
        <v>2.0380745483649668E-2</v>
      </c>
    </row>
    <row r="29" spans="1:9" x14ac:dyDescent="0.25">
      <c r="A29" s="3">
        <v>44040</v>
      </c>
      <c r="B29" s="1">
        <f t="shared" si="0"/>
        <v>1410</v>
      </c>
      <c r="C29" s="1">
        <v>2653.9361438102806</v>
      </c>
      <c r="D29" s="1">
        <f t="shared" si="1"/>
        <v>1243.9361438102806</v>
      </c>
      <c r="E29" s="2">
        <v>15</v>
      </c>
      <c r="F29" s="1">
        <v>176.9290762540187</v>
      </c>
      <c r="G29" s="1">
        <v>82.92907625401871</v>
      </c>
      <c r="H29" s="1">
        <v>94</v>
      </c>
      <c r="I29" s="6">
        <f t="shared" si="2"/>
        <v>3.9789618111136522E-2</v>
      </c>
    </row>
    <row r="30" spans="1:9" x14ac:dyDescent="0.25">
      <c r="A30" s="3">
        <v>44040</v>
      </c>
      <c r="B30" s="1">
        <f t="shared" si="0"/>
        <v>8112</v>
      </c>
      <c r="C30" s="1">
        <v>17660.714657337128</v>
      </c>
      <c r="D30" s="1">
        <f t="shared" si="1"/>
        <v>9548.7146573371283</v>
      </c>
      <c r="E30" s="2">
        <v>169</v>
      </c>
      <c r="F30" s="1">
        <v>104.50127016175816</v>
      </c>
      <c r="G30" s="1">
        <v>56.501270161758157</v>
      </c>
      <c r="H30" s="1">
        <v>48</v>
      </c>
      <c r="I30" s="6">
        <f t="shared" si="2"/>
        <v>0.23136290875828949</v>
      </c>
    </row>
    <row r="31" spans="1:9" x14ac:dyDescent="0.25">
      <c r="A31" s="3">
        <v>44032</v>
      </c>
      <c r="B31" s="1">
        <f t="shared" si="0"/>
        <v>4074</v>
      </c>
      <c r="C31" s="1">
        <v>8013.1626361673489</v>
      </c>
      <c r="D31" s="1">
        <f t="shared" si="1"/>
        <v>3939.1626361673493</v>
      </c>
      <c r="E31" s="2">
        <v>97</v>
      </c>
      <c r="F31" s="1">
        <v>82.609924084199477</v>
      </c>
      <c r="G31" s="1">
        <v>40.609924084199477</v>
      </c>
      <c r="H31" s="1">
        <v>42</v>
      </c>
      <c r="I31" s="6">
        <f t="shared" si="2"/>
        <v>0.1159387148410702</v>
      </c>
    </row>
    <row r="32" spans="1:9" x14ac:dyDescent="0.25">
      <c r="A32" s="3">
        <v>44027</v>
      </c>
      <c r="B32" s="1">
        <f t="shared" si="0"/>
        <v>1280</v>
      </c>
      <c r="C32" s="1">
        <v>3341.5941748718797</v>
      </c>
      <c r="D32" s="1">
        <f t="shared" si="1"/>
        <v>2061.5941748718792</v>
      </c>
      <c r="E32" s="2">
        <v>20</v>
      </c>
      <c r="F32" s="1">
        <v>167.07970874359398</v>
      </c>
      <c r="G32" s="1">
        <v>103.07970874359397</v>
      </c>
      <c r="H32" s="1">
        <v>64</v>
      </c>
      <c r="I32" s="6">
        <f t="shared" si="2"/>
        <v>3.6073633661102215E-2</v>
      </c>
    </row>
    <row r="33" spans="1:9" x14ac:dyDescent="0.25">
      <c r="A33" s="3">
        <v>44019</v>
      </c>
      <c r="B33" s="1">
        <f t="shared" si="0"/>
        <v>2150</v>
      </c>
      <c r="C33" s="1">
        <v>3886.4900564452028</v>
      </c>
      <c r="D33" s="1">
        <f t="shared" si="1"/>
        <v>1736.4900564452032</v>
      </c>
      <c r="E33" s="2">
        <v>25</v>
      </c>
      <c r="F33" s="1">
        <v>155.45960225780811</v>
      </c>
      <c r="G33" s="1">
        <v>69.459602257808129</v>
      </c>
      <c r="H33" s="1">
        <v>86</v>
      </c>
      <c r="I33" s="6">
        <f t="shared" si="2"/>
        <v>6.0942144980562545E-2</v>
      </c>
    </row>
    <row r="34" spans="1:9" x14ac:dyDescent="0.25">
      <c r="A34" s="3">
        <v>44018</v>
      </c>
      <c r="B34" s="1">
        <f t="shared" si="0"/>
        <v>270</v>
      </c>
      <c r="C34" s="1">
        <v>640.82245502530009</v>
      </c>
      <c r="D34" s="1">
        <f t="shared" si="1"/>
        <v>370.82245502530014</v>
      </c>
      <c r="E34" s="2">
        <v>10</v>
      </c>
      <c r="F34" s="1">
        <v>64.082245502530014</v>
      </c>
      <c r="G34" s="1">
        <v>37.082245502530014</v>
      </c>
      <c r="H34" s="1">
        <v>27</v>
      </c>
      <c r="I34" s="6">
        <f t="shared" si="2"/>
        <v>7.203292933912646E-3</v>
      </c>
    </row>
    <row r="35" spans="1:9" x14ac:dyDescent="0.25">
      <c r="A35" s="3">
        <v>44014</v>
      </c>
      <c r="B35" s="1">
        <f t="shared" si="0"/>
        <v>40</v>
      </c>
      <c r="C35" s="1">
        <v>67.276980287112735</v>
      </c>
      <c r="D35" s="1">
        <f t="shared" si="1"/>
        <v>27.276980287112735</v>
      </c>
      <c r="E35" s="2">
        <v>1</v>
      </c>
      <c r="F35" s="1">
        <v>67.276980287112735</v>
      </c>
      <c r="G35" s="1">
        <v>27.276980287112735</v>
      </c>
      <c r="H35" s="1">
        <v>40</v>
      </c>
      <c r="I35" s="6">
        <f t="shared" si="2"/>
        <v>6.2885890692888175E-4</v>
      </c>
    </row>
    <row r="36" spans="1:9" x14ac:dyDescent="0.25">
      <c r="A36" s="3">
        <v>44010</v>
      </c>
      <c r="B36" s="1">
        <f t="shared" si="0"/>
        <v>585</v>
      </c>
      <c r="C36" s="1">
        <v>1425.817332512536</v>
      </c>
      <c r="D36" s="1">
        <f t="shared" si="1"/>
        <v>840.81733251253615</v>
      </c>
      <c r="E36" s="2">
        <v>13</v>
      </c>
      <c r="F36" s="1">
        <v>109.67825634711816</v>
      </c>
      <c r="G36" s="1">
        <v>64.678256347118165</v>
      </c>
      <c r="H36" s="1">
        <v>45</v>
      </c>
      <c r="I36" s="6">
        <f t="shared" si="2"/>
        <v>1.6207409101303454E-2</v>
      </c>
    </row>
    <row r="37" spans="1:9" x14ac:dyDescent="0.25">
      <c r="A37" s="3">
        <v>43998</v>
      </c>
      <c r="B37" s="1">
        <f t="shared" si="0"/>
        <v>606</v>
      </c>
      <c r="C37" s="1">
        <v>1115.9977374340422</v>
      </c>
      <c r="D37" s="1">
        <f t="shared" si="1"/>
        <v>509.99773743404222</v>
      </c>
      <c r="E37" s="2">
        <v>6</v>
      </c>
      <c r="F37" s="1">
        <v>185.9996229056737</v>
      </c>
      <c r="G37" s="1">
        <v>84.999622905673704</v>
      </c>
      <c r="H37" s="1">
        <v>101</v>
      </c>
      <c r="I37" s="6">
        <f t="shared" si="2"/>
        <v>1.680768351246284E-2</v>
      </c>
    </row>
    <row r="38" spans="1:9" x14ac:dyDescent="0.25">
      <c r="A38" s="3">
        <v>43983</v>
      </c>
      <c r="B38" s="1">
        <f t="shared" si="0"/>
        <v>570</v>
      </c>
      <c r="C38" s="1">
        <v>1281.8884245408519</v>
      </c>
      <c r="D38" s="1">
        <f t="shared" si="1"/>
        <v>711.88842454085193</v>
      </c>
      <c r="E38" s="2">
        <v>19</v>
      </c>
      <c r="F38" s="1">
        <v>67.467811817939577</v>
      </c>
      <c r="G38" s="1">
        <v>37.467811817939577</v>
      </c>
      <c r="H38" s="1">
        <v>30</v>
      </c>
      <c r="I38" s="6">
        <f t="shared" si="2"/>
        <v>1.5778641664761034E-2</v>
      </c>
    </row>
    <row r="39" spans="1:9" x14ac:dyDescent="0.25">
      <c r="A39" s="3">
        <v>43978</v>
      </c>
      <c r="B39" s="1">
        <f t="shared" si="0"/>
        <v>1586</v>
      </c>
      <c r="C39" s="1">
        <v>2729.8777102530426</v>
      </c>
      <c r="D39" s="1">
        <f t="shared" si="1"/>
        <v>1143.8777102530426</v>
      </c>
      <c r="E39" s="2">
        <v>13</v>
      </c>
      <c r="F39" s="1">
        <v>209.9905930963879</v>
      </c>
      <c r="G39" s="1">
        <v>87.990593096387883</v>
      </c>
      <c r="H39" s="1">
        <v>122</v>
      </c>
      <c r="I39" s="6">
        <f t="shared" si="2"/>
        <v>4.4820489366567573E-2</v>
      </c>
    </row>
    <row r="40" spans="1:9" x14ac:dyDescent="0.25">
      <c r="A40" s="3">
        <v>43977</v>
      </c>
      <c r="B40" s="1">
        <f t="shared" si="0"/>
        <v>7866</v>
      </c>
      <c r="C40" s="1">
        <v>14368.867018885629</v>
      </c>
      <c r="D40" s="1">
        <f t="shared" si="1"/>
        <v>6502.8670188856277</v>
      </c>
      <c r="E40" s="2">
        <v>138</v>
      </c>
      <c r="F40" s="1">
        <v>104.12222477453354</v>
      </c>
      <c r="G40" s="1">
        <v>47.122224774533535</v>
      </c>
      <c r="H40" s="1">
        <v>57</v>
      </c>
      <c r="I40" s="6">
        <f t="shared" si="2"/>
        <v>0.22433112279899384</v>
      </c>
    </row>
    <row r="41" spans="1:9" x14ac:dyDescent="0.25">
      <c r="A41" s="3">
        <v>43959</v>
      </c>
      <c r="B41" s="1">
        <f t="shared" si="0"/>
        <v>725</v>
      </c>
      <c r="C41" s="1">
        <v>2049.7136956396153</v>
      </c>
      <c r="D41" s="1">
        <f t="shared" si="1"/>
        <v>1324.7136956396153</v>
      </c>
      <c r="E41" s="2">
        <v>29</v>
      </c>
      <c r="F41" s="1">
        <v>70.679782608262599</v>
      </c>
      <c r="G41" s="1">
        <v>45.679782608262592</v>
      </c>
      <c r="H41" s="1">
        <v>25</v>
      </c>
      <c r="I41" s="6">
        <f t="shared" si="2"/>
        <v>2.0209238509032702E-2</v>
      </c>
    </row>
    <row r="42" spans="1:9" x14ac:dyDescent="0.25">
      <c r="A42" s="3">
        <v>43958</v>
      </c>
      <c r="B42" s="1">
        <f t="shared" si="0"/>
        <v>6230</v>
      </c>
      <c r="C42" s="1">
        <v>12091.262715702564</v>
      </c>
      <c r="D42" s="1">
        <f t="shared" si="1"/>
        <v>5861.2627157025636</v>
      </c>
      <c r="E42" s="2">
        <v>70</v>
      </c>
      <c r="F42" s="1">
        <v>172.73232451003662</v>
      </c>
      <c r="G42" s="1">
        <v>83.732324510036619</v>
      </c>
      <c r="H42" s="1">
        <v>89</v>
      </c>
      <c r="I42" s="6">
        <f t="shared" si="2"/>
        <v>0.17756688772010062</v>
      </c>
    </row>
    <row r="43" spans="1:9" x14ac:dyDescent="0.25">
      <c r="A43" s="3">
        <v>43957</v>
      </c>
      <c r="B43" s="1">
        <f t="shared" si="0"/>
        <v>1482</v>
      </c>
      <c r="C43" s="1">
        <v>3705.2320970096976</v>
      </c>
      <c r="D43" s="1">
        <f t="shared" si="1"/>
        <v>2223.232097009698</v>
      </c>
      <c r="E43" s="2">
        <v>57</v>
      </c>
      <c r="F43" s="1">
        <v>65.004071877363117</v>
      </c>
      <c r="G43" s="1">
        <v>39.004071877363124</v>
      </c>
      <c r="H43" s="1">
        <v>26</v>
      </c>
      <c r="I43" s="6">
        <f t="shared" si="2"/>
        <v>4.1847701806540134E-2</v>
      </c>
    </row>
    <row r="44" spans="1:9" x14ac:dyDescent="0.25">
      <c r="A44" s="3">
        <v>43952</v>
      </c>
      <c r="B44" s="1">
        <f t="shared" si="0"/>
        <v>2032</v>
      </c>
      <c r="C44" s="1">
        <v>3477.6965034467839</v>
      </c>
      <c r="D44" s="1">
        <f t="shared" si="1"/>
        <v>1445.6965034467842</v>
      </c>
      <c r="E44" s="2">
        <v>16</v>
      </c>
      <c r="F44" s="1">
        <v>217.356031465424</v>
      </c>
      <c r="G44" s="1">
        <v>90.35603146542401</v>
      </c>
      <c r="H44" s="1">
        <v>127</v>
      </c>
      <c r="I44" s="6">
        <f t="shared" si="2"/>
        <v>5.7569174479762175E-2</v>
      </c>
    </row>
    <row r="45" spans="1:9" x14ac:dyDescent="0.25">
      <c r="A45" s="3">
        <v>43951</v>
      </c>
      <c r="B45" s="1">
        <f t="shared" si="0"/>
        <v>1881</v>
      </c>
      <c r="C45" s="1">
        <v>3783.5765732582181</v>
      </c>
      <c r="D45" s="1">
        <f t="shared" si="1"/>
        <v>1902.5765732582181</v>
      </c>
      <c r="E45" s="2">
        <v>19</v>
      </c>
      <c r="F45" s="1">
        <v>199.13560911885358</v>
      </c>
      <c r="G45" s="1">
        <v>100.13560911885358</v>
      </c>
      <c r="H45" s="1">
        <v>99</v>
      </c>
      <c r="I45" s="6">
        <f t="shared" si="2"/>
        <v>5.3252915618568486E-2</v>
      </c>
    </row>
    <row r="46" spans="1:9" x14ac:dyDescent="0.25">
      <c r="A46" s="3">
        <v>43951</v>
      </c>
      <c r="B46" s="1">
        <f t="shared" si="0"/>
        <v>7375</v>
      </c>
      <c r="C46" s="1">
        <v>12544.533461631529</v>
      </c>
      <c r="D46" s="1">
        <f t="shared" si="1"/>
        <v>5169.5334616315276</v>
      </c>
      <c r="E46" s="2">
        <v>59</v>
      </c>
      <c r="F46" s="1">
        <v>212.6192112140937</v>
      </c>
      <c r="G46" s="1">
        <v>87.619211214093696</v>
      </c>
      <c r="H46" s="1">
        <v>125</v>
      </c>
      <c r="I46" s="6">
        <f t="shared" si="2"/>
        <v>0.21029613537617198</v>
      </c>
    </row>
    <row r="47" spans="1:9" x14ac:dyDescent="0.25">
      <c r="A47" s="3">
        <v>43929</v>
      </c>
      <c r="B47" s="1">
        <f t="shared" si="0"/>
        <v>1914</v>
      </c>
      <c r="C47" s="1">
        <v>3965.8397738484996</v>
      </c>
      <c r="D47" s="1">
        <f t="shared" si="1"/>
        <v>2051.8397738484996</v>
      </c>
      <c r="E47" s="2">
        <v>33</v>
      </c>
      <c r="F47" s="1">
        <v>120.17696284389393</v>
      </c>
      <c r="G47" s="1">
        <v>62.176962843893925</v>
      </c>
      <c r="H47" s="1">
        <v>58</v>
      </c>
      <c r="I47" s="6">
        <f t="shared" si="2"/>
        <v>5.4196203978961813E-2</v>
      </c>
    </row>
    <row r="48" spans="1:9" x14ac:dyDescent="0.25">
      <c r="A48" s="3">
        <v>43921</v>
      </c>
      <c r="B48" s="1">
        <f t="shared" si="0"/>
        <v>1287</v>
      </c>
      <c r="C48" s="1">
        <v>2556.1909525132673</v>
      </c>
      <c r="D48" s="1">
        <f t="shared" si="1"/>
        <v>1269.1909525132673</v>
      </c>
      <c r="E48" s="2">
        <v>33</v>
      </c>
      <c r="F48" s="1">
        <v>77.460331894341437</v>
      </c>
      <c r="G48" s="1">
        <v>38.460331894341437</v>
      </c>
      <c r="H48" s="1">
        <v>39</v>
      </c>
      <c r="I48" s="6">
        <f t="shared" si="2"/>
        <v>3.6273725131488681E-2</v>
      </c>
    </row>
    <row r="49" spans="1:9" x14ac:dyDescent="0.25">
      <c r="A49" s="3">
        <v>43921</v>
      </c>
      <c r="B49" s="1">
        <f t="shared" si="0"/>
        <v>2848</v>
      </c>
      <c r="C49" s="1">
        <v>7698.319721367141</v>
      </c>
      <c r="D49" s="1">
        <f t="shared" si="1"/>
        <v>4850.319721367141</v>
      </c>
      <c r="E49" s="2">
        <v>32</v>
      </c>
      <c r="F49" s="1">
        <v>240.57249129272316</v>
      </c>
      <c r="G49" s="1">
        <v>151.57249129272316</v>
      </c>
      <c r="H49" s="1">
        <v>89</v>
      </c>
      <c r="I49" s="6">
        <f t="shared" si="2"/>
        <v>8.0894123027669795E-2</v>
      </c>
    </row>
    <row r="50" spans="1:9" x14ac:dyDescent="0.25">
      <c r="A50" s="3">
        <v>43914</v>
      </c>
      <c r="B50" s="1">
        <f t="shared" si="0"/>
        <v>2704</v>
      </c>
      <c r="C50" s="1">
        <v>5038.0325671094843</v>
      </c>
      <c r="D50" s="1">
        <f t="shared" si="1"/>
        <v>2334.0325671094843</v>
      </c>
      <c r="E50" s="2">
        <v>104</v>
      </c>
      <c r="F50" s="1">
        <v>48.442620837591193</v>
      </c>
      <c r="G50" s="1">
        <v>22.442620837591193</v>
      </c>
      <c r="H50" s="1">
        <v>26</v>
      </c>
      <c r="I50" s="6">
        <f t="shared" si="2"/>
        <v>7.6777955636862572E-2</v>
      </c>
    </row>
    <row r="51" spans="1:9" x14ac:dyDescent="0.25">
      <c r="A51" s="3">
        <v>43911</v>
      </c>
      <c r="B51" s="1">
        <f t="shared" si="0"/>
        <v>59</v>
      </c>
      <c r="C51" s="1">
        <v>148.42228232490095</v>
      </c>
      <c r="D51" s="1">
        <f t="shared" si="1"/>
        <v>89.422282324900962</v>
      </c>
      <c r="E51" s="2">
        <v>1</v>
      </c>
      <c r="F51" s="1">
        <v>148.42228232490095</v>
      </c>
      <c r="G51" s="1">
        <v>89.422282324900962</v>
      </c>
      <c r="H51" s="1">
        <v>59</v>
      </c>
      <c r="I51" s="6">
        <f t="shared" si="2"/>
        <v>1.1719643265492798E-3</v>
      </c>
    </row>
    <row r="52" spans="1:9" x14ac:dyDescent="0.25">
      <c r="A52" s="3">
        <v>43902</v>
      </c>
      <c r="B52" s="1">
        <f t="shared" si="0"/>
        <v>180</v>
      </c>
      <c r="C52" s="1">
        <v>409.31037777159486</v>
      </c>
      <c r="D52" s="1">
        <f t="shared" si="1"/>
        <v>229.31037777159486</v>
      </c>
      <c r="E52" s="2">
        <v>10</v>
      </c>
      <c r="F52" s="1">
        <v>40.931037777159489</v>
      </c>
      <c r="G52" s="1">
        <v>22.931037777159485</v>
      </c>
      <c r="H52" s="1">
        <v>18</v>
      </c>
      <c r="I52" s="6">
        <f t="shared" si="2"/>
        <v>4.6306883146581294E-3</v>
      </c>
    </row>
    <row r="53" spans="1:9" x14ac:dyDescent="0.25">
      <c r="A53" s="3">
        <v>43895</v>
      </c>
      <c r="B53" s="1">
        <f t="shared" si="0"/>
        <v>117</v>
      </c>
      <c r="C53" s="1">
        <v>345.60279479222953</v>
      </c>
      <c r="D53" s="1">
        <f t="shared" si="1"/>
        <v>228.60279479222956</v>
      </c>
      <c r="E53" s="2">
        <v>13</v>
      </c>
      <c r="F53" s="1">
        <v>26.584830368633042</v>
      </c>
      <c r="G53" s="1">
        <v>17.584830368633042</v>
      </c>
      <c r="H53" s="1">
        <v>9</v>
      </c>
      <c r="I53" s="6">
        <f t="shared" si="2"/>
        <v>2.8298650811799681E-3</v>
      </c>
    </row>
    <row r="54" spans="1:9" x14ac:dyDescent="0.25">
      <c r="A54" s="3">
        <v>43893</v>
      </c>
      <c r="B54" s="1">
        <f t="shared" si="0"/>
        <v>23500</v>
      </c>
      <c r="C54" s="1">
        <v>40778.394586111419</v>
      </c>
      <c r="D54" s="1">
        <f t="shared" si="1"/>
        <v>17278.394586111419</v>
      </c>
      <c r="E54" s="2">
        <v>250</v>
      </c>
      <c r="F54" s="1">
        <v>163.11357834444567</v>
      </c>
      <c r="G54" s="1">
        <v>69.113578344445671</v>
      </c>
      <c r="H54" s="1">
        <v>94</v>
      </c>
      <c r="I54" s="6">
        <f t="shared" si="2"/>
        <v>0.67122112965927283</v>
      </c>
    </row>
    <row r="55" spans="1:9" x14ac:dyDescent="0.25">
      <c r="A55" s="3">
        <v>43892</v>
      </c>
      <c r="B55" s="1">
        <f t="shared" si="0"/>
        <v>1334</v>
      </c>
      <c r="C55" s="1">
        <v>2648.402206841231</v>
      </c>
      <c r="D55" s="1">
        <f t="shared" si="1"/>
        <v>1314.4022068412312</v>
      </c>
      <c r="E55" s="2">
        <v>23</v>
      </c>
      <c r="F55" s="1">
        <v>115.14792203657527</v>
      </c>
      <c r="G55" s="1">
        <v>57.147922036575274</v>
      </c>
      <c r="H55" s="1">
        <v>58</v>
      </c>
      <c r="I55" s="6">
        <f t="shared" si="2"/>
        <v>3.7617196432654931E-2</v>
      </c>
    </row>
    <row r="56" spans="1:9" x14ac:dyDescent="0.25">
      <c r="A56" s="3">
        <v>43885</v>
      </c>
      <c r="B56" s="1">
        <f t="shared" si="0"/>
        <v>1794</v>
      </c>
      <c r="C56" s="1">
        <v>3587.8882062967368</v>
      </c>
      <c r="D56" s="1">
        <f t="shared" si="1"/>
        <v>1793.8882062967364</v>
      </c>
      <c r="E56" s="2">
        <v>26</v>
      </c>
      <c r="F56" s="1">
        <v>137.99570024218218</v>
      </c>
      <c r="G56" s="1">
        <v>68.995700242182167</v>
      </c>
      <c r="H56" s="1">
        <v>69</v>
      </c>
      <c r="I56" s="6">
        <f t="shared" si="2"/>
        <v>5.0766064486622457E-2</v>
      </c>
    </row>
    <row r="57" spans="1:9" x14ac:dyDescent="0.25">
      <c r="A57" s="3">
        <v>43877</v>
      </c>
      <c r="B57" s="1">
        <f t="shared" si="0"/>
        <v>120</v>
      </c>
      <c r="C57" s="1">
        <v>339.4761387111115</v>
      </c>
      <c r="D57" s="1">
        <f t="shared" si="1"/>
        <v>219.4761387111115</v>
      </c>
      <c r="E57" s="2">
        <v>10</v>
      </c>
      <c r="F57" s="1">
        <v>33.947613871111152</v>
      </c>
      <c r="G57" s="1">
        <v>21.947613871111152</v>
      </c>
      <c r="H57" s="1">
        <v>12</v>
      </c>
      <c r="I57" s="6">
        <f t="shared" si="2"/>
        <v>2.9156185684884517E-3</v>
      </c>
    </row>
    <row r="58" spans="1:9" x14ac:dyDescent="0.25">
      <c r="A58" s="3">
        <v>43874</v>
      </c>
      <c r="B58" s="1">
        <f t="shared" si="0"/>
        <v>560</v>
      </c>
      <c r="C58" s="1">
        <v>1511.1074924847967</v>
      </c>
      <c r="D58" s="1">
        <f t="shared" si="1"/>
        <v>951.10749248479658</v>
      </c>
      <c r="E58" s="2">
        <v>28</v>
      </c>
      <c r="F58" s="1">
        <v>53.968124731599879</v>
      </c>
      <c r="G58" s="1">
        <v>33.968124731599879</v>
      </c>
      <c r="H58" s="1">
        <v>20</v>
      </c>
      <c r="I58" s="6">
        <f t="shared" si="2"/>
        <v>1.5492796707066088E-2</v>
      </c>
    </row>
    <row r="59" spans="1:9" x14ac:dyDescent="0.25">
      <c r="A59" s="3">
        <v>43868</v>
      </c>
      <c r="B59" s="1">
        <f t="shared" si="0"/>
        <v>444</v>
      </c>
      <c r="C59" s="1">
        <v>1149.9483740454452</v>
      </c>
      <c r="D59" s="1">
        <f t="shared" si="1"/>
        <v>705.94837404544523</v>
      </c>
      <c r="E59" s="2">
        <v>12</v>
      </c>
      <c r="F59" s="1">
        <v>95.829031170453774</v>
      </c>
      <c r="G59" s="1">
        <v>58.829031170453774</v>
      </c>
      <c r="H59" s="1">
        <v>37</v>
      </c>
      <c r="I59" s="6">
        <f t="shared" si="2"/>
        <v>1.2176995197804711E-2</v>
      </c>
    </row>
    <row r="60" spans="1:9" x14ac:dyDescent="0.25">
      <c r="A60" s="3">
        <v>43867</v>
      </c>
      <c r="B60" s="1">
        <f t="shared" si="0"/>
        <v>780</v>
      </c>
      <c r="C60" s="1">
        <v>1349.277276540362</v>
      </c>
      <c r="D60" s="1">
        <f t="shared" si="1"/>
        <v>569.27727654036221</v>
      </c>
      <c r="E60" s="2">
        <v>13</v>
      </c>
      <c r="F60" s="1">
        <v>103.79055973387401</v>
      </c>
      <c r="G60" s="1">
        <v>43.790559733874012</v>
      </c>
      <c r="H60" s="1">
        <v>60</v>
      </c>
      <c r="I60" s="6">
        <f t="shared" si="2"/>
        <v>2.1781385776354904E-2</v>
      </c>
    </row>
    <row r="61" spans="1:9" x14ac:dyDescent="0.25">
      <c r="A61" s="3">
        <v>43865</v>
      </c>
      <c r="B61" s="1">
        <f t="shared" si="0"/>
        <v>1700</v>
      </c>
      <c r="C61" s="1">
        <v>4942.1346800228612</v>
      </c>
      <c r="D61" s="1">
        <f t="shared" si="1"/>
        <v>3242.1346800228612</v>
      </c>
      <c r="E61" s="2">
        <v>50</v>
      </c>
      <c r="F61" s="1">
        <v>98.842693600457224</v>
      </c>
      <c r="G61" s="1">
        <v>64.842693600457224</v>
      </c>
      <c r="H61" s="1">
        <v>34</v>
      </c>
      <c r="I61" s="6">
        <f t="shared" si="2"/>
        <v>4.8079121884289963E-2</v>
      </c>
    </row>
    <row r="62" spans="1:9" x14ac:dyDescent="0.25">
      <c r="A62" s="3">
        <v>43859</v>
      </c>
      <c r="B62" s="1">
        <f t="shared" si="0"/>
        <v>784</v>
      </c>
      <c r="C62" s="1">
        <v>1523.6648389046331</v>
      </c>
      <c r="D62" s="1">
        <f t="shared" si="1"/>
        <v>739.66483890463314</v>
      </c>
      <c r="E62" s="2">
        <v>8</v>
      </c>
      <c r="F62" s="1">
        <v>190.45810486307914</v>
      </c>
      <c r="G62" s="1">
        <v>92.458104863079143</v>
      </c>
      <c r="H62" s="1">
        <v>98</v>
      </c>
      <c r="I62" s="6">
        <f t="shared" si="2"/>
        <v>2.1895723759432884E-2</v>
      </c>
    </row>
    <row r="63" spans="1:9" x14ac:dyDescent="0.25">
      <c r="A63" s="3">
        <v>43859</v>
      </c>
      <c r="B63" s="1">
        <f t="shared" si="0"/>
        <v>6083</v>
      </c>
      <c r="C63" s="1">
        <v>10651.565968190027</v>
      </c>
      <c r="D63" s="1">
        <f t="shared" si="1"/>
        <v>4568.5659681900279</v>
      </c>
      <c r="E63" s="2">
        <v>77</v>
      </c>
      <c r="F63" s="1">
        <v>138.33202556090944</v>
      </c>
      <c r="G63" s="1">
        <v>59.33202556090945</v>
      </c>
      <c r="H63" s="1">
        <v>79</v>
      </c>
      <c r="I63" s="6">
        <f t="shared" si="2"/>
        <v>0.17336496684198491</v>
      </c>
    </row>
    <row r="64" spans="1:9" x14ac:dyDescent="0.25">
      <c r="A64" s="3">
        <v>43849</v>
      </c>
      <c r="B64" s="1">
        <f t="shared" si="0"/>
        <v>1428</v>
      </c>
      <c r="C64" s="1">
        <v>4025.4957237476124</v>
      </c>
      <c r="D64" s="1">
        <f t="shared" si="1"/>
        <v>2597.4957237476124</v>
      </c>
      <c r="E64" s="2">
        <v>34</v>
      </c>
      <c r="F64" s="1">
        <v>118.39693305140037</v>
      </c>
      <c r="G64" s="1">
        <v>76.396933051400367</v>
      </c>
      <c r="H64" s="1">
        <v>42</v>
      </c>
      <c r="I64" s="6">
        <f t="shared" si="2"/>
        <v>4.0304139034987425E-2</v>
      </c>
    </row>
    <row r="65" spans="1:9" x14ac:dyDescent="0.25">
      <c r="A65" s="3">
        <v>43845</v>
      </c>
      <c r="B65" s="1">
        <f t="shared" si="0"/>
        <v>1260</v>
      </c>
      <c r="C65" s="1">
        <v>2152.883115525522</v>
      </c>
      <c r="D65" s="1">
        <f t="shared" si="1"/>
        <v>892.88311552552182</v>
      </c>
      <c r="E65" s="2">
        <v>12</v>
      </c>
      <c r="F65" s="1">
        <v>179.4069262937935</v>
      </c>
      <c r="G65" s="1">
        <v>74.406926293793489</v>
      </c>
      <c r="H65" s="1">
        <v>105</v>
      </c>
      <c r="I65" s="6">
        <f t="shared" si="2"/>
        <v>3.5501943745712326E-2</v>
      </c>
    </row>
    <row r="66" spans="1:9" x14ac:dyDescent="0.25">
      <c r="A66" s="3">
        <v>43840</v>
      </c>
      <c r="B66" s="1">
        <f t="shared" ref="B66:B129" si="3">+E66*H66</f>
        <v>80</v>
      </c>
      <c r="C66" s="1">
        <v>228.44562516672124</v>
      </c>
      <c r="D66" s="1">
        <f t="shared" ref="D66:D129" si="4">+E66*G66</f>
        <v>148.44562516672124</v>
      </c>
      <c r="E66" s="2">
        <v>4</v>
      </c>
      <c r="F66" s="1">
        <v>57.111406291680311</v>
      </c>
      <c r="G66" s="1">
        <v>37.111406291680311</v>
      </c>
      <c r="H66" s="1">
        <v>20</v>
      </c>
      <c r="I66" s="6">
        <f t="shared" si="2"/>
        <v>1.7722387377086669E-3</v>
      </c>
    </row>
    <row r="67" spans="1:9" x14ac:dyDescent="0.25">
      <c r="A67" s="3">
        <v>43839</v>
      </c>
      <c r="B67" s="1">
        <f t="shared" si="3"/>
        <v>1073</v>
      </c>
      <c r="C67" s="1">
        <v>2662.8484006213589</v>
      </c>
      <c r="D67" s="1">
        <f t="shared" si="4"/>
        <v>1589.8484006213591</v>
      </c>
      <c r="E67" s="2">
        <v>29</v>
      </c>
      <c r="F67" s="1">
        <v>91.82235864211583</v>
      </c>
      <c r="G67" s="1">
        <v>54.82235864211583</v>
      </c>
      <c r="H67" s="1">
        <v>37</v>
      </c>
      <c r="I67" s="6">
        <f t="shared" ref="I67:I130" si="5">+(B67-MIN($B$2:$B$501))/(MAX($B$2:$B$501)-MIN($B$2:$B$501))</f>
        <v>3.0156643036816831E-2</v>
      </c>
    </row>
    <row r="68" spans="1:9" x14ac:dyDescent="0.25">
      <c r="A68" s="3">
        <v>43835</v>
      </c>
      <c r="B68" s="1">
        <f t="shared" si="3"/>
        <v>670</v>
      </c>
      <c r="C68" s="1">
        <v>1284.1485061504968</v>
      </c>
      <c r="D68" s="1">
        <f t="shared" si="4"/>
        <v>614.14850615049681</v>
      </c>
      <c r="E68" s="2">
        <v>10</v>
      </c>
      <c r="F68" s="1">
        <v>128.41485061504969</v>
      </c>
      <c r="G68" s="1">
        <v>61.414850615049687</v>
      </c>
      <c r="H68" s="1">
        <v>67</v>
      </c>
      <c r="I68" s="6">
        <f t="shared" si="5"/>
        <v>1.8637091241710497E-2</v>
      </c>
    </row>
    <row r="69" spans="1:9" x14ac:dyDescent="0.25">
      <c r="A69" s="3">
        <v>43830</v>
      </c>
      <c r="B69" s="1">
        <f t="shared" si="3"/>
        <v>2747</v>
      </c>
      <c r="C69" s="1">
        <v>5927.4676444662664</v>
      </c>
      <c r="D69" s="1">
        <f t="shared" si="4"/>
        <v>3180.4676444662659</v>
      </c>
      <c r="E69" s="2">
        <v>41</v>
      </c>
      <c r="F69" s="1">
        <v>144.57238157234795</v>
      </c>
      <c r="G69" s="1">
        <v>77.57238157234795</v>
      </c>
      <c r="H69" s="1">
        <v>67</v>
      </c>
      <c r="I69" s="6">
        <f t="shared" si="5"/>
        <v>7.8007088954950829E-2</v>
      </c>
    </row>
    <row r="70" spans="1:9" x14ac:dyDescent="0.25">
      <c r="A70" s="3">
        <v>43809</v>
      </c>
      <c r="B70" s="1">
        <f t="shared" si="3"/>
        <v>3780</v>
      </c>
      <c r="C70" s="1">
        <v>7412.7421929311422</v>
      </c>
      <c r="D70" s="1">
        <f t="shared" si="4"/>
        <v>3632.7421929311413</v>
      </c>
      <c r="E70" s="2">
        <v>42</v>
      </c>
      <c r="F70" s="1">
        <v>176.49386173645576</v>
      </c>
      <c r="G70" s="1">
        <v>86.493861736455742</v>
      </c>
      <c r="H70" s="1">
        <v>90</v>
      </c>
      <c r="I70" s="6">
        <f t="shared" si="5"/>
        <v>0.10753487308483878</v>
      </c>
    </row>
    <row r="71" spans="1:9" x14ac:dyDescent="0.25">
      <c r="A71" s="3">
        <v>43809</v>
      </c>
      <c r="B71" s="1">
        <f t="shared" si="3"/>
        <v>3290</v>
      </c>
      <c r="C71" s="1">
        <v>6144.2860188286268</v>
      </c>
      <c r="D71" s="1">
        <f t="shared" si="4"/>
        <v>2854.2860188286268</v>
      </c>
      <c r="E71" s="2">
        <v>47</v>
      </c>
      <c r="F71" s="1">
        <v>130.7294897623112</v>
      </c>
      <c r="G71" s="1">
        <v>60.729489762311211</v>
      </c>
      <c r="H71" s="1">
        <v>70</v>
      </c>
      <c r="I71" s="6">
        <f t="shared" si="5"/>
        <v>9.3528470157786411E-2</v>
      </c>
    </row>
    <row r="72" spans="1:9" x14ac:dyDescent="0.25">
      <c r="A72" s="3">
        <v>43805</v>
      </c>
      <c r="B72" s="1">
        <f t="shared" si="3"/>
        <v>396</v>
      </c>
      <c r="C72" s="1">
        <v>669.2251267216584</v>
      </c>
      <c r="D72" s="1">
        <f t="shared" si="4"/>
        <v>273.22512672165846</v>
      </c>
      <c r="E72" s="2">
        <v>9</v>
      </c>
      <c r="F72" s="1">
        <v>74.358347413517606</v>
      </c>
      <c r="G72" s="1">
        <v>30.358347413517606</v>
      </c>
      <c r="H72" s="1">
        <v>44</v>
      </c>
      <c r="I72" s="6">
        <f t="shared" si="5"/>
        <v>1.0804939400868969E-2</v>
      </c>
    </row>
    <row r="73" spans="1:9" x14ac:dyDescent="0.25">
      <c r="A73" s="3">
        <v>43800</v>
      </c>
      <c r="B73" s="1">
        <f t="shared" si="3"/>
        <v>6519</v>
      </c>
      <c r="C73" s="1">
        <v>11338.617086275133</v>
      </c>
      <c r="D73" s="1">
        <f t="shared" si="4"/>
        <v>4819.6170862751342</v>
      </c>
      <c r="E73" s="2">
        <v>53</v>
      </c>
      <c r="F73" s="1">
        <v>213.93617143915347</v>
      </c>
      <c r="G73" s="1">
        <v>90.936171439153469</v>
      </c>
      <c r="H73" s="1">
        <v>123</v>
      </c>
      <c r="I73" s="6">
        <f t="shared" si="5"/>
        <v>0.18582780699748455</v>
      </c>
    </row>
    <row r="74" spans="1:9" x14ac:dyDescent="0.25">
      <c r="A74" s="3">
        <v>43795</v>
      </c>
      <c r="B74" s="1">
        <f t="shared" si="3"/>
        <v>9398</v>
      </c>
      <c r="C74" s="1">
        <v>16488.562551013834</v>
      </c>
      <c r="D74" s="1">
        <f t="shared" si="4"/>
        <v>7090.5625510138334</v>
      </c>
      <c r="E74" s="2">
        <v>74</v>
      </c>
      <c r="F74" s="1">
        <v>222.81841285153828</v>
      </c>
      <c r="G74" s="1">
        <v>95.818412851538284</v>
      </c>
      <c r="H74" s="1">
        <v>127</v>
      </c>
      <c r="I74" s="6">
        <f t="shared" si="5"/>
        <v>0.26812257031785958</v>
      </c>
    </row>
    <row r="75" spans="1:9" x14ac:dyDescent="0.25">
      <c r="A75" s="3">
        <v>43778</v>
      </c>
      <c r="B75" s="1">
        <f t="shared" si="3"/>
        <v>232</v>
      </c>
      <c r="C75" s="1">
        <v>672.70777424220068</v>
      </c>
      <c r="D75" s="1">
        <f t="shared" si="4"/>
        <v>440.70777424220074</v>
      </c>
      <c r="E75" s="2">
        <v>4</v>
      </c>
      <c r="F75" s="1">
        <v>168.17694356055017</v>
      </c>
      <c r="G75" s="1">
        <v>110.17694356055019</v>
      </c>
      <c r="H75" s="1">
        <v>58</v>
      </c>
      <c r="I75" s="6">
        <f t="shared" si="5"/>
        <v>6.1170820946718496E-3</v>
      </c>
    </row>
    <row r="76" spans="1:9" x14ac:dyDescent="0.25">
      <c r="A76" s="3">
        <v>43772</v>
      </c>
      <c r="B76" s="1">
        <f t="shared" si="3"/>
        <v>923</v>
      </c>
      <c r="C76" s="1">
        <v>2156.6295785401176</v>
      </c>
      <c r="D76" s="1">
        <f t="shared" si="4"/>
        <v>1233.6295785401173</v>
      </c>
      <c r="E76" s="2">
        <v>13</v>
      </c>
      <c r="F76" s="1">
        <v>165.89458296462442</v>
      </c>
      <c r="G76" s="1">
        <v>94.894582964624405</v>
      </c>
      <c r="H76" s="1">
        <v>71</v>
      </c>
      <c r="I76" s="6">
        <f t="shared" si="5"/>
        <v>2.5868968671392635E-2</v>
      </c>
    </row>
    <row r="77" spans="1:9" x14ac:dyDescent="0.25">
      <c r="A77" s="3">
        <v>43769</v>
      </c>
      <c r="B77" s="1">
        <f t="shared" si="3"/>
        <v>2300</v>
      </c>
      <c r="C77" s="1">
        <v>6493.7021186141874</v>
      </c>
      <c r="D77" s="1">
        <f t="shared" si="4"/>
        <v>4193.7021186141874</v>
      </c>
      <c r="E77" s="2">
        <v>50</v>
      </c>
      <c r="F77" s="1">
        <v>129.87404237228375</v>
      </c>
      <c r="G77" s="1">
        <v>83.874042372283753</v>
      </c>
      <c r="H77" s="1">
        <v>46</v>
      </c>
      <c r="I77" s="6">
        <f t="shared" si="5"/>
        <v>6.5229819345986734E-2</v>
      </c>
    </row>
    <row r="78" spans="1:9" x14ac:dyDescent="0.25">
      <c r="A78" s="3">
        <v>43767</v>
      </c>
      <c r="B78" s="1">
        <f t="shared" si="3"/>
        <v>1110</v>
      </c>
      <c r="C78" s="1">
        <v>2441.9790265776096</v>
      </c>
      <c r="D78" s="1">
        <f t="shared" si="4"/>
        <v>1331.9790265776098</v>
      </c>
      <c r="E78" s="2">
        <v>30</v>
      </c>
      <c r="F78" s="1">
        <v>81.399300885920326</v>
      </c>
      <c r="G78" s="1">
        <v>44.399300885920326</v>
      </c>
      <c r="H78" s="1">
        <v>37</v>
      </c>
      <c r="I78" s="6">
        <f t="shared" si="5"/>
        <v>3.121426938028813E-2</v>
      </c>
    </row>
    <row r="79" spans="1:9" x14ac:dyDescent="0.25">
      <c r="A79" s="3">
        <v>43754</v>
      </c>
      <c r="B79" s="1">
        <f t="shared" si="3"/>
        <v>1156</v>
      </c>
      <c r="C79" s="1">
        <v>2371.5315376163821</v>
      </c>
      <c r="D79" s="1">
        <f t="shared" si="4"/>
        <v>1215.5315376163824</v>
      </c>
      <c r="E79" s="2">
        <v>17</v>
      </c>
      <c r="F79" s="1">
        <v>139.50185515390484</v>
      </c>
      <c r="G79" s="1">
        <v>71.501855153904842</v>
      </c>
      <c r="H79" s="1">
        <v>68</v>
      </c>
      <c r="I79" s="6">
        <f t="shared" si="5"/>
        <v>3.2529156185684888E-2</v>
      </c>
    </row>
    <row r="80" spans="1:9" x14ac:dyDescent="0.25">
      <c r="A80" s="3">
        <v>43745</v>
      </c>
      <c r="B80" s="1">
        <f t="shared" si="3"/>
        <v>2646</v>
      </c>
      <c r="C80" s="1">
        <v>4965.4466596933989</v>
      </c>
      <c r="D80" s="1">
        <f t="shared" si="4"/>
        <v>2319.4466596933989</v>
      </c>
      <c r="E80" s="2">
        <v>21</v>
      </c>
      <c r="F80" s="1">
        <v>236.44984093778089</v>
      </c>
      <c r="G80" s="1">
        <v>110.44984093778091</v>
      </c>
      <c r="H80" s="1">
        <v>126</v>
      </c>
      <c r="I80" s="6">
        <f t="shared" si="5"/>
        <v>7.5120054882231876E-2</v>
      </c>
    </row>
    <row r="81" spans="1:9" x14ac:dyDescent="0.25">
      <c r="A81" s="3">
        <v>43739</v>
      </c>
      <c r="B81" s="1">
        <f t="shared" si="3"/>
        <v>1368</v>
      </c>
      <c r="C81" s="1">
        <v>3517.5705064492572</v>
      </c>
      <c r="D81" s="1">
        <f t="shared" si="4"/>
        <v>2149.5705064492568</v>
      </c>
      <c r="E81" s="2">
        <v>24</v>
      </c>
      <c r="F81" s="1">
        <v>146.56543776871905</v>
      </c>
      <c r="G81" s="1">
        <v>89.565437768719036</v>
      </c>
      <c r="H81" s="1">
        <v>57</v>
      </c>
      <c r="I81" s="6">
        <f t="shared" si="5"/>
        <v>3.8589069288817744E-2</v>
      </c>
    </row>
    <row r="82" spans="1:9" x14ac:dyDescent="0.25">
      <c r="A82" s="3">
        <v>43735</v>
      </c>
      <c r="B82" s="1">
        <f t="shared" si="3"/>
        <v>1144</v>
      </c>
      <c r="C82" s="1">
        <v>2286.4925467420835</v>
      </c>
      <c r="D82" s="1">
        <f t="shared" si="4"/>
        <v>1142.4925467420837</v>
      </c>
      <c r="E82" s="2">
        <v>11</v>
      </c>
      <c r="F82" s="1">
        <v>207.86295879473488</v>
      </c>
      <c r="G82" s="1">
        <v>103.86295879473489</v>
      </c>
      <c r="H82" s="1">
        <v>104</v>
      </c>
      <c r="I82" s="6">
        <f t="shared" si="5"/>
        <v>3.218614223645095E-2</v>
      </c>
    </row>
    <row r="83" spans="1:9" x14ac:dyDescent="0.25">
      <c r="A83" s="3">
        <v>43734</v>
      </c>
      <c r="B83" s="1">
        <f t="shared" si="3"/>
        <v>208</v>
      </c>
      <c r="C83" s="1">
        <v>383.53254678173693</v>
      </c>
      <c r="D83" s="1">
        <f t="shared" si="4"/>
        <v>175.53254678173693</v>
      </c>
      <c r="E83" s="2">
        <v>4</v>
      </c>
      <c r="F83" s="1">
        <v>95.883136695434231</v>
      </c>
      <c r="G83" s="1">
        <v>43.883136695434231</v>
      </c>
      <c r="H83" s="1">
        <v>52</v>
      </c>
      <c r="I83" s="6">
        <f t="shared" si="5"/>
        <v>5.4310541962039787E-3</v>
      </c>
    </row>
    <row r="84" spans="1:9" x14ac:dyDescent="0.25">
      <c r="A84" s="3">
        <v>43731</v>
      </c>
      <c r="B84" s="1">
        <f t="shared" si="3"/>
        <v>35002</v>
      </c>
      <c r="C84" s="1">
        <v>63613.49461122472</v>
      </c>
      <c r="D84" s="1">
        <f t="shared" si="4"/>
        <v>28611.494611224723</v>
      </c>
      <c r="E84" s="2">
        <v>814</v>
      </c>
      <c r="F84" s="1">
        <v>78.149256279145845</v>
      </c>
      <c r="G84" s="1">
        <v>35.149256279145852</v>
      </c>
      <c r="H84" s="1">
        <v>43</v>
      </c>
      <c r="I84" s="6">
        <f t="shared" si="5"/>
        <v>1</v>
      </c>
    </row>
    <row r="85" spans="1:9" x14ac:dyDescent="0.25">
      <c r="A85" s="3">
        <v>43730</v>
      </c>
      <c r="B85" s="1">
        <f t="shared" si="3"/>
        <v>3808</v>
      </c>
      <c r="C85" s="1">
        <v>6622.5526727896731</v>
      </c>
      <c r="D85" s="1">
        <f t="shared" si="4"/>
        <v>2814.5526727896727</v>
      </c>
      <c r="E85" s="2">
        <v>34</v>
      </c>
      <c r="F85" s="1">
        <v>194.78096096440214</v>
      </c>
      <c r="G85" s="1">
        <v>82.780960964402141</v>
      </c>
      <c r="H85" s="1">
        <v>112</v>
      </c>
      <c r="I85" s="6">
        <f t="shared" si="5"/>
        <v>0.10833523896638464</v>
      </c>
    </row>
    <row r="86" spans="1:9" x14ac:dyDescent="0.25">
      <c r="A86" s="3">
        <v>43717</v>
      </c>
      <c r="B86" s="1">
        <f t="shared" si="3"/>
        <v>1596</v>
      </c>
      <c r="C86" s="1">
        <v>4146.8824297572364</v>
      </c>
      <c r="D86" s="1">
        <f t="shared" si="4"/>
        <v>2550.8824297572364</v>
      </c>
      <c r="E86" s="2">
        <v>28</v>
      </c>
      <c r="F86" s="1">
        <v>148.10294391990129</v>
      </c>
      <c r="G86" s="1">
        <v>91.102943919901307</v>
      </c>
      <c r="H86" s="1">
        <v>57</v>
      </c>
      <c r="I86" s="6">
        <f t="shared" si="5"/>
        <v>4.5106334324262518E-2</v>
      </c>
    </row>
    <row r="87" spans="1:9" x14ac:dyDescent="0.25">
      <c r="A87" s="3">
        <v>43714</v>
      </c>
      <c r="B87" s="1">
        <f t="shared" si="3"/>
        <v>228</v>
      </c>
      <c r="C87" s="1">
        <v>475.03080785226382</v>
      </c>
      <c r="D87" s="1">
        <f t="shared" si="4"/>
        <v>247.03080785226385</v>
      </c>
      <c r="E87" s="2">
        <v>4</v>
      </c>
      <c r="F87" s="1">
        <v>118.75770196306595</v>
      </c>
      <c r="G87" s="1">
        <v>61.757701963065962</v>
      </c>
      <c r="H87" s="1">
        <v>57</v>
      </c>
      <c r="I87" s="6">
        <f t="shared" si="5"/>
        <v>6.0027441115938713E-3</v>
      </c>
    </row>
    <row r="88" spans="1:9" x14ac:dyDescent="0.25">
      <c r="A88" s="3">
        <v>43712</v>
      </c>
      <c r="B88" s="1">
        <f t="shared" si="3"/>
        <v>378</v>
      </c>
      <c r="C88" s="1">
        <v>879.72177538792766</v>
      </c>
      <c r="D88" s="1">
        <f t="shared" si="4"/>
        <v>501.72177538792772</v>
      </c>
      <c r="E88" s="2">
        <v>9</v>
      </c>
      <c r="F88" s="1">
        <v>97.746863931991967</v>
      </c>
      <c r="G88" s="1">
        <v>55.746863931991967</v>
      </c>
      <c r="H88" s="1">
        <v>42</v>
      </c>
      <c r="I88" s="6">
        <f t="shared" si="5"/>
        <v>1.0290418477018065E-2</v>
      </c>
    </row>
    <row r="89" spans="1:9" x14ac:dyDescent="0.25">
      <c r="A89" s="3">
        <v>43678</v>
      </c>
      <c r="B89" s="1">
        <f t="shared" si="3"/>
        <v>176</v>
      </c>
      <c r="C89" s="1">
        <v>313.89895318498077</v>
      </c>
      <c r="D89" s="1">
        <f t="shared" si="4"/>
        <v>137.89895318498074</v>
      </c>
      <c r="E89" s="2">
        <v>4</v>
      </c>
      <c r="F89" s="1">
        <v>78.474738296245192</v>
      </c>
      <c r="G89" s="1">
        <v>34.474738296245185</v>
      </c>
      <c r="H89" s="1">
        <v>44</v>
      </c>
      <c r="I89" s="6">
        <f t="shared" si="5"/>
        <v>4.5163503315801511E-3</v>
      </c>
    </row>
    <row r="90" spans="1:9" x14ac:dyDescent="0.25">
      <c r="A90" s="3">
        <v>43662</v>
      </c>
      <c r="B90" s="1">
        <f t="shared" si="3"/>
        <v>590</v>
      </c>
      <c r="C90" s="1">
        <v>1056.8216422404171</v>
      </c>
      <c r="D90" s="1">
        <f t="shared" si="4"/>
        <v>466.82164224041696</v>
      </c>
      <c r="E90" s="2">
        <v>10</v>
      </c>
      <c r="F90" s="1">
        <v>105.6821642240417</v>
      </c>
      <c r="G90" s="1">
        <v>46.682164224041699</v>
      </c>
      <c r="H90" s="1">
        <v>59</v>
      </c>
      <c r="I90" s="6">
        <f t="shared" si="5"/>
        <v>1.6350331580150926E-2</v>
      </c>
    </row>
    <row r="91" spans="1:9" x14ac:dyDescent="0.25">
      <c r="A91" s="3">
        <v>43655</v>
      </c>
      <c r="B91" s="1">
        <f t="shared" si="3"/>
        <v>4818</v>
      </c>
      <c r="C91" s="1">
        <v>8467.7346029795426</v>
      </c>
      <c r="D91" s="1">
        <f t="shared" si="4"/>
        <v>3649.7346029795431</v>
      </c>
      <c r="E91" s="2">
        <v>73</v>
      </c>
      <c r="F91" s="1">
        <v>115.9963644243773</v>
      </c>
      <c r="G91" s="1">
        <v>49.996364424377305</v>
      </c>
      <c r="H91" s="1">
        <v>66</v>
      </c>
      <c r="I91" s="6">
        <f t="shared" si="5"/>
        <v>0.13720557969357419</v>
      </c>
    </row>
    <row r="92" spans="1:9" x14ac:dyDescent="0.25">
      <c r="A92" s="3">
        <v>43653</v>
      </c>
      <c r="B92" s="1">
        <f t="shared" si="3"/>
        <v>237</v>
      </c>
      <c r="C92" s="1">
        <v>469.61715803202941</v>
      </c>
      <c r="D92" s="1">
        <f t="shared" si="4"/>
        <v>232.61715803202941</v>
      </c>
      <c r="E92" s="2">
        <v>3</v>
      </c>
      <c r="F92" s="1">
        <v>156.53905267734314</v>
      </c>
      <c r="G92" s="1">
        <v>77.539052677343136</v>
      </c>
      <c r="H92" s="1">
        <v>79</v>
      </c>
      <c r="I92" s="6">
        <f t="shared" si="5"/>
        <v>6.2600045735193227E-3</v>
      </c>
    </row>
    <row r="93" spans="1:9" x14ac:dyDescent="0.25">
      <c r="A93" s="3">
        <v>43650</v>
      </c>
      <c r="B93" s="1">
        <f t="shared" si="3"/>
        <v>287</v>
      </c>
      <c r="C93" s="1">
        <v>568.69068459811206</v>
      </c>
      <c r="D93" s="1">
        <f t="shared" si="4"/>
        <v>281.69068459811211</v>
      </c>
      <c r="E93" s="2">
        <v>7</v>
      </c>
      <c r="F93" s="1">
        <v>81.241526371158869</v>
      </c>
      <c r="G93" s="1">
        <v>40.241526371158876</v>
      </c>
      <c r="H93" s="1">
        <v>41</v>
      </c>
      <c r="I93" s="6">
        <f t="shared" si="5"/>
        <v>7.6892293619940542E-3</v>
      </c>
    </row>
    <row r="94" spans="1:9" x14ac:dyDescent="0.25">
      <c r="A94" s="3">
        <v>43629</v>
      </c>
      <c r="B94" s="1">
        <f t="shared" si="3"/>
        <v>333</v>
      </c>
      <c r="C94" s="1">
        <v>667.43215316018927</v>
      </c>
      <c r="D94" s="1">
        <f t="shared" si="4"/>
        <v>334.43215316018922</v>
      </c>
      <c r="E94" s="2">
        <v>9</v>
      </c>
      <c r="F94" s="1">
        <v>74.159128128909913</v>
      </c>
      <c r="G94" s="1">
        <v>37.159128128909913</v>
      </c>
      <c r="H94" s="1">
        <v>37</v>
      </c>
      <c r="I94" s="6">
        <f t="shared" si="5"/>
        <v>9.0041161673908073E-3</v>
      </c>
    </row>
    <row r="95" spans="1:9" x14ac:dyDescent="0.25">
      <c r="A95" s="3">
        <v>43620</v>
      </c>
      <c r="B95" s="1">
        <f t="shared" si="3"/>
        <v>768</v>
      </c>
      <c r="C95" s="1">
        <v>1684.1198470002232</v>
      </c>
      <c r="D95" s="1">
        <f t="shared" si="4"/>
        <v>916.11984700022322</v>
      </c>
      <c r="E95" s="2">
        <v>16</v>
      </c>
      <c r="F95" s="1">
        <v>105.25749043751395</v>
      </c>
      <c r="G95" s="1">
        <v>57.257490437513951</v>
      </c>
      <c r="H95" s="1">
        <v>48</v>
      </c>
      <c r="I95" s="6">
        <f t="shared" si="5"/>
        <v>2.143837182712097E-2</v>
      </c>
    </row>
    <row r="96" spans="1:9" x14ac:dyDescent="0.25">
      <c r="A96" s="3">
        <v>43616</v>
      </c>
      <c r="B96" s="1">
        <f t="shared" si="3"/>
        <v>1739</v>
      </c>
      <c r="C96" s="1">
        <v>4407.5414197857708</v>
      </c>
      <c r="D96" s="1">
        <f t="shared" si="4"/>
        <v>2668.5414197857708</v>
      </c>
      <c r="E96" s="2">
        <v>37</v>
      </c>
      <c r="F96" s="1">
        <v>119.1227410752911</v>
      </c>
      <c r="G96" s="1">
        <v>72.122741075291103</v>
      </c>
      <c r="H96" s="1">
        <v>47</v>
      </c>
      <c r="I96" s="6">
        <f t="shared" si="5"/>
        <v>4.9193917219300248E-2</v>
      </c>
    </row>
    <row r="97" spans="1:9" x14ac:dyDescent="0.25">
      <c r="A97" s="3">
        <v>43609</v>
      </c>
      <c r="B97" s="1">
        <f t="shared" si="3"/>
        <v>3570</v>
      </c>
      <c r="C97" s="1">
        <v>6260.9032444982422</v>
      </c>
      <c r="D97" s="1">
        <f t="shared" si="4"/>
        <v>2690.9032444982427</v>
      </c>
      <c r="E97" s="2">
        <v>34</v>
      </c>
      <c r="F97" s="1">
        <v>184.14421307347772</v>
      </c>
      <c r="G97" s="1">
        <v>79.144213073477729</v>
      </c>
      <c r="H97" s="1">
        <v>105</v>
      </c>
      <c r="I97" s="6">
        <f t="shared" si="5"/>
        <v>0.10153212897324491</v>
      </c>
    </row>
    <row r="98" spans="1:9" x14ac:dyDescent="0.25">
      <c r="A98" s="3">
        <v>43608</v>
      </c>
      <c r="B98" s="1">
        <f t="shared" si="3"/>
        <v>2223</v>
      </c>
      <c r="C98" s="1">
        <v>4444.9323414051196</v>
      </c>
      <c r="D98" s="1">
        <f t="shared" si="4"/>
        <v>2221.9323414051196</v>
      </c>
      <c r="E98" s="2">
        <v>39</v>
      </c>
      <c r="F98" s="1">
        <v>113.97262413859281</v>
      </c>
      <c r="G98" s="1">
        <v>56.972624138592813</v>
      </c>
      <c r="H98" s="1">
        <v>57</v>
      </c>
      <c r="I98" s="6">
        <f t="shared" si="5"/>
        <v>6.3028813171735656E-2</v>
      </c>
    </row>
    <row r="99" spans="1:9" x14ac:dyDescent="0.25">
      <c r="A99" s="3">
        <v>43592</v>
      </c>
      <c r="B99" s="1">
        <f t="shared" si="3"/>
        <v>336</v>
      </c>
      <c r="C99" s="1">
        <v>694.57219823768196</v>
      </c>
      <c r="D99" s="1">
        <f t="shared" si="4"/>
        <v>358.57219823768207</v>
      </c>
      <c r="E99" s="2">
        <v>6</v>
      </c>
      <c r="F99" s="1">
        <v>115.76203303961367</v>
      </c>
      <c r="G99" s="1">
        <v>59.762033039613677</v>
      </c>
      <c r="H99" s="1">
        <v>56</v>
      </c>
      <c r="I99" s="6">
        <f t="shared" si="5"/>
        <v>9.0898696546992917E-3</v>
      </c>
    </row>
    <row r="100" spans="1:9" x14ac:dyDescent="0.25">
      <c r="A100" s="3">
        <v>43586</v>
      </c>
      <c r="B100" s="1">
        <f t="shared" si="3"/>
        <v>144</v>
      </c>
      <c r="C100" s="1">
        <v>281.78268842497494</v>
      </c>
      <c r="D100" s="1">
        <f t="shared" si="4"/>
        <v>137.78268842497494</v>
      </c>
      <c r="E100" s="2">
        <v>4</v>
      </c>
      <c r="F100" s="1">
        <v>70.445672106243734</v>
      </c>
      <c r="G100" s="1">
        <v>34.445672106243734</v>
      </c>
      <c r="H100" s="1">
        <v>36</v>
      </c>
      <c r="I100" s="6">
        <f t="shared" si="5"/>
        <v>3.601646466956323E-3</v>
      </c>
    </row>
    <row r="101" spans="1:9" x14ac:dyDescent="0.25">
      <c r="A101" s="3">
        <v>43580</v>
      </c>
      <c r="B101" s="1">
        <f t="shared" si="3"/>
        <v>980</v>
      </c>
      <c r="C101" s="1">
        <v>2034.2611545552995</v>
      </c>
      <c r="D101" s="1">
        <f t="shared" si="4"/>
        <v>1054.2611545552993</v>
      </c>
      <c r="E101" s="2">
        <v>20</v>
      </c>
      <c r="F101" s="1">
        <v>101.71305772776498</v>
      </c>
      <c r="G101" s="1">
        <v>52.713057727764969</v>
      </c>
      <c r="H101" s="1">
        <v>49</v>
      </c>
      <c r="I101" s="6">
        <f t="shared" si="5"/>
        <v>2.749828493025383E-2</v>
      </c>
    </row>
    <row r="102" spans="1:9" x14ac:dyDescent="0.25">
      <c r="A102" s="3">
        <v>43576</v>
      </c>
      <c r="B102" s="1">
        <f t="shared" si="3"/>
        <v>18</v>
      </c>
      <c r="C102" s="1">
        <v>43.415516358062575</v>
      </c>
      <c r="D102" s="1">
        <f t="shared" si="4"/>
        <v>25.415516358062572</v>
      </c>
      <c r="E102" s="2">
        <v>2</v>
      </c>
      <c r="F102" s="1">
        <v>21.707758179031288</v>
      </c>
      <c r="G102" s="1">
        <v>12.707758179031286</v>
      </c>
      <c r="H102" s="1">
        <v>9</v>
      </c>
      <c r="I102" s="6">
        <f t="shared" si="5"/>
        <v>0</v>
      </c>
    </row>
    <row r="103" spans="1:9" x14ac:dyDescent="0.25">
      <c r="A103" s="3">
        <v>43575</v>
      </c>
      <c r="B103" s="1">
        <f t="shared" si="3"/>
        <v>1080</v>
      </c>
      <c r="C103" s="1">
        <v>2016.2122593586353</v>
      </c>
      <c r="D103" s="1">
        <f t="shared" si="4"/>
        <v>936.21225935863549</v>
      </c>
      <c r="E103" s="2">
        <v>15</v>
      </c>
      <c r="F103" s="1">
        <v>134.41415062390902</v>
      </c>
      <c r="G103" s="1">
        <v>62.41415062390903</v>
      </c>
      <c r="H103" s="1">
        <v>72</v>
      </c>
      <c r="I103" s="6">
        <f t="shared" si="5"/>
        <v>3.0356734507203293E-2</v>
      </c>
    </row>
    <row r="104" spans="1:9" x14ac:dyDescent="0.25">
      <c r="A104" s="3">
        <v>43561</v>
      </c>
      <c r="B104" s="1">
        <f t="shared" si="3"/>
        <v>3600</v>
      </c>
      <c r="C104" s="1">
        <v>6879.6406864616565</v>
      </c>
      <c r="D104" s="1">
        <f t="shared" si="4"/>
        <v>3279.640686461657</v>
      </c>
      <c r="E104" s="2">
        <v>36</v>
      </c>
      <c r="F104" s="1">
        <v>191.10113017949047</v>
      </c>
      <c r="G104" s="1">
        <v>91.101130179490468</v>
      </c>
      <c r="H104" s="1">
        <v>100</v>
      </c>
      <c r="I104" s="6">
        <f t="shared" si="5"/>
        <v>0.10238966384632975</v>
      </c>
    </row>
    <row r="105" spans="1:9" x14ac:dyDescent="0.25">
      <c r="A105" s="3">
        <v>43538</v>
      </c>
      <c r="B105" s="1">
        <f t="shared" si="3"/>
        <v>2623</v>
      </c>
      <c r="C105" s="1">
        <v>4921.5575570962437</v>
      </c>
      <c r="D105" s="1">
        <f t="shared" si="4"/>
        <v>2298.5575570962437</v>
      </c>
      <c r="E105" s="2">
        <v>43</v>
      </c>
      <c r="F105" s="1">
        <v>114.45482690921497</v>
      </c>
      <c r="G105" s="1">
        <v>53.454826909214972</v>
      </c>
      <c r="H105" s="1">
        <v>61</v>
      </c>
      <c r="I105" s="6">
        <f t="shared" si="5"/>
        <v>7.4462611479533494E-2</v>
      </c>
    </row>
    <row r="106" spans="1:9" x14ac:dyDescent="0.25">
      <c r="A106" s="3">
        <v>43538</v>
      </c>
      <c r="B106" s="1">
        <f t="shared" si="3"/>
        <v>2376</v>
      </c>
      <c r="C106" s="1">
        <v>4547.0463544049644</v>
      </c>
      <c r="D106" s="1">
        <f t="shared" si="4"/>
        <v>2171.0463544049649</v>
      </c>
      <c r="E106" s="2">
        <v>33</v>
      </c>
      <c r="F106" s="1">
        <v>137.7892834668171</v>
      </c>
      <c r="G106" s="1">
        <v>65.78928346681711</v>
      </c>
      <c r="H106" s="1">
        <v>72</v>
      </c>
      <c r="I106" s="6">
        <f t="shared" si="5"/>
        <v>6.7402241024468332E-2</v>
      </c>
    </row>
    <row r="107" spans="1:9" x14ac:dyDescent="0.25">
      <c r="A107" s="3">
        <v>43537</v>
      </c>
      <c r="B107" s="1">
        <f t="shared" si="3"/>
        <v>429</v>
      </c>
      <c r="C107" s="1">
        <v>783.24629021113537</v>
      </c>
      <c r="D107" s="1">
        <f t="shared" si="4"/>
        <v>354.24629021113532</v>
      </c>
      <c r="E107" s="2">
        <v>11</v>
      </c>
      <c r="F107" s="1">
        <v>71.204208201012307</v>
      </c>
      <c r="G107" s="1">
        <v>32.2042082010123</v>
      </c>
      <c r="H107" s="1">
        <v>39</v>
      </c>
      <c r="I107" s="6">
        <f t="shared" si="5"/>
        <v>1.1748227761262291E-2</v>
      </c>
    </row>
    <row r="108" spans="1:9" x14ac:dyDescent="0.25">
      <c r="A108" s="3">
        <v>43533</v>
      </c>
      <c r="B108" s="1">
        <f t="shared" si="3"/>
        <v>158</v>
      </c>
      <c r="C108" s="1">
        <v>286.21210976344196</v>
      </c>
      <c r="D108" s="1">
        <f t="shared" si="4"/>
        <v>128.21210976344193</v>
      </c>
      <c r="E108" s="2">
        <v>2</v>
      </c>
      <c r="F108" s="1">
        <v>143.10605488172098</v>
      </c>
      <c r="G108" s="1">
        <v>64.106054881720965</v>
      </c>
      <c r="H108" s="1">
        <v>79</v>
      </c>
      <c r="I108" s="6">
        <f t="shared" si="5"/>
        <v>4.0018294077292481E-3</v>
      </c>
    </row>
    <row r="109" spans="1:9" x14ac:dyDescent="0.25">
      <c r="A109" s="3">
        <v>43532</v>
      </c>
      <c r="B109" s="1">
        <f t="shared" si="3"/>
        <v>165</v>
      </c>
      <c r="C109" s="1">
        <v>364.11883049612743</v>
      </c>
      <c r="D109" s="1">
        <f t="shared" si="4"/>
        <v>199.1188304961274</v>
      </c>
      <c r="E109" s="2">
        <v>5</v>
      </c>
      <c r="F109" s="1">
        <v>72.82376609922548</v>
      </c>
      <c r="G109" s="1">
        <v>39.82376609922548</v>
      </c>
      <c r="H109" s="1">
        <v>33</v>
      </c>
      <c r="I109" s="6">
        <f t="shared" si="5"/>
        <v>4.20192087811571E-3</v>
      </c>
    </row>
    <row r="110" spans="1:9" x14ac:dyDescent="0.25">
      <c r="A110" s="3">
        <v>43526</v>
      </c>
      <c r="B110" s="1">
        <f t="shared" si="3"/>
        <v>722</v>
      </c>
      <c r="C110" s="1">
        <v>2058.3453627646468</v>
      </c>
      <c r="D110" s="1">
        <f t="shared" si="4"/>
        <v>1336.345362764647</v>
      </c>
      <c r="E110" s="2">
        <v>19</v>
      </c>
      <c r="F110" s="1">
        <v>108.33396646129721</v>
      </c>
      <c r="G110" s="1">
        <v>70.333966461297209</v>
      </c>
      <c r="H110" s="1">
        <v>38</v>
      </c>
      <c r="I110" s="6">
        <f t="shared" si="5"/>
        <v>2.0123485021724216E-2</v>
      </c>
    </row>
    <row r="111" spans="1:9" x14ac:dyDescent="0.25">
      <c r="A111" s="3">
        <v>43525</v>
      </c>
      <c r="B111" s="1">
        <f t="shared" si="3"/>
        <v>602</v>
      </c>
      <c r="C111" s="1">
        <v>1318.4273211861464</v>
      </c>
      <c r="D111" s="1">
        <f t="shared" si="4"/>
        <v>716.4273211861464</v>
      </c>
      <c r="E111" s="2">
        <v>14</v>
      </c>
      <c r="F111" s="1">
        <v>94.173380084724741</v>
      </c>
      <c r="G111" s="1">
        <v>51.173380084724741</v>
      </c>
      <c r="H111" s="1">
        <v>43</v>
      </c>
      <c r="I111" s="6">
        <f t="shared" si="5"/>
        <v>1.6693345529384861E-2</v>
      </c>
    </row>
    <row r="112" spans="1:9" x14ac:dyDescent="0.25">
      <c r="A112" s="3">
        <v>43517</v>
      </c>
      <c r="B112" s="1">
        <f t="shared" si="3"/>
        <v>1892</v>
      </c>
      <c r="C112" s="1">
        <v>3323.208542475415</v>
      </c>
      <c r="D112" s="1">
        <f t="shared" si="4"/>
        <v>1431.2085424754146</v>
      </c>
      <c r="E112" s="2">
        <v>22</v>
      </c>
      <c r="F112" s="1">
        <v>151.05493374888249</v>
      </c>
      <c r="G112" s="1">
        <v>65.054933748882476</v>
      </c>
      <c r="H112" s="1">
        <v>86</v>
      </c>
      <c r="I112" s="6">
        <f t="shared" si="5"/>
        <v>5.3567345072032931E-2</v>
      </c>
    </row>
    <row r="113" spans="1:9" x14ac:dyDescent="0.25">
      <c r="A113" s="3">
        <v>43501</v>
      </c>
      <c r="B113" s="1">
        <f t="shared" si="3"/>
        <v>270</v>
      </c>
      <c r="C113" s="1">
        <v>725.0894329109575</v>
      </c>
      <c r="D113" s="1">
        <f t="shared" si="4"/>
        <v>455.0894329109575</v>
      </c>
      <c r="E113" s="2">
        <v>5</v>
      </c>
      <c r="F113" s="1">
        <v>145.01788658219149</v>
      </c>
      <c r="G113" s="1">
        <v>91.017886582191494</v>
      </c>
      <c r="H113" s="1">
        <v>54</v>
      </c>
      <c r="I113" s="6">
        <f t="shared" si="5"/>
        <v>7.203292933912646E-3</v>
      </c>
    </row>
    <row r="114" spans="1:9" x14ac:dyDescent="0.25">
      <c r="A114" s="3">
        <v>43499</v>
      </c>
      <c r="B114" s="1">
        <f t="shared" si="3"/>
        <v>480</v>
      </c>
      <c r="C114" s="1">
        <v>1300.5940643500865</v>
      </c>
      <c r="D114" s="1">
        <f t="shared" si="4"/>
        <v>820.59406435008646</v>
      </c>
      <c r="E114" s="2">
        <v>12</v>
      </c>
      <c r="F114" s="1">
        <v>108.38283869584053</v>
      </c>
      <c r="G114" s="1">
        <v>68.382838695840533</v>
      </c>
      <c r="H114" s="1">
        <v>40</v>
      </c>
      <c r="I114" s="6">
        <f t="shared" si="5"/>
        <v>1.3206037045506517E-2</v>
      </c>
    </row>
    <row r="115" spans="1:9" x14ac:dyDescent="0.25">
      <c r="A115" s="3">
        <v>43498</v>
      </c>
      <c r="B115" s="1">
        <f t="shared" si="3"/>
        <v>840</v>
      </c>
      <c r="C115" s="1">
        <v>2462.0207728639889</v>
      </c>
      <c r="D115" s="1">
        <f t="shared" si="4"/>
        <v>1622.0207728639894</v>
      </c>
      <c r="E115" s="2">
        <v>28</v>
      </c>
      <c r="F115" s="1">
        <v>87.92931331657104</v>
      </c>
      <c r="G115" s="1">
        <v>57.929313316571047</v>
      </c>
      <c r="H115" s="1">
        <v>30</v>
      </c>
      <c r="I115" s="6">
        <f t="shared" si="5"/>
        <v>2.3496455522524582E-2</v>
      </c>
    </row>
    <row r="116" spans="1:9" x14ac:dyDescent="0.25">
      <c r="A116" s="3">
        <v>43466</v>
      </c>
      <c r="B116" s="1">
        <f t="shared" si="3"/>
        <v>1863</v>
      </c>
      <c r="C116" s="1">
        <v>3426.3612612443781</v>
      </c>
      <c r="D116" s="1">
        <f t="shared" si="4"/>
        <v>1563.3612612443781</v>
      </c>
      <c r="E116" s="2">
        <v>23</v>
      </c>
      <c r="F116" s="1">
        <v>148.97222874975557</v>
      </c>
      <c r="G116" s="1">
        <v>67.972228749755573</v>
      </c>
      <c r="H116" s="1">
        <v>81</v>
      </c>
      <c r="I116" s="6">
        <f t="shared" si="5"/>
        <v>5.2738394694717583E-2</v>
      </c>
    </row>
    <row r="117" spans="1:9" x14ac:dyDescent="0.25">
      <c r="A117" s="3">
        <v>43463</v>
      </c>
      <c r="B117" s="1">
        <f t="shared" si="3"/>
        <v>420</v>
      </c>
      <c r="C117" s="1">
        <v>700.71371921657953</v>
      </c>
      <c r="D117" s="1">
        <f t="shared" si="4"/>
        <v>280.71371921657959</v>
      </c>
      <c r="E117" s="2">
        <v>6</v>
      </c>
      <c r="F117" s="1">
        <v>116.78561986942992</v>
      </c>
      <c r="G117" s="1">
        <v>46.785619869429929</v>
      </c>
      <c r="H117" s="1">
        <v>70</v>
      </c>
      <c r="I117" s="6">
        <f t="shared" si="5"/>
        <v>1.149096729933684E-2</v>
      </c>
    </row>
    <row r="118" spans="1:9" x14ac:dyDescent="0.25">
      <c r="A118" s="3">
        <v>43434</v>
      </c>
      <c r="B118" s="1">
        <f t="shared" si="3"/>
        <v>2016</v>
      </c>
      <c r="C118" s="1">
        <v>5257.3957015789138</v>
      </c>
      <c r="D118" s="1">
        <f t="shared" si="4"/>
        <v>3241.3957015789133</v>
      </c>
      <c r="E118" s="2">
        <v>72</v>
      </c>
      <c r="F118" s="1">
        <v>73.01938474415158</v>
      </c>
      <c r="G118" s="1">
        <v>45.019384744151573</v>
      </c>
      <c r="H118" s="1">
        <v>28</v>
      </c>
      <c r="I118" s="6">
        <f t="shared" si="5"/>
        <v>5.7111822547450265E-2</v>
      </c>
    </row>
    <row r="119" spans="1:9" x14ac:dyDescent="0.25">
      <c r="A119" s="3">
        <v>43422</v>
      </c>
      <c r="B119" s="1">
        <f t="shared" si="3"/>
        <v>145</v>
      </c>
      <c r="C119" s="1">
        <v>392.5409800399384</v>
      </c>
      <c r="D119" s="1">
        <f t="shared" si="4"/>
        <v>247.5409800399384</v>
      </c>
      <c r="E119" s="2">
        <v>5</v>
      </c>
      <c r="F119" s="1">
        <v>78.508196007987678</v>
      </c>
      <c r="G119" s="1">
        <v>49.508196007987678</v>
      </c>
      <c r="H119" s="1">
        <v>29</v>
      </c>
      <c r="I119" s="6">
        <f t="shared" si="5"/>
        <v>3.6302309627258174E-3</v>
      </c>
    </row>
    <row r="120" spans="1:9" x14ac:dyDescent="0.25">
      <c r="A120" s="3">
        <v>43420</v>
      </c>
      <c r="B120" s="1">
        <f t="shared" si="3"/>
        <v>1120</v>
      </c>
      <c r="C120" s="1">
        <v>1874.6169731935945</v>
      </c>
      <c r="D120" s="1">
        <f t="shared" si="4"/>
        <v>754.6169731935945</v>
      </c>
      <c r="E120" s="2">
        <v>20</v>
      </c>
      <c r="F120" s="1">
        <v>93.730848659679722</v>
      </c>
      <c r="G120" s="1">
        <v>37.730848659679722</v>
      </c>
      <c r="H120" s="1">
        <v>56</v>
      </c>
      <c r="I120" s="6">
        <f t="shared" si="5"/>
        <v>3.1500114337983075E-2</v>
      </c>
    </row>
    <row r="121" spans="1:9" x14ac:dyDescent="0.25">
      <c r="A121" s="3">
        <v>43419</v>
      </c>
      <c r="B121" s="1">
        <f t="shared" si="3"/>
        <v>864</v>
      </c>
      <c r="C121" s="1">
        <v>1577.5780766739947</v>
      </c>
      <c r="D121" s="1">
        <f t="shared" si="4"/>
        <v>713.57807667399459</v>
      </c>
      <c r="E121" s="2">
        <v>24</v>
      </c>
      <c r="F121" s="1">
        <v>65.732419861416446</v>
      </c>
      <c r="G121" s="1">
        <v>29.732419861416442</v>
      </c>
      <c r="H121" s="1">
        <v>36</v>
      </c>
      <c r="I121" s="6">
        <f t="shared" si="5"/>
        <v>2.4182483420992454E-2</v>
      </c>
    </row>
    <row r="122" spans="1:9" x14ac:dyDescent="0.25">
      <c r="A122" s="3">
        <v>43417</v>
      </c>
      <c r="B122" s="1">
        <f t="shared" si="3"/>
        <v>3283</v>
      </c>
      <c r="C122" s="1">
        <v>5512.3920845569683</v>
      </c>
      <c r="D122" s="1">
        <f t="shared" si="4"/>
        <v>2229.3920845569678</v>
      </c>
      <c r="E122" s="2">
        <v>49</v>
      </c>
      <c r="F122" s="1">
        <v>112.49779764401976</v>
      </c>
      <c r="G122" s="1">
        <v>45.497797644019755</v>
      </c>
      <c r="H122" s="1">
        <v>67</v>
      </c>
      <c r="I122" s="6">
        <f t="shared" si="5"/>
        <v>9.332837868739996E-2</v>
      </c>
    </row>
    <row r="123" spans="1:9" x14ac:dyDescent="0.25">
      <c r="A123" s="3">
        <v>43388</v>
      </c>
      <c r="B123" s="1">
        <f t="shared" si="3"/>
        <v>3710</v>
      </c>
      <c r="C123" s="1">
        <v>7775.4113915813705</v>
      </c>
      <c r="D123" s="1">
        <f t="shared" si="4"/>
        <v>4065.41139158137</v>
      </c>
      <c r="E123" s="2">
        <v>106</v>
      </c>
      <c r="F123" s="1">
        <v>73.352937656428026</v>
      </c>
      <c r="G123" s="1">
        <v>38.352937656428018</v>
      </c>
      <c r="H123" s="1">
        <v>35</v>
      </c>
      <c r="I123" s="6">
        <f t="shared" si="5"/>
        <v>0.10553395838097417</v>
      </c>
    </row>
    <row r="124" spans="1:9" x14ac:dyDescent="0.25">
      <c r="A124" s="3">
        <v>43382</v>
      </c>
      <c r="B124" s="1">
        <f t="shared" si="3"/>
        <v>285</v>
      </c>
      <c r="C124" s="1">
        <v>596.95161546955455</v>
      </c>
      <c r="D124" s="1">
        <f t="shared" si="4"/>
        <v>311.9516154695545</v>
      </c>
      <c r="E124" s="2">
        <v>15</v>
      </c>
      <c r="F124" s="1">
        <v>39.796774364636967</v>
      </c>
      <c r="G124" s="1">
        <v>20.796774364636967</v>
      </c>
      <c r="H124" s="1">
        <v>19</v>
      </c>
      <c r="I124" s="6">
        <f t="shared" si="5"/>
        <v>7.6320603704550655E-3</v>
      </c>
    </row>
    <row r="125" spans="1:9" x14ac:dyDescent="0.25">
      <c r="A125" s="3">
        <v>43379</v>
      </c>
      <c r="B125" s="1">
        <f t="shared" si="3"/>
        <v>1695</v>
      </c>
      <c r="C125" s="1">
        <v>2942.4128507480459</v>
      </c>
      <c r="D125" s="1">
        <f t="shared" si="4"/>
        <v>1247.4128507480459</v>
      </c>
      <c r="E125" s="2">
        <v>15</v>
      </c>
      <c r="F125" s="1">
        <v>196.16085671653639</v>
      </c>
      <c r="G125" s="1">
        <v>83.160856716536401</v>
      </c>
      <c r="H125" s="1">
        <v>113</v>
      </c>
      <c r="I125" s="6">
        <f t="shared" si="5"/>
        <v>4.7936199405442491E-2</v>
      </c>
    </row>
    <row r="126" spans="1:9" x14ac:dyDescent="0.25">
      <c r="A126" s="3">
        <v>43369</v>
      </c>
      <c r="B126" s="1">
        <f t="shared" si="3"/>
        <v>368</v>
      </c>
      <c r="C126" s="1">
        <v>825.28718633097947</v>
      </c>
      <c r="D126" s="1">
        <f t="shared" si="4"/>
        <v>457.28718633097941</v>
      </c>
      <c r="E126" s="2">
        <v>16</v>
      </c>
      <c r="F126" s="1">
        <v>51.580449145686217</v>
      </c>
      <c r="G126" s="1">
        <v>28.580449145686213</v>
      </c>
      <c r="H126" s="1">
        <v>23</v>
      </c>
      <c r="I126" s="6">
        <f t="shared" si="5"/>
        <v>1.0004573519323118E-2</v>
      </c>
    </row>
    <row r="127" spans="1:9" x14ac:dyDescent="0.25">
      <c r="A127" s="3">
        <v>43315</v>
      </c>
      <c r="B127" s="1">
        <f t="shared" si="3"/>
        <v>1083</v>
      </c>
      <c r="C127" s="1">
        <v>2746.4988104642903</v>
      </c>
      <c r="D127" s="1">
        <f t="shared" si="4"/>
        <v>1663.4988104642903</v>
      </c>
      <c r="E127" s="2">
        <v>19</v>
      </c>
      <c r="F127" s="1">
        <v>144.55256897180476</v>
      </c>
      <c r="G127" s="1">
        <v>87.552568971804746</v>
      </c>
      <c r="H127" s="1">
        <v>57</v>
      </c>
      <c r="I127" s="6">
        <f t="shared" si="5"/>
        <v>3.0442487994511776E-2</v>
      </c>
    </row>
    <row r="128" spans="1:9" x14ac:dyDescent="0.25">
      <c r="A128" s="3">
        <v>43309</v>
      </c>
      <c r="B128" s="1">
        <f t="shared" si="3"/>
        <v>1134</v>
      </c>
      <c r="C128" s="1">
        <v>2884.3385247034385</v>
      </c>
      <c r="D128" s="1">
        <f t="shared" si="4"/>
        <v>1750.3385247034387</v>
      </c>
      <c r="E128" s="2">
        <v>27</v>
      </c>
      <c r="F128" s="1">
        <v>106.82735276679402</v>
      </c>
      <c r="G128" s="1">
        <v>64.827352766794021</v>
      </c>
      <c r="H128" s="1">
        <v>42</v>
      </c>
      <c r="I128" s="6">
        <f t="shared" si="5"/>
        <v>3.1900297278756005E-2</v>
      </c>
    </row>
    <row r="129" spans="1:9" x14ac:dyDescent="0.25">
      <c r="A129" s="3">
        <v>43308</v>
      </c>
      <c r="B129" s="1">
        <f t="shared" si="3"/>
        <v>1020</v>
      </c>
      <c r="C129" s="1">
        <v>2814.1654899540249</v>
      </c>
      <c r="D129" s="1">
        <f t="shared" si="4"/>
        <v>1794.1654899540249</v>
      </c>
      <c r="E129" s="2">
        <v>30</v>
      </c>
      <c r="F129" s="1">
        <v>93.805516331800831</v>
      </c>
      <c r="G129" s="1">
        <v>59.805516331800831</v>
      </c>
      <c r="H129" s="1">
        <v>34</v>
      </c>
      <c r="I129" s="6">
        <f t="shared" si="5"/>
        <v>2.8641664761033615E-2</v>
      </c>
    </row>
    <row r="130" spans="1:9" x14ac:dyDescent="0.25">
      <c r="A130" s="3">
        <v>43302</v>
      </c>
      <c r="B130" s="1">
        <f t="shared" ref="B130:B193" si="6">+E130*H130</f>
        <v>2009</v>
      </c>
      <c r="C130" s="1">
        <v>4750.2478058214983</v>
      </c>
      <c r="D130" s="1">
        <f t="shared" ref="D130:D193" si="7">+E130*G130</f>
        <v>2741.2478058214979</v>
      </c>
      <c r="E130" s="2">
        <v>41</v>
      </c>
      <c r="F130" s="1">
        <v>115.85970258101214</v>
      </c>
      <c r="G130" s="1">
        <v>66.859702581012144</v>
      </c>
      <c r="H130" s="1">
        <v>49</v>
      </c>
      <c r="I130" s="6">
        <f t="shared" si="5"/>
        <v>5.69117310770638E-2</v>
      </c>
    </row>
    <row r="131" spans="1:9" x14ac:dyDescent="0.25">
      <c r="A131" s="3">
        <v>43297</v>
      </c>
      <c r="B131" s="1">
        <f t="shared" si="6"/>
        <v>8064</v>
      </c>
      <c r="C131" s="1">
        <v>22115.504774785724</v>
      </c>
      <c r="D131" s="1">
        <f t="shared" si="7"/>
        <v>14051.504774785726</v>
      </c>
      <c r="E131" s="2">
        <v>144</v>
      </c>
      <c r="F131" s="1">
        <v>153.57989426934532</v>
      </c>
      <c r="G131" s="1">
        <v>97.579894269345317</v>
      </c>
      <c r="H131" s="1">
        <v>56</v>
      </c>
      <c r="I131" s="6">
        <f t="shared" ref="I131:I194" si="8">+(B131-MIN($B$2:$B$501))/(MAX($B$2:$B$501)-MIN($B$2:$B$501))</f>
        <v>0.22999085296135377</v>
      </c>
    </row>
    <row r="132" spans="1:9" x14ac:dyDescent="0.25">
      <c r="A132" s="3">
        <v>43281</v>
      </c>
      <c r="B132" s="1">
        <f t="shared" si="6"/>
        <v>140</v>
      </c>
      <c r="C132" s="1">
        <v>259.02571836581632</v>
      </c>
      <c r="D132" s="1">
        <f t="shared" si="7"/>
        <v>119.02571836581633</v>
      </c>
      <c r="E132" s="2">
        <v>2</v>
      </c>
      <c r="F132" s="1">
        <v>129.51285918290816</v>
      </c>
      <c r="G132" s="1">
        <v>59.512859182908166</v>
      </c>
      <c r="H132" s="1">
        <v>70</v>
      </c>
      <c r="I132" s="6">
        <f t="shared" si="8"/>
        <v>3.4873084838783442E-3</v>
      </c>
    </row>
    <row r="133" spans="1:9" x14ac:dyDescent="0.25">
      <c r="A133" s="3">
        <v>43279</v>
      </c>
      <c r="B133" s="1">
        <f t="shared" si="6"/>
        <v>1246</v>
      </c>
      <c r="C133" s="1">
        <v>2753.0073997998525</v>
      </c>
      <c r="D133" s="1">
        <f t="shared" si="7"/>
        <v>1507.0073997998525</v>
      </c>
      <c r="E133" s="2">
        <v>14</v>
      </c>
      <c r="F133" s="1">
        <v>196.64338569998947</v>
      </c>
      <c r="G133" s="1">
        <v>107.64338569998947</v>
      </c>
      <c r="H133" s="1">
        <v>89</v>
      </c>
      <c r="I133" s="6">
        <f t="shared" si="8"/>
        <v>3.5101760804939403E-2</v>
      </c>
    </row>
    <row r="134" spans="1:9" x14ac:dyDescent="0.25">
      <c r="A134" s="3">
        <v>43262</v>
      </c>
      <c r="B134" s="1">
        <f t="shared" si="6"/>
        <v>1600</v>
      </c>
      <c r="C134" s="1">
        <v>3833.0908229322672</v>
      </c>
      <c r="D134" s="1">
        <f t="shared" si="7"/>
        <v>2233.0908229322672</v>
      </c>
      <c r="E134" s="2">
        <v>40</v>
      </c>
      <c r="F134" s="1">
        <v>95.827270573306677</v>
      </c>
      <c r="G134" s="1">
        <v>55.827270573306677</v>
      </c>
      <c r="H134" s="1">
        <v>40</v>
      </c>
      <c r="I134" s="6">
        <f t="shared" si="8"/>
        <v>4.5220672307340497E-2</v>
      </c>
    </row>
    <row r="135" spans="1:9" x14ac:dyDescent="0.25">
      <c r="A135" s="3">
        <v>43252</v>
      </c>
      <c r="B135" s="1">
        <f t="shared" si="6"/>
        <v>854</v>
      </c>
      <c r="C135" s="1">
        <v>1634.1862208005614</v>
      </c>
      <c r="D135" s="1">
        <f t="shared" si="7"/>
        <v>780.18622080056116</v>
      </c>
      <c r="E135" s="2">
        <v>14</v>
      </c>
      <c r="F135" s="1">
        <v>116.72758720004009</v>
      </c>
      <c r="G135" s="1">
        <v>55.727587200040084</v>
      </c>
      <c r="H135" s="1">
        <v>61</v>
      </c>
      <c r="I135" s="6">
        <f t="shared" si="8"/>
        <v>2.3896638463297506E-2</v>
      </c>
    </row>
    <row r="136" spans="1:9" x14ac:dyDescent="0.25">
      <c r="A136" s="3">
        <v>43233</v>
      </c>
      <c r="B136" s="1">
        <f t="shared" si="6"/>
        <v>3500</v>
      </c>
      <c r="C136" s="1">
        <v>7351.4824416208494</v>
      </c>
      <c r="D136" s="1">
        <f t="shared" si="7"/>
        <v>3851.4824416208498</v>
      </c>
      <c r="E136" s="2">
        <v>50</v>
      </c>
      <c r="F136" s="1">
        <v>147.029648832417</v>
      </c>
      <c r="G136" s="1">
        <v>77.029648832416996</v>
      </c>
      <c r="H136" s="1">
        <v>70</v>
      </c>
      <c r="I136" s="6">
        <f t="shared" si="8"/>
        <v>9.9531214269380289E-2</v>
      </c>
    </row>
    <row r="137" spans="1:9" x14ac:dyDescent="0.25">
      <c r="A137" s="3">
        <v>43233</v>
      </c>
      <c r="B137" s="1">
        <f t="shared" si="6"/>
        <v>629</v>
      </c>
      <c r="C137" s="1">
        <v>1073.162996821387</v>
      </c>
      <c r="D137" s="1">
        <f t="shared" si="7"/>
        <v>444.16299682138697</v>
      </c>
      <c r="E137" s="2">
        <v>17</v>
      </c>
      <c r="F137" s="1">
        <v>63.127235107140407</v>
      </c>
      <c r="G137" s="1">
        <v>26.127235107140411</v>
      </c>
      <c r="H137" s="1">
        <v>37</v>
      </c>
      <c r="I137" s="6">
        <f t="shared" si="8"/>
        <v>1.7465126915161215E-2</v>
      </c>
    </row>
    <row r="138" spans="1:9" x14ac:dyDescent="0.25">
      <c r="A138" s="3">
        <v>43220</v>
      </c>
      <c r="B138" s="1">
        <f t="shared" si="6"/>
        <v>3726</v>
      </c>
      <c r="C138" s="1">
        <v>6465.0474129829954</v>
      </c>
      <c r="D138" s="1">
        <f t="shared" si="7"/>
        <v>2739.0474129829954</v>
      </c>
      <c r="E138" s="2">
        <v>69</v>
      </c>
      <c r="F138" s="1">
        <v>93.696339318594141</v>
      </c>
      <c r="G138" s="1">
        <v>39.696339318594134</v>
      </c>
      <c r="H138" s="1">
        <v>54</v>
      </c>
      <c r="I138" s="6">
        <f t="shared" si="8"/>
        <v>0.10599131031328607</v>
      </c>
    </row>
    <row r="139" spans="1:9" x14ac:dyDescent="0.25">
      <c r="A139" s="3">
        <v>43219</v>
      </c>
      <c r="B139" s="1">
        <f t="shared" si="6"/>
        <v>1989</v>
      </c>
      <c r="C139" s="1">
        <v>3876.0739985129139</v>
      </c>
      <c r="D139" s="1">
        <f t="shared" si="7"/>
        <v>1887.0739985129137</v>
      </c>
      <c r="E139" s="2">
        <v>51</v>
      </c>
      <c r="F139" s="1">
        <v>76.001450951233608</v>
      </c>
      <c r="G139" s="1">
        <v>37.001450951233601</v>
      </c>
      <c r="H139" s="1">
        <v>39</v>
      </c>
      <c r="I139" s="6">
        <f t="shared" si="8"/>
        <v>5.6340041161673911E-2</v>
      </c>
    </row>
    <row r="140" spans="1:9" x14ac:dyDescent="0.25">
      <c r="A140" s="3">
        <v>43208</v>
      </c>
      <c r="B140" s="1">
        <f t="shared" si="6"/>
        <v>435</v>
      </c>
      <c r="C140" s="1">
        <v>1019.420725502142</v>
      </c>
      <c r="D140" s="1">
        <f t="shared" si="7"/>
        <v>584.42072550214198</v>
      </c>
      <c r="E140" s="2">
        <v>29</v>
      </c>
      <c r="F140" s="1">
        <v>35.152438810418687</v>
      </c>
      <c r="G140" s="1">
        <v>20.15243881041869</v>
      </c>
      <c r="H140" s="1">
        <v>15</v>
      </c>
      <c r="I140" s="6">
        <f t="shared" si="8"/>
        <v>1.191973473587926E-2</v>
      </c>
    </row>
    <row r="141" spans="1:9" x14ac:dyDescent="0.25">
      <c r="A141" s="3">
        <v>43205</v>
      </c>
      <c r="B141" s="1">
        <f t="shared" si="6"/>
        <v>1122</v>
      </c>
      <c r="C141" s="1">
        <v>1967.0181764401029</v>
      </c>
      <c r="D141" s="1">
        <f t="shared" si="7"/>
        <v>845.01817644010293</v>
      </c>
      <c r="E141" s="2">
        <v>22</v>
      </c>
      <c r="F141" s="1">
        <v>89.409917110913767</v>
      </c>
      <c r="G141" s="1">
        <v>38.409917110913767</v>
      </c>
      <c r="H141" s="1">
        <v>51</v>
      </c>
      <c r="I141" s="6">
        <f t="shared" si="8"/>
        <v>3.1557283329522068E-2</v>
      </c>
    </row>
    <row r="142" spans="1:9" x14ac:dyDescent="0.25">
      <c r="A142" s="3">
        <v>43185</v>
      </c>
      <c r="B142" s="1">
        <f t="shared" si="6"/>
        <v>2150</v>
      </c>
      <c r="C142" s="1">
        <v>4760.9758926075783</v>
      </c>
      <c r="D142" s="1">
        <f t="shared" si="7"/>
        <v>2610.9758926075779</v>
      </c>
      <c r="E142" s="2">
        <v>50</v>
      </c>
      <c r="F142" s="1">
        <v>95.219517852151569</v>
      </c>
      <c r="G142" s="1">
        <v>52.219517852151561</v>
      </c>
      <c r="H142" s="1">
        <v>43</v>
      </c>
      <c r="I142" s="6">
        <f t="shared" si="8"/>
        <v>6.0942144980562545E-2</v>
      </c>
    </row>
    <row r="143" spans="1:9" x14ac:dyDescent="0.25">
      <c r="A143" s="3">
        <v>43177</v>
      </c>
      <c r="B143" s="1">
        <f t="shared" si="6"/>
        <v>520</v>
      </c>
      <c r="C143" s="1">
        <v>873.80047125785586</v>
      </c>
      <c r="D143" s="1">
        <f t="shared" si="7"/>
        <v>353.80047125785592</v>
      </c>
      <c r="E143" s="2">
        <v>4</v>
      </c>
      <c r="F143" s="1">
        <v>218.45011781446397</v>
      </c>
      <c r="G143" s="1">
        <v>88.450117814463979</v>
      </c>
      <c r="H143" s="1">
        <v>130</v>
      </c>
      <c r="I143" s="6">
        <f t="shared" si="8"/>
        <v>1.4349416876286302E-2</v>
      </c>
    </row>
    <row r="144" spans="1:9" x14ac:dyDescent="0.25">
      <c r="A144" s="3">
        <v>43174</v>
      </c>
      <c r="B144" s="1">
        <f t="shared" si="6"/>
        <v>180</v>
      </c>
      <c r="C144" s="1">
        <v>310.52477364548162</v>
      </c>
      <c r="D144" s="1">
        <f t="shared" si="7"/>
        <v>130.52477364548162</v>
      </c>
      <c r="E144" s="2">
        <v>4</v>
      </c>
      <c r="F144" s="1">
        <v>77.631193411370404</v>
      </c>
      <c r="G144" s="1">
        <v>32.631193411370404</v>
      </c>
      <c r="H144" s="1">
        <v>45</v>
      </c>
      <c r="I144" s="6">
        <f t="shared" si="8"/>
        <v>4.6306883146581294E-3</v>
      </c>
    </row>
    <row r="145" spans="1:9" x14ac:dyDescent="0.25">
      <c r="A145" s="3">
        <v>43166</v>
      </c>
      <c r="B145" s="1">
        <f t="shared" si="6"/>
        <v>290</v>
      </c>
      <c r="C145" s="1">
        <v>506.52455944013673</v>
      </c>
      <c r="D145" s="1">
        <f t="shared" si="7"/>
        <v>216.52455944013673</v>
      </c>
      <c r="E145" s="2">
        <v>5</v>
      </c>
      <c r="F145" s="1">
        <v>101.30491188802735</v>
      </c>
      <c r="G145" s="1">
        <v>43.304911888027348</v>
      </c>
      <c r="H145" s="1">
        <v>58</v>
      </c>
      <c r="I145" s="6">
        <f t="shared" si="8"/>
        <v>7.7749828493025386E-3</v>
      </c>
    </row>
    <row r="146" spans="1:9" x14ac:dyDescent="0.25">
      <c r="A146" s="3">
        <v>43161</v>
      </c>
      <c r="B146" s="1">
        <f t="shared" si="6"/>
        <v>448</v>
      </c>
      <c r="C146" s="1">
        <v>808.77758520966279</v>
      </c>
      <c r="D146" s="1">
        <f t="shared" si="7"/>
        <v>360.77758520966285</v>
      </c>
      <c r="E146" s="2">
        <v>7</v>
      </c>
      <c r="F146" s="1">
        <v>115.53965502995183</v>
      </c>
      <c r="G146" s="1">
        <v>51.539655029951838</v>
      </c>
      <c r="H146" s="1">
        <v>64</v>
      </c>
      <c r="I146" s="6">
        <f t="shared" si="8"/>
        <v>1.2291333180882689E-2</v>
      </c>
    </row>
    <row r="147" spans="1:9" x14ac:dyDescent="0.25">
      <c r="A147" s="3">
        <v>43160</v>
      </c>
      <c r="B147" s="1">
        <f t="shared" si="6"/>
        <v>1926</v>
      </c>
      <c r="C147" s="1">
        <v>3465.7147289993686</v>
      </c>
      <c r="D147" s="1">
        <f t="shared" si="7"/>
        <v>1539.7147289993686</v>
      </c>
      <c r="E147" s="2">
        <v>18</v>
      </c>
      <c r="F147" s="1">
        <v>192.53970716663159</v>
      </c>
      <c r="G147" s="1">
        <v>85.539707166631587</v>
      </c>
      <c r="H147" s="1">
        <v>107</v>
      </c>
      <c r="I147" s="6">
        <f t="shared" si="8"/>
        <v>5.4539217928195743E-2</v>
      </c>
    </row>
    <row r="148" spans="1:9" x14ac:dyDescent="0.25">
      <c r="A148" s="3">
        <v>43158</v>
      </c>
      <c r="B148" s="1">
        <f t="shared" si="6"/>
        <v>720</v>
      </c>
      <c r="C148" s="1">
        <v>1473.1296069700884</v>
      </c>
      <c r="D148" s="1">
        <f t="shared" si="7"/>
        <v>753.12960697008839</v>
      </c>
      <c r="E148" s="2">
        <v>12</v>
      </c>
      <c r="F148" s="1">
        <v>122.76080058084069</v>
      </c>
      <c r="G148" s="1">
        <v>62.760800580840694</v>
      </c>
      <c r="H148" s="1">
        <v>60</v>
      </c>
      <c r="I148" s="6">
        <f t="shared" si="8"/>
        <v>2.0066316030185227E-2</v>
      </c>
    </row>
    <row r="149" spans="1:9" x14ac:dyDescent="0.25">
      <c r="A149" s="3">
        <v>43147</v>
      </c>
      <c r="B149" s="1">
        <f t="shared" si="6"/>
        <v>5824</v>
      </c>
      <c r="C149" s="1">
        <v>11839.86370584257</v>
      </c>
      <c r="D149" s="1">
        <f t="shared" si="7"/>
        <v>6015.8637058425702</v>
      </c>
      <c r="E149" s="2">
        <v>112</v>
      </c>
      <c r="F149" s="1">
        <v>105.71306880216581</v>
      </c>
      <c r="G149" s="1">
        <v>53.713068802165807</v>
      </c>
      <c r="H149" s="1">
        <v>52</v>
      </c>
      <c r="I149" s="6">
        <f t="shared" si="8"/>
        <v>0.1659615824376858</v>
      </c>
    </row>
    <row r="150" spans="1:9" x14ac:dyDescent="0.25">
      <c r="A150" s="3">
        <v>43130</v>
      </c>
      <c r="B150" s="1">
        <f t="shared" si="6"/>
        <v>1995</v>
      </c>
      <c r="C150" s="1">
        <v>3867.6585419562316</v>
      </c>
      <c r="D150" s="1">
        <f t="shared" si="7"/>
        <v>1872.6585419562321</v>
      </c>
      <c r="E150" s="2">
        <v>57</v>
      </c>
      <c r="F150" s="1">
        <v>67.853658630811083</v>
      </c>
      <c r="G150" s="1">
        <v>32.85365863081109</v>
      </c>
      <c r="H150" s="1">
        <v>35</v>
      </c>
      <c r="I150" s="6">
        <f t="shared" si="8"/>
        <v>5.6511548136290876E-2</v>
      </c>
    </row>
    <row r="151" spans="1:9" x14ac:dyDescent="0.25">
      <c r="A151" s="3">
        <v>43130</v>
      </c>
      <c r="B151" s="1">
        <f t="shared" si="6"/>
        <v>756</v>
      </c>
      <c r="C151" s="1">
        <v>1310.7658480416037</v>
      </c>
      <c r="D151" s="1">
        <f t="shared" si="7"/>
        <v>554.7658480416037</v>
      </c>
      <c r="E151" s="2">
        <v>4</v>
      </c>
      <c r="F151" s="1">
        <v>327.69146201040093</v>
      </c>
      <c r="G151" s="1">
        <v>138.69146201040093</v>
      </c>
      <c r="H151" s="1">
        <v>189</v>
      </c>
      <c r="I151" s="6">
        <f t="shared" si="8"/>
        <v>2.1095357877887033E-2</v>
      </c>
    </row>
    <row r="152" spans="1:9" x14ac:dyDescent="0.25">
      <c r="A152" s="3">
        <v>43129</v>
      </c>
      <c r="B152" s="1">
        <f t="shared" si="6"/>
        <v>2205</v>
      </c>
      <c r="C152" s="1">
        <v>4821.5925266114655</v>
      </c>
      <c r="D152" s="1">
        <f t="shared" si="7"/>
        <v>2616.592526611465</v>
      </c>
      <c r="E152" s="2">
        <v>63</v>
      </c>
      <c r="F152" s="1">
        <v>76.533214708118493</v>
      </c>
      <c r="G152" s="1">
        <v>41.533214708118493</v>
      </c>
      <c r="H152" s="1">
        <v>35</v>
      </c>
      <c r="I152" s="6">
        <f t="shared" si="8"/>
        <v>6.2514292247884753E-2</v>
      </c>
    </row>
    <row r="153" spans="1:9" x14ac:dyDescent="0.25">
      <c r="A153" s="3">
        <v>43120</v>
      </c>
      <c r="B153" s="1">
        <f t="shared" si="6"/>
        <v>9640</v>
      </c>
      <c r="C153" s="1">
        <v>25477.307176838989</v>
      </c>
      <c r="D153" s="1">
        <f t="shared" si="7"/>
        <v>15837.307176838991</v>
      </c>
      <c r="E153" s="2">
        <v>241</v>
      </c>
      <c r="F153" s="1">
        <v>105.714967538751</v>
      </c>
      <c r="G153" s="1">
        <v>65.714967538750997</v>
      </c>
      <c r="H153" s="1">
        <v>40</v>
      </c>
      <c r="I153" s="6">
        <f t="shared" si="8"/>
        <v>0.27504001829407732</v>
      </c>
    </row>
    <row r="154" spans="1:9" x14ac:dyDescent="0.25">
      <c r="A154" s="3">
        <v>43113</v>
      </c>
      <c r="B154" s="1">
        <f t="shared" si="6"/>
        <v>377</v>
      </c>
      <c r="C154" s="1">
        <v>979.10156736937495</v>
      </c>
      <c r="D154" s="1">
        <f t="shared" si="7"/>
        <v>602.10156736937483</v>
      </c>
      <c r="E154" s="2">
        <v>13</v>
      </c>
      <c r="F154" s="1">
        <v>75.315505182259614</v>
      </c>
      <c r="G154" s="1">
        <v>46.315505182259606</v>
      </c>
      <c r="H154" s="1">
        <v>29</v>
      </c>
      <c r="I154" s="6">
        <f t="shared" si="8"/>
        <v>1.026183398124857E-2</v>
      </c>
    </row>
    <row r="155" spans="1:9" x14ac:dyDescent="0.25">
      <c r="A155" s="3">
        <v>43105</v>
      </c>
      <c r="B155" s="1">
        <f t="shared" si="6"/>
        <v>1036</v>
      </c>
      <c r="C155" s="1">
        <v>2745.8765185528346</v>
      </c>
      <c r="D155" s="1">
        <f t="shared" si="7"/>
        <v>1709.8765185528346</v>
      </c>
      <c r="E155" s="2">
        <v>28</v>
      </c>
      <c r="F155" s="1">
        <v>98.067018519744096</v>
      </c>
      <c r="G155" s="1">
        <v>61.067018519744096</v>
      </c>
      <c r="H155" s="1">
        <v>37</v>
      </c>
      <c r="I155" s="6">
        <f t="shared" si="8"/>
        <v>2.9099016693345529E-2</v>
      </c>
    </row>
    <row r="156" spans="1:9" x14ac:dyDescent="0.25">
      <c r="A156" s="3">
        <v>43101</v>
      </c>
      <c r="B156" s="1">
        <f t="shared" si="6"/>
        <v>440</v>
      </c>
      <c r="C156" s="1">
        <v>966.51978069120753</v>
      </c>
      <c r="D156" s="1">
        <f t="shared" si="7"/>
        <v>526.51978069120742</v>
      </c>
      <c r="E156" s="2">
        <v>11</v>
      </c>
      <c r="F156" s="1">
        <v>87.865434608291594</v>
      </c>
      <c r="G156" s="1">
        <v>47.865434608291586</v>
      </c>
      <c r="H156" s="1">
        <v>40</v>
      </c>
      <c r="I156" s="6">
        <f t="shared" si="8"/>
        <v>1.2062657214726732E-2</v>
      </c>
    </row>
    <row r="157" spans="1:9" x14ac:dyDescent="0.25">
      <c r="A157" s="3">
        <v>43092</v>
      </c>
      <c r="B157" s="1">
        <f t="shared" si="6"/>
        <v>434</v>
      </c>
      <c r="C157" s="1">
        <v>1188.3477426038623</v>
      </c>
      <c r="D157" s="1">
        <f t="shared" si="7"/>
        <v>754.34774260386234</v>
      </c>
      <c r="E157" s="2">
        <v>14</v>
      </c>
      <c r="F157" s="1">
        <v>84.881981614561596</v>
      </c>
      <c r="G157" s="1">
        <v>53.881981614561596</v>
      </c>
      <c r="H157" s="1">
        <v>31</v>
      </c>
      <c r="I157" s="6">
        <f t="shared" si="8"/>
        <v>1.1891150240109765E-2</v>
      </c>
    </row>
    <row r="158" spans="1:9" x14ac:dyDescent="0.25">
      <c r="A158" s="3">
        <v>43070</v>
      </c>
      <c r="B158" s="1">
        <f t="shared" si="6"/>
        <v>198</v>
      </c>
      <c r="C158" s="1">
        <v>431.81127863149942</v>
      </c>
      <c r="D158" s="1">
        <f t="shared" si="7"/>
        <v>233.81127863149942</v>
      </c>
      <c r="E158" s="2">
        <v>2</v>
      </c>
      <c r="F158" s="1">
        <v>215.90563931574971</v>
      </c>
      <c r="G158" s="1">
        <v>116.90563931574971</v>
      </c>
      <c r="H158" s="1">
        <v>99</v>
      </c>
      <c r="I158" s="6">
        <f t="shared" si="8"/>
        <v>5.1452092385090324E-3</v>
      </c>
    </row>
    <row r="159" spans="1:9" x14ac:dyDescent="0.25">
      <c r="A159" s="3">
        <v>43068</v>
      </c>
      <c r="B159" s="1">
        <f t="shared" si="6"/>
        <v>600</v>
      </c>
      <c r="C159" s="1">
        <v>1202.2844480722106</v>
      </c>
      <c r="D159" s="1">
        <f t="shared" si="7"/>
        <v>602.28444807221069</v>
      </c>
      <c r="E159" s="2">
        <v>12</v>
      </c>
      <c r="F159" s="1">
        <v>100.19037067268422</v>
      </c>
      <c r="G159" s="1">
        <v>50.190370672684224</v>
      </c>
      <c r="H159" s="1">
        <v>50</v>
      </c>
      <c r="I159" s="6">
        <f t="shared" si="8"/>
        <v>1.6636176537845871E-2</v>
      </c>
    </row>
    <row r="160" spans="1:9" x14ac:dyDescent="0.25">
      <c r="A160" s="3">
        <v>43065</v>
      </c>
      <c r="B160" s="1">
        <f t="shared" si="6"/>
        <v>155</v>
      </c>
      <c r="C160" s="1">
        <v>422.31963628779653</v>
      </c>
      <c r="D160" s="1">
        <f t="shared" si="7"/>
        <v>267.31963628779653</v>
      </c>
      <c r="E160" s="2">
        <v>5</v>
      </c>
      <c r="F160" s="1">
        <v>84.463927257559305</v>
      </c>
      <c r="G160" s="1">
        <v>53.463927257559305</v>
      </c>
      <c r="H160" s="1">
        <v>31</v>
      </c>
      <c r="I160" s="6">
        <f t="shared" si="8"/>
        <v>3.9160759204207637E-3</v>
      </c>
    </row>
    <row r="161" spans="1:9" x14ac:dyDescent="0.25">
      <c r="A161" s="3">
        <v>43041</v>
      </c>
      <c r="B161" s="1">
        <f t="shared" si="6"/>
        <v>161</v>
      </c>
      <c r="C161" s="1">
        <v>358.5108401146112</v>
      </c>
      <c r="D161" s="1">
        <f t="shared" si="7"/>
        <v>197.5108401146112</v>
      </c>
      <c r="E161" s="2">
        <v>7</v>
      </c>
      <c r="F161" s="1">
        <v>51.215834302087316</v>
      </c>
      <c r="G161" s="1">
        <v>28.215834302087313</v>
      </c>
      <c r="H161" s="1">
        <v>23</v>
      </c>
      <c r="I161" s="6">
        <f t="shared" si="8"/>
        <v>4.0875828950377316E-3</v>
      </c>
    </row>
    <row r="162" spans="1:9" x14ac:dyDescent="0.25">
      <c r="A162" s="3">
        <v>43041</v>
      </c>
      <c r="B162" s="1">
        <f t="shared" si="6"/>
        <v>657</v>
      </c>
      <c r="C162" s="1">
        <v>1860.3549452933262</v>
      </c>
      <c r="D162" s="1">
        <f t="shared" si="7"/>
        <v>1203.3549452933262</v>
      </c>
      <c r="E162" s="2">
        <v>9</v>
      </c>
      <c r="F162" s="1">
        <v>206.70610503259181</v>
      </c>
      <c r="G162" s="1">
        <v>133.70610503259181</v>
      </c>
      <c r="H162" s="1">
        <v>73</v>
      </c>
      <c r="I162" s="6">
        <f t="shared" si="8"/>
        <v>1.8265492796707066E-2</v>
      </c>
    </row>
    <row r="163" spans="1:9" x14ac:dyDescent="0.25">
      <c r="A163" s="3">
        <v>43026</v>
      </c>
      <c r="B163" s="1">
        <f t="shared" si="6"/>
        <v>975</v>
      </c>
      <c r="C163" s="1">
        <v>1798.42054531753</v>
      </c>
      <c r="D163" s="1">
        <f t="shared" si="7"/>
        <v>823.42054531753001</v>
      </c>
      <c r="E163" s="2">
        <v>15</v>
      </c>
      <c r="F163" s="1">
        <v>119.89470302116867</v>
      </c>
      <c r="G163" s="1">
        <v>54.894703021168667</v>
      </c>
      <c r="H163" s="1">
        <v>65</v>
      </c>
      <c r="I163" s="6">
        <f t="shared" si="8"/>
        <v>2.7355362451406358E-2</v>
      </c>
    </row>
    <row r="164" spans="1:9" x14ac:dyDescent="0.25">
      <c r="A164" s="3">
        <v>43020</v>
      </c>
      <c r="B164" s="1">
        <f t="shared" si="6"/>
        <v>100</v>
      </c>
      <c r="C164" s="1">
        <v>289.56841207814108</v>
      </c>
      <c r="D164" s="1">
        <f t="shared" si="7"/>
        <v>189.56841207814108</v>
      </c>
      <c r="E164" s="2">
        <v>5</v>
      </c>
      <c r="F164" s="1">
        <v>57.913682415628216</v>
      </c>
      <c r="G164" s="1">
        <v>37.913682415628216</v>
      </c>
      <c r="H164" s="1">
        <v>20</v>
      </c>
      <c r="I164" s="6">
        <f t="shared" si="8"/>
        <v>2.3439286530985595E-3</v>
      </c>
    </row>
    <row r="165" spans="1:9" x14ac:dyDescent="0.25">
      <c r="A165" s="3">
        <v>43020</v>
      </c>
      <c r="B165" s="1">
        <f t="shared" si="6"/>
        <v>650</v>
      </c>
      <c r="C165" s="1">
        <v>1527.1190597880798</v>
      </c>
      <c r="D165" s="1">
        <f t="shared" si="7"/>
        <v>877.11905978807988</v>
      </c>
      <c r="E165" s="2">
        <v>13</v>
      </c>
      <c r="F165" s="1">
        <v>117.47069690677537</v>
      </c>
      <c r="G165" s="1">
        <v>67.470696906775373</v>
      </c>
      <c r="H165" s="1">
        <v>50</v>
      </c>
      <c r="I165" s="6">
        <f t="shared" si="8"/>
        <v>1.8065401326320604E-2</v>
      </c>
    </row>
    <row r="166" spans="1:9" x14ac:dyDescent="0.25">
      <c r="A166" s="3">
        <v>43012</v>
      </c>
      <c r="B166" s="1">
        <f t="shared" si="6"/>
        <v>576</v>
      </c>
      <c r="C166" s="1">
        <v>1635.7920266463836</v>
      </c>
      <c r="D166" s="1">
        <f t="shared" si="7"/>
        <v>1059.7920266463839</v>
      </c>
      <c r="E166" s="2">
        <v>18</v>
      </c>
      <c r="F166" s="1">
        <v>90.87733481368798</v>
      </c>
      <c r="G166" s="1">
        <v>58.877334813687987</v>
      </c>
      <c r="H166" s="1">
        <v>32</v>
      </c>
      <c r="I166" s="6">
        <f t="shared" si="8"/>
        <v>1.5950148639378003E-2</v>
      </c>
    </row>
    <row r="167" spans="1:9" x14ac:dyDescent="0.25">
      <c r="A167" s="3">
        <v>43008</v>
      </c>
      <c r="B167" s="1">
        <f t="shared" si="6"/>
        <v>588</v>
      </c>
      <c r="C167" s="1">
        <v>989.3713685888689</v>
      </c>
      <c r="D167" s="1">
        <f t="shared" si="7"/>
        <v>401.37136858886879</v>
      </c>
      <c r="E167" s="2">
        <v>21</v>
      </c>
      <c r="F167" s="1">
        <v>47.112922313755661</v>
      </c>
      <c r="G167" s="1">
        <v>19.112922313755657</v>
      </c>
      <c r="H167" s="1">
        <v>28</v>
      </c>
      <c r="I167" s="6">
        <f t="shared" si="8"/>
        <v>1.6293162588611937E-2</v>
      </c>
    </row>
    <row r="168" spans="1:9" x14ac:dyDescent="0.25">
      <c r="A168" s="3">
        <v>42991</v>
      </c>
      <c r="B168" s="1">
        <f t="shared" si="6"/>
        <v>1240</v>
      </c>
      <c r="C168" s="1">
        <v>2868.1466123142663</v>
      </c>
      <c r="D168" s="1">
        <f t="shared" si="7"/>
        <v>1628.1466123142661</v>
      </c>
      <c r="E168" s="2">
        <v>20</v>
      </c>
      <c r="F168" s="1">
        <v>143.40733061571331</v>
      </c>
      <c r="G168" s="1">
        <v>81.407330615713306</v>
      </c>
      <c r="H168" s="1">
        <v>62</v>
      </c>
      <c r="I168" s="6">
        <f t="shared" si="8"/>
        <v>3.493025383032243E-2</v>
      </c>
    </row>
    <row r="169" spans="1:9" x14ac:dyDescent="0.25">
      <c r="A169" s="3">
        <v>42988</v>
      </c>
      <c r="B169" s="1">
        <f t="shared" si="6"/>
        <v>1080</v>
      </c>
      <c r="C169" s="1">
        <v>1845.3760131126269</v>
      </c>
      <c r="D169" s="1">
        <f t="shared" si="7"/>
        <v>765.37601311262677</v>
      </c>
      <c r="E169" s="2">
        <v>12</v>
      </c>
      <c r="F169" s="1">
        <v>153.78133442605224</v>
      </c>
      <c r="G169" s="1">
        <v>63.781334426052233</v>
      </c>
      <c r="H169" s="1">
        <v>90</v>
      </c>
      <c r="I169" s="6">
        <f t="shared" si="8"/>
        <v>3.0356734507203293E-2</v>
      </c>
    </row>
    <row r="170" spans="1:9" x14ac:dyDescent="0.25">
      <c r="A170" s="3">
        <v>42984</v>
      </c>
      <c r="B170" s="1">
        <f t="shared" si="6"/>
        <v>2800</v>
      </c>
      <c r="C170" s="1">
        <v>5440.3274404616941</v>
      </c>
      <c r="D170" s="1">
        <f t="shared" si="7"/>
        <v>2640.3274404616946</v>
      </c>
      <c r="E170" s="2">
        <v>56</v>
      </c>
      <c r="F170" s="1">
        <v>97.148704293958829</v>
      </c>
      <c r="G170" s="1">
        <v>47.148704293958829</v>
      </c>
      <c r="H170" s="1">
        <v>50</v>
      </c>
      <c r="I170" s="6">
        <f t="shared" si="8"/>
        <v>7.9522067230734045E-2</v>
      </c>
    </row>
    <row r="171" spans="1:9" x14ac:dyDescent="0.25">
      <c r="A171" s="3">
        <v>42977</v>
      </c>
      <c r="B171" s="1">
        <f t="shared" si="6"/>
        <v>4650</v>
      </c>
      <c r="C171" s="1">
        <v>8119.5054826808191</v>
      </c>
      <c r="D171" s="1">
        <f t="shared" si="7"/>
        <v>3469.5054826808187</v>
      </c>
      <c r="E171" s="2">
        <v>31</v>
      </c>
      <c r="F171" s="1">
        <v>261.91953169938125</v>
      </c>
      <c r="G171" s="1">
        <v>111.91953169938125</v>
      </c>
      <c r="H171" s="1">
        <v>150</v>
      </c>
      <c r="I171" s="6">
        <f t="shared" si="8"/>
        <v>0.13240338440429911</v>
      </c>
    </row>
    <row r="172" spans="1:9" x14ac:dyDescent="0.25">
      <c r="A172" s="3">
        <v>42961</v>
      </c>
      <c r="B172" s="1">
        <f t="shared" si="6"/>
        <v>1404</v>
      </c>
      <c r="C172" s="1">
        <v>2423.190643401223</v>
      </c>
      <c r="D172" s="1">
        <f t="shared" si="7"/>
        <v>1019.1906434012233</v>
      </c>
      <c r="E172" s="2">
        <v>18</v>
      </c>
      <c r="F172" s="1">
        <v>134.62170241117906</v>
      </c>
      <c r="G172" s="1">
        <v>56.621702411179072</v>
      </c>
      <c r="H172" s="1">
        <v>78</v>
      </c>
      <c r="I172" s="6">
        <f t="shared" si="8"/>
        <v>3.961811113651955E-2</v>
      </c>
    </row>
    <row r="173" spans="1:9" x14ac:dyDescent="0.25">
      <c r="A173" s="3">
        <v>42951</v>
      </c>
      <c r="B173" s="1">
        <f t="shared" si="6"/>
        <v>1716</v>
      </c>
      <c r="C173" s="1">
        <v>2901.0457929713875</v>
      </c>
      <c r="D173" s="1">
        <f t="shared" si="7"/>
        <v>1185.0457929713873</v>
      </c>
      <c r="E173" s="2">
        <v>13</v>
      </c>
      <c r="F173" s="1">
        <v>223.15736869010672</v>
      </c>
      <c r="G173" s="1">
        <v>91.157368690106722</v>
      </c>
      <c r="H173" s="1">
        <v>132</v>
      </c>
      <c r="I173" s="6">
        <f t="shared" si="8"/>
        <v>4.8536473816601873E-2</v>
      </c>
    </row>
    <row r="174" spans="1:9" x14ac:dyDescent="0.25">
      <c r="A174" s="3">
        <v>42949</v>
      </c>
      <c r="B174" s="1">
        <f t="shared" si="6"/>
        <v>10149</v>
      </c>
      <c r="C174" s="1">
        <v>18840.841067063695</v>
      </c>
      <c r="D174" s="1">
        <f t="shared" si="7"/>
        <v>8691.8410670636931</v>
      </c>
      <c r="E174" s="2">
        <v>199</v>
      </c>
      <c r="F174" s="1">
        <v>94.677593301827613</v>
      </c>
      <c r="G174" s="1">
        <v>43.677593301827606</v>
      </c>
      <c r="H174" s="1">
        <v>51</v>
      </c>
      <c r="I174" s="6">
        <f t="shared" si="8"/>
        <v>0.28958952664075005</v>
      </c>
    </row>
    <row r="175" spans="1:9" x14ac:dyDescent="0.25">
      <c r="A175" s="3">
        <v>42937</v>
      </c>
      <c r="B175" s="1">
        <f t="shared" si="6"/>
        <v>371</v>
      </c>
      <c r="C175" s="1">
        <v>798.03788830279143</v>
      </c>
      <c r="D175" s="1">
        <f t="shared" si="7"/>
        <v>427.03788830279143</v>
      </c>
      <c r="E175" s="2">
        <v>7</v>
      </c>
      <c r="F175" s="1">
        <v>114.00541261468449</v>
      </c>
      <c r="G175" s="1">
        <v>61.005412614684488</v>
      </c>
      <c r="H175" s="1">
        <v>53</v>
      </c>
      <c r="I175" s="6">
        <f t="shared" si="8"/>
        <v>1.0090327006631603E-2</v>
      </c>
    </row>
    <row r="176" spans="1:9" x14ac:dyDescent="0.25">
      <c r="A176" s="3">
        <v>42919</v>
      </c>
      <c r="B176" s="1">
        <f t="shared" si="6"/>
        <v>2736</v>
      </c>
      <c r="C176" s="1">
        <v>6037.753451149938</v>
      </c>
      <c r="D176" s="1">
        <f t="shared" si="7"/>
        <v>3301.753451149938</v>
      </c>
      <c r="E176" s="2">
        <v>48</v>
      </c>
      <c r="F176" s="1">
        <v>125.78653023229037</v>
      </c>
      <c r="G176" s="1">
        <v>68.786530232290374</v>
      </c>
      <c r="H176" s="1">
        <v>57</v>
      </c>
      <c r="I176" s="6">
        <f t="shared" si="8"/>
        <v>7.7692659501486391E-2</v>
      </c>
    </row>
    <row r="177" spans="1:9" x14ac:dyDescent="0.25">
      <c r="A177" s="3">
        <v>42918</v>
      </c>
      <c r="B177" s="1">
        <f t="shared" si="6"/>
        <v>630</v>
      </c>
      <c r="C177" s="1">
        <v>1549.0976529277016</v>
      </c>
      <c r="D177" s="1">
        <f t="shared" si="7"/>
        <v>919.09765292770157</v>
      </c>
      <c r="E177" s="2">
        <v>14</v>
      </c>
      <c r="F177" s="1">
        <v>110.64983235197869</v>
      </c>
      <c r="G177" s="1">
        <v>65.649832351978688</v>
      </c>
      <c r="H177" s="1">
        <v>45</v>
      </c>
      <c r="I177" s="6">
        <f t="shared" si="8"/>
        <v>1.7493711410930712E-2</v>
      </c>
    </row>
    <row r="178" spans="1:9" x14ac:dyDescent="0.25">
      <c r="A178" s="3">
        <v>42913</v>
      </c>
      <c r="B178" s="1">
        <f t="shared" si="6"/>
        <v>1533</v>
      </c>
      <c r="C178" s="1">
        <v>2620.4472330269018</v>
      </c>
      <c r="D178" s="1">
        <f t="shared" si="7"/>
        <v>1087.4472330269018</v>
      </c>
      <c r="E178" s="2">
        <v>21</v>
      </c>
      <c r="F178" s="1">
        <v>124.78320157270961</v>
      </c>
      <c r="G178" s="1">
        <v>51.783201572709615</v>
      </c>
      <c r="H178" s="1">
        <v>73</v>
      </c>
      <c r="I178" s="6">
        <f t="shared" si="8"/>
        <v>4.3305511090784357E-2</v>
      </c>
    </row>
    <row r="179" spans="1:9" x14ac:dyDescent="0.25">
      <c r="A179" s="3">
        <v>42912</v>
      </c>
      <c r="B179" s="1">
        <f t="shared" si="6"/>
        <v>4800</v>
      </c>
      <c r="C179" s="1">
        <v>12637.808043010031</v>
      </c>
      <c r="D179" s="1">
        <f t="shared" si="7"/>
        <v>7837.808043010029</v>
      </c>
      <c r="E179" s="2">
        <v>96</v>
      </c>
      <c r="F179" s="1">
        <v>131.64383378135449</v>
      </c>
      <c r="G179" s="1">
        <v>81.643833781354473</v>
      </c>
      <c r="H179" s="1">
        <v>50</v>
      </c>
      <c r="I179" s="6">
        <f t="shared" si="8"/>
        <v>0.13669105876972329</v>
      </c>
    </row>
    <row r="180" spans="1:9" x14ac:dyDescent="0.25">
      <c r="A180" s="3">
        <v>42892</v>
      </c>
      <c r="B180" s="1">
        <f t="shared" si="6"/>
        <v>396</v>
      </c>
      <c r="C180" s="1">
        <v>982.20268738348364</v>
      </c>
      <c r="D180" s="1">
        <f t="shared" si="7"/>
        <v>586.20268738348364</v>
      </c>
      <c r="E180" s="2">
        <v>11</v>
      </c>
      <c r="F180" s="1">
        <v>89.291153398498508</v>
      </c>
      <c r="G180" s="1">
        <v>53.291153398498508</v>
      </c>
      <c r="H180" s="1">
        <v>36</v>
      </c>
      <c r="I180" s="6">
        <f t="shared" si="8"/>
        <v>1.0804939400868969E-2</v>
      </c>
    </row>
    <row r="181" spans="1:9" x14ac:dyDescent="0.25">
      <c r="A181" s="3">
        <v>42888</v>
      </c>
      <c r="B181" s="1">
        <f t="shared" si="6"/>
        <v>1785</v>
      </c>
      <c r="C181" s="1">
        <v>4445.1735525561853</v>
      </c>
      <c r="D181" s="1">
        <f t="shared" si="7"/>
        <v>2660.1735525561853</v>
      </c>
      <c r="E181" s="2">
        <v>51</v>
      </c>
      <c r="F181" s="1">
        <v>87.160265736395786</v>
      </c>
      <c r="G181" s="1">
        <v>52.160265736395793</v>
      </c>
      <c r="H181" s="1">
        <v>35</v>
      </c>
      <c r="I181" s="6">
        <f t="shared" si="8"/>
        <v>5.0508804024697006E-2</v>
      </c>
    </row>
    <row r="182" spans="1:9" x14ac:dyDescent="0.25">
      <c r="A182" s="3">
        <v>42887</v>
      </c>
      <c r="B182" s="1">
        <f t="shared" si="6"/>
        <v>3645</v>
      </c>
      <c r="C182" s="1">
        <v>6669.147323824739</v>
      </c>
      <c r="D182" s="1">
        <f t="shared" si="7"/>
        <v>3024.1473238247395</v>
      </c>
      <c r="E182" s="2">
        <v>81</v>
      </c>
      <c r="F182" s="1">
        <v>82.335152145984438</v>
      </c>
      <c r="G182" s="1">
        <v>37.335152145984438</v>
      </c>
      <c r="H182" s="1">
        <v>45</v>
      </c>
      <c r="I182" s="6">
        <f t="shared" si="8"/>
        <v>0.10367596615595701</v>
      </c>
    </row>
    <row r="183" spans="1:9" x14ac:dyDescent="0.25">
      <c r="A183" s="3">
        <v>42874</v>
      </c>
      <c r="B183" s="1">
        <f t="shared" si="6"/>
        <v>988</v>
      </c>
      <c r="C183" s="1">
        <v>2360.778611844602</v>
      </c>
      <c r="D183" s="1">
        <f t="shared" si="7"/>
        <v>1372.7786118446024</v>
      </c>
      <c r="E183" s="2">
        <v>26</v>
      </c>
      <c r="F183" s="1">
        <v>90.799177378638547</v>
      </c>
      <c r="G183" s="1">
        <v>52.799177378638554</v>
      </c>
      <c r="H183" s="1">
        <v>38</v>
      </c>
      <c r="I183" s="6">
        <f t="shared" si="8"/>
        <v>2.7726960896409789E-2</v>
      </c>
    </row>
    <row r="184" spans="1:9" x14ac:dyDescent="0.25">
      <c r="A184" s="3">
        <v>42869</v>
      </c>
      <c r="B184" s="1">
        <f t="shared" si="6"/>
        <v>784</v>
      </c>
      <c r="C184" s="1">
        <v>1514.9028517219742</v>
      </c>
      <c r="D184" s="1">
        <f t="shared" si="7"/>
        <v>730.90285172197423</v>
      </c>
      <c r="E184" s="2">
        <v>16</v>
      </c>
      <c r="F184" s="1">
        <v>94.681428232623389</v>
      </c>
      <c r="G184" s="1">
        <v>45.681428232623389</v>
      </c>
      <c r="H184" s="1">
        <v>49</v>
      </c>
      <c r="I184" s="6">
        <f t="shared" si="8"/>
        <v>2.1895723759432884E-2</v>
      </c>
    </row>
    <row r="185" spans="1:9" x14ac:dyDescent="0.25">
      <c r="A185" s="3">
        <v>42866</v>
      </c>
      <c r="B185" s="1">
        <f t="shared" si="6"/>
        <v>1150</v>
      </c>
      <c r="C185" s="1">
        <v>2596.475708350551</v>
      </c>
      <c r="D185" s="1">
        <f t="shared" si="7"/>
        <v>1446.4757083505508</v>
      </c>
      <c r="E185" s="2">
        <v>25</v>
      </c>
      <c r="F185" s="1">
        <v>103.85902833402204</v>
      </c>
      <c r="G185" s="1">
        <v>57.859028334022035</v>
      </c>
      <c r="H185" s="1">
        <v>46</v>
      </c>
      <c r="I185" s="6">
        <f t="shared" si="8"/>
        <v>3.2357649211067915E-2</v>
      </c>
    </row>
    <row r="186" spans="1:9" x14ac:dyDescent="0.25">
      <c r="A186" s="3">
        <v>42856</v>
      </c>
      <c r="B186" s="1">
        <f t="shared" si="6"/>
        <v>99</v>
      </c>
      <c r="C186" s="1">
        <v>209.76800721511574</v>
      </c>
      <c r="D186" s="1">
        <f t="shared" si="7"/>
        <v>110.76800721511573</v>
      </c>
      <c r="E186" s="2">
        <v>3</v>
      </c>
      <c r="F186" s="1">
        <v>69.922669071705243</v>
      </c>
      <c r="G186" s="1">
        <v>36.922669071705243</v>
      </c>
      <c r="H186" s="1">
        <v>33</v>
      </c>
      <c r="I186" s="6">
        <f t="shared" si="8"/>
        <v>2.3153441573290647E-3</v>
      </c>
    </row>
    <row r="187" spans="1:9" x14ac:dyDescent="0.25">
      <c r="A187" s="3">
        <v>42837</v>
      </c>
      <c r="B187" s="1">
        <f t="shared" si="6"/>
        <v>1958</v>
      </c>
      <c r="C187" s="1">
        <v>3516.0738020989584</v>
      </c>
      <c r="D187" s="1">
        <f t="shared" si="7"/>
        <v>1558.0738020989586</v>
      </c>
      <c r="E187" s="2">
        <v>22</v>
      </c>
      <c r="F187" s="1">
        <v>159.82153645904356</v>
      </c>
      <c r="G187" s="1">
        <v>70.821536459043571</v>
      </c>
      <c r="H187" s="1">
        <v>89</v>
      </c>
      <c r="I187" s="6">
        <f t="shared" si="8"/>
        <v>5.5453921792819577E-2</v>
      </c>
    </row>
    <row r="188" spans="1:9" x14ac:dyDescent="0.25">
      <c r="A188" s="3">
        <v>42822</v>
      </c>
      <c r="B188" s="1">
        <f t="shared" si="6"/>
        <v>1328</v>
      </c>
      <c r="C188" s="1">
        <v>3123.3379875602322</v>
      </c>
      <c r="D188" s="1">
        <f t="shared" si="7"/>
        <v>1795.3379875602325</v>
      </c>
      <c r="E188" s="2">
        <v>16</v>
      </c>
      <c r="F188" s="1">
        <v>195.20862422251452</v>
      </c>
      <c r="G188" s="1">
        <v>112.20862422251453</v>
      </c>
      <c r="H188" s="1">
        <v>83</v>
      </c>
      <c r="I188" s="6">
        <f t="shared" si="8"/>
        <v>3.7445689458037959E-2</v>
      </c>
    </row>
    <row r="189" spans="1:9" x14ac:dyDescent="0.25">
      <c r="A189" s="3">
        <v>42819</v>
      </c>
      <c r="B189" s="1">
        <f t="shared" si="6"/>
        <v>207</v>
      </c>
      <c r="C189" s="1">
        <v>401.55061191131273</v>
      </c>
      <c r="D189" s="1">
        <f t="shared" si="7"/>
        <v>194.55061191131267</v>
      </c>
      <c r="E189" s="2">
        <v>3</v>
      </c>
      <c r="F189" s="1">
        <v>133.85020397043758</v>
      </c>
      <c r="G189" s="1">
        <v>64.850203970437562</v>
      </c>
      <c r="H189" s="1">
        <v>69</v>
      </c>
      <c r="I189" s="6">
        <f t="shared" si="8"/>
        <v>5.4024697004344847E-3</v>
      </c>
    </row>
    <row r="190" spans="1:9" x14ac:dyDescent="0.25">
      <c r="A190" s="3">
        <v>42813</v>
      </c>
      <c r="B190" s="1">
        <f t="shared" si="6"/>
        <v>290</v>
      </c>
      <c r="C190" s="1">
        <v>537.21591532425168</v>
      </c>
      <c r="D190" s="1">
        <f t="shared" si="7"/>
        <v>247.21591532425168</v>
      </c>
      <c r="E190" s="2">
        <v>5</v>
      </c>
      <c r="F190" s="1">
        <v>107.44318306485033</v>
      </c>
      <c r="G190" s="1">
        <v>49.443183064850338</v>
      </c>
      <c r="H190" s="1">
        <v>58</v>
      </c>
      <c r="I190" s="6">
        <f t="shared" si="8"/>
        <v>7.7749828493025386E-3</v>
      </c>
    </row>
    <row r="191" spans="1:9" x14ac:dyDescent="0.25">
      <c r="A191" s="3">
        <v>42799</v>
      </c>
      <c r="B191" s="1">
        <f t="shared" si="6"/>
        <v>132</v>
      </c>
      <c r="C191" s="1">
        <v>373.05779136047227</v>
      </c>
      <c r="D191" s="1">
        <f t="shared" si="7"/>
        <v>241.05779136047221</v>
      </c>
      <c r="E191" s="2">
        <v>11</v>
      </c>
      <c r="F191" s="1">
        <v>33.91434466913384</v>
      </c>
      <c r="G191" s="1">
        <v>21.914344669133836</v>
      </c>
      <c r="H191" s="1">
        <v>12</v>
      </c>
      <c r="I191" s="6">
        <f t="shared" si="8"/>
        <v>3.2586325177223876E-3</v>
      </c>
    </row>
    <row r="192" spans="1:9" x14ac:dyDescent="0.25">
      <c r="A192" s="3">
        <v>42797</v>
      </c>
      <c r="B192" s="1">
        <f t="shared" si="6"/>
        <v>196</v>
      </c>
      <c r="C192" s="1">
        <v>543.52748308029368</v>
      </c>
      <c r="D192" s="1">
        <f t="shared" si="7"/>
        <v>347.52748308029373</v>
      </c>
      <c r="E192" s="2">
        <v>4</v>
      </c>
      <c r="F192" s="1">
        <v>135.88187077007342</v>
      </c>
      <c r="G192" s="1">
        <v>86.881870770073434</v>
      </c>
      <c r="H192" s="1">
        <v>49</v>
      </c>
      <c r="I192" s="6">
        <f t="shared" si="8"/>
        <v>5.0880402469700436E-3</v>
      </c>
    </row>
    <row r="193" spans="1:9" x14ac:dyDescent="0.25">
      <c r="A193" s="3">
        <v>42796</v>
      </c>
      <c r="B193" s="1">
        <f t="shared" si="6"/>
        <v>2688</v>
      </c>
      <c r="C193" s="1">
        <v>4551.4976662263216</v>
      </c>
      <c r="D193" s="1">
        <f t="shared" si="7"/>
        <v>1863.4976662263216</v>
      </c>
      <c r="E193" s="2">
        <v>56</v>
      </c>
      <c r="F193" s="1">
        <v>81.276744039755741</v>
      </c>
      <c r="G193" s="1">
        <v>33.276744039755741</v>
      </c>
      <c r="H193" s="1">
        <v>48</v>
      </c>
      <c r="I193" s="6">
        <f t="shared" si="8"/>
        <v>7.6320603704550655E-2</v>
      </c>
    </row>
    <row r="194" spans="1:9" x14ac:dyDescent="0.25">
      <c r="A194" s="3">
        <v>42792</v>
      </c>
      <c r="B194" s="1">
        <f t="shared" ref="B194:B257" si="9">+E194*H194</f>
        <v>405</v>
      </c>
      <c r="C194" s="1">
        <v>697.36663507256571</v>
      </c>
      <c r="D194" s="1">
        <f t="shared" ref="D194:D257" si="10">+E194*G194</f>
        <v>292.36663507256571</v>
      </c>
      <c r="E194" s="2">
        <v>5</v>
      </c>
      <c r="F194" s="1">
        <v>139.47332701451313</v>
      </c>
      <c r="G194" s="1">
        <v>58.473327014513146</v>
      </c>
      <c r="H194" s="1">
        <v>81</v>
      </c>
      <c r="I194" s="6">
        <f t="shared" si="8"/>
        <v>1.1062199862794421E-2</v>
      </c>
    </row>
    <row r="195" spans="1:9" x14ac:dyDescent="0.25">
      <c r="A195" s="3">
        <v>42787</v>
      </c>
      <c r="B195" s="1">
        <f t="shared" si="9"/>
        <v>288</v>
      </c>
      <c r="C195" s="1">
        <v>577.18834648151847</v>
      </c>
      <c r="D195" s="1">
        <f t="shared" si="10"/>
        <v>289.18834648151841</v>
      </c>
      <c r="E195" s="2">
        <v>8</v>
      </c>
      <c r="F195" s="1">
        <v>72.148543310189808</v>
      </c>
      <c r="G195" s="1">
        <v>36.148543310189801</v>
      </c>
      <c r="H195" s="1">
        <v>36</v>
      </c>
      <c r="I195" s="6">
        <f t="shared" ref="I195:I258" si="11">+(B195-MIN($B$2:$B$501))/(MAX($B$2:$B$501)-MIN($B$2:$B$501))</f>
        <v>7.717813857763549E-3</v>
      </c>
    </row>
    <row r="196" spans="1:9" x14ac:dyDescent="0.25">
      <c r="A196" s="3">
        <v>42759</v>
      </c>
      <c r="B196" s="1">
        <f t="shared" si="9"/>
        <v>987</v>
      </c>
      <c r="C196" s="1">
        <v>1986.2683565057853</v>
      </c>
      <c r="D196" s="1">
        <f t="shared" si="10"/>
        <v>999.26835650578528</v>
      </c>
      <c r="E196" s="2">
        <v>21</v>
      </c>
      <c r="F196" s="1">
        <v>94.584207452656443</v>
      </c>
      <c r="G196" s="1">
        <v>47.584207452656443</v>
      </c>
      <c r="H196" s="1">
        <v>47</v>
      </c>
      <c r="I196" s="6">
        <f t="shared" si="11"/>
        <v>2.7698376400640292E-2</v>
      </c>
    </row>
    <row r="197" spans="1:9" x14ac:dyDescent="0.25">
      <c r="A197" s="3">
        <v>42756</v>
      </c>
      <c r="B197" s="1">
        <f t="shared" si="9"/>
        <v>3828</v>
      </c>
      <c r="C197" s="1">
        <v>6452.5148059645198</v>
      </c>
      <c r="D197" s="1">
        <f t="shared" si="10"/>
        <v>2624.5148059645203</v>
      </c>
      <c r="E197" s="2">
        <v>33</v>
      </c>
      <c r="F197" s="1">
        <v>195.53075169589454</v>
      </c>
      <c r="G197" s="1">
        <v>79.530751695894551</v>
      </c>
      <c r="H197" s="1">
        <v>116</v>
      </c>
      <c r="I197" s="6">
        <f t="shared" si="11"/>
        <v>0.10890692888177453</v>
      </c>
    </row>
    <row r="198" spans="1:9" x14ac:dyDescent="0.25">
      <c r="A198" s="3">
        <v>42739</v>
      </c>
      <c r="B198" s="1">
        <f t="shared" si="9"/>
        <v>162</v>
      </c>
      <c r="C198" s="1">
        <v>385.8886620659556</v>
      </c>
      <c r="D198" s="1">
        <f t="shared" si="10"/>
        <v>223.88866206595554</v>
      </c>
      <c r="E198" s="2">
        <v>3</v>
      </c>
      <c r="F198" s="1">
        <v>128.6295540219852</v>
      </c>
      <c r="G198" s="1">
        <v>74.629554021985186</v>
      </c>
      <c r="H198" s="1">
        <v>54</v>
      </c>
      <c r="I198" s="6">
        <f t="shared" si="11"/>
        <v>4.1161673908072264E-3</v>
      </c>
    </row>
    <row r="199" spans="1:9" x14ac:dyDescent="0.25">
      <c r="A199" s="3">
        <v>42730</v>
      </c>
      <c r="B199" s="1">
        <f t="shared" si="9"/>
        <v>1404</v>
      </c>
      <c r="C199" s="1">
        <v>2801.7906325157751</v>
      </c>
      <c r="D199" s="1">
        <f t="shared" si="10"/>
        <v>1397.7906325157751</v>
      </c>
      <c r="E199" s="2">
        <v>18</v>
      </c>
      <c r="F199" s="1">
        <v>155.65503513976529</v>
      </c>
      <c r="G199" s="1">
        <v>77.655035139765289</v>
      </c>
      <c r="H199" s="1">
        <v>78</v>
      </c>
      <c r="I199" s="6">
        <f t="shared" si="11"/>
        <v>3.961811113651955E-2</v>
      </c>
    </row>
    <row r="200" spans="1:9" x14ac:dyDescent="0.25">
      <c r="A200" s="3">
        <v>42727</v>
      </c>
      <c r="B200" s="1">
        <f t="shared" si="9"/>
        <v>924</v>
      </c>
      <c r="C200" s="1">
        <v>2429.7204621728283</v>
      </c>
      <c r="D200" s="1">
        <f t="shared" si="10"/>
        <v>1505.7204621728283</v>
      </c>
      <c r="E200" s="2">
        <v>21</v>
      </c>
      <c r="F200" s="1">
        <v>115.70097438918231</v>
      </c>
      <c r="G200" s="1">
        <v>71.700974389182306</v>
      </c>
      <c r="H200" s="1">
        <v>44</v>
      </c>
      <c r="I200" s="6">
        <f t="shared" si="11"/>
        <v>2.5897553167162132E-2</v>
      </c>
    </row>
    <row r="201" spans="1:9" x14ac:dyDescent="0.25">
      <c r="A201" s="3">
        <v>42726</v>
      </c>
      <c r="B201" s="1">
        <f t="shared" si="9"/>
        <v>780</v>
      </c>
      <c r="C201" s="1">
        <v>1630.8223086724397</v>
      </c>
      <c r="D201" s="1">
        <f t="shared" si="10"/>
        <v>850.82230867243982</v>
      </c>
      <c r="E201" s="2">
        <v>26</v>
      </c>
      <c r="F201" s="1">
        <v>62.723934948939991</v>
      </c>
      <c r="G201" s="1">
        <v>32.723934948939991</v>
      </c>
      <c r="H201" s="1">
        <v>30</v>
      </c>
      <c r="I201" s="6">
        <f t="shared" si="11"/>
        <v>2.1781385776354904E-2</v>
      </c>
    </row>
    <row r="202" spans="1:9" x14ac:dyDescent="0.25">
      <c r="A202" s="3">
        <v>42711</v>
      </c>
      <c r="B202" s="1">
        <f t="shared" si="9"/>
        <v>1460</v>
      </c>
      <c r="C202" s="1">
        <v>4198.6643653517376</v>
      </c>
      <c r="D202" s="1">
        <f t="shared" si="10"/>
        <v>2738.6643653517381</v>
      </c>
      <c r="E202" s="2">
        <v>73</v>
      </c>
      <c r="F202" s="1">
        <v>57.515950210297781</v>
      </c>
      <c r="G202" s="1">
        <v>37.515950210297781</v>
      </c>
      <c r="H202" s="1">
        <v>20</v>
      </c>
      <c r="I202" s="6">
        <f t="shared" si="11"/>
        <v>4.1218842899611252E-2</v>
      </c>
    </row>
    <row r="203" spans="1:9" x14ac:dyDescent="0.25">
      <c r="A203" s="3">
        <v>42685</v>
      </c>
      <c r="B203" s="1">
        <f t="shared" si="9"/>
        <v>369</v>
      </c>
      <c r="C203" s="1">
        <v>728.00133857768969</v>
      </c>
      <c r="D203" s="1">
        <f t="shared" si="10"/>
        <v>359.00133857768981</v>
      </c>
      <c r="E203" s="2">
        <v>9</v>
      </c>
      <c r="F203" s="1">
        <v>80.889037619743306</v>
      </c>
      <c r="G203" s="1">
        <v>39.889037619743313</v>
      </c>
      <c r="H203" s="1">
        <v>41</v>
      </c>
      <c r="I203" s="6">
        <f t="shared" si="11"/>
        <v>1.0033158015092613E-2</v>
      </c>
    </row>
    <row r="204" spans="1:9" x14ac:dyDescent="0.25">
      <c r="A204" s="3">
        <v>42672</v>
      </c>
      <c r="B204" s="1">
        <f t="shared" si="9"/>
        <v>475</v>
      </c>
      <c r="C204" s="1">
        <v>900.66600519512895</v>
      </c>
      <c r="D204" s="1">
        <f t="shared" si="10"/>
        <v>425.66600519512889</v>
      </c>
      <c r="E204" s="2">
        <v>25</v>
      </c>
      <c r="F204" s="1">
        <v>36.026640207805158</v>
      </c>
      <c r="G204" s="1">
        <v>17.026640207805155</v>
      </c>
      <c r="H204" s="1">
        <v>19</v>
      </c>
      <c r="I204" s="6">
        <f t="shared" si="11"/>
        <v>1.3063114566659043E-2</v>
      </c>
    </row>
    <row r="205" spans="1:9" x14ac:dyDescent="0.25">
      <c r="A205" s="3">
        <v>42653</v>
      </c>
      <c r="B205" s="1">
        <f t="shared" si="9"/>
        <v>522</v>
      </c>
      <c r="C205" s="1">
        <v>1008.7822271839731</v>
      </c>
      <c r="D205" s="1">
        <f t="shared" si="10"/>
        <v>486.78222718397296</v>
      </c>
      <c r="E205" s="2">
        <v>9</v>
      </c>
      <c r="F205" s="1">
        <v>112.08691413155256</v>
      </c>
      <c r="G205" s="1">
        <v>54.086914131552554</v>
      </c>
      <c r="H205" s="1">
        <v>58</v>
      </c>
      <c r="I205" s="6">
        <f t="shared" si="11"/>
        <v>1.4406585867825292E-2</v>
      </c>
    </row>
    <row r="206" spans="1:9" x14ac:dyDescent="0.25">
      <c r="A206" s="3">
        <v>42650</v>
      </c>
      <c r="B206" s="1">
        <f t="shared" si="9"/>
        <v>624</v>
      </c>
      <c r="C206" s="1">
        <v>1199.9097973571811</v>
      </c>
      <c r="D206" s="1">
        <f t="shared" si="10"/>
        <v>575.90979735718111</v>
      </c>
      <c r="E206" s="2">
        <v>12</v>
      </c>
      <c r="F206" s="1">
        <v>99.99248311309843</v>
      </c>
      <c r="G206" s="1">
        <v>47.99248311309843</v>
      </c>
      <c r="H206" s="1">
        <v>52</v>
      </c>
      <c r="I206" s="6">
        <f t="shared" si="11"/>
        <v>1.7322204436313743E-2</v>
      </c>
    </row>
    <row r="207" spans="1:9" x14ac:dyDescent="0.25">
      <c r="A207" s="3">
        <v>42646</v>
      </c>
      <c r="B207" s="1">
        <f t="shared" si="9"/>
        <v>1209</v>
      </c>
      <c r="C207" s="1">
        <v>2918.5735732345879</v>
      </c>
      <c r="D207" s="1">
        <f t="shared" si="10"/>
        <v>1709.5735732345879</v>
      </c>
      <c r="E207" s="2">
        <v>39</v>
      </c>
      <c r="F207" s="1">
        <v>74.83521982652789</v>
      </c>
      <c r="G207" s="1">
        <v>43.835219826527897</v>
      </c>
      <c r="H207" s="1">
        <v>31</v>
      </c>
      <c r="I207" s="6">
        <f t="shared" si="11"/>
        <v>3.4044134461468097E-2</v>
      </c>
    </row>
    <row r="208" spans="1:9" x14ac:dyDescent="0.25">
      <c r="A208" s="3">
        <v>42638</v>
      </c>
      <c r="B208" s="1">
        <f t="shared" si="9"/>
        <v>651</v>
      </c>
      <c r="C208" s="1">
        <v>1189.9805742082863</v>
      </c>
      <c r="D208" s="1">
        <f t="shared" si="10"/>
        <v>538.98057420828638</v>
      </c>
      <c r="E208" s="2">
        <v>7</v>
      </c>
      <c r="F208" s="1">
        <v>169.99722488689804</v>
      </c>
      <c r="G208" s="1">
        <v>76.997224886898053</v>
      </c>
      <c r="H208" s="1">
        <v>93</v>
      </c>
      <c r="I208" s="6">
        <f t="shared" si="11"/>
        <v>1.8093985822090097E-2</v>
      </c>
    </row>
    <row r="209" spans="1:9" x14ac:dyDescent="0.25">
      <c r="A209" s="3">
        <v>42629</v>
      </c>
      <c r="B209" s="1">
        <f t="shared" si="9"/>
        <v>1755</v>
      </c>
      <c r="C209" s="1">
        <v>3142.3281442306816</v>
      </c>
      <c r="D209" s="1">
        <f t="shared" si="10"/>
        <v>1387.3281442306813</v>
      </c>
      <c r="E209" s="2">
        <v>27</v>
      </c>
      <c r="F209" s="1">
        <v>116.38252386039561</v>
      </c>
      <c r="G209" s="1">
        <v>51.382523860395608</v>
      </c>
      <c r="H209" s="1">
        <v>65</v>
      </c>
      <c r="I209" s="6">
        <f t="shared" si="11"/>
        <v>4.9651269151612165E-2</v>
      </c>
    </row>
    <row r="210" spans="1:9" x14ac:dyDescent="0.25">
      <c r="A210" s="3">
        <v>42628</v>
      </c>
      <c r="B210" s="1">
        <f t="shared" si="9"/>
        <v>1188</v>
      </c>
      <c r="C210" s="1">
        <v>2188.2777767192911</v>
      </c>
      <c r="D210" s="1">
        <f t="shared" si="10"/>
        <v>1000.2777767192912</v>
      </c>
      <c r="E210" s="2">
        <v>33</v>
      </c>
      <c r="F210" s="1">
        <v>66.311447779372457</v>
      </c>
      <c r="G210" s="1">
        <v>30.311447779372461</v>
      </c>
      <c r="H210" s="1">
        <v>36</v>
      </c>
      <c r="I210" s="6">
        <f t="shared" si="11"/>
        <v>3.3443860050308714E-2</v>
      </c>
    </row>
    <row r="211" spans="1:9" x14ac:dyDescent="0.25">
      <c r="A211" s="3">
        <v>42624</v>
      </c>
      <c r="B211" s="1">
        <f t="shared" si="9"/>
        <v>231</v>
      </c>
      <c r="C211" s="1">
        <v>566.84727024897745</v>
      </c>
      <c r="D211" s="1">
        <f t="shared" si="10"/>
        <v>335.8472702489774</v>
      </c>
      <c r="E211" s="2">
        <v>11</v>
      </c>
      <c r="F211" s="1">
        <v>51.531570022634313</v>
      </c>
      <c r="G211" s="1">
        <v>30.531570022634309</v>
      </c>
      <c r="H211" s="1">
        <v>21</v>
      </c>
      <c r="I211" s="6">
        <f t="shared" si="11"/>
        <v>6.0884975989023557E-3</v>
      </c>
    </row>
    <row r="212" spans="1:9" x14ac:dyDescent="0.25">
      <c r="A212" s="3">
        <v>42618</v>
      </c>
      <c r="B212" s="1">
        <f t="shared" si="9"/>
        <v>1860</v>
      </c>
      <c r="C212" s="1">
        <v>4018.6029453383303</v>
      </c>
      <c r="D212" s="1">
        <f t="shared" si="10"/>
        <v>2158.6029453383303</v>
      </c>
      <c r="E212" s="2">
        <v>15</v>
      </c>
      <c r="F212" s="1">
        <v>267.90686302255534</v>
      </c>
      <c r="G212" s="1">
        <v>143.90686302255534</v>
      </c>
      <c r="H212" s="1">
        <v>124</v>
      </c>
      <c r="I212" s="6">
        <f t="shared" si="11"/>
        <v>5.2652641207409104E-2</v>
      </c>
    </row>
    <row r="213" spans="1:9" x14ac:dyDescent="0.25">
      <c r="A213" s="3">
        <v>42618</v>
      </c>
      <c r="B213" s="1">
        <f t="shared" si="9"/>
        <v>776</v>
      </c>
      <c r="C213" s="1">
        <v>1463.5118502400246</v>
      </c>
      <c r="D213" s="1">
        <f t="shared" si="10"/>
        <v>687.51185024002473</v>
      </c>
      <c r="E213" s="2">
        <v>8</v>
      </c>
      <c r="F213" s="1">
        <v>182.93898128000308</v>
      </c>
      <c r="G213" s="1">
        <v>85.938981280003091</v>
      </c>
      <c r="H213" s="1">
        <v>97</v>
      </c>
      <c r="I213" s="6">
        <f t="shared" si="11"/>
        <v>2.1667047793276925E-2</v>
      </c>
    </row>
    <row r="214" spans="1:9" x14ac:dyDescent="0.25">
      <c r="A214" s="3">
        <v>42608</v>
      </c>
      <c r="B214" s="1">
        <f t="shared" si="9"/>
        <v>1320</v>
      </c>
      <c r="C214" s="1">
        <v>2305.6543926010745</v>
      </c>
      <c r="D214" s="1">
        <f t="shared" si="10"/>
        <v>985.65439260107473</v>
      </c>
      <c r="E214" s="2">
        <v>12</v>
      </c>
      <c r="F214" s="1">
        <v>192.13786605008954</v>
      </c>
      <c r="G214" s="1">
        <v>82.137866050089556</v>
      </c>
      <c r="H214" s="1">
        <v>110</v>
      </c>
      <c r="I214" s="6">
        <f t="shared" si="11"/>
        <v>3.7217013491882001E-2</v>
      </c>
    </row>
    <row r="215" spans="1:9" x14ac:dyDescent="0.25">
      <c r="A215" s="3">
        <v>42587</v>
      </c>
      <c r="B215" s="1">
        <f t="shared" si="9"/>
        <v>264</v>
      </c>
      <c r="C215" s="1">
        <v>627.12169776250403</v>
      </c>
      <c r="D215" s="1">
        <f t="shared" si="10"/>
        <v>363.12169776250403</v>
      </c>
      <c r="E215" s="2">
        <v>11</v>
      </c>
      <c r="F215" s="1">
        <v>57.011063432954913</v>
      </c>
      <c r="G215" s="1">
        <v>33.011063432954913</v>
      </c>
      <c r="H215" s="1">
        <v>24</v>
      </c>
      <c r="I215" s="6">
        <f t="shared" si="11"/>
        <v>7.0317859592956781E-3</v>
      </c>
    </row>
    <row r="216" spans="1:9" x14ac:dyDescent="0.25">
      <c r="A216" s="3">
        <v>42568</v>
      </c>
      <c r="B216" s="1">
        <f t="shared" si="9"/>
        <v>8774</v>
      </c>
      <c r="C216" s="1">
        <v>17001.022723463269</v>
      </c>
      <c r="D216" s="1">
        <f t="shared" si="10"/>
        <v>8227.0227234632694</v>
      </c>
      <c r="E216" s="2">
        <v>107</v>
      </c>
      <c r="F216" s="1">
        <v>158.88806283610532</v>
      </c>
      <c r="G216" s="1">
        <v>76.88806283610532</v>
      </c>
      <c r="H216" s="1">
        <v>82</v>
      </c>
      <c r="I216" s="6">
        <f t="shared" si="11"/>
        <v>0.25028584495769496</v>
      </c>
    </row>
    <row r="217" spans="1:9" x14ac:dyDescent="0.25">
      <c r="A217" s="3">
        <v>42546</v>
      </c>
      <c r="B217" s="1">
        <f t="shared" si="9"/>
        <v>132</v>
      </c>
      <c r="C217" s="1">
        <v>293.25382240453382</v>
      </c>
      <c r="D217" s="1">
        <f t="shared" si="10"/>
        <v>161.25382240453382</v>
      </c>
      <c r="E217" s="2">
        <v>6</v>
      </c>
      <c r="F217" s="1">
        <v>48.875637067422304</v>
      </c>
      <c r="G217" s="1">
        <v>26.875637067422304</v>
      </c>
      <c r="H217" s="1">
        <v>22</v>
      </c>
      <c r="I217" s="6">
        <f t="shared" si="11"/>
        <v>3.2586325177223876E-3</v>
      </c>
    </row>
    <row r="218" spans="1:9" x14ac:dyDescent="0.25">
      <c r="A218" s="3">
        <v>42541</v>
      </c>
      <c r="B218" s="1">
        <f t="shared" si="9"/>
        <v>2016</v>
      </c>
      <c r="C218" s="1">
        <v>3400.5150547906651</v>
      </c>
      <c r="D218" s="1">
        <f t="shared" si="10"/>
        <v>1384.5150547906649</v>
      </c>
      <c r="E218" s="2">
        <v>12</v>
      </c>
      <c r="F218" s="1">
        <v>283.37625456588876</v>
      </c>
      <c r="G218" s="1">
        <v>115.37625456588874</v>
      </c>
      <c r="H218" s="1">
        <v>168</v>
      </c>
      <c r="I218" s="6">
        <f t="shared" si="11"/>
        <v>5.7111822547450265E-2</v>
      </c>
    </row>
    <row r="219" spans="1:9" x14ac:dyDescent="0.25">
      <c r="A219" s="3">
        <v>42533</v>
      </c>
      <c r="B219" s="1">
        <f t="shared" si="9"/>
        <v>650</v>
      </c>
      <c r="C219" s="1">
        <v>1421.129033740699</v>
      </c>
      <c r="D219" s="1">
        <f t="shared" si="10"/>
        <v>771.12903374069901</v>
      </c>
      <c r="E219" s="2">
        <v>10</v>
      </c>
      <c r="F219" s="1">
        <v>142.1129033740699</v>
      </c>
      <c r="G219" s="1">
        <v>77.112903374069901</v>
      </c>
      <c r="H219" s="1">
        <v>65</v>
      </c>
      <c r="I219" s="6">
        <f t="shared" si="11"/>
        <v>1.8065401326320604E-2</v>
      </c>
    </row>
    <row r="220" spans="1:9" x14ac:dyDescent="0.25">
      <c r="A220" s="3">
        <v>42524</v>
      </c>
      <c r="B220" s="1">
        <f t="shared" si="9"/>
        <v>5612</v>
      </c>
      <c r="C220" s="1">
        <v>11737.851254765186</v>
      </c>
      <c r="D220" s="1">
        <f t="shared" si="10"/>
        <v>6125.8512547651862</v>
      </c>
      <c r="E220" s="2">
        <v>61</v>
      </c>
      <c r="F220" s="1">
        <v>192.42379106172436</v>
      </c>
      <c r="G220" s="1">
        <v>100.42379106172436</v>
      </c>
      <c r="H220" s="1">
        <v>92</v>
      </c>
      <c r="I220" s="6">
        <f t="shared" si="11"/>
        <v>0.15990166933455294</v>
      </c>
    </row>
    <row r="221" spans="1:9" x14ac:dyDescent="0.25">
      <c r="A221" s="3">
        <v>42504</v>
      </c>
      <c r="B221" s="1">
        <f t="shared" si="9"/>
        <v>2112</v>
      </c>
      <c r="C221" s="1">
        <v>3875.652927028023</v>
      </c>
      <c r="D221" s="1">
        <f t="shared" si="10"/>
        <v>1763.652927028023</v>
      </c>
      <c r="E221" s="2">
        <v>24</v>
      </c>
      <c r="F221" s="1">
        <v>161.48553862616762</v>
      </c>
      <c r="G221" s="1">
        <v>73.485538626167624</v>
      </c>
      <c r="H221" s="1">
        <v>88</v>
      </c>
      <c r="I221" s="6">
        <f t="shared" si="11"/>
        <v>5.9855934141321746E-2</v>
      </c>
    </row>
    <row r="222" spans="1:9" x14ac:dyDescent="0.25">
      <c r="A222" s="3">
        <v>42495</v>
      </c>
      <c r="B222" s="1">
        <f t="shared" si="9"/>
        <v>558</v>
      </c>
      <c r="C222" s="1">
        <v>1263.1492139565148</v>
      </c>
      <c r="D222" s="1">
        <f t="shared" si="10"/>
        <v>705.14921395651481</v>
      </c>
      <c r="E222" s="2">
        <v>9</v>
      </c>
      <c r="F222" s="1">
        <v>140.34991266183499</v>
      </c>
      <c r="G222" s="1">
        <v>78.349912661834978</v>
      </c>
      <c r="H222" s="1">
        <v>62</v>
      </c>
      <c r="I222" s="6">
        <f t="shared" si="11"/>
        <v>1.5435627715527098E-2</v>
      </c>
    </row>
    <row r="223" spans="1:9" x14ac:dyDescent="0.25">
      <c r="A223" s="3">
        <v>42490</v>
      </c>
      <c r="B223" s="1">
        <f t="shared" si="9"/>
        <v>212</v>
      </c>
      <c r="C223" s="1">
        <v>440.50997324580885</v>
      </c>
      <c r="D223" s="1">
        <f t="shared" si="10"/>
        <v>228.50997324580882</v>
      </c>
      <c r="E223" s="2">
        <v>4</v>
      </c>
      <c r="F223" s="1">
        <v>110.12749331145221</v>
      </c>
      <c r="G223" s="1">
        <v>57.127493311452206</v>
      </c>
      <c r="H223" s="1">
        <v>53</v>
      </c>
      <c r="I223" s="6">
        <f t="shared" si="11"/>
        <v>5.5453921792819579E-3</v>
      </c>
    </row>
    <row r="224" spans="1:9" x14ac:dyDescent="0.25">
      <c r="A224" s="3">
        <v>42485</v>
      </c>
      <c r="B224" s="1">
        <f t="shared" si="9"/>
        <v>429</v>
      </c>
      <c r="C224" s="1">
        <v>800.21152821062867</v>
      </c>
      <c r="D224" s="1">
        <f t="shared" si="10"/>
        <v>371.21152821062867</v>
      </c>
      <c r="E224" s="2">
        <v>11</v>
      </c>
      <c r="F224" s="1">
        <v>72.746502564602608</v>
      </c>
      <c r="G224" s="1">
        <v>33.746502564602608</v>
      </c>
      <c r="H224" s="1">
        <v>39</v>
      </c>
      <c r="I224" s="6">
        <f t="shared" si="11"/>
        <v>1.1748227761262291E-2</v>
      </c>
    </row>
    <row r="225" spans="1:9" x14ac:dyDescent="0.25">
      <c r="A225" s="3">
        <v>42475</v>
      </c>
      <c r="B225" s="1">
        <f t="shared" si="9"/>
        <v>1458</v>
      </c>
      <c r="C225" s="1">
        <v>3086.5180512953807</v>
      </c>
      <c r="D225" s="1">
        <f t="shared" si="10"/>
        <v>1628.5180512953807</v>
      </c>
      <c r="E225" s="2">
        <v>27</v>
      </c>
      <c r="F225" s="1">
        <v>114.3154833813104</v>
      </c>
      <c r="G225" s="1">
        <v>60.315483381310401</v>
      </c>
      <c r="H225" s="1">
        <v>54</v>
      </c>
      <c r="I225" s="6">
        <f t="shared" si="11"/>
        <v>4.1161673908072259E-2</v>
      </c>
    </row>
    <row r="226" spans="1:9" x14ac:dyDescent="0.25">
      <c r="A226" s="3">
        <v>42470</v>
      </c>
      <c r="B226" s="1">
        <f t="shared" si="9"/>
        <v>68</v>
      </c>
      <c r="C226" s="1">
        <v>201.37098711286376</v>
      </c>
      <c r="D226" s="1">
        <f t="shared" si="10"/>
        <v>133.37098711286376</v>
      </c>
      <c r="E226" s="2">
        <v>2</v>
      </c>
      <c r="F226" s="1">
        <v>100.68549355643188</v>
      </c>
      <c r="G226" s="1">
        <v>66.685493556431879</v>
      </c>
      <c r="H226" s="1">
        <v>34</v>
      </c>
      <c r="I226" s="6">
        <f t="shared" si="11"/>
        <v>1.4292247884747312E-3</v>
      </c>
    </row>
    <row r="227" spans="1:9" x14ac:dyDescent="0.25">
      <c r="A227" s="3">
        <v>42468</v>
      </c>
      <c r="B227" s="1">
        <f t="shared" si="9"/>
        <v>1170</v>
      </c>
      <c r="C227" s="1">
        <v>2228.4137301545011</v>
      </c>
      <c r="D227" s="1">
        <f t="shared" si="10"/>
        <v>1058.4137301545011</v>
      </c>
      <c r="E227" s="2">
        <v>30</v>
      </c>
      <c r="F227" s="1">
        <v>74.280457671816706</v>
      </c>
      <c r="G227" s="1">
        <v>35.280457671816706</v>
      </c>
      <c r="H227" s="1">
        <v>39</v>
      </c>
      <c r="I227" s="6">
        <f t="shared" si="11"/>
        <v>3.2929339126457811E-2</v>
      </c>
    </row>
    <row r="228" spans="1:9" x14ac:dyDescent="0.25">
      <c r="A228" s="3">
        <v>42456</v>
      </c>
      <c r="B228" s="1">
        <f t="shared" si="9"/>
        <v>1026</v>
      </c>
      <c r="C228" s="1">
        <v>1980.1400547703802</v>
      </c>
      <c r="D228" s="1">
        <f t="shared" si="10"/>
        <v>954.14005477038017</v>
      </c>
      <c r="E228" s="2">
        <v>19</v>
      </c>
      <c r="F228" s="1">
        <v>104.2178976194937</v>
      </c>
      <c r="G228" s="1">
        <v>50.217897619493691</v>
      </c>
      <c r="H228" s="1">
        <v>54</v>
      </c>
      <c r="I228" s="6">
        <f t="shared" si="11"/>
        <v>2.8813171735650584E-2</v>
      </c>
    </row>
    <row r="229" spans="1:9" x14ac:dyDescent="0.25">
      <c r="A229" s="3">
        <v>42452</v>
      </c>
      <c r="B229" s="1">
        <f t="shared" si="9"/>
        <v>837</v>
      </c>
      <c r="C229" s="1">
        <v>1497.0252383870259</v>
      </c>
      <c r="D229" s="1">
        <f t="shared" si="10"/>
        <v>660.02523838702575</v>
      </c>
      <c r="E229" s="2">
        <v>31</v>
      </c>
      <c r="F229" s="1">
        <v>48.291136722162122</v>
      </c>
      <c r="G229" s="1">
        <v>21.291136722162122</v>
      </c>
      <c r="H229" s="1">
        <v>27</v>
      </c>
      <c r="I229" s="6">
        <f t="shared" si="11"/>
        <v>2.3410702035216099E-2</v>
      </c>
    </row>
    <row r="230" spans="1:9" x14ac:dyDescent="0.25">
      <c r="A230" s="3">
        <v>42448</v>
      </c>
      <c r="B230" s="1">
        <f t="shared" si="9"/>
        <v>297</v>
      </c>
      <c r="C230" s="1">
        <v>658.1554520823845</v>
      </c>
      <c r="D230" s="1">
        <f t="shared" si="10"/>
        <v>361.15545208238456</v>
      </c>
      <c r="E230" s="2">
        <v>9</v>
      </c>
      <c r="F230" s="1">
        <v>73.128383564709395</v>
      </c>
      <c r="G230" s="1">
        <v>40.128383564709395</v>
      </c>
      <c r="H230" s="1">
        <v>33</v>
      </c>
      <c r="I230" s="6">
        <f t="shared" si="11"/>
        <v>7.9750743196890014E-3</v>
      </c>
    </row>
    <row r="231" spans="1:9" x14ac:dyDescent="0.25">
      <c r="A231" s="3">
        <v>42433</v>
      </c>
      <c r="B231" s="1">
        <f t="shared" si="9"/>
        <v>14328</v>
      </c>
      <c r="C231" s="1">
        <v>41926.891291215135</v>
      </c>
      <c r="D231" s="1">
        <f t="shared" si="10"/>
        <v>27598.891291215135</v>
      </c>
      <c r="E231" s="2">
        <v>199</v>
      </c>
      <c r="F231" s="1">
        <v>210.68789593575445</v>
      </c>
      <c r="G231" s="1">
        <v>138.68789593575445</v>
      </c>
      <c r="H231" s="1">
        <v>72</v>
      </c>
      <c r="I231" s="6">
        <f t="shared" si="11"/>
        <v>0.40904413446146809</v>
      </c>
    </row>
    <row r="232" spans="1:9" x14ac:dyDescent="0.25">
      <c r="A232" s="3">
        <v>42430</v>
      </c>
      <c r="B232" s="1">
        <f t="shared" si="9"/>
        <v>3550</v>
      </c>
      <c r="C232" s="1">
        <v>9329.5152286761841</v>
      </c>
      <c r="D232" s="1">
        <f t="shared" si="10"/>
        <v>5779.5152286761822</v>
      </c>
      <c r="E232" s="2">
        <v>71</v>
      </c>
      <c r="F232" s="1">
        <v>131.40162293910117</v>
      </c>
      <c r="G232" s="1">
        <v>81.401622939101159</v>
      </c>
      <c r="H232" s="1">
        <v>50</v>
      </c>
      <c r="I232" s="6">
        <f t="shared" si="11"/>
        <v>0.10096043905785503</v>
      </c>
    </row>
    <row r="233" spans="1:9" x14ac:dyDescent="0.25">
      <c r="A233" s="3">
        <v>42428</v>
      </c>
      <c r="B233" s="1">
        <f t="shared" si="9"/>
        <v>3136</v>
      </c>
      <c r="C233" s="1">
        <v>6505.183733594461</v>
      </c>
      <c r="D233" s="1">
        <f t="shared" si="10"/>
        <v>3369.183733594461</v>
      </c>
      <c r="E233" s="2">
        <v>64</v>
      </c>
      <c r="F233" s="1">
        <v>101.64349583741345</v>
      </c>
      <c r="G233" s="1">
        <v>52.643495837413454</v>
      </c>
      <c r="H233" s="1">
        <v>49</v>
      </c>
      <c r="I233" s="6">
        <f t="shared" si="11"/>
        <v>8.9126457809284243E-2</v>
      </c>
    </row>
    <row r="234" spans="1:9" x14ac:dyDescent="0.25">
      <c r="A234" s="3">
        <v>42389</v>
      </c>
      <c r="B234" s="1">
        <f t="shared" si="9"/>
        <v>2752</v>
      </c>
      <c r="C234" s="1">
        <v>4660.137887728135</v>
      </c>
      <c r="D234" s="1">
        <f t="shared" si="10"/>
        <v>1908.1378877281345</v>
      </c>
      <c r="E234" s="2">
        <v>32</v>
      </c>
      <c r="F234" s="1">
        <v>145.62930899150422</v>
      </c>
      <c r="G234" s="1">
        <v>59.629308991504203</v>
      </c>
      <c r="H234" s="1">
        <v>86</v>
      </c>
      <c r="I234" s="6">
        <f t="shared" si="11"/>
        <v>7.8150011433798308E-2</v>
      </c>
    </row>
    <row r="235" spans="1:9" x14ac:dyDescent="0.25">
      <c r="A235" s="3">
        <v>42389</v>
      </c>
      <c r="B235" s="1">
        <f t="shared" si="9"/>
        <v>1224</v>
      </c>
      <c r="C235" s="1">
        <v>3296.731394362324</v>
      </c>
      <c r="D235" s="1">
        <f t="shared" si="10"/>
        <v>2072.731394362324</v>
      </c>
      <c r="E235" s="2">
        <v>36</v>
      </c>
      <c r="F235" s="1">
        <v>91.575872065620104</v>
      </c>
      <c r="G235" s="1">
        <v>57.575872065620104</v>
      </c>
      <c r="H235" s="1">
        <v>34</v>
      </c>
      <c r="I235" s="6">
        <f t="shared" si="11"/>
        <v>3.447290189801052E-2</v>
      </c>
    </row>
    <row r="236" spans="1:9" x14ac:dyDescent="0.25">
      <c r="A236" s="3">
        <v>42388</v>
      </c>
      <c r="B236" s="1">
        <f t="shared" si="9"/>
        <v>364</v>
      </c>
      <c r="C236" s="1">
        <v>836.21782522092258</v>
      </c>
      <c r="D236" s="1">
        <f t="shared" si="10"/>
        <v>472.21782522092263</v>
      </c>
      <c r="E236" s="2">
        <v>4</v>
      </c>
      <c r="F236" s="1">
        <v>209.05445630523064</v>
      </c>
      <c r="G236" s="1">
        <v>118.05445630523066</v>
      </c>
      <c r="H236" s="1">
        <v>91</v>
      </c>
      <c r="I236" s="6">
        <f t="shared" si="11"/>
        <v>9.890235536245141E-3</v>
      </c>
    </row>
    <row r="237" spans="1:9" x14ac:dyDescent="0.25">
      <c r="A237" s="3">
        <v>42368</v>
      </c>
      <c r="B237" s="1">
        <f t="shared" si="9"/>
        <v>657</v>
      </c>
      <c r="C237" s="1">
        <v>1381.2921200943022</v>
      </c>
      <c r="D237" s="1">
        <f t="shared" si="10"/>
        <v>724.29212009430216</v>
      </c>
      <c r="E237" s="2">
        <v>9</v>
      </c>
      <c r="F237" s="1">
        <v>153.47690223270024</v>
      </c>
      <c r="G237" s="1">
        <v>80.47690223270024</v>
      </c>
      <c r="H237" s="1">
        <v>73</v>
      </c>
      <c r="I237" s="6">
        <f t="shared" si="11"/>
        <v>1.8265492796707066E-2</v>
      </c>
    </row>
    <row r="238" spans="1:9" x14ac:dyDescent="0.25">
      <c r="A238" s="3">
        <v>42364</v>
      </c>
      <c r="B238" s="1">
        <f t="shared" si="9"/>
        <v>344</v>
      </c>
      <c r="C238" s="1">
        <v>792.84143914675724</v>
      </c>
      <c r="D238" s="1">
        <f t="shared" si="10"/>
        <v>448.84143914675724</v>
      </c>
      <c r="E238" s="2">
        <v>8</v>
      </c>
      <c r="F238" s="1">
        <v>99.105179893344655</v>
      </c>
      <c r="G238" s="1">
        <v>56.105179893344655</v>
      </c>
      <c r="H238" s="1">
        <v>43</v>
      </c>
      <c r="I238" s="6">
        <f t="shared" si="11"/>
        <v>9.3185456208552484E-3</v>
      </c>
    </row>
    <row r="239" spans="1:9" x14ac:dyDescent="0.25">
      <c r="A239" s="3">
        <v>42363</v>
      </c>
      <c r="B239" s="1">
        <f t="shared" si="9"/>
        <v>253</v>
      </c>
      <c r="C239" s="1">
        <v>562.93107180971901</v>
      </c>
      <c r="D239" s="1">
        <f t="shared" si="10"/>
        <v>309.93107180971901</v>
      </c>
      <c r="E239" s="2">
        <v>11</v>
      </c>
      <c r="F239" s="1">
        <v>51.175551982701734</v>
      </c>
      <c r="G239" s="1">
        <v>28.17555198270173</v>
      </c>
      <c r="H239" s="1">
        <v>23</v>
      </c>
      <c r="I239" s="6">
        <f t="shared" si="11"/>
        <v>6.717356505831237E-3</v>
      </c>
    </row>
    <row r="240" spans="1:9" x14ac:dyDescent="0.25">
      <c r="A240" s="3">
        <v>42360</v>
      </c>
      <c r="B240" s="1">
        <f t="shared" si="9"/>
        <v>837</v>
      </c>
      <c r="C240" s="1">
        <v>2492.5742575549307</v>
      </c>
      <c r="D240" s="1">
        <f t="shared" si="10"/>
        <v>1655.5742575549305</v>
      </c>
      <c r="E240" s="2">
        <v>27</v>
      </c>
      <c r="F240" s="1">
        <v>92.317565094627057</v>
      </c>
      <c r="G240" s="1">
        <v>61.317565094627057</v>
      </c>
      <c r="H240" s="1">
        <v>31</v>
      </c>
      <c r="I240" s="6">
        <f t="shared" si="11"/>
        <v>2.3410702035216099E-2</v>
      </c>
    </row>
    <row r="241" spans="1:9" x14ac:dyDescent="0.25">
      <c r="A241" s="3">
        <v>42357</v>
      </c>
      <c r="B241" s="1">
        <f t="shared" si="9"/>
        <v>1680</v>
      </c>
      <c r="C241" s="1">
        <v>3591.62655441164</v>
      </c>
      <c r="D241" s="1">
        <f t="shared" si="10"/>
        <v>1911.62655441164</v>
      </c>
      <c r="E241" s="2">
        <v>28</v>
      </c>
      <c r="F241" s="1">
        <v>128.27237694327286</v>
      </c>
      <c r="G241" s="1">
        <v>68.27237694327286</v>
      </c>
      <c r="H241" s="1">
        <v>60</v>
      </c>
      <c r="I241" s="6">
        <f t="shared" si="11"/>
        <v>4.7507431968900067E-2</v>
      </c>
    </row>
    <row r="242" spans="1:9" x14ac:dyDescent="0.25">
      <c r="A242" s="3">
        <v>42330</v>
      </c>
      <c r="B242" s="1">
        <f t="shared" si="9"/>
        <v>3094</v>
      </c>
      <c r="C242" s="1">
        <v>5471.2013823504203</v>
      </c>
      <c r="D242" s="1">
        <f t="shared" si="10"/>
        <v>2377.2013823504199</v>
      </c>
      <c r="E242" s="2">
        <v>26</v>
      </c>
      <c r="F242" s="1">
        <v>210.43082239809308</v>
      </c>
      <c r="G242" s="1">
        <v>91.430822398093071</v>
      </c>
      <c r="H242" s="1">
        <v>119</v>
      </c>
      <c r="I242" s="6">
        <f t="shared" si="11"/>
        <v>8.7925908986965465E-2</v>
      </c>
    </row>
    <row r="243" spans="1:9" x14ac:dyDescent="0.25">
      <c r="A243" s="3">
        <v>42323</v>
      </c>
      <c r="B243" s="1">
        <f t="shared" si="9"/>
        <v>1681</v>
      </c>
      <c r="C243" s="1">
        <v>3626.6833177027465</v>
      </c>
      <c r="D243" s="1">
        <f t="shared" si="10"/>
        <v>1945.683317702747</v>
      </c>
      <c r="E243" s="2">
        <v>41</v>
      </c>
      <c r="F243" s="1">
        <v>88.455690675676749</v>
      </c>
      <c r="G243" s="1">
        <v>47.455690675676756</v>
      </c>
      <c r="H243" s="1">
        <v>41</v>
      </c>
      <c r="I243" s="6">
        <f t="shared" si="11"/>
        <v>4.753601646466956E-2</v>
      </c>
    </row>
    <row r="244" spans="1:9" x14ac:dyDescent="0.25">
      <c r="A244" s="3">
        <v>42312</v>
      </c>
      <c r="B244" s="1">
        <f t="shared" si="9"/>
        <v>840</v>
      </c>
      <c r="C244" s="1">
        <v>2066.5974512829557</v>
      </c>
      <c r="D244" s="1">
        <f t="shared" si="10"/>
        <v>1226.5974512829557</v>
      </c>
      <c r="E244" s="2">
        <v>35</v>
      </c>
      <c r="F244" s="1">
        <v>59.045641465227305</v>
      </c>
      <c r="G244" s="1">
        <v>35.045641465227305</v>
      </c>
      <c r="H244" s="1">
        <v>24</v>
      </c>
      <c r="I244" s="6">
        <f t="shared" si="11"/>
        <v>2.3496455522524582E-2</v>
      </c>
    </row>
    <row r="245" spans="1:9" x14ac:dyDescent="0.25">
      <c r="A245" s="3">
        <v>42308</v>
      </c>
      <c r="B245" s="1">
        <f t="shared" si="9"/>
        <v>276</v>
      </c>
      <c r="C245" s="1">
        <v>480.57119793924835</v>
      </c>
      <c r="D245" s="1">
        <f t="shared" si="10"/>
        <v>204.57119793924838</v>
      </c>
      <c r="E245" s="2">
        <v>6</v>
      </c>
      <c r="F245" s="1">
        <v>80.095199656541396</v>
      </c>
      <c r="G245" s="1">
        <v>34.095199656541396</v>
      </c>
      <c r="H245" s="1">
        <v>46</v>
      </c>
      <c r="I245" s="6">
        <f t="shared" si="11"/>
        <v>7.3747999085296131E-3</v>
      </c>
    </row>
    <row r="246" spans="1:9" x14ac:dyDescent="0.25">
      <c r="A246" s="3">
        <v>42305</v>
      </c>
      <c r="B246" s="1">
        <f t="shared" si="9"/>
        <v>272</v>
      </c>
      <c r="C246" s="1">
        <v>488.28784377662942</v>
      </c>
      <c r="D246" s="1">
        <f t="shared" si="10"/>
        <v>216.28784377662939</v>
      </c>
      <c r="E246" s="2">
        <v>4</v>
      </c>
      <c r="F246" s="1">
        <v>122.07196094415735</v>
      </c>
      <c r="G246" s="1">
        <v>54.071960944157347</v>
      </c>
      <c r="H246" s="1">
        <v>68</v>
      </c>
      <c r="I246" s="6">
        <f t="shared" si="11"/>
        <v>7.2604619254516348E-3</v>
      </c>
    </row>
    <row r="247" spans="1:9" x14ac:dyDescent="0.25">
      <c r="A247" s="3">
        <v>42295</v>
      </c>
      <c r="B247" s="1">
        <f t="shared" si="9"/>
        <v>1350</v>
      </c>
      <c r="C247" s="1">
        <v>2606.9536289765115</v>
      </c>
      <c r="D247" s="1">
        <f t="shared" si="10"/>
        <v>1256.9536289765115</v>
      </c>
      <c r="E247" s="2">
        <v>27</v>
      </c>
      <c r="F247" s="1">
        <v>96.553838110241173</v>
      </c>
      <c r="G247" s="1">
        <v>46.553838110241166</v>
      </c>
      <c r="H247" s="1">
        <v>50</v>
      </c>
      <c r="I247" s="6">
        <f t="shared" si="11"/>
        <v>3.8074548364966841E-2</v>
      </c>
    </row>
    <row r="248" spans="1:9" x14ac:dyDescent="0.25">
      <c r="A248" s="3">
        <v>42274</v>
      </c>
      <c r="B248" s="1">
        <f t="shared" si="9"/>
        <v>960</v>
      </c>
      <c r="C248" s="1">
        <v>1908.2362208878801</v>
      </c>
      <c r="D248" s="1">
        <f t="shared" si="10"/>
        <v>948.23622088788022</v>
      </c>
      <c r="E248" s="2">
        <v>15</v>
      </c>
      <c r="F248" s="1">
        <v>127.21574805919201</v>
      </c>
      <c r="G248" s="1">
        <v>63.215748059192016</v>
      </c>
      <c r="H248" s="1">
        <v>64</v>
      </c>
      <c r="I248" s="6">
        <f t="shared" si="11"/>
        <v>2.6926595014863938E-2</v>
      </c>
    </row>
    <row r="249" spans="1:9" x14ac:dyDescent="0.25">
      <c r="A249" s="3">
        <v>42271</v>
      </c>
      <c r="B249" s="1">
        <f t="shared" si="9"/>
        <v>658</v>
      </c>
      <c r="C249" s="1">
        <v>1112.2629134590973</v>
      </c>
      <c r="D249" s="1">
        <f t="shared" si="10"/>
        <v>454.26291345909732</v>
      </c>
      <c r="E249" s="2">
        <v>7</v>
      </c>
      <c r="F249" s="1">
        <v>158.89470192272819</v>
      </c>
      <c r="G249" s="1">
        <v>64.894701922728188</v>
      </c>
      <c r="H249" s="1">
        <v>94</v>
      </c>
      <c r="I249" s="6">
        <f t="shared" si="11"/>
        <v>1.8294077292476559E-2</v>
      </c>
    </row>
    <row r="250" spans="1:9" x14ac:dyDescent="0.25">
      <c r="A250" s="3">
        <v>42269</v>
      </c>
      <c r="B250" s="1">
        <f t="shared" si="9"/>
        <v>792</v>
      </c>
      <c r="C250" s="1">
        <v>1673.4531230390953</v>
      </c>
      <c r="D250" s="1">
        <f t="shared" si="10"/>
        <v>881.45312303909532</v>
      </c>
      <c r="E250" s="2">
        <v>9</v>
      </c>
      <c r="F250" s="1">
        <v>185.93923589323282</v>
      </c>
      <c r="G250" s="1">
        <v>97.939235893232819</v>
      </c>
      <c r="H250" s="1">
        <v>88</v>
      </c>
      <c r="I250" s="6">
        <f t="shared" si="11"/>
        <v>2.2124399725588842E-2</v>
      </c>
    </row>
    <row r="251" spans="1:9" x14ac:dyDescent="0.25">
      <c r="A251" s="3">
        <v>42268</v>
      </c>
      <c r="B251" s="1">
        <f t="shared" si="9"/>
        <v>390</v>
      </c>
      <c r="C251" s="1">
        <v>1146.78142200196</v>
      </c>
      <c r="D251" s="1">
        <f t="shared" si="10"/>
        <v>756.7814220019601</v>
      </c>
      <c r="E251" s="2">
        <v>10</v>
      </c>
      <c r="F251" s="1">
        <v>114.67814220019601</v>
      </c>
      <c r="G251" s="1">
        <v>75.678142200196007</v>
      </c>
      <c r="H251" s="1">
        <v>39</v>
      </c>
      <c r="I251" s="6">
        <f t="shared" si="11"/>
        <v>1.0633432426252001E-2</v>
      </c>
    </row>
    <row r="252" spans="1:9" x14ac:dyDescent="0.25">
      <c r="A252" s="3">
        <v>42256</v>
      </c>
      <c r="B252" s="1">
        <f t="shared" si="9"/>
        <v>240</v>
      </c>
      <c r="C252" s="1">
        <v>534.39258490342422</v>
      </c>
      <c r="D252" s="1">
        <f t="shared" si="10"/>
        <v>294.39258490342417</v>
      </c>
      <c r="E252" s="2">
        <v>16</v>
      </c>
      <c r="F252" s="1">
        <v>33.399536556464014</v>
      </c>
      <c r="G252" s="1">
        <v>18.39953655646401</v>
      </c>
      <c r="H252" s="1">
        <v>15</v>
      </c>
      <c r="I252" s="6">
        <f t="shared" si="11"/>
        <v>6.3457580608278072E-3</v>
      </c>
    </row>
    <row r="253" spans="1:9" x14ac:dyDescent="0.25">
      <c r="A253" s="3">
        <v>42246</v>
      </c>
      <c r="B253" s="1">
        <f t="shared" si="9"/>
        <v>445</v>
      </c>
      <c r="C253" s="1">
        <v>785.97115297929099</v>
      </c>
      <c r="D253" s="1">
        <f t="shared" si="10"/>
        <v>340.97115297929088</v>
      </c>
      <c r="E253" s="2">
        <v>5</v>
      </c>
      <c r="F253" s="1">
        <v>157.19423059585819</v>
      </c>
      <c r="G253" s="1">
        <v>68.194230595858173</v>
      </c>
      <c r="H253" s="1">
        <v>89</v>
      </c>
      <c r="I253" s="6">
        <f t="shared" si="11"/>
        <v>1.2205579693574206E-2</v>
      </c>
    </row>
    <row r="254" spans="1:9" x14ac:dyDescent="0.25">
      <c r="A254" s="3">
        <v>42238</v>
      </c>
      <c r="B254" s="1">
        <f t="shared" si="9"/>
        <v>856</v>
      </c>
      <c r="C254" s="1">
        <v>1506.1547726441074</v>
      </c>
      <c r="D254" s="1">
        <f t="shared" si="10"/>
        <v>650.15477264410742</v>
      </c>
      <c r="E254" s="2">
        <v>8</v>
      </c>
      <c r="F254" s="1">
        <v>188.26934658051343</v>
      </c>
      <c r="G254" s="1">
        <v>81.269346580513428</v>
      </c>
      <c r="H254" s="1">
        <v>107</v>
      </c>
      <c r="I254" s="6">
        <f t="shared" si="11"/>
        <v>2.3953807454836495E-2</v>
      </c>
    </row>
    <row r="255" spans="1:9" x14ac:dyDescent="0.25">
      <c r="A255" s="3">
        <v>42232</v>
      </c>
      <c r="B255" s="1">
        <f t="shared" si="9"/>
        <v>684</v>
      </c>
      <c r="C255" s="1">
        <v>1141.1078842099716</v>
      </c>
      <c r="D255" s="1">
        <f t="shared" si="10"/>
        <v>457.10788420997159</v>
      </c>
      <c r="E255" s="2">
        <v>6</v>
      </c>
      <c r="F255" s="1">
        <v>190.1846473683286</v>
      </c>
      <c r="G255" s="1">
        <v>76.184647368328598</v>
      </c>
      <c r="H255" s="1">
        <v>114</v>
      </c>
      <c r="I255" s="6">
        <f t="shared" si="11"/>
        <v>1.9037274182483421E-2</v>
      </c>
    </row>
    <row r="256" spans="1:9" x14ac:dyDescent="0.25">
      <c r="A256" s="3">
        <v>42218</v>
      </c>
      <c r="B256" s="1">
        <f t="shared" si="9"/>
        <v>2010</v>
      </c>
      <c r="C256" s="1">
        <v>5149.4853439559192</v>
      </c>
      <c r="D256" s="1">
        <f t="shared" si="10"/>
        <v>3139.4853439559188</v>
      </c>
      <c r="E256" s="2">
        <v>30</v>
      </c>
      <c r="F256" s="1">
        <v>171.64951146519729</v>
      </c>
      <c r="G256" s="1">
        <v>104.64951146519729</v>
      </c>
      <c r="H256" s="1">
        <v>67</v>
      </c>
      <c r="I256" s="6">
        <f t="shared" si="11"/>
        <v>5.6940315572833293E-2</v>
      </c>
    </row>
    <row r="257" spans="1:9" x14ac:dyDescent="0.25">
      <c r="A257" s="3">
        <v>42216</v>
      </c>
      <c r="B257" s="1">
        <f t="shared" si="9"/>
        <v>2145</v>
      </c>
      <c r="C257" s="1">
        <v>5124.1901899455752</v>
      </c>
      <c r="D257" s="1">
        <f t="shared" si="10"/>
        <v>2979.1901899455752</v>
      </c>
      <c r="E257" s="2">
        <v>55</v>
      </c>
      <c r="F257" s="1">
        <v>93.167094362646822</v>
      </c>
      <c r="G257" s="1">
        <v>54.167094362646822</v>
      </c>
      <c r="H257" s="1">
        <v>39</v>
      </c>
      <c r="I257" s="6">
        <f t="shared" si="11"/>
        <v>6.0799222501715072E-2</v>
      </c>
    </row>
    <row r="258" spans="1:9" x14ac:dyDescent="0.25">
      <c r="A258" s="3">
        <v>42214</v>
      </c>
      <c r="B258" s="1">
        <f t="shared" ref="B258:B321" si="12">+E258*H258</f>
        <v>558</v>
      </c>
      <c r="C258" s="1">
        <v>1084.2501011530426</v>
      </c>
      <c r="D258" s="1">
        <f t="shared" ref="D258:D321" si="13">+E258*G258</f>
        <v>526.25010115304258</v>
      </c>
      <c r="E258" s="2">
        <v>6</v>
      </c>
      <c r="F258" s="1">
        <v>180.70835019217375</v>
      </c>
      <c r="G258" s="1">
        <v>87.708350192173754</v>
      </c>
      <c r="H258" s="1">
        <v>93</v>
      </c>
      <c r="I258" s="6">
        <f t="shared" si="11"/>
        <v>1.5435627715527098E-2</v>
      </c>
    </row>
    <row r="259" spans="1:9" x14ac:dyDescent="0.25">
      <c r="A259" s="3">
        <v>42210</v>
      </c>
      <c r="B259" s="1">
        <f t="shared" si="12"/>
        <v>1378</v>
      </c>
      <c r="C259" s="1">
        <v>3162.4034414271637</v>
      </c>
      <c r="D259" s="1">
        <f t="shared" si="13"/>
        <v>1784.4034414271639</v>
      </c>
      <c r="E259" s="2">
        <v>53</v>
      </c>
      <c r="F259" s="1">
        <v>59.667989460889885</v>
      </c>
      <c r="G259" s="1">
        <v>33.667989460889885</v>
      </c>
      <c r="H259" s="1">
        <v>26</v>
      </c>
      <c r="I259" s="6">
        <f t="shared" ref="I259:I322" si="14">+(B259-MIN($B$2:$B$501))/(MAX($B$2:$B$501)-MIN($B$2:$B$501))</f>
        <v>3.8874914246512689E-2</v>
      </c>
    </row>
    <row r="260" spans="1:9" x14ac:dyDescent="0.25">
      <c r="A260" s="3">
        <v>42205</v>
      </c>
      <c r="B260" s="1">
        <f t="shared" si="12"/>
        <v>2700</v>
      </c>
      <c r="C260" s="1">
        <v>6788.9081118099693</v>
      </c>
      <c r="D260" s="1">
        <f t="shared" si="13"/>
        <v>4088.9081118099689</v>
      </c>
      <c r="E260" s="2">
        <v>45</v>
      </c>
      <c r="F260" s="1">
        <v>150.86462470688821</v>
      </c>
      <c r="G260" s="1">
        <v>90.864624706888193</v>
      </c>
      <c r="H260" s="1">
        <v>60</v>
      </c>
      <c r="I260" s="6">
        <f t="shared" si="14"/>
        <v>7.6663617653784585E-2</v>
      </c>
    </row>
    <row r="261" spans="1:9" x14ac:dyDescent="0.25">
      <c r="A261" s="3">
        <v>42195</v>
      </c>
      <c r="B261" s="1">
        <f t="shared" si="12"/>
        <v>832</v>
      </c>
      <c r="C261" s="1">
        <v>1742.2129369825111</v>
      </c>
      <c r="D261" s="1">
        <f t="shared" si="13"/>
        <v>910.21293698251111</v>
      </c>
      <c r="E261" s="2">
        <v>16</v>
      </c>
      <c r="F261" s="1">
        <v>108.88830856140694</v>
      </c>
      <c r="G261" s="1">
        <v>56.888308561406944</v>
      </c>
      <c r="H261" s="1">
        <v>52</v>
      </c>
      <c r="I261" s="6">
        <f t="shared" si="14"/>
        <v>2.3267779556368627E-2</v>
      </c>
    </row>
    <row r="262" spans="1:9" x14ac:dyDescent="0.25">
      <c r="A262" s="3">
        <v>42195</v>
      </c>
      <c r="B262" s="1">
        <f t="shared" si="12"/>
        <v>176</v>
      </c>
      <c r="C262" s="1">
        <v>448.38439461195395</v>
      </c>
      <c r="D262" s="1">
        <f t="shared" si="13"/>
        <v>272.38439461195395</v>
      </c>
      <c r="E262" s="2">
        <v>11</v>
      </c>
      <c r="F262" s="1">
        <v>40.762217691995815</v>
      </c>
      <c r="G262" s="1">
        <v>24.762217691995815</v>
      </c>
      <c r="H262" s="1">
        <v>16</v>
      </c>
      <c r="I262" s="6">
        <f t="shared" si="14"/>
        <v>4.5163503315801511E-3</v>
      </c>
    </row>
    <row r="263" spans="1:9" x14ac:dyDescent="0.25">
      <c r="A263" s="3">
        <v>42184</v>
      </c>
      <c r="B263" s="1">
        <f t="shared" si="12"/>
        <v>1008</v>
      </c>
      <c r="C263" s="1">
        <v>1695.1334814136078</v>
      </c>
      <c r="D263" s="1">
        <f t="shared" si="13"/>
        <v>687.13348141360768</v>
      </c>
      <c r="E263" s="2">
        <v>18</v>
      </c>
      <c r="F263" s="1">
        <v>94.174082300755984</v>
      </c>
      <c r="G263" s="1">
        <v>38.174082300755984</v>
      </c>
      <c r="H263" s="1">
        <v>56</v>
      </c>
      <c r="I263" s="6">
        <f t="shared" si="14"/>
        <v>2.8298650811799681E-2</v>
      </c>
    </row>
    <row r="264" spans="1:9" x14ac:dyDescent="0.25">
      <c r="A264" s="3">
        <v>42177</v>
      </c>
      <c r="B264" s="1">
        <f t="shared" si="12"/>
        <v>924</v>
      </c>
      <c r="C264" s="1">
        <v>1665.6016705894071</v>
      </c>
      <c r="D264" s="1">
        <f t="shared" si="13"/>
        <v>741.60167058940704</v>
      </c>
      <c r="E264" s="2">
        <v>7</v>
      </c>
      <c r="F264" s="1">
        <v>237.94309579848672</v>
      </c>
      <c r="G264" s="1">
        <v>105.94309579848672</v>
      </c>
      <c r="H264" s="1">
        <v>132</v>
      </c>
      <c r="I264" s="6">
        <f t="shared" si="14"/>
        <v>2.5897553167162132E-2</v>
      </c>
    </row>
    <row r="265" spans="1:9" x14ac:dyDescent="0.25">
      <c r="A265" s="3">
        <v>42171</v>
      </c>
      <c r="B265" s="1">
        <f t="shared" si="12"/>
        <v>5428</v>
      </c>
      <c r="C265" s="1">
        <v>9748.9687206601993</v>
      </c>
      <c r="D265" s="1">
        <f t="shared" si="13"/>
        <v>4320.9687206601993</v>
      </c>
      <c r="E265" s="2">
        <v>92</v>
      </c>
      <c r="F265" s="1">
        <v>105.9670513115239</v>
      </c>
      <c r="G265" s="1">
        <v>46.967051311523903</v>
      </c>
      <c r="H265" s="1">
        <v>59</v>
      </c>
      <c r="I265" s="6">
        <f t="shared" si="14"/>
        <v>0.15464212211296594</v>
      </c>
    </row>
    <row r="266" spans="1:9" x14ac:dyDescent="0.25">
      <c r="A266" s="3">
        <v>42150</v>
      </c>
      <c r="B266" s="1">
        <f t="shared" si="12"/>
        <v>1488</v>
      </c>
      <c r="C266" s="1">
        <v>2709.9220095987748</v>
      </c>
      <c r="D266" s="1">
        <f t="shared" si="13"/>
        <v>1221.9220095987748</v>
      </c>
      <c r="E266" s="2">
        <v>12</v>
      </c>
      <c r="F266" s="1">
        <v>225.82683413323124</v>
      </c>
      <c r="G266" s="1">
        <v>101.82683413323124</v>
      </c>
      <c r="H266" s="1">
        <v>124</v>
      </c>
      <c r="I266" s="6">
        <f t="shared" si="14"/>
        <v>4.20192087811571E-2</v>
      </c>
    </row>
    <row r="267" spans="1:9" x14ac:dyDescent="0.25">
      <c r="A267" s="3">
        <v>42141</v>
      </c>
      <c r="B267" s="1">
        <f t="shared" si="12"/>
        <v>420</v>
      </c>
      <c r="C267" s="1">
        <v>929.66790699768262</v>
      </c>
      <c r="D267" s="1">
        <f t="shared" si="13"/>
        <v>509.66790699768268</v>
      </c>
      <c r="E267" s="2">
        <v>10</v>
      </c>
      <c r="F267" s="1">
        <v>92.966790699768268</v>
      </c>
      <c r="G267" s="1">
        <v>50.966790699768268</v>
      </c>
      <c r="H267" s="1">
        <v>42</v>
      </c>
      <c r="I267" s="6">
        <f t="shared" si="14"/>
        <v>1.149096729933684E-2</v>
      </c>
    </row>
    <row r="268" spans="1:9" x14ac:dyDescent="0.25">
      <c r="A268" s="3">
        <v>42126</v>
      </c>
      <c r="B268" s="1">
        <f t="shared" si="12"/>
        <v>7654</v>
      </c>
      <c r="C268" s="1">
        <v>21971.326567309126</v>
      </c>
      <c r="D268" s="1">
        <f t="shared" si="13"/>
        <v>14317.326567309126</v>
      </c>
      <c r="E268" s="2">
        <v>178</v>
      </c>
      <c r="F268" s="1">
        <v>123.434418917467</v>
      </c>
      <c r="G268" s="1">
        <v>80.434418917466999</v>
      </c>
      <c r="H268" s="1">
        <v>43</v>
      </c>
      <c r="I268" s="6">
        <f t="shared" si="14"/>
        <v>0.21827120969586097</v>
      </c>
    </row>
    <row r="269" spans="1:9" x14ac:dyDescent="0.25">
      <c r="A269" s="3">
        <v>42113</v>
      </c>
      <c r="B269" s="1">
        <f t="shared" si="12"/>
        <v>6536</v>
      </c>
      <c r="C269" s="1">
        <v>13695.881867259124</v>
      </c>
      <c r="D269" s="1">
        <f t="shared" si="13"/>
        <v>7159.8818672591224</v>
      </c>
      <c r="E269" s="2">
        <v>76</v>
      </c>
      <c r="F269" s="1">
        <v>180.20897193762005</v>
      </c>
      <c r="G269" s="1">
        <v>94.208971937620035</v>
      </c>
      <c r="H269" s="1">
        <v>86</v>
      </c>
      <c r="I269" s="6">
        <f t="shared" si="14"/>
        <v>0.18631374342556598</v>
      </c>
    </row>
    <row r="270" spans="1:9" x14ac:dyDescent="0.25">
      <c r="A270" s="3">
        <v>42098</v>
      </c>
      <c r="B270" s="1">
        <f t="shared" si="12"/>
        <v>1763</v>
      </c>
      <c r="C270" s="1">
        <v>4062.4914354278553</v>
      </c>
      <c r="D270" s="1">
        <f t="shared" si="13"/>
        <v>2299.4914354278553</v>
      </c>
      <c r="E270" s="2">
        <v>41</v>
      </c>
      <c r="F270" s="1">
        <v>99.085156961655002</v>
      </c>
      <c r="G270" s="1">
        <v>56.085156961655009</v>
      </c>
      <c r="H270" s="1">
        <v>43</v>
      </c>
      <c r="I270" s="6">
        <f t="shared" si="14"/>
        <v>4.9879945117768124E-2</v>
      </c>
    </row>
    <row r="271" spans="1:9" x14ac:dyDescent="0.25">
      <c r="A271" s="3">
        <v>42070</v>
      </c>
      <c r="B271" s="1">
        <f t="shared" si="12"/>
        <v>3180</v>
      </c>
      <c r="C271" s="1">
        <v>5360.4246064487161</v>
      </c>
      <c r="D271" s="1">
        <f t="shared" si="13"/>
        <v>2180.4246064487156</v>
      </c>
      <c r="E271" s="2">
        <v>53</v>
      </c>
      <c r="F271" s="1">
        <v>101.14008691412671</v>
      </c>
      <c r="G271" s="1">
        <v>41.140086914126712</v>
      </c>
      <c r="H271" s="1">
        <v>60</v>
      </c>
      <c r="I271" s="6">
        <f t="shared" si="14"/>
        <v>9.0384175623142007E-2</v>
      </c>
    </row>
    <row r="272" spans="1:9" x14ac:dyDescent="0.25">
      <c r="A272" s="3">
        <v>42060</v>
      </c>
      <c r="B272" s="1">
        <f t="shared" si="12"/>
        <v>7480</v>
      </c>
      <c r="C272" s="1">
        <v>14022.850478921431</v>
      </c>
      <c r="D272" s="1">
        <f t="shared" si="13"/>
        <v>6542.8504789214312</v>
      </c>
      <c r="E272" s="2">
        <v>85</v>
      </c>
      <c r="F272" s="1">
        <v>164.97471151672272</v>
      </c>
      <c r="G272" s="1">
        <v>76.974711516722721</v>
      </c>
      <c r="H272" s="1">
        <v>88</v>
      </c>
      <c r="I272" s="6">
        <f t="shared" si="14"/>
        <v>0.2132975074319689</v>
      </c>
    </row>
    <row r="273" spans="1:9" x14ac:dyDescent="0.25">
      <c r="A273" s="3">
        <v>42049</v>
      </c>
      <c r="B273" s="1">
        <f t="shared" si="12"/>
        <v>2079</v>
      </c>
      <c r="C273" s="1">
        <v>3493.6484225825643</v>
      </c>
      <c r="D273" s="1">
        <f t="shared" si="13"/>
        <v>1414.6484225825639</v>
      </c>
      <c r="E273" s="2">
        <v>21</v>
      </c>
      <c r="F273" s="1">
        <v>166.36421059916972</v>
      </c>
      <c r="G273" s="1">
        <v>67.364210599169709</v>
      </c>
      <c r="H273" s="1">
        <v>99</v>
      </c>
      <c r="I273" s="6">
        <f t="shared" si="14"/>
        <v>5.8912645780928426E-2</v>
      </c>
    </row>
    <row r="274" spans="1:9" x14ac:dyDescent="0.25">
      <c r="A274" s="3">
        <v>42048</v>
      </c>
      <c r="B274" s="1">
        <f t="shared" si="12"/>
        <v>1391</v>
      </c>
      <c r="C274" s="1">
        <v>2370.8703122519032</v>
      </c>
      <c r="D274" s="1">
        <f t="shared" si="13"/>
        <v>979.87031225190333</v>
      </c>
      <c r="E274" s="2">
        <v>13</v>
      </c>
      <c r="F274" s="1">
        <v>182.37463940399255</v>
      </c>
      <c r="G274" s="1">
        <v>75.37463940399256</v>
      </c>
      <c r="H274" s="1">
        <v>107</v>
      </c>
      <c r="I274" s="6">
        <f t="shared" si="14"/>
        <v>3.9246512691516119E-2</v>
      </c>
    </row>
    <row r="275" spans="1:9" x14ac:dyDescent="0.25">
      <c r="A275" s="3">
        <v>42044</v>
      </c>
      <c r="B275" s="1">
        <f t="shared" si="12"/>
        <v>1414</v>
      </c>
      <c r="C275" s="1">
        <v>2522.4671144032941</v>
      </c>
      <c r="D275" s="1">
        <f t="shared" si="13"/>
        <v>1108.4671144032941</v>
      </c>
      <c r="E275" s="2">
        <v>14</v>
      </c>
      <c r="F275" s="1">
        <v>180.17622245737815</v>
      </c>
      <c r="G275" s="1">
        <v>79.176222457378145</v>
      </c>
      <c r="H275" s="1">
        <v>101</v>
      </c>
      <c r="I275" s="6">
        <f t="shared" si="14"/>
        <v>3.9903956094214495E-2</v>
      </c>
    </row>
    <row r="276" spans="1:9" x14ac:dyDescent="0.25">
      <c r="A276" s="3">
        <v>42038</v>
      </c>
      <c r="B276" s="1">
        <f t="shared" si="12"/>
        <v>512</v>
      </c>
      <c r="C276" s="1">
        <v>1052.5905044766482</v>
      </c>
      <c r="D276" s="1">
        <f t="shared" si="13"/>
        <v>540.59050447664822</v>
      </c>
      <c r="E276" s="2">
        <v>8</v>
      </c>
      <c r="F276" s="1">
        <v>131.57381305958103</v>
      </c>
      <c r="G276" s="1">
        <v>67.573813059581028</v>
      </c>
      <c r="H276" s="1">
        <v>64</v>
      </c>
      <c r="I276" s="6">
        <f t="shared" si="14"/>
        <v>1.4120740910130346E-2</v>
      </c>
    </row>
    <row r="277" spans="1:9" x14ac:dyDescent="0.25">
      <c r="A277" s="3">
        <v>42025</v>
      </c>
      <c r="B277" s="1">
        <f t="shared" si="12"/>
        <v>408</v>
      </c>
      <c r="C277" s="1">
        <v>689.36879897867198</v>
      </c>
      <c r="D277" s="1">
        <f t="shared" si="13"/>
        <v>281.36879897867203</v>
      </c>
      <c r="E277" s="2">
        <v>8</v>
      </c>
      <c r="F277" s="1">
        <v>86.171099872333997</v>
      </c>
      <c r="G277" s="1">
        <v>35.171099872334004</v>
      </c>
      <c r="H277" s="1">
        <v>51</v>
      </c>
      <c r="I277" s="6">
        <f t="shared" si="14"/>
        <v>1.1147953350102904E-2</v>
      </c>
    </row>
    <row r="278" spans="1:9" x14ac:dyDescent="0.25">
      <c r="A278" s="3">
        <v>42007</v>
      </c>
      <c r="B278" s="1">
        <f t="shared" si="12"/>
        <v>704</v>
      </c>
      <c r="C278" s="1">
        <v>1636.2880825833699</v>
      </c>
      <c r="D278" s="1">
        <f t="shared" si="13"/>
        <v>932.28808258337006</v>
      </c>
      <c r="E278" s="2">
        <v>16</v>
      </c>
      <c r="F278" s="1">
        <v>102.26800516146062</v>
      </c>
      <c r="G278" s="1">
        <v>58.268005161460628</v>
      </c>
      <c r="H278" s="1">
        <v>44</v>
      </c>
      <c r="I278" s="6">
        <f t="shared" si="14"/>
        <v>1.9608964097873313E-2</v>
      </c>
    </row>
    <row r="279" spans="1:9" x14ac:dyDescent="0.25">
      <c r="A279" s="3">
        <v>42001</v>
      </c>
      <c r="B279" s="1">
        <f t="shared" si="12"/>
        <v>295</v>
      </c>
      <c r="C279" s="1">
        <v>555.69273382077893</v>
      </c>
      <c r="D279" s="1">
        <f t="shared" si="13"/>
        <v>260.69273382077893</v>
      </c>
      <c r="E279" s="2">
        <v>5</v>
      </c>
      <c r="F279" s="1">
        <v>111.13854676415579</v>
      </c>
      <c r="G279" s="1">
        <v>52.138546764155791</v>
      </c>
      <c r="H279" s="1">
        <v>59</v>
      </c>
      <c r="I279" s="6">
        <f t="shared" si="14"/>
        <v>7.9179053281500118E-3</v>
      </c>
    </row>
    <row r="280" spans="1:9" x14ac:dyDescent="0.25">
      <c r="A280" s="3">
        <v>41996</v>
      </c>
      <c r="B280" s="1">
        <f t="shared" si="12"/>
        <v>2537</v>
      </c>
      <c r="C280" s="1">
        <v>5268.6441930678029</v>
      </c>
      <c r="D280" s="1">
        <f t="shared" si="13"/>
        <v>2731.6441930678029</v>
      </c>
      <c r="E280" s="2">
        <v>43</v>
      </c>
      <c r="F280" s="1">
        <v>122.52660914111169</v>
      </c>
      <c r="G280" s="1">
        <v>63.526609141111699</v>
      </c>
      <c r="H280" s="1">
        <v>59</v>
      </c>
      <c r="I280" s="6">
        <f t="shared" si="14"/>
        <v>7.2004344843356965E-2</v>
      </c>
    </row>
    <row r="281" spans="1:9" x14ac:dyDescent="0.25">
      <c r="A281" s="3">
        <v>41975</v>
      </c>
      <c r="B281" s="1">
        <f t="shared" si="12"/>
        <v>736</v>
      </c>
      <c r="C281" s="1">
        <v>1751.0996353419141</v>
      </c>
      <c r="D281" s="1">
        <f t="shared" si="13"/>
        <v>1015.0996353419141</v>
      </c>
      <c r="E281" s="2">
        <v>16</v>
      </c>
      <c r="F281" s="1">
        <v>109.44372720886963</v>
      </c>
      <c r="G281" s="1">
        <v>63.443727208869632</v>
      </c>
      <c r="H281" s="1">
        <v>46</v>
      </c>
      <c r="I281" s="6">
        <f t="shared" si="14"/>
        <v>2.052366796249714E-2</v>
      </c>
    </row>
    <row r="282" spans="1:9" x14ac:dyDescent="0.25">
      <c r="A282" s="3">
        <v>41951</v>
      </c>
      <c r="B282" s="1">
        <f t="shared" si="12"/>
        <v>588</v>
      </c>
      <c r="C282" s="1">
        <v>1325.6874043167822</v>
      </c>
      <c r="D282" s="1">
        <f t="shared" si="13"/>
        <v>737.68740431678236</v>
      </c>
      <c r="E282" s="2">
        <v>14</v>
      </c>
      <c r="F282" s="1">
        <v>94.691957451198732</v>
      </c>
      <c r="G282" s="1">
        <v>52.691957451198739</v>
      </c>
      <c r="H282" s="1">
        <v>42</v>
      </c>
      <c r="I282" s="6">
        <f t="shared" si="14"/>
        <v>1.6293162588611937E-2</v>
      </c>
    </row>
    <row r="283" spans="1:9" x14ac:dyDescent="0.25">
      <c r="A283" s="3">
        <v>41933</v>
      </c>
      <c r="B283" s="1">
        <f t="shared" si="12"/>
        <v>1380</v>
      </c>
      <c r="C283" s="1">
        <v>2843.3875610632108</v>
      </c>
      <c r="D283" s="1">
        <f t="shared" si="13"/>
        <v>1463.387561063211</v>
      </c>
      <c r="E283" s="2">
        <v>30</v>
      </c>
      <c r="F283" s="1">
        <v>94.779585368773695</v>
      </c>
      <c r="G283" s="1">
        <v>48.779585368773702</v>
      </c>
      <c r="H283" s="1">
        <v>46</v>
      </c>
      <c r="I283" s="6">
        <f t="shared" si="14"/>
        <v>3.8932083238051682E-2</v>
      </c>
    </row>
    <row r="284" spans="1:9" x14ac:dyDescent="0.25">
      <c r="A284" s="3">
        <v>41916</v>
      </c>
      <c r="B284" s="1">
        <f t="shared" si="12"/>
        <v>4248</v>
      </c>
      <c r="C284" s="1">
        <v>7486.5676338455996</v>
      </c>
      <c r="D284" s="1">
        <f t="shared" si="13"/>
        <v>3238.5676338456001</v>
      </c>
      <c r="E284" s="2">
        <v>36</v>
      </c>
      <c r="F284" s="1">
        <v>207.96021205126667</v>
      </c>
      <c r="G284" s="1">
        <v>89.960212051266666</v>
      </c>
      <c r="H284" s="1">
        <v>118</v>
      </c>
      <c r="I284" s="6">
        <f t="shared" si="14"/>
        <v>0.12091241710496227</v>
      </c>
    </row>
    <row r="285" spans="1:9" x14ac:dyDescent="0.25">
      <c r="A285" s="3">
        <v>41892</v>
      </c>
      <c r="B285" s="1">
        <f t="shared" si="12"/>
        <v>3536</v>
      </c>
      <c r="C285" s="1">
        <v>6059.0467549208452</v>
      </c>
      <c r="D285" s="1">
        <f t="shared" si="13"/>
        <v>2523.0467549208452</v>
      </c>
      <c r="E285" s="2">
        <v>52</v>
      </c>
      <c r="F285" s="1">
        <v>116.52012990232394</v>
      </c>
      <c r="G285" s="1">
        <v>48.520129902323944</v>
      </c>
      <c r="H285" s="1">
        <v>68</v>
      </c>
      <c r="I285" s="6">
        <f t="shared" si="14"/>
        <v>0.10056025611708209</v>
      </c>
    </row>
    <row r="286" spans="1:9" x14ac:dyDescent="0.25">
      <c r="A286" s="3">
        <v>41872</v>
      </c>
      <c r="B286" s="1">
        <f t="shared" si="12"/>
        <v>1581</v>
      </c>
      <c r="C286" s="1">
        <v>2774.4678713941657</v>
      </c>
      <c r="D286" s="1">
        <f t="shared" si="13"/>
        <v>1193.4678713941653</v>
      </c>
      <c r="E286" s="2">
        <v>17</v>
      </c>
      <c r="F286" s="1">
        <v>163.20399243495092</v>
      </c>
      <c r="G286" s="1">
        <v>70.203992434950905</v>
      </c>
      <c r="H286" s="1">
        <v>93</v>
      </c>
      <c r="I286" s="6">
        <f t="shared" si="14"/>
        <v>4.4677566887720101E-2</v>
      </c>
    </row>
    <row r="287" spans="1:9" x14ac:dyDescent="0.25">
      <c r="A287" s="3">
        <v>41848</v>
      </c>
      <c r="B287" s="1">
        <f t="shared" si="12"/>
        <v>741</v>
      </c>
      <c r="C287" s="1">
        <v>2071.6369177692832</v>
      </c>
      <c r="D287" s="1">
        <f t="shared" si="13"/>
        <v>1330.6369177692829</v>
      </c>
      <c r="E287" s="2">
        <v>19</v>
      </c>
      <c r="F287" s="1">
        <v>109.033521987857</v>
      </c>
      <c r="G287" s="1">
        <v>70.033521987857</v>
      </c>
      <c r="H287" s="1">
        <v>39</v>
      </c>
      <c r="I287" s="6">
        <f t="shared" si="14"/>
        <v>2.0666590441344616E-2</v>
      </c>
    </row>
    <row r="288" spans="1:9" x14ac:dyDescent="0.25">
      <c r="A288" s="3">
        <v>41843</v>
      </c>
      <c r="B288" s="1">
        <f t="shared" si="12"/>
        <v>1272</v>
      </c>
      <c r="C288" s="1">
        <v>2315.7503528825837</v>
      </c>
      <c r="D288" s="1">
        <f t="shared" si="13"/>
        <v>1043.7503528825835</v>
      </c>
      <c r="E288" s="2">
        <v>24</v>
      </c>
      <c r="F288" s="1">
        <v>96.489598036774311</v>
      </c>
      <c r="G288" s="1">
        <v>43.489598036774311</v>
      </c>
      <c r="H288" s="1">
        <v>53</v>
      </c>
      <c r="I288" s="6">
        <f t="shared" si="14"/>
        <v>3.5844957694946264E-2</v>
      </c>
    </row>
    <row r="289" spans="1:9" x14ac:dyDescent="0.25">
      <c r="A289" s="3">
        <v>41842</v>
      </c>
      <c r="B289" s="1">
        <f t="shared" si="12"/>
        <v>420</v>
      </c>
      <c r="C289" s="1">
        <v>828.01284583996312</v>
      </c>
      <c r="D289" s="1">
        <f t="shared" si="13"/>
        <v>408.01284583996301</v>
      </c>
      <c r="E289" s="2">
        <v>6</v>
      </c>
      <c r="F289" s="1">
        <v>138.00214097332719</v>
      </c>
      <c r="G289" s="1">
        <v>68.002140973327172</v>
      </c>
      <c r="H289" s="1">
        <v>70</v>
      </c>
      <c r="I289" s="6">
        <f t="shared" si="14"/>
        <v>1.149096729933684E-2</v>
      </c>
    </row>
    <row r="290" spans="1:9" x14ac:dyDescent="0.25">
      <c r="A290" s="3">
        <v>41834</v>
      </c>
      <c r="B290" s="1">
        <f t="shared" si="12"/>
        <v>3900</v>
      </c>
      <c r="C290" s="1">
        <v>6640.5699105719432</v>
      </c>
      <c r="D290" s="1">
        <f t="shared" si="13"/>
        <v>2740.5699105719441</v>
      </c>
      <c r="E290" s="2">
        <v>39</v>
      </c>
      <c r="F290" s="1">
        <v>170.27102334799855</v>
      </c>
      <c r="G290" s="1">
        <v>70.271023347998565</v>
      </c>
      <c r="H290" s="1">
        <v>100</v>
      </c>
      <c r="I290" s="6">
        <f t="shared" si="14"/>
        <v>0.11096501257717814</v>
      </c>
    </row>
    <row r="291" spans="1:9" x14ac:dyDescent="0.25">
      <c r="A291" s="3">
        <v>41833</v>
      </c>
      <c r="B291" s="1">
        <f t="shared" si="12"/>
        <v>1107</v>
      </c>
      <c r="C291" s="1">
        <v>3045.2144558087725</v>
      </c>
      <c r="D291" s="1">
        <f t="shared" si="13"/>
        <v>1938.2144558087721</v>
      </c>
      <c r="E291" s="2">
        <v>41</v>
      </c>
      <c r="F291" s="1">
        <v>74.273523312409083</v>
      </c>
      <c r="G291" s="1">
        <v>47.273523312409075</v>
      </c>
      <c r="H291" s="1">
        <v>27</v>
      </c>
      <c r="I291" s="6">
        <f t="shared" si="14"/>
        <v>3.1128515892979648E-2</v>
      </c>
    </row>
    <row r="292" spans="1:9" x14ac:dyDescent="0.25">
      <c r="A292" s="3">
        <v>41819</v>
      </c>
      <c r="B292" s="1">
        <f t="shared" si="12"/>
        <v>310</v>
      </c>
      <c r="C292" s="1">
        <v>577.67170336946083</v>
      </c>
      <c r="D292" s="1">
        <f t="shared" si="13"/>
        <v>267.67170336946089</v>
      </c>
      <c r="E292" s="2">
        <v>2</v>
      </c>
      <c r="F292" s="1">
        <v>288.83585168473041</v>
      </c>
      <c r="G292" s="1">
        <v>133.83585168473044</v>
      </c>
      <c r="H292" s="1">
        <v>155</v>
      </c>
      <c r="I292" s="6">
        <f t="shared" si="14"/>
        <v>8.3466727646924303E-3</v>
      </c>
    </row>
    <row r="293" spans="1:9" x14ac:dyDescent="0.25">
      <c r="A293" s="3">
        <v>41809</v>
      </c>
      <c r="B293" s="1">
        <f t="shared" si="12"/>
        <v>740</v>
      </c>
      <c r="C293" s="1">
        <v>1927.1890924196027</v>
      </c>
      <c r="D293" s="1">
        <f t="shared" si="13"/>
        <v>1187.1890924196027</v>
      </c>
      <c r="E293" s="2">
        <v>20</v>
      </c>
      <c r="F293" s="1">
        <v>96.359454620980131</v>
      </c>
      <c r="G293" s="1">
        <v>59.359454620980131</v>
      </c>
      <c r="H293" s="1">
        <v>37</v>
      </c>
      <c r="I293" s="6">
        <f t="shared" si="14"/>
        <v>2.0638005945575119E-2</v>
      </c>
    </row>
    <row r="294" spans="1:9" x14ac:dyDescent="0.25">
      <c r="A294" s="3">
        <v>41787</v>
      </c>
      <c r="B294" s="1">
        <f t="shared" si="12"/>
        <v>2356</v>
      </c>
      <c r="C294" s="1">
        <v>4700.580341368629</v>
      </c>
      <c r="D294" s="1">
        <f t="shared" si="13"/>
        <v>2344.5803413686294</v>
      </c>
      <c r="E294" s="2">
        <v>19</v>
      </c>
      <c r="F294" s="1">
        <v>247.39896533519101</v>
      </c>
      <c r="G294" s="1">
        <v>123.39896533519102</v>
      </c>
      <c r="H294" s="1">
        <v>124</v>
      </c>
      <c r="I294" s="6">
        <f t="shared" si="14"/>
        <v>6.6830551109078443E-2</v>
      </c>
    </row>
    <row r="295" spans="1:9" x14ac:dyDescent="0.25">
      <c r="A295" s="3">
        <v>41765</v>
      </c>
      <c r="B295" s="1">
        <f t="shared" si="12"/>
        <v>630</v>
      </c>
      <c r="C295" s="1">
        <v>1590.8215668640046</v>
      </c>
      <c r="D295" s="1">
        <f t="shared" si="13"/>
        <v>960.82156686400458</v>
      </c>
      <c r="E295" s="2">
        <v>14</v>
      </c>
      <c r="F295" s="1">
        <v>113.63011191885747</v>
      </c>
      <c r="G295" s="1">
        <v>68.630111918857466</v>
      </c>
      <c r="H295" s="1">
        <v>45</v>
      </c>
      <c r="I295" s="6">
        <f t="shared" si="14"/>
        <v>1.7493711410930712E-2</v>
      </c>
    </row>
    <row r="296" spans="1:9" x14ac:dyDescent="0.25">
      <c r="A296" s="3">
        <v>41761</v>
      </c>
      <c r="B296" s="1">
        <f t="shared" si="12"/>
        <v>6912</v>
      </c>
      <c r="C296" s="1">
        <v>13525.22631399288</v>
      </c>
      <c r="D296" s="1">
        <f t="shared" si="13"/>
        <v>6613.22631399288</v>
      </c>
      <c r="E296" s="2">
        <v>64</v>
      </c>
      <c r="F296" s="1">
        <v>211.33166115613875</v>
      </c>
      <c r="G296" s="1">
        <v>103.33166115613875</v>
      </c>
      <c r="H296" s="1">
        <v>108</v>
      </c>
      <c r="I296" s="6">
        <f t="shared" si="14"/>
        <v>0.19706151383489595</v>
      </c>
    </row>
    <row r="297" spans="1:9" x14ac:dyDescent="0.25">
      <c r="A297" s="3">
        <v>41755</v>
      </c>
      <c r="B297" s="1">
        <f t="shared" si="12"/>
        <v>1003</v>
      </c>
      <c r="C297" s="1">
        <v>2091.1930111384509</v>
      </c>
      <c r="D297" s="1">
        <f t="shared" si="13"/>
        <v>1088.1930111384509</v>
      </c>
      <c r="E297" s="2">
        <v>17</v>
      </c>
      <c r="F297" s="1">
        <v>123.01135359637946</v>
      </c>
      <c r="G297" s="1">
        <v>64.011353596379465</v>
      </c>
      <c r="H297" s="1">
        <v>59</v>
      </c>
      <c r="I297" s="6">
        <f t="shared" si="14"/>
        <v>2.8155728332952205E-2</v>
      </c>
    </row>
    <row r="298" spans="1:9" x14ac:dyDescent="0.25">
      <c r="A298" s="3">
        <v>41755</v>
      </c>
      <c r="B298" s="1">
        <f t="shared" si="12"/>
        <v>930</v>
      </c>
      <c r="C298" s="1">
        <v>2192.3799680411012</v>
      </c>
      <c r="D298" s="1">
        <f t="shared" si="13"/>
        <v>1262.3799680411012</v>
      </c>
      <c r="E298" s="2">
        <v>62</v>
      </c>
      <c r="F298" s="1">
        <v>35.36096722646937</v>
      </c>
      <c r="G298" s="1">
        <v>20.360967226469374</v>
      </c>
      <c r="H298" s="1">
        <v>15</v>
      </c>
      <c r="I298" s="6">
        <f t="shared" si="14"/>
        <v>2.60690601417791E-2</v>
      </c>
    </row>
    <row r="299" spans="1:9" x14ac:dyDescent="0.25">
      <c r="A299" s="3">
        <v>41751</v>
      </c>
      <c r="B299" s="1">
        <f t="shared" si="12"/>
        <v>610</v>
      </c>
      <c r="C299" s="1">
        <v>1299.2252770594491</v>
      </c>
      <c r="D299" s="1">
        <f t="shared" si="13"/>
        <v>689.22527705944901</v>
      </c>
      <c r="E299" s="2">
        <v>10</v>
      </c>
      <c r="F299" s="1">
        <v>129.9225277059449</v>
      </c>
      <c r="G299" s="1">
        <v>68.922527705944901</v>
      </c>
      <c r="H299" s="1">
        <v>61</v>
      </c>
      <c r="I299" s="6">
        <f t="shared" si="14"/>
        <v>1.6922021495540819E-2</v>
      </c>
    </row>
    <row r="300" spans="1:9" x14ac:dyDescent="0.25">
      <c r="A300" s="3">
        <v>41746</v>
      </c>
      <c r="B300" s="1">
        <f t="shared" si="12"/>
        <v>7473</v>
      </c>
      <c r="C300" s="1">
        <v>12697.555740437121</v>
      </c>
      <c r="D300" s="1">
        <f t="shared" si="13"/>
        <v>5224.5557404371193</v>
      </c>
      <c r="E300" s="2">
        <v>141</v>
      </c>
      <c r="F300" s="1">
        <v>90.053586811610785</v>
      </c>
      <c r="G300" s="1">
        <v>37.053586811610778</v>
      </c>
      <c r="H300" s="1">
        <v>53</v>
      </c>
      <c r="I300" s="6">
        <f t="shared" si="14"/>
        <v>0.21309741596158244</v>
      </c>
    </row>
    <row r="301" spans="1:9" x14ac:dyDescent="0.25">
      <c r="A301" s="3">
        <v>41743</v>
      </c>
      <c r="B301" s="1">
        <f t="shared" si="12"/>
        <v>164</v>
      </c>
      <c r="C301" s="1">
        <v>361.94126916518087</v>
      </c>
      <c r="D301" s="1">
        <f t="shared" si="13"/>
        <v>197.94126916518084</v>
      </c>
      <c r="E301" s="2">
        <v>4</v>
      </c>
      <c r="F301" s="1">
        <v>90.485317291295218</v>
      </c>
      <c r="G301" s="1">
        <v>49.48531729129521</v>
      </c>
      <c r="H301" s="1">
        <v>41</v>
      </c>
      <c r="I301" s="6">
        <f t="shared" si="14"/>
        <v>4.1733363823462152E-3</v>
      </c>
    </row>
    <row r="302" spans="1:9" x14ac:dyDescent="0.25">
      <c r="A302" s="3">
        <v>41724</v>
      </c>
      <c r="B302" s="1">
        <f t="shared" si="12"/>
        <v>148</v>
      </c>
      <c r="C302" s="1">
        <v>433.26655361847918</v>
      </c>
      <c r="D302" s="1">
        <f t="shared" si="13"/>
        <v>285.26655361847918</v>
      </c>
      <c r="E302" s="2">
        <v>4</v>
      </c>
      <c r="F302" s="1">
        <v>108.31663840461979</v>
      </c>
      <c r="G302" s="1">
        <v>71.316638404619795</v>
      </c>
      <c r="H302" s="1">
        <v>37</v>
      </c>
      <c r="I302" s="6">
        <f t="shared" si="14"/>
        <v>3.7159844500343014E-3</v>
      </c>
    </row>
    <row r="303" spans="1:9" x14ac:dyDescent="0.25">
      <c r="A303" s="3">
        <v>41717</v>
      </c>
      <c r="B303" s="1">
        <f t="shared" si="12"/>
        <v>9936</v>
      </c>
      <c r="C303" s="1">
        <v>22377.89245883936</v>
      </c>
      <c r="D303" s="1">
        <f t="shared" si="13"/>
        <v>12441.892458839358</v>
      </c>
      <c r="E303" s="2">
        <v>184</v>
      </c>
      <c r="F303" s="1">
        <v>121.61898075456173</v>
      </c>
      <c r="G303" s="1">
        <v>67.618980754561733</v>
      </c>
      <c r="H303" s="1">
        <v>54</v>
      </c>
      <c r="I303" s="6">
        <f t="shared" si="14"/>
        <v>0.28350102904184771</v>
      </c>
    </row>
    <row r="304" spans="1:9" x14ac:dyDescent="0.25">
      <c r="A304" s="3">
        <v>41711</v>
      </c>
      <c r="B304" s="1">
        <f t="shared" si="12"/>
        <v>1920</v>
      </c>
      <c r="C304" s="1">
        <v>3662.5936350119882</v>
      </c>
      <c r="D304" s="1">
        <f t="shared" si="13"/>
        <v>1742.5936350119882</v>
      </c>
      <c r="E304" s="2">
        <v>15</v>
      </c>
      <c r="F304" s="1">
        <v>244.17290900079922</v>
      </c>
      <c r="G304" s="1">
        <v>116.17290900079921</v>
      </c>
      <c r="H304" s="1">
        <v>128</v>
      </c>
      <c r="I304" s="6">
        <f t="shared" si="14"/>
        <v>5.4367710953578778E-2</v>
      </c>
    </row>
    <row r="305" spans="1:9" x14ac:dyDescent="0.25">
      <c r="A305" s="3">
        <v>41711</v>
      </c>
      <c r="B305" s="1">
        <f t="shared" si="12"/>
        <v>1518</v>
      </c>
      <c r="C305" s="1">
        <v>3023.4578848277642</v>
      </c>
      <c r="D305" s="1">
        <f t="shared" si="13"/>
        <v>1505.4578848277645</v>
      </c>
      <c r="E305" s="2">
        <v>23</v>
      </c>
      <c r="F305" s="1">
        <v>131.4546906446854</v>
      </c>
      <c r="G305" s="1">
        <v>65.454690644685414</v>
      </c>
      <c r="H305" s="1">
        <v>66</v>
      </c>
      <c r="I305" s="6">
        <f t="shared" si="14"/>
        <v>4.287674365424194E-2</v>
      </c>
    </row>
    <row r="306" spans="1:9" x14ac:dyDescent="0.25">
      <c r="A306" s="3">
        <v>41697</v>
      </c>
      <c r="B306" s="1">
        <f t="shared" si="12"/>
        <v>3835</v>
      </c>
      <c r="C306" s="1">
        <v>7522.2258600668974</v>
      </c>
      <c r="D306" s="1">
        <f t="shared" si="13"/>
        <v>3687.2258600668979</v>
      </c>
      <c r="E306" s="2">
        <v>59</v>
      </c>
      <c r="F306" s="1">
        <v>127.4953535604559</v>
      </c>
      <c r="G306" s="1">
        <v>62.495353560455897</v>
      </c>
      <c r="H306" s="1">
        <v>65</v>
      </c>
      <c r="I306" s="6">
        <f t="shared" si="14"/>
        <v>0.10910702035216099</v>
      </c>
    </row>
    <row r="307" spans="1:9" x14ac:dyDescent="0.25">
      <c r="A307" s="3">
        <v>41695</v>
      </c>
      <c r="B307" s="1">
        <f t="shared" si="12"/>
        <v>78</v>
      </c>
      <c r="C307" s="1">
        <v>206.78323120901214</v>
      </c>
      <c r="D307" s="1">
        <f t="shared" si="13"/>
        <v>128.78323120901214</v>
      </c>
      <c r="E307" s="2">
        <v>2</v>
      </c>
      <c r="F307" s="1">
        <v>103.39161560450607</v>
      </c>
      <c r="G307" s="1">
        <v>64.391615604506072</v>
      </c>
      <c r="H307" s="1">
        <v>39</v>
      </c>
      <c r="I307" s="6">
        <f t="shared" si="14"/>
        <v>1.7150697461696775E-3</v>
      </c>
    </row>
    <row r="308" spans="1:9" x14ac:dyDescent="0.25">
      <c r="A308" s="3">
        <v>41692</v>
      </c>
      <c r="B308" s="1">
        <f t="shared" si="12"/>
        <v>923</v>
      </c>
      <c r="C308" s="1">
        <v>1705.3344964193382</v>
      </c>
      <c r="D308" s="1">
        <f t="shared" si="13"/>
        <v>782.33449641933794</v>
      </c>
      <c r="E308" s="2">
        <v>13</v>
      </c>
      <c r="F308" s="1">
        <v>131.1795766476414</v>
      </c>
      <c r="G308" s="1">
        <v>60.179576647641383</v>
      </c>
      <c r="H308" s="1">
        <v>71</v>
      </c>
      <c r="I308" s="6">
        <f t="shared" si="14"/>
        <v>2.5868968671392635E-2</v>
      </c>
    </row>
    <row r="309" spans="1:9" x14ac:dyDescent="0.25">
      <c r="A309" s="3">
        <v>41688</v>
      </c>
      <c r="B309" s="1">
        <f t="shared" si="12"/>
        <v>429</v>
      </c>
      <c r="C309" s="1">
        <v>833.33375287905346</v>
      </c>
      <c r="D309" s="1">
        <f t="shared" si="13"/>
        <v>404.33375287905358</v>
      </c>
      <c r="E309" s="2">
        <v>13</v>
      </c>
      <c r="F309" s="1">
        <v>64.102596375311805</v>
      </c>
      <c r="G309" s="1">
        <v>31.102596375311812</v>
      </c>
      <c r="H309" s="1">
        <v>33</v>
      </c>
      <c r="I309" s="6">
        <f t="shared" si="14"/>
        <v>1.1748227761262291E-2</v>
      </c>
    </row>
    <row r="310" spans="1:9" x14ac:dyDescent="0.25">
      <c r="A310" s="3">
        <v>41680</v>
      </c>
      <c r="B310" s="1">
        <f t="shared" si="12"/>
        <v>4602</v>
      </c>
      <c r="C310" s="1">
        <v>10054.112327627679</v>
      </c>
      <c r="D310" s="1">
        <f t="shared" si="13"/>
        <v>5452.1123276276776</v>
      </c>
      <c r="E310" s="2">
        <v>59</v>
      </c>
      <c r="F310" s="1">
        <v>170.4086835191132</v>
      </c>
      <c r="G310" s="1">
        <v>92.408683519113183</v>
      </c>
      <c r="H310" s="1">
        <v>78</v>
      </c>
      <c r="I310" s="6">
        <f t="shared" si="14"/>
        <v>0.13103132860736336</v>
      </c>
    </row>
    <row r="311" spans="1:9" x14ac:dyDescent="0.25">
      <c r="A311" s="3">
        <v>41679</v>
      </c>
      <c r="B311" s="1">
        <f t="shared" si="12"/>
        <v>1680</v>
      </c>
      <c r="C311" s="1">
        <v>3287.7560039338791</v>
      </c>
      <c r="D311" s="1">
        <f t="shared" si="13"/>
        <v>1607.7560039338791</v>
      </c>
      <c r="E311" s="2">
        <v>56</v>
      </c>
      <c r="F311" s="1">
        <v>58.709928641676413</v>
      </c>
      <c r="G311" s="1">
        <v>28.709928641676413</v>
      </c>
      <c r="H311" s="1">
        <v>30</v>
      </c>
      <c r="I311" s="6">
        <f t="shared" si="14"/>
        <v>4.7507431968900067E-2</v>
      </c>
    </row>
    <row r="312" spans="1:9" x14ac:dyDescent="0.25">
      <c r="A312" s="3">
        <v>41665</v>
      </c>
      <c r="B312" s="1">
        <f t="shared" si="12"/>
        <v>689</v>
      </c>
      <c r="C312" s="1">
        <v>1582.0396460556865</v>
      </c>
      <c r="D312" s="1">
        <f t="shared" si="13"/>
        <v>893.03964605568638</v>
      </c>
      <c r="E312" s="2">
        <v>13</v>
      </c>
      <c r="F312" s="1">
        <v>121.69535738889896</v>
      </c>
      <c r="G312" s="1">
        <v>68.695357388898955</v>
      </c>
      <c r="H312" s="1">
        <v>53</v>
      </c>
      <c r="I312" s="6">
        <f t="shared" si="14"/>
        <v>1.9180196661330893E-2</v>
      </c>
    </row>
    <row r="313" spans="1:9" x14ac:dyDescent="0.25">
      <c r="A313" s="3">
        <v>41656</v>
      </c>
      <c r="B313" s="1">
        <f t="shared" si="12"/>
        <v>3450</v>
      </c>
      <c r="C313" s="1">
        <v>8996.6091805985852</v>
      </c>
      <c r="D313" s="1">
        <f t="shared" si="13"/>
        <v>5546.6091805985852</v>
      </c>
      <c r="E313" s="2">
        <v>75</v>
      </c>
      <c r="F313" s="1">
        <v>119.95478907464781</v>
      </c>
      <c r="G313" s="1">
        <v>73.954789074647806</v>
      </c>
      <c r="H313" s="1">
        <v>46</v>
      </c>
      <c r="I313" s="6">
        <f t="shared" si="14"/>
        <v>9.8101989480905552E-2</v>
      </c>
    </row>
    <row r="314" spans="1:9" x14ac:dyDescent="0.25">
      <c r="A314" s="3">
        <v>41651</v>
      </c>
      <c r="B314" s="1">
        <f t="shared" si="12"/>
        <v>5047</v>
      </c>
      <c r="C314" s="1">
        <v>12203.593799417858</v>
      </c>
      <c r="D314" s="1">
        <f t="shared" si="13"/>
        <v>7156.5937994178585</v>
      </c>
      <c r="E314" s="2">
        <v>103</v>
      </c>
      <c r="F314" s="1">
        <v>118.48149319823163</v>
      </c>
      <c r="G314" s="1">
        <v>69.481493198231632</v>
      </c>
      <c r="H314" s="1">
        <v>49</v>
      </c>
      <c r="I314" s="6">
        <f t="shared" si="14"/>
        <v>0.14375142922478848</v>
      </c>
    </row>
    <row r="315" spans="1:9" x14ac:dyDescent="0.25">
      <c r="A315" s="3">
        <v>41633</v>
      </c>
      <c r="B315" s="1">
        <f t="shared" si="12"/>
        <v>810</v>
      </c>
      <c r="C315" s="1">
        <v>1594.1263084694472</v>
      </c>
      <c r="D315" s="1">
        <f t="shared" si="13"/>
        <v>784.12630846944717</v>
      </c>
      <c r="E315" s="2">
        <v>15</v>
      </c>
      <c r="F315" s="1">
        <v>106.27508723129648</v>
      </c>
      <c r="G315" s="1">
        <v>52.275087231296482</v>
      </c>
      <c r="H315" s="1">
        <v>54</v>
      </c>
      <c r="I315" s="6">
        <f t="shared" si="14"/>
        <v>2.2638920649439745E-2</v>
      </c>
    </row>
    <row r="316" spans="1:9" x14ac:dyDescent="0.25">
      <c r="A316" s="3">
        <v>41623</v>
      </c>
      <c r="B316" s="1">
        <f t="shared" si="12"/>
        <v>288</v>
      </c>
      <c r="C316" s="1">
        <v>530.32456391929009</v>
      </c>
      <c r="D316" s="1">
        <f t="shared" si="13"/>
        <v>242.32456391929003</v>
      </c>
      <c r="E316" s="2">
        <v>6</v>
      </c>
      <c r="F316" s="1">
        <v>88.387427319881681</v>
      </c>
      <c r="G316" s="1">
        <v>40.387427319881674</v>
      </c>
      <c r="H316" s="1">
        <v>48</v>
      </c>
      <c r="I316" s="6">
        <f t="shared" si="14"/>
        <v>7.717813857763549E-3</v>
      </c>
    </row>
    <row r="317" spans="1:9" x14ac:dyDescent="0.25">
      <c r="A317" s="3">
        <v>41618</v>
      </c>
      <c r="B317" s="1">
        <f t="shared" si="12"/>
        <v>2562</v>
      </c>
      <c r="C317" s="1">
        <v>4426.5811789795443</v>
      </c>
      <c r="D317" s="1">
        <f t="shared" si="13"/>
        <v>1864.5811789795441</v>
      </c>
      <c r="E317" s="2">
        <v>21</v>
      </c>
      <c r="F317" s="1">
        <v>210.78957995140686</v>
      </c>
      <c r="G317" s="1">
        <v>88.789579951406864</v>
      </c>
      <c r="H317" s="1">
        <v>122</v>
      </c>
      <c r="I317" s="6">
        <f t="shared" si="14"/>
        <v>7.2718957237594334E-2</v>
      </c>
    </row>
    <row r="318" spans="1:9" x14ac:dyDescent="0.25">
      <c r="A318" s="3">
        <v>41609</v>
      </c>
      <c r="B318" s="1">
        <f t="shared" si="12"/>
        <v>518</v>
      </c>
      <c r="C318" s="1">
        <v>1053.7420842967149</v>
      </c>
      <c r="D318" s="1">
        <f t="shared" si="13"/>
        <v>535.74208429671489</v>
      </c>
      <c r="E318" s="2">
        <v>7</v>
      </c>
      <c r="F318" s="1">
        <v>150.53458347095926</v>
      </c>
      <c r="G318" s="1">
        <v>76.534583470959276</v>
      </c>
      <c r="H318" s="1">
        <v>74</v>
      </c>
      <c r="I318" s="6">
        <f t="shared" si="14"/>
        <v>1.4292247884747313E-2</v>
      </c>
    </row>
    <row r="319" spans="1:9" x14ac:dyDescent="0.25">
      <c r="A319" s="3">
        <v>41589</v>
      </c>
      <c r="B319" s="1">
        <f t="shared" si="12"/>
        <v>480</v>
      </c>
      <c r="C319" s="1">
        <v>1140.2350348468988</v>
      </c>
      <c r="D319" s="1">
        <f t="shared" si="13"/>
        <v>660.23503484689877</v>
      </c>
      <c r="E319" s="2">
        <v>8</v>
      </c>
      <c r="F319" s="1">
        <v>142.52937935586235</v>
      </c>
      <c r="G319" s="1">
        <v>82.529379355862346</v>
      </c>
      <c r="H319" s="1">
        <v>60</v>
      </c>
      <c r="I319" s="6">
        <f t="shared" si="14"/>
        <v>1.3206037045506517E-2</v>
      </c>
    </row>
    <row r="320" spans="1:9" x14ac:dyDescent="0.25">
      <c r="A320" s="3">
        <v>41587</v>
      </c>
      <c r="B320" s="1">
        <f t="shared" si="12"/>
        <v>1820</v>
      </c>
      <c r="C320" s="1">
        <v>3467.7310399336766</v>
      </c>
      <c r="D320" s="1">
        <f t="shared" si="13"/>
        <v>1647.7310399336768</v>
      </c>
      <c r="E320" s="2">
        <v>14</v>
      </c>
      <c r="F320" s="1">
        <v>247.69507428097691</v>
      </c>
      <c r="G320" s="1">
        <v>117.69507428097691</v>
      </c>
      <c r="H320" s="1">
        <v>130</v>
      </c>
      <c r="I320" s="6">
        <f t="shared" si="14"/>
        <v>5.1509261376629319E-2</v>
      </c>
    </row>
    <row r="321" spans="1:9" x14ac:dyDescent="0.25">
      <c r="A321" s="3">
        <v>41583</v>
      </c>
      <c r="B321" s="1">
        <f t="shared" si="12"/>
        <v>3634</v>
      </c>
      <c r="C321" s="1">
        <v>6121.4239211922595</v>
      </c>
      <c r="D321" s="1">
        <f t="shared" si="13"/>
        <v>2487.4239211922595</v>
      </c>
      <c r="E321" s="2">
        <v>23</v>
      </c>
      <c r="F321" s="1">
        <v>266.14886613879389</v>
      </c>
      <c r="G321" s="1">
        <v>108.14886613879389</v>
      </c>
      <c r="H321" s="1">
        <v>158</v>
      </c>
      <c r="I321" s="6">
        <f t="shared" si="14"/>
        <v>0.10336153670249257</v>
      </c>
    </row>
    <row r="322" spans="1:9" x14ac:dyDescent="0.25">
      <c r="A322" s="3">
        <v>41580</v>
      </c>
      <c r="B322" s="1">
        <f t="shared" ref="B322:B385" si="15">+E322*H322</f>
        <v>80</v>
      </c>
      <c r="C322" s="1">
        <v>202.70872236556107</v>
      </c>
      <c r="D322" s="1">
        <f t="shared" ref="D322:D385" si="16">+E322*G322</f>
        <v>122.70872236556106</v>
      </c>
      <c r="E322" s="2">
        <v>4</v>
      </c>
      <c r="F322" s="1">
        <v>50.677180591390268</v>
      </c>
      <c r="G322" s="1">
        <v>30.677180591390265</v>
      </c>
      <c r="H322" s="1">
        <v>20</v>
      </c>
      <c r="I322" s="6">
        <f t="shared" si="14"/>
        <v>1.7722387377086669E-3</v>
      </c>
    </row>
    <row r="323" spans="1:9" x14ac:dyDescent="0.25">
      <c r="A323" s="3">
        <v>41574</v>
      </c>
      <c r="B323" s="1">
        <f t="shared" si="15"/>
        <v>2703</v>
      </c>
      <c r="C323" s="1">
        <v>5112.925784779166</v>
      </c>
      <c r="D323" s="1">
        <f t="shared" si="16"/>
        <v>2409.9257847791664</v>
      </c>
      <c r="E323" s="2">
        <v>53</v>
      </c>
      <c r="F323" s="1">
        <v>96.470297826022005</v>
      </c>
      <c r="G323" s="1">
        <v>45.470297826022005</v>
      </c>
      <c r="H323" s="1">
        <v>51</v>
      </c>
      <c r="I323" s="6">
        <f t="shared" ref="I323:I386" si="17">+(B323-MIN($B$2:$B$501))/(MAX($B$2:$B$501)-MIN($B$2:$B$501))</f>
        <v>7.6749371141093065E-2</v>
      </c>
    </row>
    <row r="324" spans="1:9" x14ac:dyDescent="0.25">
      <c r="A324" s="3">
        <v>41564</v>
      </c>
      <c r="B324" s="1">
        <f t="shared" si="15"/>
        <v>3600</v>
      </c>
      <c r="C324" s="1">
        <v>10030.42851753041</v>
      </c>
      <c r="D324" s="1">
        <f t="shared" si="16"/>
        <v>6430.4285175304103</v>
      </c>
      <c r="E324" s="2">
        <v>80</v>
      </c>
      <c r="F324" s="1">
        <v>125.38035646913013</v>
      </c>
      <c r="G324" s="1">
        <v>80.380356469130135</v>
      </c>
      <c r="H324" s="1">
        <v>45</v>
      </c>
      <c r="I324" s="6">
        <f t="shared" si="17"/>
        <v>0.10238966384632975</v>
      </c>
    </row>
    <row r="325" spans="1:9" x14ac:dyDescent="0.25">
      <c r="A325" s="3">
        <v>41563</v>
      </c>
      <c r="B325" s="1">
        <f t="shared" si="15"/>
        <v>4669</v>
      </c>
      <c r="C325" s="1">
        <v>9110.5976892723447</v>
      </c>
      <c r="D325" s="1">
        <f t="shared" si="16"/>
        <v>4441.5976892723438</v>
      </c>
      <c r="E325" s="2">
        <v>29</v>
      </c>
      <c r="F325" s="1">
        <v>314.15854100939117</v>
      </c>
      <c r="G325" s="1">
        <v>153.15854100939117</v>
      </c>
      <c r="H325" s="1">
        <v>161</v>
      </c>
      <c r="I325" s="6">
        <f t="shared" si="17"/>
        <v>0.13294648982391952</v>
      </c>
    </row>
    <row r="326" spans="1:9" x14ac:dyDescent="0.25">
      <c r="A326" s="3">
        <v>41556</v>
      </c>
      <c r="B326" s="1">
        <f t="shared" si="15"/>
        <v>418</v>
      </c>
      <c r="C326" s="1">
        <v>1160.1656380677248</v>
      </c>
      <c r="D326" s="1">
        <f t="shared" si="16"/>
        <v>742.1656380677249</v>
      </c>
      <c r="E326" s="2">
        <v>11</v>
      </c>
      <c r="F326" s="1">
        <v>105.46960346070226</v>
      </c>
      <c r="G326" s="1">
        <v>67.46960346070226</v>
      </c>
      <c r="H326" s="1">
        <v>38</v>
      </c>
      <c r="I326" s="6">
        <f t="shared" si="17"/>
        <v>1.143379830779785E-2</v>
      </c>
    </row>
    <row r="327" spans="1:9" x14ac:dyDescent="0.25">
      <c r="A327" s="3">
        <v>41552</v>
      </c>
      <c r="B327" s="1">
        <f t="shared" si="15"/>
        <v>2850</v>
      </c>
      <c r="C327" s="1">
        <v>4951.2883881218731</v>
      </c>
      <c r="D327" s="1">
        <f t="shared" si="16"/>
        <v>2101.2883881218727</v>
      </c>
      <c r="E327" s="2">
        <v>57</v>
      </c>
      <c r="F327" s="1">
        <v>86.864708563541626</v>
      </c>
      <c r="G327" s="1">
        <v>36.864708563541626</v>
      </c>
      <c r="H327" s="1">
        <v>50</v>
      </c>
      <c r="I327" s="6">
        <f t="shared" si="17"/>
        <v>8.0951292019208781E-2</v>
      </c>
    </row>
    <row r="328" spans="1:9" x14ac:dyDescent="0.25">
      <c r="A328" s="3">
        <v>41548</v>
      </c>
      <c r="B328" s="1">
        <f t="shared" si="15"/>
        <v>175</v>
      </c>
      <c r="C328" s="1">
        <v>421.13175030135858</v>
      </c>
      <c r="D328" s="1">
        <f t="shared" si="16"/>
        <v>246.13175030135858</v>
      </c>
      <c r="E328" s="2">
        <v>5</v>
      </c>
      <c r="F328" s="1">
        <v>84.226350060271713</v>
      </c>
      <c r="G328" s="1">
        <v>49.226350060271713</v>
      </c>
      <c r="H328" s="1">
        <v>35</v>
      </c>
      <c r="I328" s="6">
        <f t="shared" si="17"/>
        <v>4.4877658358106563E-3</v>
      </c>
    </row>
    <row r="329" spans="1:9" x14ac:dyDescent="0.25">
      <c r="A329" s="3">
        <v>41539</v>
      </c>
      <c r="B329" s="1">
        <f t="shared" si="15"/>
        <v>2880</v>
      </c>
      <c r="C329" s="1">
        <v>8253.6309269013291</v>
      </c>
      <c r="D329" s="1">
        <f t="shared" si="16"/>
        <v>5373.63092690133</v>
      </c>
      <c r="E329" s="2">
        <v>120</v>
      </c>
      <c r="F329" s="1">
        <v>68.780257724177744</v>
      </c>
      <c r="G329" s="1">
        <v>44.780257724177751</v>
      </c>
      <c r="H329" s="1">
        <v>24</v>
      </c>
      <c r="I329" s="6">
        <f t="shared" si="17"/>
        <v>8.1808826892293615E-2</v>
      </c>
    </row>
    <row r="330" spans="1:9" x14ac:dyDescent="0.25">
      <c r="A330" s="3">
        <v>41535</v>
      </c>
      <c r="B330" s="1">
        <f t="shared" si="15"/>
        <v>189</v>
      </c>
      <c r="C330" s="1">
        <v>526.59928801193723</v>
      </c>
      <c r="D330" s="1">
        <f t="shared" si="16"/>
        <v>337.59928801193718</v>
      </c>
      <c r="E330" s="2">
        <v>7</v>
      </c>
      <c r="F330" s="1">
        <v>75.228469715991025</v>
      </c>
      <c r="G330" s="1">
        <v>48.228469715991025</v>
      </c>
      <c r="H330" s="1">
        <v>27</v>
      </c>
      <c r="I330" s="6">
        <f t="shared" si="17"/>
        <v>4.8879487765835809E-3</v>
      </c>
    </row>
    <row r="331" spans="1:9" x14ac:dyDescent="0.25">
      <c r="A331" s="3">
        <v>41499</v>
      </c>
      <c r="B331" s="1">
        <f t="shared" si="15"/>
        <v>8125</v>
      </c>
      <c r="C331" s="1">
        <v>13574.489785741507</v>
      </c>
      <c r="D331" s="1">
        <f t="shared" si="16"/>
        <v>5449.4897857415062</v>
      </c>
      <c r="E331" s="2">
        <v>65</v>
      </c>
      <c r="F331" s="1">
        <v>208.83830439602318</v>
      </c>
      <c r="G331" s="1">
        <v>83.838304396023176</v>
      </c>
      <c r="H331" s="1">
        <v>125</v>
      </c>
      <c r="I331" s="6">
        <f t="shared" si="17"/>
        <v>0.23173450720329294</v>
      </c>
    </row>
    <row r="332" spans="1:9" x14ac:dyDescent="0.25">
      <c r="A332" s="3">
        <v>41489</v>
      </c>
      <c r="B332" s="1">
        <f t="shared" si="15"/>
        <v>1760</v>
      </c>
      <c r="C332" s="1">
        <v>3567.6727337927691</v>
      </c>
      <c r="D332" s="1">
        <f t="shared" si="16"/>
        <v>1807.6727337927693</v>
      </c>
      <c r="E332" s="2">
        <v>22</v>
      </c>
      <c r="F332" s="1">
        <v>162.16694244512587</v>
      </c>
      <c r="G332" s="1">
        <v>82.166942445125883</v>
      </c>
      <c r="H332" s="1">
        <v>80</v>
      </c>
      <c r="I332" s="6">
        <f t="shared" si="17"/>
        <v>4.9794191630459637E-2</v>
      </c>
    </row>
    <row r="333" spans="1:9" x14ac:dyDescent="0.25">
      <c r="A333" s="3">
        <v>41485</v>
      </c>
      <c r="B333" s="1">
        <f t="shared" si="15"/>
        <v>348</v>
      </c>
      <c r="C333" s="1">
        <v>887.175532830169</v>
      </c>
      <c r="D333" s="1">
        <f t="shared" si="16"/>
        <v>539.17553283016912</v>
      </c>
      <c r="E333" s="2">
        <v>6</v>
      </c>
      <c r="F333" s="1">
        <v>147.86258880502817</v>
      </c>
      <c r="G333" s="1">
        <v>89.862588805028182</v>
      </c>
      <c r="H333" s="1">
        <v>58</v>
      </c>
      <c r="I333" s="6">
        <f t="shared" si="17"/>
        <v>9.4328836039332259E-3</v>
      </c>
    </row>
    <row r="334" spans="1:9" x14ac:dyDescent="0.25">
      <c r="A334" s="3">
        <v>41472</v>
      </c>
      <c r="B334" s="1">
        <f t="shared" si="15"/>
        <v>663</v>
      </c>
      <c r="C334" s="1">
        <v>1267.5386515175912</v>
      </c>
      <c r="D334" s="1">
        <f t="shared" si="16"/>
        <v>604.53865151759135</v>
      </c>
      <c r="E334" s="2">
        <v>13</v>
      </c>
      <c r="F334" s="1">
        <v>97.502973193660864</v>
      </c>
      <c r="G334" s="1">
        <v>46.502973193660871</v>
      </c>
      <c r="H334" s="1">
        <v>51</v>
      </c>
      <c r="I334" s="6">
        <f t="shared" si="17"/>
        <v>1.8436999771324035E-2</v>
      </c>
    </row>
    <row r="335" spans="1:9" x14ac:dyDescent="0.25">
      <c r="A335" s="3">
        <v>41451</v>
      </c>
      <c r="B335" s="1">
        <f t="shared" si="15"/>
        <v>549</v>
      </c>
      <c r="C335" s="1">
        <v>993.05183295971665</v>
      </c>
      <c r="D335" s="1">
        <f t="shared" si="16"/>
        <v>444.05183295971659</v>
      </c>
      <c r="E335" s="2">
        <v>9</v>
      </c>
      <c r="F335" s="1">
        <v>110.33909255107963</v>
      </c>
      <c r="G335" s="1">
        <v>49.339092551079624</v>
      </c>
      <c r="H335" s="1">
        <v>61</v>
      </c>
      <c r="I335" s="6">
        <f t="shared" si="17"/>
        <v>1.5178367253601647E-2</v>
      </c>
    </row>
    <row r="336" spans="1:9" x14ac:dyDescent="0.25">
      <c r="A336" s="3">
        <v>41449</v>
      </c>
      <c r="B336" s="1">
        <f t="shared" si="15"/>
        <v>336</v>
      </c>
      <c r="C336" s="1">
        <v>727.93266824892726</v>
      </c>
      <c r="D336" s="1">
        <f t="shared" si="16"/>
        <v>391.93266824892726</v>
      </c>
      <c r="E336" s="2">
        <v>7</v>
      </c>
      <c r="F336" s="1">
        <v>103.99038117841818</v>
      </c>
      <c r="G336" s="1">
        <v>55.990381178418176</v>
      </c>
      <c r="H336" s="1">
        <v>48</v>
      </c>
      <c r="I336" s="6">
        <f t="shared" si="17"/>
        <v>9.0898696546992917E-3</v>
      </c>
    </row>
    <row r="337" spans="1:9" x14ac:dyDescent="0.25">
      <c r="A337" s="3">
        <v>41448</v>
      </c>
      <c r="B337" s="1">
        <f t="shared" si="15"/>
        <v>4544</v>
      </c>
      <c r="C337" s="1">
        <v>7738.9008456158062</v>
      </c>
      <c r="D337" s="1">
        <f t="shared" si="16"/>
        <v>3194.9008456158062</v>
      </c>
      <c r="E337" s="2">
        <v>64</v>
      </c>
      <c r="F337" s="1">
        <v>120.92032571274697</v>
      </c>
      <c r="G337" s="1">
        <v>49.920325712746973</v>
      </c>
      <c r="H337" s="1">
        <v>71</v>
      </c>
      <c r="I337" s="6">
        <f t="shared" si="17"/>
        <v>0.12937342785273268</v>
      </c>
    </row>
    <row r="338" spans="1:9" x14ac:dyDescent="0.25">
      <c r="A338" s="3">
        <v>41438</v>
      </c>
      <c r="B338" s="1">
        <f t="shared" si="15"/>
        <v>924</v>
      </c>
      <c r="C338" s="1">
        <v>1633.6014952389096</v>
      </c>
      <c r="D338" s="1">
        <f t="shared" si="16"/>
        <v>709.60149523890959</v>
      </c>
      <c r="E338" s="2">
        <v>14</v>
      </c>
      <c r="F338" s="1">
        <v>116.68582108849354</v>
      </c>
      <c r="G338" s="1">
        <v>50.68582108849354</v>
      </c>
      <c r="H338" s="1">
        <v>66</v>
      </c>
      <c r="I338" s="6">
        <f t="shared" si="17"/>
        <v>2.5897553167162132E-2</v>
      </c>
    </row>
    <row r="339" spans="1:9" x14ac:dyDescent="0.25">
      <c r="A339" s="3">
        <v>41436</v>
      </c>
      <c r="B339" s="1">
        <f t="shared" si="15"/>
        <v>459</v>
      </c>
      <c r="C339" s="1">
        <v>821.44679362768295</v>
      </c>
      <c r="D339" s="1">
        <f t="shared" si="16"/>
        <v>362.44679362768295</v>
      </c>
      <c r="E339" s="2">
        <v>17</v>
      </c>
      <c r="F339" s="1">
        <v>48.320399625157819</v>
      </c>
      <c r="G339" s="1">
        <v>21.320399625157819</v>
      </c>
      <c r="H339" s="1">
        <v>27</v>
      </c>
      <c r="I339" s="6">
        <f t="shared" si="17"/>
        <v>1.260576263434713E-2</v>
      </c>
    </row>
    <row r="340" spans="1:9" x14ac:dyDescent="0.25">
      <c r="A340" s="3">
        <v>41432</v>
      </c>
      <c r="B340" s="1">
        <f t="shared" si="15"/>
        <v>98</v>
      </c>
      <c r="C340" s="1">
        <v>206.42070427201102</v>
      </c>
      <c r="D340" s="1">
        <f t="shared" si="16"/>
        <v>108.42070427201102</v>
      </c>
      <c r="E340" s="2">
        <v>2</v>
      </c>
      <c r="F340" s="1">
        <v>103.21035213600551</v>
      </c>
      <c r="G340" s="1">
        <v>54.210352136005511</v>
      </c>
      <c r="H340" s="1">
        <v>49</v>
      </c>
      <c r="I340" s="6">
        <f t="shared" si="17"/>
        <v>2.2867596615595699E-3</v>
      </c>
    </row>
    <row r="341" spans="1:9" x14ac:dyDescent="0.25">
      <c r="A341" s="3">
        <v>41415</v>
      </c>
      <c r="B341" s="1">
        <f t="shared" si="15"/>
        <v>2464</v>
      </c>
      <c r="C341" s="1">
        <v>5399.3142871177206</v>
      </c>
      <c r="D341" s="1">
        <f t="shared" si="16"/>
        <v>2935.3142871177206</v>
      </c>
      <c r="E341" s="2">
        <v>32</v>
      </c>
      <c r="F341" s="1">
        <v>168.72857147242877</v>
      </c>
      <c r="G341" s="1">
        <v>91.728571472428769</v>
      </c>
      <c r="H341" s="1">
        <v>77</v>
      </c>
      <c r="I341" s="6">
        <f t="shared" si="17"/>
        <v>6.9917676652183861E-2</v>
      </c>
    </row>
    <row r="342" spans="1:9" x14ac:dyDescent="0.25">
      <c r="A342" s="3">
        <v>41406</v>
      </c>
      <c r="B342" s="1">
        <f t="shared" si="15"/>
        <v>833</v>
      </c>
      <c r="C342" s="1">
        <v>1409.1210334127341</v>
      </c>
      <c r="D342" s="1">
        <f t="shared" si="16"/>
        <v>576.12103341273405</v>
      </c>
      <c r="E342" s="2">
        <v>17</v>
      </c>
      <c r="F342" s="1">
        <v>82.88947255369024</v>
      </c>
      <c r="G342" s="1">
        <v>33.88947255369024</v>
      </c>
      <c r="H342" s="1">
        <v>49</v>
      </c>
      <c r="I342" s="6">
        <f t="shared" si="17"/>
        <v>2.329636405213812E-2</v>
      </c>
    </row>
    <row r="343" spans="1:9" x14ac:dyDescent="0.25">
      <c r="A343" s="3">
        <v>41402</v>
      </c>
      <c r="B343" s="1">
        <f t="shared" si="15"/>
        <v>4720</v>
      </c>
      <c r="C343" s="1">
        <v>9224.22995646872</v>
      </c>
      <c r="D343" s="1">
        <f t="shared" si="16"/>
        <v>4504.22995646872</v>
      </c>
      <c r="E343" s="2">
        <v>59</v>
      </c>
      <c r="F343" s="1">
        <v>156.3428806181139</v>
      </c>
      <c r="G343" s="1">
        <v>76.342880618113895</v>
      </c>
      <c r="H343" s="1">
        <v>80</v>
      </c>
      <c r="I343" s="6">
        <f t="shared" si="17"/>
        <v>0.13440429910816373</v>
      </c>
    </row>
    <row r="344" spans="1:9" x14ac:dyDescent="0.25">
      <c r="A344" s="3">
        <v>41397</v>
      </c>
      <c r="B344" s="1">
        <f t="shared" si="15"/>
        <v>2091</v>
      </c>
      <c r="C344" s="1">
        <v>4020.3727358279207</v>
      </c>
      <c r="D344" s="1">
        <f t="shared" si="16"/>
        <v>1929.3727358279207</v>
      </c>
      <c r="E344" s="2">
        <v>41</v>
      </c>
      <c r="F344" s="1">
        <v>98.057871605559043</v>
      </c>
      <c r="G344" s="1">
        <v>47.057871605559043</v>
      </c>
      <c r="H344" s="1">
        <v>51</v>
      </c>
      <c r="I344" s="6">
        <f t="shared" si="17"/>
        <v>5.9255659730162363E-2</v>
      </c>
    </row>
    <row r="345" spans="1:9" x14ac:dyDescent="0.25">
      <c r="A345" s="3">
        <v>41391</v>
      </c>
      <c r="B345" s="1">
        <f t="shared" si="15"/>
        <v>2067</v>
      </c>
      <c r="C345" s="1">
        <v>4775.9446524334553</v>
      </c>
      <c r="D345" s="1">
        <f t="shared" si="16"/>
        <v>2708.9446524334553</v>
      </c>
      <c r="E345" s="2">
        <v>39</v>
      </c>
      <c r="F345" s="1">
        <v>122.46011929316552</v>
      </c>
      <c r="G345" s="1">
        <v>69.460119293165519</v>
      </c>
      <c r="H345" s="1">
        <v>53</v>
      </c>
      <c r="I345" s="6">
        <f t="shared" si="17"/>
        <v>5.8569631831694488E-2</v>
      </c>
    </row>
    <row r="346" spans="1:9" x14ac:dyDescent="0.25">
      <c r="A346" s="3">
        <v>41384</v>
      </c>
      <c r="B346" s="1">
        <f t="shared" si="15"/>
        <v>3290</v>
      </c>
      <c r="C346" s="1">
        <v>5649.0650113708825</v>
      </c>
      <c r="D346" s="1">
        <f t="shared" si="16"/>
        <v>2359.0650113708816</v>
      </c>
      <c r="E346" s="2">
        <v>35</v>
      </c>
      <c r="F346" s="1">
        <v>161.40185746773949</v>
      </c>
      <c r="G346" s="1">
        <v>67.401857467739475</v>
      </c>
      <c r="H346" s="1">
        <v>94</v>
      </c>
      <c r="I346" s="6">
        <f t="shared" si="17"/>
        <v>9.3528470157786411E-2</v>
      </c>
    </row>
    <row r="347" spans="1:9" x14ac:dyDescent="0.25">
      <c r="A347" s="3">
        <v>41368</v>
      </c>
      <c r="B347" s="1">
        <f t="shared" si="15"/>
        <v>510</v>
      </c>
      <c r="C347" s="1">
        <v>1055.8213944974159</v>
      </c>
      <c r="D347" s="1">
        <f t="shared" si="16"/>
        <v>545.82139449741601</v>
      </c>
      <c r="E347" s="2">
        <v>15</v>
      </c>
      <c r="F347" s="1">
        <v>70.388092966494398</v>
      </c>
      <c r="G347" s="1">
        <v>36.388092966494398</v>
      </c>
      <c r="H347" s="1">
        <v>34</v>
      </c>
      <c r="I347" s="6">
        <f t="shared" si="17"/>
        <v>1.4063571918591356E-2</v>
      </c>
    </row>
    <row r="348" spans="1:9" x14ac:dyDescent="0.25">
      <c r="A348" s="3">
        <v>41367</v>
      </c>
      <c r="B348" s="1">
        <f t="shared" si="15"/>
        <v>5890</v>
      </c>
      <c r="C348" s="1">
        <v>14598.414280259109</v>
      </c>
      <c r="D348" s="1">
        <f t="shared" si="16"/>
        <v>8708.4142802591086</v>
      </c>
      <c r="E348" s="2">
        <v>95</v>
      </c>
      <c r="F348" s="1">
        <v>153.66751873956957</v>
      </c>
      <c r="G348" s="1">
        <v>91.667518739569559</v>
      </c>
      <c r="H348" s="1">
        <v>62</v>
      </c>
      <c r="I348" s="6">
        <f t="shared" si="17"/>
        <v>0.16784815915847245</v>
      </c>
    </row>
    <row r="349" spans="1:9" x14ac:dyDescent="0.25">
      <c r="A349" s="3">
        <v>41365</v>
      </c>
      <c r="B349" s="1">
        <f t="shared" si="15"/>
        <v>584</v>
      </c>
      <c r="C349" s="1">
        <v>1343.8580086243014</v>
      </c>
      <c r="D349" s="1">
        <f t="shared" si="16"/>
        <v>759.85800862430153</v>
      </c>
      <c r="E349" s="2">
        <v>8</v>
      </c>
      <c r="F349" s="1">
        <v>167.98225107803768</v>
      </c>
      <c r="G349" s="1">
        <v>94.982251078037692</v>
      </c>
      <c r="H349" s="1">
        <v>73</v>
      </c>
      <c r="I349" s="6">
        <f t="shared" si="17"/>
        <v>1.6178824605533958E-2</v>
      </c>
    </row>
    <row r="350" spans="1:9" x14ac:dyDescent="0.25">
      <c r="A350" s="3">
        <v>41364</v>
      </c>
      <c r="B350" s="1">
        <f t="shared" si="15"/>
        <v>156</v>
      </c>
      <c r="C350" s="1">
        <v>358.16836850461078</v>
      </c>
      <c r="D350" s="1">
        <f t="shared" si="16"/>
        <v>202.16836850461078</v>
      </c>
      <c r="E350" s="2">
        <v>6</v>
      </c>
      <c r="F350" s="1">
        <v>59.694728084101797</v>
      </c>
      <c r="G350" s="1">
        <v>33.694728084101797</v>
      </c>
      <c r="H350" s="1">
        <v>26</v>
      </c>
      <c r="I350" s="6">
        <f t="shared" si="17"/>
        <v>3.9446604161902585E-3</v>
      </c>
    </row>
    <row r="351" spans="1:9" x14ac:dyDescent="0.25">
      <c r="A351" s="3">
        <v>41346</v>
      </c>
      <c r="B351" s="1">
        <f t="shared" si="15"/>
        <v>612</v>
      </c>
      <c r="C351" s="1">
        <v>1252.9129324058604</v>
      </c>
      <c r="D351" s="1">
        <f t="shared" si="16"/>
        <v>640.91293240586026</v>
      </c>
      <c r="E351" s="2">
        <v>12</v>
      </c>
      <c r="F351" s="1">
        <v>104.4094110338217</v>
      </c>
      <c r="G351" s="1">
        <v>53.409411033821691</v>
      </c>
      <c r="H351" s="1">
        <v>51</v>
      </c>
      <c r="I351" s="6">
        <f t="shared" si="17"/>
        <v>1.6979190487079809E-2</v>
      </c>
    </row>
    <row r="352" spans="1:9" x14ac:dyDescent="0.25">
      <c r="A352" s="3">
        <v>41320</v>
      </c>
      <c r="B352" s="1">
        <f t="shared" si="15"/>
        <v>1258</v>
      </c>
      <c r="C352" s="1">
        <v>2253.4262800000893</v>
      </c>
      <c r="D352" s="1">
        <f t="shared" si="16"/>
        <v>995.42628000008949</v>
      </c>
      <c r="E352" s="2">
        <v>17</v>
      </c>
      <c r="F352" s="1">
        <v>132.55448705882878</v>
      </c>
      <c r="G352" s="1">
        <v>58.554487058828791</v>
      </c>
      <c r="H352" s="1">
        <v>74</v>
      </c>
      <c r="I352" s="6">
        <f t="shared" si="17"/>
        <v>3.5444774754173333E-2</v>
      </c>
    </row>
    <row r="353" spans="1:9" x14ac:dyDescent="0.25">
      <c r="A353" s="3">
        <v>41318</v>
      </c>
      <c r="B353" s="1">
        <f t="shared" si="15"/>
        <v>2052</v>
      </c>
      <c r="C353" s="1">
        <v>3589.4201980433422</v>
      </c>
      <c r="D353" s="1">
        <f t="shared" si="16"/>
        <v>1537.4201980433418</v>
      </c>
      <c r="E353" s="2">
        <v>27</v>
      </c>
      <c r="F353" s="1">
        <v>132.94148881642008</v>
      </c>
      <c r="G353" s="1">
        <v>56.941488816420069</v>
      </c>
      <c r="H353" s="1">
        <v>76</v>
      </c>
      <c r="I353" s="6">
        <f t="shared" si="17"/>
        <v>5.8140864395152071E-2</v>
      </c>
    </row>
    <row r="354" spans="1:9" x14ac:dyDescent="0.25">
      <c r="A354" s="3">
        <v>41305</v>
      </c>
      <c r="B354" s="1">
        <f t="shared" si="15"/>
        <v>120</v>
      </c>
      <c r="C354" s="1">
        <v>224.41469458697583</v>
      </c>
      <c r="D354" s="1">
        <f t="shared" si="16"/>
        <v>104.41469458697583</v>
      </c>
      <c r="E354" s="2">
        <v>3</v>
      </c>
      <c r="F354" s="1">
        <v>74.804898195658609</v>
      </c>
      <c r="G354" s="1">
        <v>34.804898195658609</v>
      </c>
      <c r="H354" s="1">
        <v>40</v>
      </c>
      <c r="I354" s="6">
        <f t="shared" si="17"/>
        <v>2.9156185684884517E-3</v>
      </c>
    </row>
    <row r="355" spans="1:9" x14ac:dyDescent="0.25">
      <c r="A355" s="3">
        <v>41305</v>
      </c>
      <c r="B355" s="1">
        <f t="shared" si="15"/>
        <v>800</v>
      </c>
      <c r="C355" s="1">
        <v>1361.4312529488971</v>
      </c>
      <c r="D355" s="1">
        <f t="shared" si="16"/>
        <v>561.43125294889694</v>
      </c>
      <c r="E355" s="2">
        <v>25</v>
      </c>
      <c r="F355" s="1">
        <v>54.45725011795588</v>
      </c>
      <c r="G355" s="1">
        <v>22.457250117955876</v>
      </c>
      <c r="H355" s="1">
        <v>32</v>
      </c>
      <c r="I355" s="6">
        <f t="shared" si="17"/>
        <v>2.2353075691744797E-2</v>
      </c>
    </row>
    <row r="356" spans="1:9" x14ac:dyDescent="0.25">
      <c r="A356" s="3">
        <v>41282</v>
      </c>
      <c r="B356" s="1">
        <f t="shared" si="15"/>
        <v>1254</v>
      </c>
      <c r="C356" s="1">
        <v>3166.4672273800261</v>
      </c>
      <c r="D356" s="1">
        <f t="shared" si="16"/>
        <v>1912.4672273800256</v>
      </c>
      <c r="E356" s="2">
        <v>33</v>
      </c>
      <c r="F356" s="1">
        <v>95.953552344849271</v>
      </c>
      <c r="G356" s="1">
        <v>57.953552344849264</v>
      </c>
      <c r="H356" s="1">
        <v>38</v>
      </c>
      <c r="I356" s="6">
        <f t="shared" si="17"/>
        <v>3.5330436771095361E-2</v>
      </c>
    </row>
    <row r="357" spans="1:9" x14ac:dyDescent="0.25">
      <c r="A357" s="3">
        <v>41245</v>
      </c>
      <c r="B357" s="1">
        <f t="shared" si="15"/>
        <v>1464</v>
      </c>
      <c r="C357" s="1">
        <v>2884.0188665482879</v>
      </c>
      <c r="D357" s="1">
        <f t="shared" si="16"/>
        <v>1420.0188665482879</v>
      </c>
      <c r="E357" s="2">
        <v>8</v>
      </c>
      <c r="F357" s="1">
        <v>360.50235831853598</v>
      </c>
      <c r="G357" s="1">
        <v>177.50235831853598</v>
      </c>
      <c r="H357" s="1">
        <v>183</v>
      </c>
      <c r="I357" s="6">
        <f t="shared" si="17"/>
        <v>4.1333180882689231E-2</v>
      </c>
    </row>
    <row r="358" spans="1:9" x14ac:dyDescent="0.25">
      <c r="A358" s="3">
        <v>41242</v>
      </c>
      <c r="B358" s="1">
        <f t="shared" si="15"/>
        <v>297</v>
      </c>
      <c r="C358" s="1">
        <v>553.69512750732326</v>
      </c>
      <c r="D358" s="1">
        <f t="shared" si="16"/>
        <v>256.69512750732321</v>
      </c>
      <c r="E358" s="2">
        <v>11</v>
      </c>
      <c r="F358" s="1">
        <v>50.33592068248393</v>
      </c>
      <c r="G358" s="1">
        <v>23.335920682483927</v>
      </c>
      <c r="H358" s="1">
        <v>27</v>
      </c>
      <c r="I358" s="6">
        <f t="shared" si="17"/>
        <v>7.9750743196890014E-3</v>
      </c>
    </row>
    <row r="359" spans="1:9" x14ac:dyDescent="0.25">
      <c r="A359" s="3">
        <v>41229</v>
      </c>
      <c r="B359" s="1">
        <f t="shared" si="15"/>
        <v>880</v>
      </c>
      <c r="C359" s="1">
        <v>1574.1618984174772</v>
      </c>
      <c r="D359" s="1">
        <f t="shared" si="16"/>
        <v>694.16189841747723</v>
      </c>
      <c r="E359" s="2">
        <v>16</v>
      </c>
      <c r="F359" s="1">
        <v>98.385118651092327</v>
      </c>
      <c r="G359" s="1">
        <v>43.385118651092327</v>
      </c>
      <c r="H359" s="1">
        <v>55</v>
      </c>
      <c r="I359" s="6">
        <f t="shared" si="17"/>
        <v>2.4639835353304367E-2</v>
      </c>
    </row>
    <row r="360" spans="1:9" x14ac:dyDescent="0.25">
      <c r="A360" s="3">
        <v>41228</v>
      </c>
      <c r="B360" s="1">
        <f t="shared" si="15"/>
        <v>1290</v>
      </c>
      <c r="C360" s="1">
        <v>2966.6321544554021</v>
      </c>
      <c r="D360" s="1">
        <f t="shared" si="16"/>
        <v>1676.6321544554021</v>
      </c>
      <c r="E360" s="2">
        <v>30</v>
      </c>
      <c r="F360" s="1">
        <v>98.887738481846739</v>
      </c>
      <c r="G360" s="1">
        <v>55.887738481846739</v>
      </c>
      <c r="H360" s="1">
        <v>43</v>
      </c>
      <c r="I360" s="6">
        <f t="shared" si="17"/>
        <v>3.6359478618797167E-2</v>
      </c>
    </row>
    <row r="361" spans="1:9" x14ac:dyDescent="0.25">
      <c r="A361" s="3">
        <v>41226</v>
      </c>
      <c r="B361" s="1">
        <f t="shared" si="15"/>
        <v>624</v>
      </c>
      <c r="C361" s="1">
        <v>1193.6095730411196</v>
      </c>
      <c r="D361" s="1">
        <f t="shared" si="16"/>
        <v>569.60957304111957</v>
      </c>
      <c r="E361" s="2">
        <v>16</v>
      </c>
      <c r="F361" s="1">
        <v>74.600598315069973</v>
      </c>
      <c r="G361" s="1">
        <v>35.600598315069973</v>
      </c>
      <c r="H361" s="1">
        <v>39</v>
      </c>
      <c r="I361" s="6">
        <f t="shared" si="17"/>
        <v>1.7322204436313743E-2</v>
      </c>
    </row>
    <row r="362" spans="1:9" x14ac:dyDescent="0.25">
      <c r="A362" s="3">
        <v>41220</v>
      </c>
      <c r="B362" s="1">
        <f t="shared" si="15"/>
        <v>1248</v>
      </c>
      <c r="C362" s="1">
        <v>3552.3197202088813</v>
      </c>
      <c r="D362" s="1">
        <f t="shared" si="16"/>
        <v>2304.3197202088813</v>
      </c>
      <c r="E362" s="2">
        <v>52</v>
      </c>
      <c r="F362" s="1">
        <v>68.313840773247719</v>
      </c>
      <c r="G362" s="1">
        <v>44.313840773247719</v>
      </c>
      <c r="H362" s="1">
        <v>24</v>
      </c>
      <c r="I362" s="6">
        <f t="shared" si="17"/>
        <v>3.5158929796478389E-2</v>
      </c>
    </row>
    <row r="363" spans="1:9" x14ac:dyDescent="0.25">
      <c r="A363" s="3">
        <v>41217</v>
      </c>
      <c r="B363" s="1">
        <f t="shared" si="15"/>
        <v>559</v>
      </c>
      <c r="C363" s="1">
        <v>1006.8995692449448</v>
      </c>
      <c r="D363" s="1">
        <f t="shared" si="16"/>
        <v>447.89956924494487</v>
      </c>
      <c r="E363" s="2">
        <v>13</v>
      </c>
      <c r="F363" s="1">
        <v>77.453813018841913</v>
      </c>
      <c r="G363" s="1">
        <v>34.453813018841913</v>
      </c>
      <c r="H363" s="1">
        <v>43</v>
      </c>
      <c r="I363" s="6">
        <f t="shared" si="17"/>
        <v>1.5464212211296593E-2</v>
      </c>
    </row>
    <row r="364" spans="1:9" x14ac:dyDescent="0.25">
      <c r="A364" s="3">
        <v>41215</v>
      </c>
      <c r="B364" s="1">
        <f t="shared" si="15"/>
        <v>1148</v>
      </c>
      <c r="C364" s="1">
        <v>3104.9346899453521</v>
      </c>
      <c r="D364" s="1">
        <f t="shared" si="16"/>
        <v>1956.9346899453524</v>
      </c>
      <c r="E364" s="2">
        <v>28</v>
      </c>
      <c r="F364" s="1">
        <v>110.89052464090544</v>
      </c>
      <c r="G364" s="1">
        <v>69.89052464090544</v>
      </c>
      <c r="H364" s="1">
        <v>41</v>
      </c>
      <c r="I364" s="6">
        <f t="shared" si="17"/>
        <v>3.2300480219528929E-2</v>
      </c>
    </row>
    <row r="365" spans="1:9" x14ac:dyDescent="0.25">
      <c r="A365" s="3">
        <v>41209</v>
      </c>
      <c r="B365" s="1">
        <f t="shared" si="15"/>
        <v>3408</v>
      </c>
      <c r="C365" s="1">
        <v>6967.8638909703186</v>
      </c>
      <c r="D365" s="1">
        <f t="shared" si="16"/>
        <v>3559.8638909703186</v>
      </c>
      <c r="E365" s="2">
        <v>71</v>
      </c>
      <c r="F365" s="1">
        <v>98.13892804183547</v>
      </c>
      <c r="G365" s="1">
        <v>50.13892804183547</v>
      </c>
      <c r="H365" s="1">
        <v>48</v>
      </c>
      <c r="I365" s="6">
        <f t="shared" si="17"/>
        <v>9.6901440658586788E-2</v>
      </c>
    </row>
    <row r="366" spans="1:9" x14ac:dyDescent="0.25">
      <c r="A366" s="3">
        <v>41190</v>
      </c>
      <c r="B366" s="1">
        <f t="shared" si="15"/>
        <v>5005</v>
      </c>
      <c r="C366" s="1">
        <v>8834.970522449541</v>
      </c>
      <c r="D366" s="1">
        <f t="shared" si="16"/>
        <v>3829.9705224495419</v>
      </c>
      <c r="E366" s="2">
        <v>35</v>
      </c>
      <c r="F366" s="1">
        <v>252.42772921284404</v>
      </c>
      <c r="G366" s="1">
        <v>109.42772921284406</v>
      </c>
      <c r="H366" s="1">
        <v>143</v>
      </c>
      <c r="I366" s="6">
        <f t="shared" si="17"/>
        <v>0.14255088040246969</v>
      </c>
    </row>
    <row r="367" spans="1:9" x14ac:dyDescent="0.25">
      <c r="A367" s="3">
        <v>41183</v>
      </c>
      <c r="B367" s="1">
        <f t="shared" si="15"/>
        <v>405</v>
      </c>
      <c r="C367" s="1">
        <v>1111.0754213451037</v>
      </c>
      <c r="D367" s="1">
        <f t="shared" si="16"/>
        <v>706.07542134510379</v>
      </c>
      <c r="E367" s="2">
        <v>15</v>
      </c>
      <c r="F367" s="1">
        <v>74.07169475634025</v>
      </c>
      <c r="G367" s="1">
        <v>47.07169475634025</v>
      </c>
      <c r="H367" s="1">
        <v>27</v>
      </c>
      <c r="I367" s="6">
        <f t="shared" si="17"/>
        <v>1.1062199862794421E-2</v>
      </c>
    </row>
    <row r="368" spans="1:9" x14ac:dyDescent="0.25">
      <c r="A368" s="3">
        <v>41176</v>
      </c>
      <c r="B368" s="1">
        <f t="shared" si="15"/>
        <v>1116</v>
      </c>
      <c r="C368" s="1">
        <v>2003.8438569134441</v>
      </c>
      <c r="D368" s="1">
        <f t="shared" si="16"/>
        <v>887.84385691344426</v>
      </c>
      <c r="E368" s="2">
        <v>31</v>
      </c>
      <c r="F368" s="1">
        <v>64.640124416562713</v>
      </c>
      <c r="G368" s="1">
        <v>28.640124416562717</v>
      </c>
      <c r="H368" s="1">
        <v>36</v>
      </c>
      <c r="I368" s="6">
        <f t="shared" si="17"/>
        <v>3.1385776354905102E-2</v>
      </c>
    </row>
    <row r="369" spans="1:9" x14ac:dyDescent="0.25">
      <c r="A369" s="3">
        <v>41171</v>
      </c>
      <c r="B369" s="1">
        <f t="shared" si="15"/>
        <v>324</v>
      </c>
      <c r="C369" s="1">
        <v>726.03707398634663</v>
      </c>
      <c r="D369" s="1">
        <f t="shared" si="16"/>
        <v>402.03707398634663</v>
      </c>
      <c r="E369" s="2">
        <v>9</v>
      </c>
      <c r="F369" s="1">
        <v>80.670785998482955</v>
      </c>
      <c r="G369" s="1">
        <v>44.670785998482955</v>
      </c>
      <c r="H369" s="1">
        <v>36</v>
      </c>
      <c r="I369" s="6">
        <f t="shared" si="17"/>
        <v>8.7468557054653558E-3</v>
      </c>
    </row>
    <row r="370" spans="1:9" x14ac:dyDescent="0.25">
      <c r="A370" s="3">
        <v>41159</v>
      </c>
      <c r="B370" s="1">
        <f t="shared" si="15"/>
        <v>46</v>
      </c>
      <c r="C370" s="1">
        <v>132.29732750726538</v>
      </c>
      <c r="D370" s="1">
        <f t="shared" si="16"/>
        <v>86.297327507265379</v>
      </c>
      <c r="E370" s="2">
        <v>2</v>
      </c>
      <c r="F370" s="1">
        <v>66.14866375363269</v>
      </c>
      <c r="G370" s="1">
        <v>43.14866375363269</v>
      </c>
      <c r="H370" s="1">
        <v>23</v>
      </c>
      <c r="I370" s="6">
        <f t="shared" si="17"/>
        <v>8.0036588154584949E-4</v>
      </c>
    </row>
    <row r="371" spans="1:9" x14ac:dyDescent="0.25">
      <c r="A371" s="3">
        <v>41152</v>
      </c>
      <c r="B371" s="1">
        <f t="shared" si="15"/>
        <v>935</v>
      </c>
      <c r="C371" s="1">
        <v>2014.483750876273</v>
      </c>
      <c r="D371" s="1">
        <f t="shared" si="16"/>
        <v>1079.483750876273</v>
      </c>
      <c r="E371" s="2">
        <v>17</v>
      </c>
      <c r="F371" s="1">
        <v>118.49904416919253</v>
      </c>
      <c r="G371" s="1">
        <v>63.49904416919253</v>
      </c>
      <c r="H371" s="1">
        <v>55</v>
      </c>
      <c r="I371" s="6">
        <f t="shared" si="17"/>
        <v>2.6211982620626573E-2</v>
      </c>
    </row>
    <row r="372" spans="1:9" x14ac:dyDescent="0.25">
      <c r="A372" s="3">
        <v>41148</v>
      </c>
      <c r="B372" s="1">
        <f t="shared" si="15"/>
        <v>1420</v>
      </c>
      <c r="C372" s="1">
        <v>2522.5676935711158</v>
      </c>
      <c r="D372" s="1">
        <f t="shared" si="16"/>
        <v>1102.567693571116</v>
      </c>
      <c r="E372" s="2">
        <v>20</v>
      </c>
      <c r="F372" s="1">
        <v>126.12838467855579</v>
      </c>
      <c r="G372" s="1">
        <v>55.128384678555797</v>
      </c>
      <c r="H372" s="1">
        <v>71</v>
      </c>
      <c r="I372" s="6">
        <f t="shared" si="17"/>
        <v>4.0075463068831467E-2</v>
      </c>
    </row>
    <row r="373" spans="1:9" x14ac:dyDescent="0.25">
      <c r="A373" s="3">
        <v>41147</v>
      </c>
      <c r="B373" s="1">
        <f t="shared" si="15"/>
        <v>845</v>
      </c>
      <c r="C373" s="1">
        <v>1427.3217716418692</v>
      </c>
      <c r="D373" s="1">
        <f t="shared" si="16"/>
        <v>582.32177164186919</v>
      </c>
      <c r="E373" s="2">
        <v>13</v>
      </c>
      <c r="F373" s="1">
        <v>109.79398243398994</v>
      </c>
      <c r="G373" s="1">
        <v>44.793982433989939</v>
      </c>
      <c r="H373" s="1">
        <v>65</v>
      </c>
      <c r="I373" s="6">
        <f t="shared" si="17"/>
        <v>2.3639378001372054E-2</v>
      </c>
    </row>
    <row r="374" spans="1:9" x14ac:dyDescent="0.25">
      <c r="A374" s="3">
        <v>41140</v>
      </c>
      <c r="B374" s="1">
        <f t="shared" si="15"/>
        <v>245</v>
      </c>
      <c r="C374" s="1">
        <v>491.75525728059625</v>
      </c>
      <c r="D374" s="1">
        <f t="shared" si="16"/>
        <v>246.75525728059625</v>
      </c>
      <c r="E374" s="2">
        <v>5</v>
      </c>
      <c r="F374" s="1">
        <v>98.351051456119251</v>
      </c>
      <c r="G374" s="1">
        <v>49.351051456119251</v>
      </c>
      <c r="H374" s="1">
        <v>49</v>
      </c>
      <c r="I374" s="6">
        <f t="shared" si="17"/>
        <v>6.4886805396752803E-3</v>
      </c>
    </row>
    <row r="375" spans="1:9" x14ac:dyDescent="0.25">
      <c r="A375" s="3">
        <v>41138</v>
      </c>
      <c r="B375" s="1">
        <f t="shared" si="15"/>
        <v>1365</v>
      </c>
      <c r="C375" s="1">
        <v>2730.1504455224049</v>
      </c>
      <c r="D375" s="1">
        <f t="shared" si="16"/>
        <v>1365.1504455224049</v>
      </c>
      <c r="E375" s="2">
        <v>15</v>
      </c>
      <c r="F375" s="1">
        <v>182.01002970149366</v>
      </c>
      <c r="G375" s="1">
        <v>91.010029701493664</v>
      </c>
      <c r="H375" s="1">
        <v>91</v>
      </c>
      <c r="I375" s="6">
        <f t="shared" si="17"/>
        <v>3.8503315801509258E-2</v>
      </c>
    </row>
    <row r="376" spans="1:9" x14ac:dyDescent="0.25">
      <c r="A376" s="3">
        <v>41131</v>
      </c>
      <c r="B376" s="1">
        <f t="shared" si="15"/>
        <v>8316</v>
      </c>
      <c r="C376" s="1">
        <v>15088.471453331078</v>
      </c>
      <c r="D376" s="1">
        <f t="shared" si="16"/>
        <v>6772.4714533310789</v>
      </c>
      <c r="E376" s="2">
        <v>66</v>
      </c>
      <c r="F376" s="1">
        <v>228.61320383834968</v>
      </c>
      <c r="G376" s="1">
        <v>102.61320383834968</v>
      </c>
      <c r="H376" s="1">
        <v>126</v>
      </c>
      <c r="I376" s="6">
        <f t="shared" si="17"/>
        <v>0.23719414589526641</v>
      </c>
    </row>
    <row r="377" spans="1:9" x14ac:dyDescent="0.25">
      <c r="A377" s="3">
        <v>41121</v>
      </c>
      <c r="B377" s="1">
        <f t="shared" si="15"/>
        <v>1349</v>
      </c>
      <c r="C377" s="1">
        <v>2382.1534258255438</v>
      </c>
      <c r="D377" s="1">
        <f t="shared" si="16"/>
        <v>1033.1534258255435</v>
      </c>
      <c r="E377" s="2">
        <v>19</v>
      </c>
      <c r="F377" s="1">
        <v>125.37649609608124</v>
      </c>
      <c r="G377" s="1">
        <v>54.376496096081233</v>
      </c>
      <c r="H377" s="1">
        <v>71</v>
      </c>
      <c r="I377" s="6">
        <f t="shared" si="17"/>
        <v>3.8045963869197348E-2</v>
      </c>
    </row>
    <row r="378" spans="1:9" x14ac:dyDescent="0.25">
      <c r="A378" s="3">
        <v>41115</v>
      </c>
      <c r="B378" s="1">
        <f t="shared" si="15"/>
        <v>308</v>
      </c>
      <c r="C378" s="1">
        <v>535.99796125001842</v>
      </c>
      <c r="D378" s="1">
        <f t="shared" si="16"/>
        <v>227.99796125001845</v>
      </c>
      <c r="E378" s="2">
        <v>4</v>
      </c>
      <c r="F378" s="1">
        <v>133.99949031250461</v>
      </c>
      <c r="G378" s="1">
        <v>56.999490312504612</v>
      </c>
      <c r="H378" s="1">
        <v>77</v>
      </c>
      <c r="I378" s="6">
        <f t="shared" si="17"/>
        <v>8.2895037731534407E-3</v>
      </c>
    </row>
    <row r="379" spans="1:9" x14ac:dyDescent="0.25">
      <c r="A379" s="3">
        <v>41113</v>
      </c>
      <c r="B379" s="1">
        <f t="shared" si="15"/>
        <v>23</v>
      </c>
      <c r="C379" s="1">
        <v>58.984896735970452</v>
      </c>
      <c r="D379" s="1">
        <f t="shared" si="16"/>
        <v>35.984896735970452</v>
      </c>
      <c r="E379" s="2">
        <v>1</v>
      </c>
      <c r="F379" s="1">
        <v>58.984896735970452</v>
      </c>
      <c r="G379" s="1">
        <v>35.984896735970452</v>
      </c>
      <c r="H379" s="1">
        <v>23</v>
      </c>
      <c r="I379" s="6">
        <f t="shared" si="17"/>
        <v>1.4292247884747312E-4</v>
      </c>
    </row>
    <row r="380" spans="1:9" x14ac:dyDescent="0.25">
      <c r="A380" s="3">
        <v>41111</v>
      </c>
      <c r="B380" s="1">
        <f t="shared" si="15"/>
        <v>1300</v>
      </c>
      <c r="C380" s="1">
        <v>2469.0908961894334</v>
      </c>
      <c r="D380" s="1">
        <f t="shared" si="16"/>
        <v>1169.0908961894334</v>
      </c>
      <c r="E380" s="2">
        <v>20</v>
      </c>
      <c r="F380" s="1">
        <v>123.45454480947167</v>
      </c>
      <c r="G380" s="1">
        <v>58.45454480947167</v>
      </c>
      <c r="H380" s="1">
        <v>65</v>
      </c>
      <c r="I380" s="6">
        <f t="shared" si="17"/>
        <v>3.6645323576492111E-2</v>
      </c>
    </row>
    <row r="381" spans="1:9" x14ac:dyDescent="0.25">
      <c r="A381" s="3">
        <v>41107</v>
      </c>
      <c r="B381" s="1">
        <f t="shared" si="15"/>
        <v>1134</v>
      </c>
      <c r="C381" s="1">
        <v>2391.635723558129</v>
      </c>
      <c r="D381" s="1">
        <f t="shared" si="16"/>
        <v>1257.635723558129</v>
      </c>
      <c r="E381" s="2">
        <v>21</v>
      </c>
      <c r="F381" s="1">
        <v>113.88741540752996</v>
      </c>
      <c r="G381" s="1">
        <v>59.887415407529957</v>
      </c>
      <c r="H381" s="1">
        <v>54</v>
      </c>
      <c r="I381" s="6">
        <f t="shared" si="17"/>
        <v>3.1900297278756005E-2</v>
      </c>
    </row>
    <row r="382" spans="1:9" x14ac:dyDescent="0.25">
      <c r="A382" s="3">
        <v>41104</v>
      </c>
      <c r="B382" s="1">
        <f t="shared" si="15"/>
        <v>140</v>
      </c>
      <c r="C382" s="1">
        <v>238.11272791141252</v>
      </c>
      <c r="D382" s="1">
        <f t="shared" si="16"/>
        <v>98.11272791141252</v>
      </c>
      <c r="E382" s="2">
        <v>2</v>
      </c>
      <c r="F382" s="1">
        <v>119.05636395570626</v>
      </c>
      <c r="G382" s="1">
        <v>49.05636395570626</v>
      </c>
      <c r="H382" s="1">
        <v>70</v>
      </c>
      <c r="I382" s="6">
        <f t="shared" si="17"/>
        <v>3.4873084838783442E-3</v>
      </c>
    </row>
    <row r="383" spans="1:9" x14ac:dyDescent="0.25">
      <c r="A383" s="3">
        <v>41097</v>
      </c>
      <c r="B383" s="1">
        <f t="shared" si="15"/>
        <v>992</v>
      </c>
      <c r="C383" s="1">
        <v>1829.4596214952578</v>
      </c>
      <c r="D383" s="1">
        <f t="shared" si="16"/>
        <v>837.45962149525781</v>
      </c>
      <c r="E383" s="2">
        <v>16</v>
      </c>
      <c r="F383" s="1">
        <v>114.34122634345361</v>
      </c>
      <c r="G383" s="1">
        <v>52.341226343453613</v>
      </c>
      <c r="H383" s="1">
        <v>62</v>
      </c>
      <c r="I383" s="6">
        <f t="shared" si="17"/>
        <v>2.7841298879487764E-2</v>
      </c>
    </row>
    <row r="384" spans="1:9" x14ac:dyDescent="0.25">
      <c r="A384" s="3">
        <v>41095</v>
      </c>
      <c r="B384" s="1">
        <f t="shared" si="15"/>
        <v>6604</v>
      </c>
      <c r="C384" s="1">
        <v>11658.448900173686</v>
      </c>
      <c r="D384" s="1">
        <f t="shared" si="16"/>
        <v>5054.4489001736856</v>
      </c>
      <c r="E384" s="2">
        <v>52</v>
      </c>
      <c r="F384" s="1">
        <v>224.20094038795548</v>
      </c>
      <c r="G384" s="1">
        <v>97.200940387955498</v>
      </c>
      <c r="H384" s="1">
        <v>127</v>
      </c>
      <c r="I384" s="6">
        <f t="shared" si="17"/>
        <v>0.18825748913789161</v>
      </c>
    </row>
    <row r="385" spans="1:9" x14ac:dyDescent="0.25">
      <c r="A385" s="3">
        <v>41091</v>
      </c>
      <c r="B385" s="1">
        <f t="shared" si="15"/>
        <v>360</v>
      </c>
      <c r="C385" s="1">
        <v>860.13178822857344</v>
      </c>
      <c r="D385" s="1">
        <f t="shared" si="16"/>
        <v>500.13178822857344</v>
      </c>
      <c r="E385" s="2">
        <v>9</v>
      </c>
      <c r="F385" s="1">
        <v>95.570198692063713</v>
      </c>
      <c r="G385" s="1">
        <v>55.570198692063713</v>
      </c>
      <c r="H385" s="1">
        <v>40</v>
      </c>
      <c r="I385" s="6">
        <f t="shared" si="17"/>
        <v>9.7758975531671618E-3</v>
      </c>
    </row>
    <row r="386" spans="1:9" x14ac:dyDescent="0.25">
      <c r="A386" s="3">
        <v>41087</v>
      </c>
      <c r="B386" s="1">
        <f t="shared" ref="B386:B449" si="18">+E386*H386</f>
        <v>7290</v>
      </c>
      <c r="C386" s="1">
        <v>12294.108336563362</v>
      </c>
      <c r="D386" s="1">
        <f t="shared" ref="D386:D449" si="19">+E386*G386</f>
        <v>5004.1083365633613</v>
      </c>
      <c r="E386" s="2">
        <v>45</v>
      </c>
      <c r="F386" s="1">
        <v>273.20240747918581</v>
      </c>
      <c r="G386" s="1">
        <v>111.20240747918581</v>
      </c>
      <c r="H386" s="1">
        <v>162</v>
      </c>
      <c r="I386" s="6">
        <f t="shared" si="17"/>
        <v>0.20786645323576491</v>
      </c>
    </row>
    <row r="387" spans="1:9" x14ac:dyDescent="0.25">
      <c r="A387" s="3">
        <v>41080</v>
      </c>
      <c r="B387" s="1">
        <f t="shared" si="18"/>
        <v>4816</v>
      </c>
      <c r="C387" s="1">
        <v>8157.0353164480603</v>
      </c>
      <c r="D387" s="1">
        <f t="shared" si="19"/>
        <v>3341.0353164480603</v>
      </c>
      <c r="E387" s="2">
        <v>43</v>
      </c>
      <c r="F387" s="1">
        <v>189.69849573135025</v>
      </c>
      <c r="G387" s="1">
        <v>77.698495731350235</v>
      </c>
      <c r="H387" s="1">
        <v>112</v>
      </c>
      <c r="I387" s="6">
        <f t="shared" ref="I387:I450" si="20">+(B387-MIN($B$2:$B$501))/(MAX($B$2:$B$501)-MIN($B$2:$B$501))</f>
        <v>0.13714841070203521</v>
      </c>
    </row>
    <row r="388" spans="1:9" x14ac:dyDescent="0.25">
      <c r="A388" s="3">
        <v>41080</v>
      </c>
      <c r="B388" s="1">
        <f t="shared" si="18"/>
        <v>198</v>
      </c>
      <c r="C388" s="1">
        <v>439.8573078328385</v>
      </c>
      <c r="D388" s="1">
        <f t="shared" si="19"/>
        <v>241.85730783283847</v>
      </c>
      <c r="E388" s="2">
        <v>3</v>
      </c>
      <c r="F388" s="1">
        <v>146.61910261094616</v>
      </c>
      <c r="G388" s="1">
        <v>80.619102610946157</v>
      </c>
      <c r="H388" s="1">
        <v>66</v>
      </c>
      <c r="I388" s="6">
        <f t="shared" si="20"/>
        <v>5.1452092385090324E-3</v>
      </c>
    </row>
    <row r="389" spans="1:9" x14ac:dyDescent="0.25">
      <c r="A389" s="3">
        <v>41079</v>
      </c>
      <c r="B389" s="1">
        <f t="shared" si="18"/>
        <v>1330</v>
      </c>
      <c r="C389" s="1">
        <v>2336.1923461656493</v>
      </c>
      <c r="D389" s="1">
        <f t="shared" si="19"/>
        <v>1006.1923461656495</v>
      </c>
      <c r="E389" s="2">
        <v>14</v>
      </c>
      <c r="F389" s="1">
        <v>166.87088186897495</v>
      </c>
      <c r="G389" s="1">
        <v>71.870881868974962</v>
      </c>
      <c r="H389" s="1">
        <v>95</v>
      </c>
      <c r="I389" s="6">
        <f t="shared" si="20"/>
        <v>3.7502858449576952E-2</v>
      </c>
    </row>
    <row r="390" spans="1:9" x14ac:dyDescent="0.25">
      <c r="A390" s="3">
        <v>41075</v>
      </c>
      <c r="B390" s="1">
        <f t="shared" si="18"/>
        <v>56</v>
      </c>
      <c r="C390" s="1">
        <v>93.798135092368568</v>
      </c>
      <c r="D390" s="1">
        <f t="shared" si="19"/>
        <v>37.798135092368561</v>
      </c>
      <c r="E390" s="2">
        <v>1</v>
      </c>
      <c r="F390" s="1">
        <v>93.798135092368568</v>
      </c>
      <c r="G390" s="1">
        <v>37.798135092368561</v>
      </c>
      <c r="H390" s="1">
        <v>56</v>
      </c>
      <c r="I390" s="6">
        <f t="shared" si="20"/>
        <v>1.0862108392407958E-3</v>
      </c>
    </row>
    <row r="391" spans="1:9" x14ac:dyDescent="0.25">
      <c r="A391" s="3">
        <v>41073</v>
      </c>
      <c r="B391" s="1">
        <f t="shared" si="18"/>
        <v>696</v>
      </c>
      <c r="C391" s="1">
        <v>1347.8620755020088</v>
      </c>
      <c r="D391" s="1">
        <f t="shared" si="19"/>
        <v>651.86207550200868</v>
      </c>
      <c r="E391" s="2">
        <v>12</v>
      </c>
      <c r="F391" s="1">
        <v>112.3218396251674</v>
      </c>
      <c r="G391" s="1">
        <v>54.321839625167392</v>
      </c>
      <c r="H391" s="1">
        <v>58</v>
      </c>
      <c r="I391" s="6">
        <f t="shared" si="20"/>
        <v>1.9380288131717358E-2</v>
      </c>
    </row>
    <row r="392" spans="1:9" x14ac:dyDescent="0.25">
      <c r="A392" s="3">
        <v>41071</v>
      </c>
      <c r="B392" s="1">
        <f t="shared" si="18"/>
        <v>296</v>
      </c>
      <c r="C392" s="1">
        <v>813.43941798473224</v>
      </c>
      <c r="D392" s="1">
        <f t="shared" si="19"/>
        <v>517.43941798473224</v>
      </c>
      <c r="E392" s="2">
        <v>8</v>
      </c>
      <c r="F392" s="1">
        <v>101.67992724809153</v>
      </c>
      <c r="G392" s="1">
        <v>64.679927248091531</v>
      </c>
      <c r="H392" s="1">
        <v>37</v>
      </c>
      <c r="I392" s="6">
        <f t="shared" si="20"/>
        <v>7.9464898239195066E-3</v>
      </c>
    </row>
    <row r="393" spans="1:9" x14ac:dyDescent="0.25">
      <c r="A393" s="3">
        <v>41064</v>
      </c>
      <c r="B393" s="1">
        <f t="shared" si="18"/>
        <v>1377</v>
      </c>
      <c r="C393" s="1">
        <v>4006.5975519674735</v>
      </c>
      <c r="D393" s="1">
        <f t="shared" si="19"/>
        <v>2629.5975519674735</v>
      </c>
      <c r="E393" s="2">
        <v>51</v>
      </c>
      <c r="F393" s="1">
        <v>78.560736313087716</v>
      </c>
      <c r="G393" s="1">
        <v>51.560736313087716</v>
      </c>
      <c r="H393" s="1">
        <v>27</v>
      </c>
      <c r="I393" s="6">
        <f t="shared" si="20"/>
        <v>3.8846329750743196E-2</v>
      </c>
    </row>
    <row r="394" spans="1:9" x14ac:dyDescent="0.25">
      <c r="A394" s="3">
        <v>41051</v>
      </c>
      <c r="B394" s="1">
        <f t="shared" si="18"/>
        <v>228</v>
      </c>
      <c r="C394" s="1">
        <v>505.65536129959304</v>
      </c>
      <c r="D394" s="1">
        <f t="shared" si="19"/>
        <v>277.65536129959304</v>
      </c>
      <c r="E394" s="2">
        <v>4</v>
      </c>
      <c r="F394" s="1">
        <v>126.41384032489826</v>
      </c>
      <c r="G394" s="1">
        <v>69.41384032489826</v>
      </c>
      <c r="H394" s="1">
        <v>57</v>
      </c>
      <c r="I394" s="6">
        <f t="shared" si="20"/>
        <v>6.0027441115938713E-3</v>
      </c>
    </row>
    <row r="395" spans="1:9" x14ac:dyDescent="0.25">
      <c r="A395" s="3">
        <v>41050</v>
      </c>
      <c r="B395" s="1">
        <f t="shared" si="18"/>
        <v>6213</v>
      </c>
      <c r="C395" s="1">
        <v>10924.560491808963</v>
      </c>
      <c r="D395" s="1">
        <f t="shared" si="19"/>
        <v>4711.560491808963</v>
      </c>
      <c r="E395" s="2">
        <v>57</v>
      </c>
      <c r="F395" s="1">
        <v>191.65895599664847</v>
      </c>
      <c r="G395" s="1">
        <v>82.658955996648473</v>
      </c>
      <c r="H395" s="1">
        <v>109</v>
      </c>
      <c r="I395" s="6">
        <f t="shared" si="20"/>
        <v>0.1770809512920192</v>
      </c>
    </row>
    <row r="396" spans="1:9" x14ac:dyDescent="0.25">
      <c r="A396" s="3">
        <v>41040</v>
      </c>
      <c r="B396" s="1">
        <f t="shared" si="18"/>
        <v>615</v>
      </c>
      <c r="C396" s="1">
        <v>1447.0887210619192</v>
      </c>
      <c r="D396" s="1">
        <f t="shared" si="19"/>
        <v>832.08872106191927</v>
      </c>
      <c r="E396" s="2">
        <v>15</v>
      </c>
      <c r="F396" s="1">
        <v>96.472581404127951</v>
      </c>
      <c r="G396" s="1">
        <v>55.472581404127951</v>
      </c>
      <c r="H396" s="1">
        <v>41</v>
      </c>
      <c r="I396" s="6">
        <f t="shared" si="20"/>
        <v>1.7064943974388291E-2</v>
      </c>
    </row>
    <row r="397" spans="1:9" x14ac:dyDescent="0.25">
      <c r="A397" s="3">
        <v>41039</v>
      </c>
      <c r="B397" s="1">
        <f t="shared" si="18"/>
        <v>1813</v>
      </c>
      <c r="C397" s="1">
        <v>3229.2552603071399</v>
      </c>
      <c r="D397" s="1">
        <f t="shared" si="19"/>
        <v>1416.2552603071399</v>
      </c>
      <c r="E397" s="2">
        <v>49</v>
      </c>
      <c r="F397" s="1">
        <v>65.903168577696732</v>
      </c>
      <c r="G397" s="1">
        <v>28.903168577696732</v>
      </c>
      <c r="H397" s="1">
        <v>37</v>
      </c>
      <c r="I397" s="6">
        <f t="shared" si="20"/>
        <v>5.1309169906242853E-2</v>
      </c>
    </row>
    <row r="398" spans="1:9" x14ac:dyDescent="0.25">
      <c r="A398" s="3">
        <v>41037</v>
      </c>
      <c r="B398" s="1">
        <f t="shared" si="18"/>
        <v>418</v>
      </c>
      <c r="C398" s="1">
        <v>1179.7349899334779</v>
      </c>
      <c r="D398" s="1">
        <f t="shared" si="19"/>
        <v>761.73498993347789</v>
      </c>
      <c r="E398" s="2">
        <v>11</v>
      </c>
      <c r="F398" s="1">
        <v>107.24863544849799</v>
      </c>
      <c r="G398" s="1">
        <v>69.248635448497993</v>
      </c>
      <c r="H398" s="1">
        <v>38</v>
      </c>
      <c r="I398" s="6">
        <f t="shared" si="20"/>
        <v>1.143379830779785E-2</v>
      </c>
    </row>
    <row r="399" spans="1:9" x14ac:dyDescent="0.25">
      <c r="A399" s="3">
        <v>41024</v>
      </c>
      <c r="B399" s="1">
        <f t="shared" si="18"/>
        <v>470</v>
      </c>
      <c r="C399" s="1">
        <v>1278.9560201766008</v>
      </c>
      <c r="D399" s="1">
        <f t="shared" si="19"/>
        <v>808.95602017660076</v>
      </c>
      <c r="E399" s="2">
        <v>10</v>
      </c>
      <c r="F399" s="1">
        <v>127.89560201766008</v>
      </c>
      <c r="G399" s="1">
        <v>80.895602017660082</v>
      </c>
      <c r="H399" s="1">
        <v>47</v>
      </c>
      <c r="I399" s="6">
        <f t="shared" si="20"/>
        <v>1.2920192087811571E-2</v>
      </c>
    </row>
    <row r="400" spans="1:9" x14ac:dyDescent="0.25">
      <c r="A400" s="3">
        <v>41007</v>
      </c>
      <c r="B400" s="1">
        <f t="shared" si="18"/>
        <v>1036</v>
      </c>
      <c r="C400" s="1">
        <v>1748.532317001788</v>
      </c>
      <c r="D400" s="1">
        <f t="shared" si="19"/>
        <v>712.53231700178799</v>
      </c>
      <c r="E400" s="2">
        <v>14</v>
      </c>
      <c r="F400" s="1">
        <v>124.89516550012772</v>
      </c>
      <c r="G400" s="1">
        <v>50.89516550012771</v>
      </c>
      <c r="H400" s="1">
        <v>74</v>
      </c>
      <c r="I400" s="6">
        <f t="shared" si="20"/>
        <v>2.9099016693345529E-2</v>
      </c>
    </row>
    <row r="401" spans="1:9" x14ac:dyDescent="0.25">
      <c r="A401" s="3">
        <v>40996</v>
      </c>
      <c r="B401" s="1">
        <f t="shared" si="18"/>
        <v>1323</v>
      </c>
      <c r="C401" s="1">
        <v>2613.9513692192882</v>
      </c>
      <c r="D401" s="1">
        <f t="shared" si="19"/>
        <v>1290.9513692192884</v>
      </c>
      <c r="E401" s="2">
        <v>21</v>
      </c>
      <c r="F401" s="1">
        <v>124.47387472472801</v>
      </c>
      <c r="G401" s="1">
        <v>61.473874724728013</v>
      </c>
      <c r="H401" s="1">
        <v>63</v>
      </c>
      <c r="I401" s="6">
        <f t="shared" si="20"/>
        <v>3.7302766979190487E-2</v>
      </c>
    </row>
    <row r="402" spans="1:9" x14ac:dyDescent="0.25">
      <c r="A402" s="3">
        <v>40996</v>
      </c>
      <c r="B402" s="1">
        <f t="shared" si="18"/>
        <v>1904</v>
      </c>
      <c r="C402" s="1">
        <v>4185.2272305858596</v>
      </c>
      <c r="D402" s="1">
        <f t="shared" si="19"/>
        <v>2281.2272305858601</v>
      </c>
      <c r="E402" s="2">
        <v>28</v>
      </c>
      <c r="F402" s="1">
        <v>149.47240109235213</v>
      </c>
      <c r="G402" s="1">
        <v>81.472401092352143</v>
      </c>
      <c r="H402" s="1">
        <v>68</v>
      </c>
      <c r="I402" s="6">
        <f t="shared" si="20"/>
        <v>5.3910359021266868E-2</v>
      </c>
    </row>
    <row r="403" spans="1:9" x14ac:dyDescent="0.25">
      <c r="A403" s="3">
        <v>40989</v>
      </c>
      <c r="B403" s="1">
        <f t="shared" si="18"/>
        <v>282</v>
      </c>
      <c r="C403" s="1">
        <v>486.6785353398941</v>
      </c>
      <c r="D403" s="1">
        <f t="shared" si="19"/>
        <v>204.67853533989415</v>
      </c>
      <c r="E403" s="2">
        <v>6</v>
      </c>
      <c r="F403" s="1">
        <v>81.113089223315683</v>
      </c>
      <c r="G403" s="1">
        <v>34.11308922331569</v>
      </c>
      <c r="H403" s="1">
        <v>47</v>
      </c>
      <c r="I403" s="6">
        <f t="shared" si="20"/>
        <v>7.5463068831465811E-3</v>
      </c>
    </row>
    <row r="404" spans="1:9" x14ac:dyDescent="0.25">
      <c r="A404" s="3">
        <v>40988</v>
      </c>
      <c r="B404" s="1">
        <f t="shared" si="18"/>
        <v>407</v>
      </c>
      <c r="C404" s="1">
        <v>916.99645670966538</v>
      </c>
      <c r="D404" s="1">
        <f t="shared" si="19"/>
        <v>509.99645670966538</v>
      </c>
      <c r="E404" s="2">
        <v>11</v>
      </c>
      <c r="F404" s="1">
        <v>83.363314246333218</v>
      </c>
      <c r="G404" s="1">
        <v>46.363314246333218</v>
      </c>
      <c r="H404" s="1">
        <v>37</v>
      </c>
      <c r="I404" s="6">
        <f t="shared" si="20"/>
        <v>1.1119368854333409E-2</v>
      </c>
    </row>
    <row r="405" spans="1:9" x14ac:dyDescent="0.25">
      <c r="A405" s="3">
        <v>40986</v>
      </c>
      <c r="B405" s="1">
        <f t="shared" si="18"/>
        <v>1170</v>
      </c>
      <c r="C405" s="1">
        <v>2744.6756130094691</v>
      </c>
      <c r="D405" s="1">
        <f t="shared" si="19"/>
        <v>1574.6756130094691</v>
      </c>
      <c r="E405" s="2">
        <v>15</v>
      </c>
      <c r="F405" s="1">
        <v>182.97837420063127</v>
      </c>
      <c r="G405" s="1">
        <v>104.97837420063127</v>
      </c>
      <c r="H405" s="1">
        <v>78</v>
      </c>
      <c r="I405" s="6">
        <f t="shared" si="20"/>
        <v>3.2929339126457811E-2</v>
      </c>
    </row>
    <row r="406" spans="1:9" x14ac:dyDescent="0.25">
      <c r="A406" s="3">
        <v>40984</v>
      </c>
      <c r="B406" s="1">
        <f t="shared" si="18"/>
        <v>1326</v>
      </c>
      <c r="C406" s="1">
        <v>2829.9801501063434</v>
      </c>
      <c r="D406" s="1">
        <f t="shared" si="19"/>
        <v>1503.9801501063434</v>
      </c>
      <c r="E406" s="2">
        <v>13</v>
      </c>
      <c r="F406" s="1">
        <v>217.69078077741102</v>
      </c>
      <c r="G406" s="1">
        <v>115.69078077741104</v>
      </c>
      <c r="H406" s="1">
        <v>102</v>
      </c>
      <c r="I406" s="6">
        <f t="shared" si="20"/>
        <v>3.7388520466498973E-2</v>
      </c>
    </row>
    <row r="407" spans="1:9" x14ac:dyDescent="0.25">
      <c r="A407" s="3">
        <v>40982</v>
      </c>
      <c r="B407" s="1">
        <f t="shared" si="18"/>
        <v>100</v>
      </c>
      <c r="C407" s="1">
        <v>206.09187363701926</v>
      </c>
      <c r="D407" s="1">
        <f t="shared" si="19"/>
        <v>106.09187363701926</v>
      </c>
      <c r="E407" s="2">
        <v>2</v>
      </c>
      <c r="F407" s="1">
        <v>103.04593681850963</v>
      </c>
      <c r="G407" s="1">
        <v>53.045936818509631</v>
      </c>
      <c r="H407" s="1">
        <v>50</v>
      </c>
      <c r="I407" s="6">
        <f t="shared" si="20"/>
        <v>2.3439286530985595E-3</v>
      </c>
    </row>
    <row r="408" spans="1:9" x14ac:dyDescent="0.25">
      <c r="A408" s="3">
        <v>40981</v>
      </c>
      <c r="B408" s="1">
        <f t="shared" si="18"/>
        <v>16380</v>
      </c>
      <c r="C408" s="1">
        <v>34939.927708330608</v>
      </c>
      <c r="D408" s="1">
        <f t="shared" si="19"/>
        <v>18559.927708330611</v>
      </c>
      <c r="E408" s="2">
        <v>180</v>
      </c>
      <c r="F408" s="1">
        <v>194.11070949072561</v>
      </c>
      <c r="G408" s="1">
        <v>103.11070949072561</v>
      </c>
      <c r="H408" s="1">
        <v>91</v>
      </c>
      <c r="I408" s="6">
        <f t="shared" si="20"/>
        <v>0.46769951978047108</v>
      </c>
    </row>
    <row r="409" spans="1:9" x14ac:dyDescent="0.25">
      <c r="A409" s="3">
        <v>40979</v>
      </c>
      <c r="B409" s="1">
        <f t="shared" si="18"/>
        <v>2730</v>
      </c>
      <c r="C409" s="1">
        <v>5095.8072521658378</v>
      </c>
      <c r="D409" s="1">
        <f t="shared" si="19"/>
        <v>2365.8072521658373</v>
      </c>
      <c r="E409" s="2">
        <v>39</v>
      </c>
      <c r="F409" s="1">
        <v>130.66172441450865</v>
      </c>
      <c r="G409" s="1">
        <v>60.661724414508654</v>
      </c>
      <c r="H409" s="1">
        <v>70</v>
      </c>
      <c r="I409" s="6">
        <f t="shared" si="20"/>
        <v>7.7521152526869433E-2</v>
      </c>
    </row>
    <row r="410" spans="1:9" x14ac:dyDescent="0.25">
      <c r="A410" s="3">
        <v>40976</v>
      </c>
      <c r="B410" s="1">
        <f t="shared" si="18"/>
        <v>560</v>
      </c>
      <c r="C410" s="1">
        <v>1665.2926883065361</v>
      </c>
      <c r="D410" s="1">
        <f t="shared" si="19"/>
        <v>1105.2926883065361</v>
      </c>
      <c r="E410" s="2">
        <v>28</v>
      </c>
      <c r="F410" s="1">
        <v>59.474738868090576</v>
      </c>
      <c r="G410" s="1">
        <v>39.474738868090576</v>
      </c>
      <c r="H410" s="1">
        <v>20</v>
      </c>
      <c r="I410" s="6">
        <f t="shared" si="20"/>
        <v>1.5492796707066088E-2</v>
      </c>
    </row>
    <row r="411" spans="1:9" x14ac:dyDescent="0.25">
      <c r="A411" s="3">
        <v>40968</v>
      </c>
      <c r="B411" s="1">
        <f t="shared" si="18"/>
        <v>846</v>
      </c>
      <c r="C411" s="1">
        <v>1668.7210717787204</v>
      </c>
      <c r="D411" s="1">
        <f t="shared" si="19"/>
        <v>822.72107177872067</v>
      </c>
      <c r="E411" s="2">
        <v>18</v>
      </c>
      <c r="F411" s="1">
        <v>92.706726209928917</v>
      </c>
      <c r="G411" s="1">
        <v>45.706726209928924</v>
      </c>
      <c r="H411" s="1">
        <v>47</v>
      </c>
      <c r="I411" s="6">
        <f t="shared" si="20"/>
        <v>2.3667962497141551E-2</v>
      </c>
    </row>
    <row r="412" spans="1:9" x14ac:dyDescent="0.25">
      <c r="A412" s="3">
        <v>40962</v>
      </c>
      <c r="B412" s="1">
        <f t="shared" si="18"/>
        <v>1380</v>
      </c>
      <c r="C412" s="1">
        <v>3929.5693978042805</v>
      </c>
      <c r="D412" s="1">
        <f t="shared" si="19"/>
        <v>2549.5693978042805</v>
      </c>
      <c r="E412" s="2">
        <v>60</v>
      </c>
      <c r="F412" s="1">
        <v>65.49282329673801</v>
      </c>
      <c r="G412" s="1">
        <v>42.49282329673801</v>
      </c>
      <c r="H412" s="1">
        <v>23</v>
      </c>
      <c r="I412" s="6">
        <f t="shared" si="20"/>
        <v>3.8932083238051682E-2</v>
      </c>
    </row>
    <row r="413" spans="1:9" x14ac:dyDescent="0.25">
      <c r="A413" s="3">
        <v>40958</v>
      </c>
      <c r="B413" s="1">
        <f t="shared" si="18"/>
        <v>1540</v>
      </c>
      <c r="C413" s="1">
        <v>2832.5032330315366</v>
      </c>
      <c r="D413" s="1">
        <f t="shared" si="19"/>
        <v>1292.5032330315364</v>
      </c>
      <c r="E413" s="2">
        <v>20</v>
      </c>
      <c r="F413" s="1">
        <v>141.62516165157683</v>
      </c>
      <c r="G413" s="1">
        <v>64.625161651576818</v>
      </c>
      <c r="H413" s="1">
        <v>77</v>
      </c>
      <c r="I413" s="6">
        <f t="shared" si="20"/>
        <v>4.3505602561170822E-2</v>
      </c>
    </row>
    <row r="414" spans="1:9" x14ac:dyDescent="0.25">
      <c r="A414" s="3">
        <v>40924</v>
      </c>
      <c r="B414" s="1">
        <f t="shared" si="18"/>
        <v>2890</v>
      </c>
      <c r="C414" s="1">
        <v>5039.5504932188396</v>
      </c>
      <c r="D414" s="1">
        <f t="shared" si="19"/>
        <v>2149.5504932188396</v>
      </c>
      <c r="E414" s="2">
        <v>34</v>
      </c>
      <c r="F414" s="1">
        <v>148.22207332996587</v>
      </c>
      <c r="G414" s="1">
        <v>63.222073329965873</v>
      </c>
      <c r="H414" s="1">
        <v>85</v>
      </c>
      <c r="I414" s="6">
        <f t="shared" si="20"/>
        <v>8.209467184998856E-2</v>
      </c>
    </row>
    <row r="415" spans="1:9" x14ac:dyDescent="0.25">
      <c r="A415" s="3">
        <v>40913</v>
      </c>
      <c r="B415" s="1">
        <f t="shared" si="18"/>
        <v>1886</v>
      </c>
      <c r="C415" s="1">
        <v>3637.8420474358481</v>
      </c>
      <c r="D415" s="1">
        <f t="shared" si="19"/>
        <v>1751.8420474358486</v>
      </c>
      <c r="E415" s="2">
        <v>46</v>
      </c>
      <c r="F415" s="1">
        <v>79.08352277034453</v>
      </c>
      <c r="G415" s="1">
        <v>38.083522770344537</v>
      </c>
      <c r="H415" s="1">
        <v>41</v>
      </c>
      <c r="I415" s="6">
        <f t="shared" si="20"/>
        <v>5.3395838097415958E-2</v>
      </c>
    </row>
    <row r="416" spans="1:9" x14ac:dyDescent="0.25">
      <c r="A416" s="3">
        <v>40904</v>
      </c>
      <c r="B416" s="1">
        <f t="shared" si="18"/>
        <v>2340</v>
      </c>
      <c r="C416" s="1">
        <v>4777.0288432806292</v>
      </c>
      <c r="D416" s="1">
        <f t="shared" si="19"/>
        <v>2437.0288432806287</v>
      </c>
      <c r="E416" s="2">
        <v>26</v>
      </c>
      <c r="F416" s="1">
        <v>183.73187858771649</v>
      </c>
      <c r="G416" s="1">
        <v>93.731878587716494</v>
      </c>
      <c r="H416" s="1">
        <v>90</v>
      </c>
      <c r="I416" s="6">
        <f t="shared" si="20"/>
        <v>6.6373199176766526E-2</v>
      </c>
    </row>
    <row r="417" spans="1:9" x14ac:dyDescent="0.25">
      <c r="A417" s="3">
        <v>40903</v>
      </c>
      <c r="B417" s="1">
        <f t="shared" si="18"/>
        <v>511</v>
      </c>
      <c r="C417" s="1">
        <v>999.28417559687614</v>
      </c>
      <c r="D417" s="1">
        <f t="shared" si="19"/>
        <v>488.28417559687608</v>
      </c>
      <c r="E417" s="2">
        <v>7</v>
      </c>
      <c r="F417" s="1">
        <v>142.75488222812515</v>
      </c>
      <c r="G417" s="1">
        <v>69.754882228125155</v>
      </c>
      <c r="H417" s="1">
        <v>73</v>
      </c>
      <c r="I417" s="6">
        <f t="shared" si="20"/>
        <v>1.4092156414360851E-2</v>
      </c>
    </row>
    <row r="418" spans="1:9" x14ac:dyDescent="0.25">
      <c r="A418" s="3">
        <v>40903</v>
      </c>
      <c r="B418" s="1">
        <f t="shared" si="18"/>
        <v>1394</v>
      </c>
      <c r="C418" s="1">
        <v>2653.5564567678948</v>
      </c>
      <c r="D418" s="1">
        <f t="shared" si="19"/>
        <v>1259.5564567678948</v>
      </c>
      <c r="E418" s="2">
        <v>34</v>
      </c>
      <c r="F418" s="1">
        <v>78.045778140232201</v>
      </c>
      <c r="G418" s="1">
        <v>37.045778140232201</v>
      </c>
      <c r="H418" s="1">
        <v>41</v>
      </c>
      <c r="I418" s="6">
        <f t="shared" si="20"/>
        <v>3.9332266178824606E-2</v>
      </c>
    </row>
    <row r="419" spans="1:9" x14ac:dyDescent="0.25">
      <c r="A419" s="3">
        <v>40898</v>
      </c>
      <c r="B419" s="1">
        <f t="shared" si="18"/>
        <v>1380</v>
      </c>
      <c r="C419" s="1">
        <v>2386.5684879247269</v>
      </c>
      <c r="D419" s="1">
        <f t="shared" si="19"/>
        <v>1006.568487924727</v>
      </c>
      <c r="E419" s="2">
        <v>23</v>
      </c>
      <c r="F419" s="1">
        <v>103.76384730107509</v>
      </c>
      <c r="G419" s="1">
        <v>43.763847301075089</v>
      </c>
      <c r="H419" s="1">
        <v>60</v>
      </c>
      <c r="I419" s="6">
        <f t="shared" si="20"/>
        <v>3.8932083238051682E-2</v>
      </c>
    </row>
    <row r="420" spans="1:9" x14ac:dyDescent="0.25">
      <c r="A420" s="3">
        <v>40898</v>
      </c>
      <c r="B420" s="1">
        <f t="shared" si="18"/>
        <v>1980</v>
      </c>
      <c r="C420" s="1">
        <v>4052.9053219022499</v>
      </c>
      <c r="D420" s="1">
        <f t="shared" si="19"/>
        <v>2072.9053219022499</v>
      </c>
      <c r="E420" s="2">
        <v>30</v>
      </c>
      <c r="F420" s="1">
        <v>135.09684406340833</v>
      </c>
      <c r="G420" s="1">
        <v>69.096844063408327</v>
      </c>
      <c r="H420" s="1">
        <v>66</v>
      </c>
      <c r="I420" s="6">
        <f t="shared" si="20"/>
        <v>5.6082780699748459E-2</v>
      </c>
    </row>
    <row r="421" spans="1:9" x14ac:dyDescent="0.25">
      <c r="A421" s="3">
        <v>40892</v>
      </c>
      <c r="B421" s="1">
        <f t="shared" si="18"/>
        <v>1653</v>
      </c>
      <c r="C421" s="1">
        <v>2881.6136271834175</v>
      </c>
      <c r="D421" s="1">
        <f t="shared" si="19"/>
        <v>1228.6136271834175</v>
      </c>
      <c r="E421" s="2">
        <v>29</v>
      </c>
      <c r="F421" s="1">
        <v>99.365987144255769</v>
      </c>
      <c r="G421" s="1">
        <v>42.365987144255776</v>
      </c>
      <c r="H421" s="1">
        <v>57</v>
      </c>
      <c r="I421" s="6">
        <f t="shared" si="20"/>
        <v>4.6735650583123713E-2</v>
      </c>
    </row>
    <row r="422" spans="1:9" x14ac:dyDescent="0.25">
      <c r="A422" s="3">
        <v>40857</v>
      </c>
      <c r="B422" s="1">
        <f t="shared" si="18"/>
        <v>240</v>
      </c>
      <c r="C422" s="1">
        <v>458.36908671125639</v>
      </c>
      <c r="D422" s="1">
        <f t="shared" si="19"/>
        <v>218.36908671125636</v>
      </c>
      <c r="E422" s="2">
        <v>3</v>
      </c>
      <c r="F422" s="1">
        <v>152.78969557041879</v>
      </c>
      <c r="G422" s="1">
        <v>72.789695570418786</v>
      </c>
      <c r="H422" s="1">
        <v>80</v>
      </c>
      <c r="I422" s="6">
        <f t="shared" si="20"/>
        <v>6.3457580608278072E-3</v>
      </c>
    </row>
    <row r="423" spans="1:9" x14ac:dyDescent="0.25">
      <c r="A423" s="3">
        <v>40838</v>
      </c>
      <c r="B423" s="1">
        <f t="shared" si="18"/>
        <v>2964</v>
      </c>
      <c r="C423" s="1">
        <v>5748.1970867085693</v>
      </c>
      <c r="D423" s="1">
        <f t="shared" si="19"/>
        <v>2784.1970867085688</v>
      </c>
      <c r="E423" s="2">
        <v>38</v>
      </c>
      <c r="F423" s="1">
        <v>151.2683443870676</v>
      </c>
      <c r="G423" s="1">
        <v>73.2683443870676</v>
      </c>
      <c r="H423" s="1">
        <v>78</v>
      </c>
      <c r="I423" s="6">
        <f t="shared" si="20"/>
        <v>8.4209924536931172E-2</v>
      </c>
    </row>
    <row r="424" spans="1:9" x14ac:dyDescent="0.25">
      <c r="A424" s="3">
        <v>40838</v>
      </c>
      <c r="B424" s="1">
        <f t="shared" si="18"/>
        <v>420</v>
      </c>
      <c r="C424" s="1">
        <v>805.67923352712171</v>
      </c>
      <c r="D424" s="1">
        <f t="shared" si="19"/>
        <v>385.67923352712171</v>
      </c>
      <c r="E424" s="2">
        <v>6</v>
      </c>
      <c r="F424" s="1">
        <v>134.27987225452028</v>
      </c>
      <c r="G424" s="1">
        <v>64.279872254520285</v>
      </c>
      <c r="H424" s="1">
        <v>70</v>
      </c>
      <c r="I424" s="6">
        <f t="shared" si="20"/>
        <v>1.149096729933684E-2</v>
      </c>
    </row>
    <row r="425" spans="1:9" x14ac:dyDescent="0.25">
      <c r="A425" s="3">
        <v>40822</v>
      </c>
      <c r="B425" s="1">
        <f t="shared" si="18"/>
        <v>585</v>
      </c>
      <c r="C425" s="1">
        <v>996.59915066713552</v>
      </c>
      <c r="D425" s="1">
        <f t="shared" si="19"/>
        <v>411.59915066713552</v>
      </c>
      <c r="E425" s="2">
        <v>9</v>
      </c>
      <c r="F425" s="1">
        <v>110.73323896301505</v>
      </c>
      <c r="G425" s="1">
        <v>45.733238963015054</v>
      </c>
      <c r="H425" s="1">
        <v>65</v>
      </c>
      <c r="I425" s="6">
        <f t="shared" si="20"/>
        <v>1.6207409101303454E-2</v>
      </c>
    </row>
    <row r="426" spans="1:9" x14ac:dyDescent="0.25">
      <c r="A426" s="3">
        <v>40817</v>
      </c>
      <c r="B426" s="1">
        <f t="shared" si="18"/>
        <v>5375</v>
      </c>
      <c r="C426" s="1">
        <v>9298.4795972802331</v>
      </c>
      <c r="D426" s="1">
        <f t="shared" si="19"/>
        <v>3923.4795972802331</v>
      </c>
      <c r="E426" s="2">
        <v>43</v>
      </c>
      <c r="F426" s="1">
        <v>216.24371156465656</v>
      </c>
      <c r="G426" s="1">
        <v>91.243711564656579</v>
      </c>
      <c r="H426" s="1">
        <v>125</v>
      </c>
      <c r="I426" s="6">
        <f t="shared" si="20"/>
        <v>0.15312714383718271</v>
      </c>
    </row>
    <row r="427" spans="1:9" x14ac:dyDescent="0.25">
      <c r="A427" s="3">
        <v>40792</v>
      </c>
      <c r="B427" s="1">
        <f t="shared" si="18"/>
        <v>360</v>
      </c>
      <c r="C427" s="1">
        <v>886.78258143004041</v>
      </c>
      <c r="D427" s="1">
        <f t="shared" si="19"/>
        <v>526.78258143004041</v>
      </c>
      <c r="E427" s="2">
        <v>9</v>
      </c>
      <c r="F427" s="1">
        <v>98.531397936671155</v>
      </c>
      <c r="G427" s="1">
        <v>58.531397936671155</v>
      </c>
      <c r="H427" s="1">
        <v>40</v>
      </c>
      <c r="I427" s="6">
        <f t="shared" si="20"/>
        <v>9.7758975531671618E-3</v>
      </c>
    </row>
    <row r="428" spans="1:9" x14ac:dyDescent="0.25">
      <c r="A428" s="3">
        <v>40783</v>
      </c>
      <c r="B428" s="1">
        <f t="shared" si="18"/>
        <v>874</v>
      </c>
      <c r="C428" s="1">
        <v>1747.48476905098</v>
      </c>
      <c r="D428" s="1">
        <f t="shared" si="19"/>
        <v>873.48476905098005</v>
      </c>
      <c r="E428" s="2">
        <v>19</v>
      </c>
      <c r="F428" s="1">
        <v>91.972882581630529</v>
      </c>
      <c r="G428" s="1">
        <v>45.972882581630529</v>
      </c>
      <c r="H428" s="1">
        <v>46</v>
      </c>
      <c r="I428" s="6">
        <f t="shared" si="20"/>
        <v>2.4468328378687398E-2</v>
      </c>
    </row>
    <row r="429" spans="1:9" x14ac:dyDescent="0.25">
      <c r="A429" s="3">
        <v>40777</v>
      </c>
      <c r="B429" s="1">
        <f t="shared" si="18"/>
        <v>1050</v>
      </c>
      <c r="C429" s="1">
        <v>2318.6793677703999</v>
      </c>
      <c r="D429" s="1">
        <f t="shared" si="19"/>
        <v>1268.6793677703999</v>
      </c>
      <c r="E429" s="2">
        <v>21</v>
      </c>
      <c r="F429" s="1">
        <v>110.4133032271619</v>
      </c>
      <c r="G429" s="1">
        <v>60.413303227161904</v>
      </c>
      <c r="H429" s="1">
        <v>50</v>
      </c>
      <c r="I429" s="6">
        <f t="shared" si="20"/>
        <v>2.9499199634118452E-2</v>
      </c>
    </row>
    <row r="430" spans="1:9" x14ac:dyDescent="0.25">
      <c r="A430" s="3">
        <v>40749</v>
      </c>
      <c r="B430" s="1">
        <f t="shared" si="18"/>
        <v>159</v>
      </c>
      <c r="C430" s="1">
        <v>319.33864290833856</v>
      </c>
      <c r="D430" s="1">
        <f t="shared" si="19"/>
        <v>160.33864290833856</v>
      </c>
      <c r="E430" s="2">
        <v>3</v>
      </c>
      <c r="F430" s="1">
        <v>106.44621430277951</v>
      </c>
      <c r="G430" s="1">
        <v>53.446214302779516</v>
      </c>
      <c r="H430" s="1">
        <v>53</v>
      </c>
      <c r="I430" s="6">
        <f t="shared" si="20"/>
        <v>4.030413903498742E-3</v>
      </c>
    </row>
    <row r="431" spans="1:9" x14ac:dyDescent="0.25">
      <c r="A431" s="3">
        <v>40740</v>
      </c>
      <c r="B431" s="1">
        <f t="shared" si="18"/>
        <v>2400</v>
      </c>
      <c r="C431" s="1">
        <v>4183.9352062754933</v>
      </c>
      <c r="D431" s="1">
        <f t="shared" si="19"/>
        <v>1783.9352062754936</v>
      </c>
      <c r="E431" s="2">
        <v>32</v>
      </c>
      <c r="F431" s="1">
        <v>130.74797519610917</v>
      </c>
      <c r="G431" s="1">
        <v>55.747975196109174</v>
      </c>
      <c r="H431" s="1">
        <v>75</v>
      </c>
      <c r="I431" s="6">
        <f t="shared" si="20"/>
        <v>6.8088268922936193E-2</v>
      </c>
    </row>
    <row r="432" spans="1:9" x14ac:dyDescent="0.25">
      <c r="A432" s="3">
        <v>40733</v>
      </c>
      <c r="B432" s="1">
        <f t="shared" si="18"/>
        <v>3157</v>
      </c>
      <c r="C432" s="1">
        <v>5669.6087781202723</v>
      </c>
      <c r="D432" s="1">
        <f t="shared" si="19"/>
        <v>2512.6087781202723</v>
      </c>
      <c r="E432" s="2">
        <v>41</v>
      </c>
      <c r="F432" s="1">
        <v>138.28314092976274</v>
      </c>
      <c r="G432" s="1">
        <v>61.283140929762737</v>
      </c>
      <c r="H432" s="1">
        <v>77</v>
      </c>
      <c r="I432" s="6">
        <f t="shared" si="20"/>
        <v>8.9726732220443625E-2</v>
      </c>
    </row>
    <row r="433" spans="1:9" x14ac:dyDescent="0.25">
      <c r="A433" s="3">
        <v>40720</v>
      </c>
      <c r="B433" s="1">
        <f t="shared" si="18"/>
        <v>240</v>
      </c>
      <c r="C433" s="1">
        <v>682.47289906258391</v>
      </c>
      <c r="D433" s="1">
        <f t="shared" si="19"/>
        <v>442.47289906258391</v>
      </c>
      <c r="E433" s="2">
        <v>24</v>
      </c>
      <c r="F433" s="1">
        <v>28.436370794274328</v>
      </c>
      <c r="G433" s="1">
        <v>18.436370794274328</v>
      </c>
      <c r="H433" s="1">
        <v>10</v>
      </c>
      <c r="I433" s="6">
        <f t="shared" si="20"/>
        <v>6.3457580608278072E-3</v>
      </c>
    </row>
    <row r="434" spans="1:9" x14ac:dyDescent="0.25">
      <c r="A434" s="3">
        <v>40702</v>
      </c>
      <c r="B434" s="1">
        <f t="shared" si="18"/>
        <v>231</v>
      </c>
      <c r="C434" s="1">
        <v>674.94298258804611</v>
      </c>
      <c r="D434" s="1">
        <f t="shared" si="19"/>
        <v>443.94298258804611</v>
      </c>
      <c r="E434" s="2">
        <v>7</v>
      </c>
      <c r="F434" s="1">
        <v>96.420426084006579</v>
      </c>
      <c r="G434" s="1">
        <v>63.420426084006586</v>
      </c>
      <c r="H434" s="1">
        <v>33</v>
      </c>
      <c r="I434" s="6">
        <f t="shared" si="20"/>
        <v>6.0884975989023557E-3</v>
      </c>
    </row>
    <row r="435" spans="1:9" x14ac:dyDescent="0.25">
      <c r="A435" s="3">
        <v>40689</v>
      </c>
      <c r="B435" s="1">
        <f t="shared" si="18"/>
        <v>1416</v>
      </c>
      <c r="C435" s="1">
        <v>2497.7708434652341</v>
      </c>
      <c r="D435" s="1">
        <f t="shared" si="19"/>
        <v>1081.7708434652341</v>
      </c>
      <c r="E435" s="2">
        <v>24</v>
      </c>
      <c r="F435" s="1">
        <v>104.07378514438476</v>
      </c>
      <c r="G435" s="1">
        <v>45.073785144384757</v>
      </c>
      <c r="H435" s="1">
        <v>59</v>
      </c>
      <c r="I435" s="6">
        <f t="shared" si="20"/>
        <v>3.9961125085753488E-2</v>
      </c>
    </row>
    <row r="436" spans="1:9" x14ac:dyDescent="0.25">
      <c r="A436" s="3">
        <v>40673</v>
      </c>
      <c r="B436" s="1">
        <f t="shared" si="18"/>
        <v>1105</v>
      </c>
      <c r="C436" s="1">
        <v>2083.2998993658457</v>
      </c>
      <c r="D436" s="1">
        <f t="shared" si="19"/>
        <v>978.29989936584559</v>
      </c>
      <c r="E436" s="2">
        <v>17</v>
      </c>
      <c r="F436" s="1">
        <v>122.54705290387326</v>
      </c>
      <c r="G436" s="1">
        <v>57.547052903873272</v>
      </c>
      <c r="H436" s="1">
        <v>65</v>
      </c>
      <c r="I436" s="6">
        <f t="shared" si="20"/>
        <v>3.1071346901440658E-2</v>
      </c>
    </row>
    <row r="437" spans="1:9" x14ac:dyDescent="0.25">
      <c r="A437" s="3">
        <v>40664</v>
      </c>
      <c r="B437" s="1">
        <f t="shared" si="18"/>
        <v>3528</v>
      </c>
      <c r="C437" s="1">
        <v>6089.3539903120918</v>
      </c>
      <c r="D437" s="1">
        <f t="shared" si="19"/>
        <v>2561.3539903120923</v>
      </c>
      <c r="E437" s="2">
        <v>42</v>
      </c>
      <c r="F437" s="1">
        <v>144.98461881695457</v>
      </c>
      <c r="G437" s="1">
        <v>60.984618816954573</v>
      </c>
      <c r="H437" s="1">
        <v>84</v>
      </c>
      <c r="I437" s="6">
        <f t="shared" si="20"/>
        <v>0.10033158015092614</v>
      </c>
    </row>
    <row r="438" spans="1:9" x14ac:dyDescent="0.25">
      <c r="A438" s="3">
        <v>40663</v>
      </c>
      <c r="B438" s="1">
        <f t="shared" si="18"/>
        <v>3315</v>
      </c>
      <c r="C438" s="1">
        <v>5566.3468796291199</v>
      </c>
      <c r="D438" s="1">
        <f t="shared" si="19"/>
        <v>2251.3468796291204</v>
      </c>
      <c r="E438" s="2">
        <v>51</v>
      </c>
      <c r="F438" s="1">
        <v>109.14405646331608</v>
      </c>
      <c r="G438" s="1">
        <v>44.144056463316083</v>
      </c>
      <c r="H438" s="1">
        <v>65</v>
      </c>
      <c r="I438" s="6">
        <f t="shared" si="20"/>
        <v>9.424308255202378E-2</v>
      </c>
    </row>
    <row r="439" spans="1:9" x14ac:dyDescent="0.25">
      <c r="A439" s="3">
        <v>40659</v>
      </c>
      <c r="B439" s="1">
        <f t="shared" si="18"/>
        <v>3528</v>
      </c>
      <c r="C439" s="1">
        <v>7606.0419167996461</v>
      </c>
      <c r="D439" s="1">
        <f t="shared" si="19"/>
        <v>4078.0419167996461</v>
      </c>
      <c r="E439" s="2">
        <v>98</v>
      </c>
      <c r="F439" s="1">
        <v>77.612672620404553</v>
      </c>
      <c r="G439" s="1">
        <v>41.612672620404553</v>
      </c>
      <c r="H439" s="1">
        <v>36</v>
      </c>
      <c r="I439" s="6">
        <f t="shared" si="20"/>
        <v>0.10033158015092614</v>
      </c>
    </row>
    <row r="440" spans="1:9" x14ac:dyDescent="0.25">
      <c r="A440" s="3">
        <v>40657</v>
      </c>
      <c r="B440" s="1">
        <f t="shared" si="18"/>
        <v>33348</v>
      </c>
      <c r="C440" s="1">
        <v>60333.222814898872</v>
      </c>
      <c r="D440" s="1">
        <f t="shared" si="19"/>
        <v>26985.222814898869</v>
      </c>
      <c r="E440" s="2">
        <v>397</v>
      </c>
      <c r="F440" s="1">
        <v>151.97285343803242</v>
      </c>
      <c r="G440" s="1">
        <v>67.972853438032416</v>
      </c>
      <c r="H440" s="1">
        <v>84</v>
      </c>
      <c r="I440" s="6">
        <f t="shared" si="20"/>
        <v>0.95272124399725588</v>
      </c>
    </row>
    <row r="441" spans="1:9" x14ac:dyDescent="0.25">
      <c r="A441" s="3">
        <v>40655</v>
      </c>
      <c r="B441" s="1">
        <f t="shared" si="18"/>
        <v>1911</v>
      </c>
      <c r="C441" s="1">
        <v>5725.7120434651843</v>
      </c>
      <c r="D441" s="1">
        <f t="shared" si="19"/>
        <v>3814.7120434651843</v>
      </c>
      <c r="E441" s="2">
        <v>49</v>
      </c>
      <c r="F441" s="1">
        <v>116.85126619316702</v>
      </c>
      <c r="G441" s="1">
        <v>77.851266193167021</v>
      </c>
      <c r="H441" s="1">
        <v>39</v>
      </c>
      <c r="I441" s="6">
        <f t="shared" si="20"/>
        <v>5.4110450491653327E-2</v>
      </c>
    </row>
    <row r="442" spans="1:9" x14ac:dyDescent="0.25">
      <c r="A442" s="3">
        <v>40642</v>
      </c>
      <c r="B442" s="1">
        <f t="shared" si="18"/>
        <v>945</v>
      </c>
      <c r="C442" s="1">
        <v>1813.6865731132893</v>
      </c>
      <c r="D442" s="1">
        <f t="shared" si="19"/>
        <v>868.68657311328911</v>
      </c>
      <c r="E442" s="2">
        <v>27</v>
      </c>
      <c r="F442" s="1">
        <v>67.173576781973679</v>
      </c>
      <c r="G442" s="1">
        <v>32.173576781973672</v>
      </c>
      <c r="H442" s="1">
        <v>35</v>
      </c>
      <c r="I442" s="6">
        <f t="shared" si="20"/>
        <v>2.6497827578321517E-2</v>
      </c>
    </row>
    <row r="443" spans="1:9" x14ac:dyDescent="0.25">
      <c r="A443" s="3">
        <v>40636</v>
      </c>
      <c r="B443" s="1">
        <f t="shared" si="18"/>
        <v>11088</v>
      </c>
      <c r="C443" s="1">
        <v>20361.007449716686</v>
      </c>
      <c r="D443" s="1">
        <f t="shared" si="19"/>
        <v>9273.0074497166879</v>
      </c>
      <c r="E443" s="2">
        <v>132</v>
      </c>
      <c r="F443" s="1">
        <v>154.25005643724762</v>
      </c>
      <c r="G443" s="1">
        <v>70.250056437247636</v>
      </c>
      <c r="H443" s="1">
        <v>84</v>
      </c>
      <c r="I443" s="6">
        <f t="shared" si="20"/>
        <v>0.3164303681683055</v>
      </c>
    </row>
    <row r="444" spans="1:9" x14ac:dyDescent="0.25">
      <c r="A444" s="3">
        <v>40622</v>
      </c>
      <c r="B444" s="1">
        <f t="shared" si="18"/>
        <v>759</v>
      </c>
      <c r="C444" s="1">
        <v>1771.5482909589184</v>
      </c>
      <c r="D444" s="1">
        <f t="shared" si="19"/>
        <v>1012.5482909589183</v>
      </c>
      <c r="E444" s="2">
        <v>11</v>
      </c>
      <c r="F444" s="1">
        <v>161.04984463262895</v>
      </c>
      <c r="G444" s="1">
        <v>92.049844632628933</v>
      </c>
      <c r="H444" s="1">
        <v>69</v>
      </c>
      <c r="I444" s="6">
        <f t="shared" si="20"/>
        <v>2.1181111365195519E-2</v>
      </c>
    </row>
    <row r="445" spans="1:9" x14ac:dyDescent="0.25">
      <c r="A445" s="3">
        <v>40594</v>
      </c>
      <c r="B445" s="1">
        <f t="shared" si="18"/>
        <v>1411</v>
      </c>
      <c r="C445" s="1">
        <v>2433.4032311735659</v>
      </c>
      <c r="D445" s="1">
        <f t="shared" si="19"/>
        <v>1022.4032311735657</v>
      </c>
      <c r="E445" s="2">
        <v>17</v>
      </c>
      <c r="F445" s="1">
        <v>143.14136653962152</v>
      </c>
      <c r="G445" s="1">
        <v>60.141366539621515</v>
      </c>
      <c r="H445" s="1">
        <v>83</v>
      </c>
      <c r="I445" s="6">
        <f t="shared" si="20"/>
        <v>3.9818202606906015E-2</v>
      </c>
    </row>
    <row r="446" spans="1:9" x14ac:dyDescent="0.25">
      <c r="A446" s="3">
        <v>40583</v>
      </c>
      <c r="B446" s="1">
        <f t="shared" si="18"/>
        <v>336</v>
      </c>
      <c r="C446" s="1">
        <v>820.43618552439227</v>
      </c>
      <c r="D446" s="1">
        <f t="shared" si="19"/>
        <v>484.43618552439227</v>
      </c>
      <c r="E446" s="2">
        <v>12</v>
      </c>
      <c r="F446" s="1">
        <v>68.369682127032689</v>
      </c>
      <c r="G446" s="1">
        <v>40.369682127032689</v>
      </c>
      <c r="H446" s="1">
        <v>28</v>
      </c>
      <c r="I446" s="6">
        <f t="shared" si="20"/>
        <v>9.0898696546992917E-3</v>
      </c>
    </row>
    <row r="447" spans="1:9" x14ac:dyDescent="0.25">
      <c r="A447" s="3">
        <v>40570</v>
      </c>
      <c r="B447" s="1">
        <f t="shared" si="18"/>
        <v>7738</v>
      </c>
      <c r="C447" s="1">
        <v>15041.733490758397</v>
      </c>
      <c r="D447" s="1">
        <f t="shared" si="19"/>
        <v>7303.7334907583963</v>
      </c>
      <c r="E447" s="2">
        <v>146</v>
      </c>
      <c r="F447" s="1">
        <v>103.02557185450956</v>
      </c>
      <c r="G447" s="1">
        <v>50.025571854509565</v>
      </c>
      <c r="H447" s="1">
        <v>53</v>
      </c>
      <c r="I447" s="6">
        <f t="shared" si="20"/>
        <v>0.2206723073404985</v>
      </c>
    </row>
    <row r="448" spans="1:9" x14ac:dyDescent="0.25">
      <c r="A448" s="3">
        <v>40555</v>
      </c>
      <c r="B448" s="1">
        <f t="shared" si="18"/>
        <v>682</v>
      </c>
      <c r="C448" s="1">
        <v>1865.8036396427635</v>
      </c>
      <c r="D448" s="1">
        <f t="shared" si="19"/>
        <v>1183.8036396427635</v>
      </c>
      <c r="E448" s="2">
        <v>31</v>
      </c>
      <c r="F448" s="1">
        <v>60.187214182024633</v>
      </c>
      <c r="G448" s="1">
        <v>38.187214182024633</v>
      </c>
      <c r="H448" s="1">
        <v>22</v>
      </c>
      <c r="I448" s="6">
        <f t="shared" si="20"/>
        <v>1.8980105190944431E-2</v>
      </c>
    </row>
    <row r="449" spans="1:9" x14ac:dyDescent="0.25">
      <c r="A449" s="3">
        <v>40547</v>
      </c>
      <c r="B449" s="1">
        <f t="shared" si="18"/>
        <v>418</v>
      </c>
      <c r="C449" s="1">
        <v>782.6477371441747</v>
      </c>
      <c r="D449" s="1">
        <f t="shared" si="19"/>
        <v>364.6477371441747</v>
      </c>
      <c r="E449" s="2">
        <v>11</v>
      </c>
      <c r="F449" s="1">
        <v>71.149794285834062</v>
      </c>
      <c r="G449" s="1">
        <v>33.149794285834062</v>
      </c>
      <c r="H449" s="1">
        <v>38</v>
      </c>
      <c r="I449" s="6">
        <f t="shared" si="20"/>
        <v>1.143379830779785E-2</v>
      </c>
    </row>
    <row r="450" spans="1:9" x14ac:dyDescent="0.25">
      <c r="A450" s="3">
        <v>40546</v>
      </c>
      <c r="B450" s="1">
        <f t="shared" ref="B450:B501" si="21">+E450*H450</f>
        <v>1400</v>
      </c>
      <c r="C450" s="1">
        <v>2709.1673592439283</v>
      </c>
      <c r="D450" s="1">
        <f t="shared" ref="D450:D501" si="22">+E450*G450</f>
        <v>1309.1673592439281</v>
      </c>
      <c r="E450" s="2">
        <v>20</v>
      </c>
      <c r="F450" s="1">
        <v>135.45836796219641</v>
      </c>
      <c r="G450" s="1">
        <v>65.458367962196405</v>
      </c>
      <c r="H450" s="1">
        <v>70</v>
      </c>
      <c r="I450" s="6">
        <f t="shared" si="20"/>
        <v>3.9503773153441571E-2</v>
      </c>
    </row>
    <row r="451" spans="1:9" x14ac:dyDescent="0.25">
      <c r="A451" s="3">
        <v>40524</v>
      </c>
      <c r="B451" s="1">
        <f t="shared" si="21"/>
        <v>2256</v>
      </c>
      <c r="C451" s="1">
        <v>4813.9413667131639</v>
      </c>
      <c r="D451" s="1">
        <f t="shared" si="22"/>
        <v>2557.9413667131635</v>
      </c>
      <c r="E451" s="2">
        <v>24</v>
      </c>
      <c r="F451" s="1">
        <v>200.58089027971516</v>
      </c>
      <c r="G451" s="1">
        <v>106.58089027971515</v>
      </c>
      <c r="H451" s="1">
        <v>94</v>
      </c>
      <c r="I451" s="6">
        <f t="shared" ref="I451:I501" si="23">+(B451-MIN($B$2:$B$501))/(MAX($B$2:$B$501)-MIN($B$2:$B$501))</f>
        <v>6.3972101532128969E-2</v>
      </c>
    </row>
    <row r="452" spans="1:9" x14ac:dyDescent="0.25">
      <c r="A452" s="3">
        <v>40523</v>
      </c>
      <c r="B452" s="1">
        <f t="shared" si="21"/>
        <v>329</v>
      </c>
      <c r="C452" s="1">
        <v>620.23770514896228</v>
      </c>
      <c r="D452" s="1">
        <f t="shared" si="22"/>
        <v>291.23770514896228</v>
      </c>
      <c r="E452" s="2">
        <v>7</v>
      </c>
      <c r="F452" s="1">
        <v>88.60538644985175</v>
      </c>
      <c r="G452" s="1">
        <v>41.60538644985175</v>
      </c>
      <c r="H452" s="1">
        <v>47</v>
      </c>
      <c r="I452" s="6">
        <f t="shared" si="23"/>
        <v>8.8897781843128281E-3</v>
      </c>
    </row>
    <row r="453" spans="1:9" x14ac:dyDescent="0.25">
      <c r="A453" s="3">
        <v>40511</v>
      </c>
      <c r="B453" s="1">
        <f t="shared" si="21"/>
        <v>1200</v>
      </c>
      <c r="C453" s="1">
        <v>2008.1172764618063</v>
      </c>
      <c r="D453" s="1">
        <f t="shared" si="22"/>
        <v>808.11727646180634</v>
      </c>
      <c r="E453" s="2">
        <v>10</v>
      </c>
      <c r="F453" s="1">
        <v>200.81172764618063</v>
      </c>
      <c r="G453" s="1">
        <v>80.811727646180628</v>
      </c>
      <c r="H453" s="1">
        <v>120</v>
      </c>
      <c r="I453" s="6">
        <f t="shared" si="23"/>
        <v>3.3786873999542645E-2</v>
      </c>
    </row>
    <row r="454" spans="1:9" x14ac:dyDescent="0.25">
      <c r="A454" s="3">
        <v>40508</v>
      </c>
      <c r="B454" s="1">
        <f t="shared" si="21"/>
        <v>2952</v>
      </c>
      <c r="C454" s="1">
        <v>5714.6416107598088</v>
      </c>
      <c r="D454" s="1">
        <f t="shared" si="22"/>
        <v>2762.6416107598084</v>
      </c>
      <c r="E454" s="2">
        <v>41</v>
      </c>
      <c r="F454" s="1">
        <v>139.38150270145874</v>
      </c>
      <c r="G454" s="1">
        <v>67.381502701458743</v>
      </c>
      <c r="H454" s="1">
        <v>72</v>
      </c>
      <c r="I454" s="6">
        <f t="shared" si="23"/>
        <v>8.3866910587697227E-2</v>
      </c>
    </row>
    <row r="455" spans="1:9" x14ac:dyDescent="0.25">
      <c r="A455" s="3">
        <v>40483</v>
      </c>
      <c r="B455" s="1">
        <f t="shared" si="21"/>
        <v>10120</v>
      </c>
      <c r="C455" s="1">
        <v>17122.693416919028</v>
      </c>
      <c r="D455" s="1">
        <f t="shared" si="22"/>
        <v>7002.693416919029</v>
      </c>
      <c r="E455" s="2">
        <v>110</v>
      </c>
      <c r="F455" s="1">
        <v>155.66084924471843</v>
      </c>
      <c r="G455" s="1">
        <v>63.660849244718442</v>
      </c>
      <c r="H455" s="1">
        <v>92</v>
      </c>
      <c r="I455" s="6">
        <f t="shared" si="23"/>
        <v>0.28876057626343471</v>
      </c>
    </row>
    <row r="456" spans="1:9" x14ac:dyDescent="0.25">
      <c r="A456" s="3">
        <v>40465</v>
      </c>
      <c r="B456" s="1">
        <f t="shared" si="21"/>
        <v>744</v>
      </c>
      <c r="C456" s="1">
        <v>1518.5955767122027</v>
      </c>
      <c r="D456" s="1">
        <f t="shared" si="22"/>
        <v>774.59557671220261</v>
      </c>
      <c r="E456" s="2">
        <v>24</v>
      </c>
      <c r="F456" s="1">
        <v>63.274815696341776</v>
      </c>
      <c r="G456" s="1">
        <v>32.274815696341776</v>
      </c>
      <c r="H456" s="1">
        <v>31</v>
      </c>
      <c r="I456" s="6">
        <f t="shared" si="23"/>
        <v>2.0752343928653098E-2</v>
      </c>
    </row>
    <row r="457" spans="1:9" x14ac:dyDescent="0.25">
      <c r="A457" s="3">
        <v>40458</v>
      </c>
      <c r="B457" s="1">
        <f t="shared" si="21"/>
        <v>2584</v>
      </c>
      <c r="C457" s="1">
        <v>4791.9945462407004</v>
      </c>
      <c r="D457" s="1">
        <f t="shared" si="22"/>
        <v>2207.9945462406999</v>
      </c>
      <c r="E457" s="2">
        <v>34</v>
      </c>
      <c r="F457" s="1">
        <v>140.94101606590294</v>
      </c>
      <c r="G457" s="1">
        <v>64.941016065902943</v>
      </c>
      <c r="H457" s="1">
        <v>76</v>
      </c>
      <c r="I457" s="6">
        <f t="shared" si="23"/>
        <v>7.3347816144523209E-2</v>
      </c>
    </row>
    <row r="458" spans="1:9" x14ac:dyDescent="0.25">
      <c r="A458" s="3">
        <v>40455</v>
      </c>
      <c r="B458" s="1">
        <f t="shared" si="21"/>
        <v>3348</v>
      </c>
      <c r="C458" s="1">
        <v>5858.9756242709436</v>
      </c>
      <c r="D458" s="1">
        <f t="shared" si="22"/>
        <v>2510.9756242709441</v>
      </c>
      <c r="E458" s="2">
        <v>36</v>
      </c>
      <c r="F458" s="1">
        <v>162.74932289641509</v>
      </c>
      <c r="G458" s="1">
        <v>69.749322896415109</v>
      </c>
      <c r="H458" s="1">
        <v>93</v>
      </c>
      <c r="I458" s="6">
        <f t="shared" si="23"/>
        <v>9.5186370912417106E-2</v>
      </c>
    </row>
    <row r="459" spans="1:9" x14ac:dyDescent="0.25">
      <c r="A459" s="3">
        <v>40447</v>
      </c>
      <c r="B459" s="1">
        <f t="shared" si="21"/>
        <v>105</v>
      </c>
      <c r="C459" s="1">
        <v>256.35409088773622</v>
      </c>
      <c r="D459" s="1">
        <f t="shared" si="22"/>
        <v>151.35409088773619</v>
      </c>
      <c r="E459" s="2">
        <v>3</v>
      </c>
      <c r="F459" s="1">
        <v>85.451363629245407</v>
      </c>
      <c r="G459" s="1">
        <v>50.4513636292454</v>
      </c>
      <c r="H459" s="1">
        <v>35</v>
      </c>
      <c r="I459" s="6">
        <f t="shared" si="23"/>
        <v>2.4868511319460327E-3</v>
      </c>
    </row>
    <row r="460" spans="1:9" x14ac:dyDescent="0.25">
      <c r="A460" s="3">
        <v>40446</v>
      </c>
      <c r="B460" s="1">
        <f t="shared" si="21"/>
        <v>1449</v>
      </c>
      <c r="C460" s="1">
        <v>4086.7190900843243</v>
      </c>
      <c r="D460" s="1">
        <f t="shared" si="22"/>
        <v>2637.7190900843243</v>
      </c>
      <c r="E460" s="2">
        <v>23</v>
      </c>
      <c r="F460" s="1">
        <v>177.68343869931846</v>
      </c>
      <c r="G460" s="1">
        <v>114.68343869931844</v>
      </c>
      <c r="H460" s="1">
        <v>63</v>
      </c>
      <c r="I460" s="6">
        <f t="shared" si="23"/>
        <v>4.0904413446146808E-2</v>
      </c>
    </row>
    <row r="461" spans="1:9" x14ac:dyDescent="0.25">
      <c r="A461" s="3">
        <v>40444</v>
      </c>
      <c r="B461" s="1">
        <f t="shared" si="21"/>
        <v>4130</v>
      </c>
      <c r="C461" s="1">
        <v>8263.5451526523029</v>
      </c>
      <c r="D461" s="1">
        <f t="shared" si="22"/>
        <v>4133.5451526523038</v>
      </c>
      <c r="E461" s="2">
        <v>35</v>
      </c>
      <c r="F461" s="1">
        <v>236.1012900757801</v>
      </c>
      <c r="G461" s="1">
        <v>118.1012900757801</v>
      </c>
      <c r="H461" s="1">
        <v>118</v>
      </c>
      <c r="I461" s="6">
        <f t="shared" si="23"/>
        <v>0.11753944660416191</v>
      </c>
    </row>
    <row r="462" spans="1:9" x14ac:dyDescent="0.25">
      <c r="A462" s="3">
        <v>40444</v>
      </c>
      <c r="B462" s="1">
        <f t="shared" si="21"/>
        <v>144</v>
      </c>
      <c r="C462" s="1">
        <v>345.29450063896036</v>
      </c>
      <c r="D462" s="1">
        <f t="shared" si="22"/>
        <v>201.29450063896039</v>
      </c>
      <c r="E462" s="2">
        <v>4</v>
      </c>
      <c r="F462" s="1">
        <v>86.323625159740089</v>
      </c>
      <c r="G462" s="1">
        <v>50.323625159740097</v>
      </c>
      <c r="H462" s="1">
        <v>36</v>
      </c>
      <c r="I462" s="6">
        <f t="shared" si="23"/>
        <v>3.601646466956323E-3</v>
      </c>
    </row>
    <row r="463" spans="1:9" x14ac:dyDescent="0.25">
      <c r="A463" s="3">
        <v>40441</v>
      </c>
      <c r="B463" s="1">
        <f t="shared" si="21"/>
        <v>1770</v>
      </c>
      <c r="C463" s="1">
        <v>4623.846363739548</v>
      </c>
      <c r="D463" s="1">
        <f t="shared" si="22"/>
        <v>2853.846363739548</v>
      </c>
      <c r="E463" s="2">
        <v>30</v>
      </c>
      <c r="F463" s="1">
        <v>154.12821212465161</v>
      </c>
      <c r="G463" s="1">
        <v>95.128212124651597</v>
      </c>
      <c r="H463" s="1">
        <v>59</v>
      </c>
      <c r="I463" s="6">
        <f t="shared" si="23"/>
        <v>5.0080036588154582E-2</v>
      </c>
    </row>
    <row r="464" spans="1:9" x14ac:dyDescent="0.25">
      <c r="A464" s="3">
        <v>40439</v>
      </c>
      <c r="B464" s="1">
        <f t="shared" si="21"/>
        <v>1020</v>
      </c>
      <c r="C464" s="1">
        <v>1794.2259205206624</v>
      </c>
      <c r="D464" s="1">
        <f t="shared" si="22"/>
        <v>774.22592052066261</v>
      </c>
      <c r="E464" s="2">
        <v>10</v>
      </c>
      <c r="F464" s="1">
        <v>179.42259205206625</v>
      </c>
      <c r="G464" s="1">
        <v>77.422592052066264</v>
      </c>
      <c r="H464" s="1">
        <v>102</v>
      </c>
      <c r="I464" s="6">
        <f t="shared" si="23"/>
        <v>2.8641664761033615E-2</v>
      </c>
    </row>
    <row r="465" spans="1:9" x14ac:dyDescent="0.25">
      <c r="A465" s="3">
        <v>40431</v>
      </c>
      <c r="B465" s="1">
        <f t="shared" si="21"/>
        <v>460</v>
      </c>
      <c r="C465" s="1">
        <v>780.72550095270969</v>
      </c>
      <c r="D465" s="1">
        <f t="shared" si="22"/>
        <v>320.72550095270969</v>
      </c>
      <c r="E465" s="2">
        <v>23</v>
      </c>
      <c r="F465" s="1">
        <v>33.944586997943901</v>
      </c>
      <c r="G465" s="1">
        <v>13.944586997943901</v>
      </c>
      <c r="H465" s="1">
        <v>20</v>
      </c>
      <c r="I465" s="6">
        <f t="shared" si="23"/>
        <v>1.2634347130116625E-2</v>
      </c>
    </row>
    <row r="466" spans="1:9" x14ac:dyDescent="0.25">
      <c r="A466" s="3">
        <v>40423</v>
      </c>
      <c r="B466" s="1">
        <f t="shared" si="21"/>
        <v>664</v>
      </c>
      <c r="C466" s="1">
        <v>1209.3993858695258</v>
      </c>
      <c r="D466" s="1">
        <f t="shared" si="22"/>
        <v>545.39938586952564</v>
      </c>
      <c r="E466" s="2">
        <v>8</v>
      </c>
      <c r="F466" s="1">
        <v>151.17492323369072</v>
      </c>
      <c r="G466" s="1">
        <v>68.174923233690706</v>
      </c>
      <c r="H466" s="1">
        <v>83</v>
      </c>
      <c r="I466" s="6">
        <f t="shared" si="23"/>
        <v>1.8465584267093528E-2</v>
      </c>
    </row>
    <row r="467" spans="1:9" x14ac:dyDescent="0.25">
      <c r="A467" s="3">
        <v>40423</v>
      </c>
      <c r="B467" s="1">
        <f t="shared" si="21"/>
        <v>12183</v>
      </c>
      <c r="C467" s="1">
        <v>22023.725259081082</v>
      </c>
      <c r="D467" s="1">
        <f t="shared" si="22"/>
        <v>9840.7252590810804</v>
      </c>
      <c r="E467" s="2">
        <v>93</v>
      </c>
      <c r="F467" s="1">
        <v>236.81425009764604</v>
      </c>
      <c r="G467" s="1">
        <v>105.81425009764602</v>
      </c>
      <c r="H467" s="1">
        <v>131</v>
      </c>
      <c r="I467" s="6">
        <f t="shared" si="23"/>
        <v>0.34773039103590214</v>
      </c>
    </row>
    <row r="468" spans="1:9" x14ac:dyDescent="0.25">
      <c r="A468" s="3">
        <v>40420</v>
      </c>
      <c r="B468" s="1">
        <f t="shared" si="21"/>
        <v>637</v>
      </c>
      <c r="C468" s="1">
        <v>1318.2541184066208</v>
      </c>
      <c r="D468" s="1">
        <f t="shared" si="22"/>
        <v>681.25411840662071</v>
      </c>
      <c r="E468" s="2">
        <v>13</v>
      </c>
      <c r="F468" s="1">
        <v>101.40416295435544</v>
      </c>
      <c r="G468" s="1">
        <v>52.404162954355442</v>
      </c>
      <c r="H468" s="1">
        <v>49</v>
      </c>
      <c r="I468" s="6">
        <f t="shared" si="23"/>
        <v>1.7693802881317174E-2</v>
      </c>
    </row>
    <row r="469" spans="1:9" x14ac:dyDescent="0.25">
      <c r="A469" s="3">
        <v>40415</v>
      </c>
      <c r="B469" s="1">
        <f t="shared" si="21"/>
        <v>452</v>
      </c>
      <c r="C469" s="1">
        <v>763.94097526845667</v>
      </c>
      <c r="D469" s="1">
        <f t="shared" si="22"/>
        <v>311.94097526845673</v>
      </c>
      <c r="E469" s="2">
        <v>4</v>
      </c>
      <c r="F469" s="1">
        <v>190.98524381711417</v>
      </c>
      <c r="G469" s="1">
        <v>77.985243817114181</v>
      </c>
      <c r="H469" s="1">
        <v>113</v>
      </c>
      <c r="I469" s="6">
        <f t="shared" si="23"/>
        <v>1.2405671163960668E-2</v>
      </c>
    </row>
    <row r="470" spans="1:9" x14ac:dyDescent="0.25">
      <c r="A470" s="3">
        <v>40408</v>
      </c>
      <c r="B470" s="1">
        <f t="shared" si="21"/>
        <v>1404</v>
      </c>
      <c r="C470" s="1">
        <v>2586.6375304478952</v>
      </c>
      <c r="D470" s="1">
        <f t="shared" si="22"/>
        <v>1182.6375304478954</v>
      </c>
      <c r="E470" s="2">
        <v>26</v>
      </c>
      <c r="F470" s="1">
        <v>99.486058863380592</v>
      </c>
      <c r="G470" s="1">
        <v>45.486058863380592</v>
      </c>
      <c r="H470" s="1">
        <v>54</v>
      </c>
      <c r="I470" s="6">
        <f t="shared" si="23"/>
        <v>3.961811113651955E-2</v>
      </c>
    </row>
    <row r="471" spans="1:9" x14ac:dyDescent="0.25">
      <c r="A471" s="3">
        <v>40407</v>
      </c>
      <c r="B471" s="1">
        <f t="shared" si="21"/>
        <v>252</v>
      </c>
      <c r="C471" s="1">
        <v>443.26545180105126</v>
      </c>
      <c r="D471" s="1">
        <f t="shared" si="22"/>
        <v>191.26545180105128</v>
      </c>
      <c r="E471" s="2">
        <v>6</v>
      </c>
      <c r="F471" s="1">
        <v>73.877575300175209</v>
      </c>
      <c r="G471" s="1">
        <v>31.877575300175213</v>
      </c>
      <c r="H471" s="1">
        <v>42</v>
      </c>
      <c r="I471" s="6">
        <f t="shared" si="23"/>
        <v>6.6887720100617422E-3</v>
      </c>
    </row>
    <row r="472" spans="1:9" x14ac:dyDescent="0.25">
      <c r="A472" s="3">
        <v>40400</v>
      </c>
      <c r="B472" s="1">
        <f t="shared" si="21"/>
        <v>3540</v>
      </c>
      <c r="C472" s="1">
        <v>7015.145952615484</v>
      </c>
      <c r="D472" s="1">
        <f t="shared" si="22"/>
        <v>3475.145952615484</v>
      </c>
      <c r="E472" s="2">
        <v>60</v>
      </c>
      <c r="F472" s="1">
        <v>116.91909921025807</v>
      </c>
      <c r="G472" s="1">
        <v>57.919099210258068</v>
      </c>
      <c r="H472" s="1">
        <v>59</v>
      </c>
      <c r="I472" s="6">
        <f t="shared" si="23"/>
        <v>0.10067459410016007</v>
      </c>
    </row>
    <row r="473" spans="1:9" x14ac:dyDescent="0.25">
      <c r="A473" s="3">
        <v>40397</v>
      </c>
      <c r="B473" s="1">
        <f t="shared" si="21"/>
        <v>430</v>
      </c>
      <c r="C473" s="1">
        <v>982.11493250313515</v>
      </c>
      <c r="D473" s="1">
        <f t="shared" si="22"/>
        <v>552.11493250313515</v>
      </c>
      <c r="E473" s="2">
        <v>10</v>
      </c>
      <c r="F473" s="1">
        <v>98.211493250313509</v>
      </c>
      <c r="G473" s="1">
        <v>55.211493250313517</v>
      </c>
      <c r="H473" s="1">
        <v>43</v>
      </c>
      <c r="I473" s="6">
        <f t="shared" si="23"/>
        <v>1.1776812257031786E-2</v>
      </c>
    </row>
    <row r="474" spans="1:9" x14ac:dyDescent="0.25">
      <c r="A474" s="3">
        <v>40390</v>
      </c>
      <c r="B474" s="1">
        <f t="shared" si="21"/>
        <v>272</v>
      </c>
      <c r="C474" s="1">
        <v>618.98949915300557</v>
      </c>
      <c r="D474" s="1">
        <f t="shared" si="22"/>
        <v>346.98949915300557</v>
      </c>
      <c r="E474" s="2">
        <v>16</v>
      </c>
      <c r="F474" s="1">
        <v>38.686843697062848</v>
      </c>
      <c r="G474" s="1">
        <v>21.686843697062848</v>
      </c>
      <c r="H474" s="1">
        <v>17</v>
      </c>
      <c r="I474" s="6">
        <f t="shared" si="23"/>
        <v>7.2604619254516348E-3</v>
      </c>
    </row>
    <row r="475" spans="1:9" x14ac:dyDescent="0.25">
      <c r="A475" s="3">
        <v>40375</v>
      </c>
      <c r="B475" s="1">
        <f t="shared" si="21"/>
        <v>2583</v>
      </c>
      <c r="C475" s="1">
        <v>4951.9254660378883</v>
      </c>
      <c r="D475" s="1">
        <f t="shared" si="22"/>
        <v>2368.9254660378888</v>
      </c>
      <c r="E475" s="2">
        <v>41</v>
      </c>
      <c r="F475" s="1">
        <v>120.77866990336314</v>
      </c>
      <c r="G475" s="1">
        <v>57.778669903363138</v>
      </c>
      <c r="H475" s="1">
        <v>63</v>
      </c>
      <c r="I475" s="6">
        <f t="shared" si="23"/>
        <v>7.3319231648753716E-2</v>
      </c>
    </row>
    <row r="476" spans="1:9" x14ac:dyDescent="0.25">
      <c r="A476" s="3">
        <v>40372</v>
      </c>
      <c r="B476" s="1">
        <f t="shared" si="21"/>
        <v>2288</v>
      </c>
      <c r="C476" s="1">
        <v>6748.486470351565</v>
      </c>
      <c r="D476" s="1">
        <f t="shared" si="22"/>
        <v>4460.4864703515659</v>
      </c>
      <c r="E476" s="2">
        <v>44</v>
      </c>
      <c r="F476" s="1">
        <v>153.37469250799012</v>
      </c>
      <c r="G476" s="1">
        <v>101.37469250799013</v>
      </c>
      <c r="H476" s="1">
        <v>52</v>
      </c>
      <c r="I476" s="6">
        <f t="shared" si="23"/>
        <v>6.4886805396752803E-2</v>
      </c>
    </row>
    <row r="477" spans="1:9" x14ac:dyDescent="0.25">
      <c r="A477" s="3">
        <v>40363</v>
      </c>
      <c r="B477" s="1">
        <f t="shared" si="21"/>
        <v>3225</v>
      </c>
      <c r="C477" s="1">
        <v>6468.3480676119561</v>
      </c>
      <c r="D477" s="1">
        <f t="shared" si="22"/>
        <v>3243.3480676119561</v>
      </c>
      <c r="E477" s="2">
        <v>43</v>
      </c>
      <c r="F477" s="1">
        <v>150.42669924678967</v>
      </c>
      <c r="G477" s="1">
        <v>75.426699246789681</v>
      </c>
      <c r="H477" s="1">
        <v>75</v>
      </c>
      <c r="I477" s="6">
        <f t="shared" si="23"/>
        <v>9.1670477932769265E-2</v>
      </c>
    </row>
    <row r="478" spans="1:9" x14ac:dyDescent="0.25">
      <c r="A478" s="3">
        <v>40359</v>
      </c>
      <c r="B478" s="1">
        <f t="shared" si="21"/>
        <v>184</v>
      </c>
      <c r="C478" s="1">
        <v>414.06691433863864</v>
      </c>
      <c r="D478" s="1">
        <f t="shared" si="22"/>
        <v>230.06691433863864</v>
      </c>
      <c r="E478" s="2">
        <v>4</v>
      </c>
      <c r="F478" s="1">
        <v>103.51672858465966</v>
      </c>
      <c r="G478" s="1">
        <v>57.51672858465966</v>
      </c>
      <c r="H478" s="1">
        <v>46</v>
      </c>
      <c r="I478" s="6">
        <f t="shared" si="23"/>
        <v>4.7450262977361077E-3</v>
      </c>
    </row>
    <row r="479" spans="1:9" x14ac:dyDescent="0.25">
      <c r="A479" s="3">
        <v>40356</v>
      </c>
      <c r="B479" s="1">
        <f t="shared" si="21"/>
        <v>42</v>
      </c>
      <c r="C479" s="1">
        <v>89.96623369755919</v>
      </c>
      <c r="D479" s="1">
        <f t="shared" si="22"/>
        <v>47.96623369755919</v>
      </c>
      <c r="E479" s="2">
        <v>1</v>
      </c>
      <c r="F479" s="1">
        <v>89.96623369755919</v>
      </c>
      <c r="G479" s="1">
        <v>47.96623369755919</v>
      </c>
      <c r="H479" s="1">
        <v>42</v>
      </c>
      <c r="I479" s="6">
        <f t="shared" si="23"/>
        <v>6.8602789846787104E-4</v>
      </c>
    </row>
    <row r="480" spans="1:9" x14ac:dyDescent="0.25">
      <c r="A480" s="3">
        <v>40354</v>
      </c>
      <c r="B480" s="1">
        <f t="shared" si="21"/>
        <v>1666</v>
      </c>
      <c r="C480" s="1">
        <v>2903.1536950699506</v>
      </c>
      <c r="D480" s="1">
        <f t="shared" si="22"/>
        <v>1237.1536950699508</v>
      </c>
      <c r="E480" s="2">
        <v>17</v>
      </c>
      <c r="F480" s="1">
        <v>170.77374676882062</v>
      </c>
      <c r="G480" s="1">
        <v>72.773746768820629</v>
      </c>
      <c r="H480" s="1">
        <v>98</v>
      </c>
      <c r="I480" s="6">
        <f t="shared" si="23"/>
        <v>4.7107249028127143E-2</v>
      </c>
    </row>
    <row r="481" spans="1:9" x14ac:dyDescent="0.25">
      <c r="A481" s="3">
        <v>40351</v>
      </c>
      <c r="B481" s="1">
        <f t="shared" si="21"/>
        <v>1232</v>
      </c>
      <c r="C481" s="1">
        <v>2630.0389078944636</v>
      </c>
      <c r="D481" s="1">
        <f t="shared" si="22"/>
        <v>1398.0389078944638</v>
      </c>
      <c r="E481" s="2">
        <v>28</v>
      </c>
      <c r="F481" s="1">
        <v>93.929960996230847</v>
      </c>
      <c r="G481" s="1">
        <v>49.929960996230854</v>
      </c>
      <c r="H481" s="1">
        <v>44</v>
      </c>
      <c r="I481" s="6">
        <f t="shared" si="23"/>
        <v>3.4701577864166479E-2</v>
      </c>
    </row>
    <row r="482" spans="1:9" x14ac:dyDescent="0.25">
      <c r="A482" s="3">
        <v>40347</v>
      </c>
      <c r="B482" s="1">
        <f t="shared" si="21"/>
        <v>2000</v>
      </c>
      <c r="C482" s="1">
        <v>3378.3484606553116</v>
      </c>
      <c r="D482" s="1">
        <f t="shared" si="22"/>
        <v>1378.3484606553116</v>
      </c>
      <c r="E482" s="2">
        <v>25</v>
      </c>
      <c r="F482" s="1">
        <v>135.13393842621247</v>
      </c>
      <c r="G482" s="1">
        <v>55.13393842621246</v>
      </c>
      <c r="H482" s="1">
        <v>80</v>
      </c>
      <c r="I482" s="6">
        <f t="shared" si="23"/>
        <v>5.6654470615138348E-2</v>
      </c>
    </row>
    <row r="483" spans="1:9" x14ac:dyDescent="0.25">
      <c r="A483" s="3">
        <v>40347</v>
      </c>
      <c r="B483" s="1">
        <f t="shared" si="21"/>
        <v>1702</v>
      </c>
      <c r="C483" s="1">
        <v>4183.6563792061716</v>
      </c>
      <c r="D483" s="1">
        <f t="shared" si="22"/>
        <v>2481.6563792061716</v>
      </c>
      <c r="E483" s="2">
        <v>46</v>
      </c>
      <c r="F483" s="1">
        <v>90.949051721873303</v>
      </c>
      <c r="G483" s="1">
        <v>53.949051721873296</v>
      </c>
      <c r="H483" s="1">
        <v>37</v>
      </c>
      <c r="I483" s="6">
        <f t="shared" si="23"/>
        <v>4.8136290875828949E-2</v>
      </c>
    </row>
    <row r="484" spans="1:9" x14ac:dyDescent="0.25">
      <c r="A484" s="3">
        <v>40339</v>
      </c>
      <c r="B484" s="1">
        <f t="shared" si="21"/>
        <v>465</v>
      </c>
      <c r="C484" s="1">
        <v>848.0697168269046</v>
      </c>
      <c r="D484" s="1">
        <f t="shared" si="22"/>
        <v>383.06971682690465</v>
      </c>
      <c r="E484" s="2">
        <v>15</v>
      </c>
      <c r="F484" s="1">
        <v>56.537981121793642</v>
      </c>
      <c r="G484" s="1">
        <v>25.537981121793642</v>
      </c>
      <c r="H484" s="1">
        <v>31</v>
      </c>
      <c r="I484" s="6">
        <f t="shared" si="23"/>
        <v>1.2777269608964099E-2</v>
      </c>
    </row>
    <row r="485" spans="1:9" x14ac:dyDescent="0.25">
      <c r="A485" s="3">
        <v>40338</v>
      </c>
      <c r="B485" s="1">
        <f t="shared" si="21"/>
        <v>426</v>
      </c>
      <c r="C485" s="1">
        <v>964.86638084696472</v>
      </c>
      <c r="D485" s="1">
        <f t="shared" si="22"/>
        <v>538.86638084696483</v>
      </c>
      <c r="E485" s="2">
        <v>6</v>
      </c>
      <c r="F485" s="1">
        <v>160.81106347449412</v>
      </c>
      <c r="G485" s="1">
        <v>89.811063474494134</v>
      </c>
      <c r="H485" s="1">
        <v>71</v>
      </c>
      <c r="I485" s="6">
        <f t="shared" si="23"/>
        <v>1.1662474273953807E-2</v>
      </c>
    </row>
    <row r="486" spans="1:9" x14ac:dyDescent="0.25">
      <c r="A486" s="3">
        <v>40335</v>
      </c>
      <c r="B486" s="1">
        <f t="shared" si="21"/>
        <v>4292</v>
      </c>
      <c r="C486" s="1">
        <v>8658.1721704878455</v>
      </c>
      <c r="D486" s="1">
        <f t="shared" si="22"/>
        <v>4366.1721704878446</v>
      </c>
      <c r="E486" s="2">
        <v>74</v>
      </c>
      <c r="F486" s="1">
        <v>117.00232662821412</v>
      </c>
      <c r="G486" s="1">
        <v>59.002326628214121</v>
      </c>
      <c r="H486" s="1">
        <v>58</v>
      </c>
      <c r="I486" s="6">
        <f t="shared" si="23"/>
        <v>0.12217013491882003</v>
      </c>
    </row>
    <row r="487" spans="1:9" x14ac:dyDescent="0.25">
      <c r="A487" s="3">
        <v>40334</v>
      </c>
      <c r="B487" s="1">
        <f t="shared" si="21"/>
        <v>123</v>
      </c>
      <c r="C487" s="1">
        <v>337.21854017724979</v>
      </c>
      <c r="D487" s="1">
        <f t="shared" si="22"/>
        <v>214.21854017724976</v>
      </c>
      <c r="E487" s="2">
        <v>3</v>
      </c>
      <c r="F487" s="1">
        <v>112.40618005908325</v>
      </c>
      <c r="G487" s="1">
        <v>71.406180059083255</v>
      </c>
      <c r="H487" s="1">
        <v>41</v>
      </c>
      <c r="I487" s="6">
        <f t="shared" si="23"/>
        <v>3.0013720557969356E-3</v>
      </c>
    </row>
    <row r="488" spans="1:9" x14ac:dyDescent="0.25">
      <c r="A488" s="3">
        <v>40326</v>
      </c>
      <c r="B488" s="1">
        <f t="shared" si="21"/>
        <v>756</v>
      </c>
      <c r="C488" s="1">
        <v>1295.925097787381</v>
      </c>
      <c r="D488" s="1">
        <f t="shared" si="22"/>
        <v>539.92509778738099</v>
      </c>
      <c r="E488" s="2">
        <v>14</v>
      </c>
      <c r="F488" s="1">
        <v>92.566078413384361</v>
      </c>
      <c r="G488" s="1">
        <v>38.566078413384361</v>
      </c>
      <c r="H488" s="1">
        <v>54</v>
      </c>
      <c r="I488" s="6">
        <f t="shared" si="23"/>
        <v>2.1095357877887033E-2</v>
      </c>
    </row>
    <row r="489" spans="1:9" x14ac:dyDescent="0.25">
      <c r="A489" s="3">
        <v>40316</v>
      </c>
      <c r="B489" s="1">
        <f t="shared" si="21"/>
        <v>828</v>
      </c>
      <c r="C489" s="1">
        <v>1683.8166036367622</v>
      </c>
      <c r="D489" s="1">
        <f t="shared" si="22"/>
        <v>855.81660363676235</v>
      </c>
      <c r="E489" s="2">
        <v>9</v>
      </c>
      <c r="F489" s="1">
        <v>187.09073373741802</v>
      </c>
      <c r="G489" s="1">
        <v>95.090733737418034</v>
      </c>
      <c r="H489" s="1">
        <v>92</v>
      </c>
      <c r="I489" s="6">
        <f t="shared" si="23"/>
        <v>2.3153441573290648E-2</v>
      </c>
    </row>
    <row r="490" spans="1:9" x14ac:dyDescent="0.25">
      <c r="A490" s="3">
        <v>40311</v>
      </c>
      <c r="B490" s="1">
        <f t="shared" si="21"/>
        <v>350</v>
      </c>
      <c r="C490" s="1">
        <v>628.09242336854265</v>
      </c>
      <c r="D490" s="1">
        <f t="shared" si="22"/>
        <v>278.0924233685426</v>
      </c>
      <c r="E490" s="2">
        <v>5</v>
      </c>
      <c r="F490" s="1">
        <v>125.61848467370852</v>
      </c>
      <c r="G490" s="1">
        <v>55.618484673708522</v>
      </c>
      <c r="H490" s="1">
        <v>70</v>
      </c>
      <c r="I490" s="6">
        <f t="shared" si="23"/>
        <v>9.4900525954722155E-3</v>
      </c>
    </row>
    <row r="491" spans="1:9" x14ac:dyDescent="0.25">
      <c r="A491" s="3">
        <v>40295</v>
      </c>
      <c r="B491" s="1">
        <f t="shared" si="21"/>
        <v>777</v>
      </c>
      <c r="C491" s="1">
        <v>1585.3966300054008</v>
      </c>
      <c r="D491" s="1">
        <f t="shared" si="22"/>
        <v>808.39663000540065</v>
      </c>
      <c r="E491" s="2">
        <v>21</v>
      </c>
      <c r="F491" s="1">
        <v>75.495077619304794</v>
      </c>
      <c r="G491" s="1">
        <v>38.495077619304794</v>
      </c>
      <c r="H491" s="1">
        <v>37</v>
      </c>
      <c r="I491" s="6">
        <f t="shared" si="23"/>
        <v>2.1695632289046422E-2</v>
      </c>
    </row>
    <row r="492" spans="1:9" x14ac:dyDescent="0.25">
      <c r="A492" s="3">
        <v>40257</v>
      </c>
      <c r="B492" s="1">
        <f t="shared" si="21"/>
        <v>1904</v>
      </c>
      <c r="C492" s="1">
        <v>5047.5108712241881</v>
      </c>
      <c r="D492" s="1">
        <f t="shared" si="22"/>
        <v>3143.5108712241881</v>
      </c>
      <c r="E492" s="2">
        <v>28</v>
      </c>
      <c r="F492" s="1">
        <v>180.26824540086386</v>
      </c>
      <c r="G492" s="1">
        <v>112.26824540086386</v>
      </c>
      <c r="H492" s="1">
        <v>68</v>
      </c>
      <c r="I492" s="6">
        <f t="shared" si="23"/>
        <v>5.3910359021266868E-2</v>
      </c>
    </row>
    <row r="493" spans="1:9" x14ac:dyDescent="0.25">
      <c r="A493" s="3">
        <v>40249</v>
      </c>
      <c r="B493" s="1">
        <f t="shared" si="21"/>
        <v>360</v>
      </c>
      <c r="C493" s="1">
        <v>799.92518184745131</v>
      </c>
      <c r="D493" s="1">
        <f t="shared" si="22"/>
        <v>439.92518184745143</v>
      </c>
      <c r="E493" s="2">
        <v>6</v>
      </c>
      <c r="F493" s="1">
        <v>133.32086364124189</v>
      </c>
      <c r="G493" s="1">
        <v>73.3208636412419</v>
      </c>
      <c r="H493" s="1">
        <v>60</v>
      </c>
      <c r="I493" s="6">
        <f t="shared" si="23"/>
        <v>9.7758975531671618E-3</v>
      </c>
    </row>
    <row r="494" spans="1:9" x14ac:dyDescent="0.25">
      <c r="A494" s="3">
        <v>40228</v>
      </c>
      <c r="B494" s="1">
        <f t="shared" si="21"/>
        <v>11323</v>
      </c>
      <c r="C494" s="1">
        <v>19040.104774431122</v>
      </c>
      <c r="D494" s="1">
        <f t="shared" si="22"/>
        <v>7717.1047744311245</v>
      </c>
      <c r="E494" s="2">
        <v>169</v>
      </c>
      <c r="F494" s="1">
        <v>112.66334186053919</v>
      </c>
      <c r="G494" s="1">
        <v>45.663341860539198</v>
      </c>
      <c r="H494" s="1">
        <v>67</v>
      </c>
      <c r="I494" s="6">
        <f t="shared" si="23"/>
        <v>0.32314772467413677</v>
      </c>
    </row>
    <row r="495" spans="1:9" x14ac:dyDescent="0.25">
      <c r="A495" s="3">
        <v>40225</v>
      </c>
      <c r="B495" s="1">
        <f t="shared" si="21"/>
        <v>1258</v>
      </c>
      <c r="C495" s="1">
        <v>3325.3489993857329</v>
      </c>
      <c r="D495" s="1">
        <f t="shared" si="22"/>
        <v>2067.3489993857329</v>
      </c>
      <c r="E495" s="2">
        <v>34</v>
      </c>
      <c r="F495" s="1">
        <v>97.804382334874504</v>
      </c>
      <c r="G495" s="1">
        <v>60.804382334874497</v>
      </c>
      <c r="H495" s="1">
        <v>37</v>
      </c>
      <c r="I495" s="6">
        <f t="shared" si="23"/>
        <v>3.5444774754173333E-2</v>
      </c>
    </row>
    <row r="496" spans="1:9" x14ac:dyDescent="0.25">
      <c r="A496" s="3">
        <v>40221</v>
      </c>
      <c r="B496" s="1">
        <f t="shared" si="21"/>
        <v>252</v>
      </c>
      <c r="C496" s="1">
        <v>535.68804192708023</v>
      </c>
      <c r="D496" s="1">
        <f t="shared" si="22"/>
        <v>283.68804192708018</v>
      </c>
      <c r="E496" s="2">
        <v>9</v>
      </c>
      <c r="F496" s="1">
        <v>59.520893547453355</v>
      </c>
      <c r="G496" s="1">
        <v>31.520893547453355</v>
      </c>
      <c r="H496" s="1">
        <v>28</v>
      </c>
      <c r="I496" s="6">
        <f t="shared" si="23"/>
        <v>6.6887720100617422E-3</v>
      </c>
    </row>
    <row r="497" spans="1:9" x14ac:dyDescent="0.25">
      <c r="A497" s="3">
        <v>40216</v>
      </c>
      <c r="B497" s="1">
        <f t="shared" si="21"/>
        <v>2016</v>
      </c>
      <c r="C497" s="1">
        <v>3700.2418689745678</v>
      </c>
      <c r="D497" s="1">
        <f t="shared" si="22"/>
        <v>1684.241868974568</v>
      </c>
      <c r="E497" s="2">
        <v>18</v>
      </c>
      <c r="F497" s="1">
        <v>205.56899272080932</v>
      </c>
      <c r="G497" s="1">
        <v>93.568992720809334</v>
      </c>
      <c r="H497" s="1">
        <v>112</v>
      </c>
      <c r="I497" s="6">
        <f t="shared" si="23"/>
        <v>5.7111822547450265E-2</v>
      </c>
    </row>
    <row r="498" spans="1:9" x14ac:dyDescent="0.25">
      <c r="A498" s="3">
        <v>40204</v>
      </c>
      <c r="B498" s="1">
        <f t="shared" si="21"/>
        <v>1582</v>
      </c>
      <c r="C498" s="1">
        <v>3006.2860367528538</v>
      </c>
      <c r="D498" s="1">
        <f t="shared" si="22"/>
        <v>1424.2860367528538</v>
      </c>
      <c r="E498" s="2">
        <v>14</v>
      </c>
      <c r="F498" s="1">
        <v>214.73471691091811</v>
      </c>
      <c r="G498" s="1">
        <v>101.73471691091812</v>
      </c>
      <c r="H498" s="1">
        <v>113</v>
      </c>
      <c r="I498" s="6">
        <f t="shared" si="23"/>
        <v>4.4706151383489594E-2</v>
      </c>
    </row>
    <row r="499" spans="1:9" x14ac:dyDescent="0.25">
      <c r="A499" s="3">
        <v>40197</v>
      </c>
      <c r="B499" s="1">
        <f t="shared" si="21"/>
        <v>1692</v>
      </c>
      <c r="C499" s="1">
        <v>4483.5223940189335</v>
      </c>
      <c r="D499" s="1">
        <f t="shared" si="22"/>
        <v>2791.5223940189335</v>
      </c>
      <c r="E499" s="2">
        <v>47</v>
      </c>
      <c r="F499" s="1">
        <v>95.394093489764543</v>
      </c>
      <c r="G499" s="1">
        <v>59.394093489764543</v>
      </c>
      <c r="H499" s="1">
        <v>36</v>
      </c>
      <c r="I499" s="6">
        <f t="shared" si="23"/>
        <v>4.7850445918134005E-2</v>
      </c>
    </row>
    <row r="500" spans="1:9" x14ac:dyDescent="0.25">
      <c r="A500" s="3">
        <v>40188</v>
      </c>
      <c r="B500" s="1">
        <f t="shared" si="21"/>
        <v>2848</v>
      </c>
      <c r="C500" s="1">
        <v>5164.7602452415567</v>
      </c>
      <c r="D500" s="1">
        <f t="shared" si="22"/>
        <v>2316.7602452415567</v>
      </c>
      <c r="E500" s="2">
        <v>32</v>
      </c>
      <c r="F500" s="1">
        <v>161.39875766379865</v>
      </c>
      <c r="G500" s="1">
        <v>72.398757663798648</v>
      </c>
      <c r="H500" s="1">
        <v>89</v>
      </c>
      <c r="I500" s="6">
        <f t="shared" si="23"/>
        <v>8.0894123027669795E-2</v>
      </c>
    </row>
    <row r="501" spans="1:9" x14ac:dyDescent="0.25">
      <c r="A501" s="3">
        <v>40186</v>
      </c>
      <c r="B501" s="1">
        <f t="shared" si="21"/>
        <v>2401</v>
      </c>
      <c r="C501" s="1">
        <v>4524.0295816469734</v>
      </c>
      <c r="D501" s="1">
        <f t="shared" si="22"/>
        <v>2123.0295816469725</v>
      </c>
      <c r="E501" s="2">
        <v>49</v>
      </c>
      <c r="F501" s="1">
        <v>92.327134319325978</v>
      </c>
      <c r="G501" s="1">
        <v>43.327134319325971</v>
      </c>
      <c r="H501" s="1">
        <v>49</v>
      </c>
      <c r="I501" s="6">
        <f t="shared" si="23"/>
        <v>6.81168534187057E-2</v>
      </c>
    </row>
    <row r="502" spans="1:9" x14ac:dyDescent="0.25">
      <c r="A502" s="3"/>
      <c r="B502" s="1"/>
      <c r="C502" s="1"/>
      <c r="D502" s="1"/>
      <c r="E502" s="2"/>
      <c r="F502" s="1"/>
      <c r="G502" s="1"/>
      <c r="H502" s="1"/>
    </row>
    <row r="503" spans="1:9" x14ac:dyDescent="0.25">
      <c r="A503" s="3"/>
      <c r="B503" s="1"/>
      <c r="C503" s="1"/>
      <c r="D503" s="1"/>
      <c r="E503" s="2"/>
      <c r="F503" s="1"/>
      <c r="G503" s="1"/>
      <c r="H503" s="1"/>
    </row>
    <row r="504" spans="1:9" x14ac:dyDescent="0.25">
      <c r="A504" s="3"/>
      <c r="B504" s="1"/>
      <c r="C504" s="1"/>
      <c r="D504" s="1"/>
      <c r="E504" s="2"/>
      <c r="F504" s="1"/>
      <c r="G504" s="1"/>
      <c r="H504" s="1"/>
    </row>
    <row r="505" spans="1:9" x14ac:dyDescent="0.25">
      <c r="A505" s="3"/>
      <c r="B505" s="1"/>
      <c r="C505" s="1"/>
      <c r="D505" s="1"/>
      <c r="E505" s="2"/>
      <c r="F505" s="1"/>
      <c r="G505" s="1"/>
      <c r="H505" s="1"/>
    </row>
    <row r="506" spans="1:9" x14ac:dyDescent="0.25">
      <c r="A506" s="3"/>
      <c r="B506" s="1"/>
      <c r="C506" s="1"/>
      <c r="D506" s="1"/>
      <c r="E506" s="2"/>
      <c r="F506" s="1"/>
      <c r="G506" s="1"/>
      <c r="H506" s="1"/>
    </row>
    <row r="507" spans="1:9" x14ac:dyDescent="0.25">
      <c r="A507" s="3"/>
      <c r="B507" s="1"/>
      <c r="C507" s="1"/>
      <c r="D507" s="1"/>
      <c r="E507" s="2"/>
      <c r="F507" s="1"/>
      <c r="G507" s="1"/>
      <c r="H507" s="1"/>
    </row>
    <row r="508" spans="1:9" x14ac:dyDescent="0.25">
      <c r="A508" s="3"/>
      <c r="B508" s="1"/>
      <c r="C508" s="1"/>
      <c r="D508" s="1"/>
      <c r="E508" s="2"/>
      <c r="F508" s="1"/>
      <c r="G508" s="1"/>
      <c r="H508" s="1"/>
    </row>
    <row r="509" spans="1:9" x14ac:dyDescent="0.25">
      <c r="A509" s="3"/>
      <c r="B509" s="1"/>
      <c r="C509" s="1"/>
      <c r="D509" s="1"/>
      <c r="E509" s="2"/>
      <c r="F509" s="1"/>
      <c r="G509" s="1"/>
      <c r="H509" s="1"/>
    </row>
    <row r="510" spans="1:9" x14ac:dyDescent="0.25">
      <c r="A510" s="3"/>
      <c r="B510" s="1"/>
      <c r="C510" s="1"/>
      <c r="D510" s="1"/>
      <c r="E510" s="2"/>
      <c r="F510" s="1"/>
      <c r="G510" s="1"/>
      <c r="H510" s="1"/>
    </row>
    <row r="511" spans="1:9" x14ac:dyDescent="0.25">
      <c r="A511" s="3"/>
      <c r="B511" s="1"/>
      <c r="C511" s="1"/>
      <c r="D511" s="1"/>
      <c r="E511" s="2"/>
      <c r="F511" s="1"/>
      <c r="G511" s="1"/>
      <c r="H511" s="1"/>
    </row>
    <row r="512" spans="1:9" x14ac:dyDescent="0.25">
      <c r="A512" s="3"/>
      <c r="B512" s="1"/>
      <c r="C512" s="1"/>
      <c r="D512" s="1"/>
      <c r="E512" s="2"/>
      <c r="F512" s="1"/>
      <c r="G512" s="1"/>
      <c r="H512" s="1"/>
    </row>
    <row r="513" spans="1:8" x14ac:dyDescent="0.25">
      <c r="A513" s="3"/>
      <c r="B513" s="1"/>
      <c r="C513" s="1"/>
      <c r="D513" s="1"/>
      <c r="E513" s="2"/>
      <c r="F513" s="1"/>
      <c r="G513" s="1"/>
      <c r="H513" s="1"/>
    </row>
    <row r="514" spans="1:8" x14ac:dyDescent="0.25">
      <c r="A514" s="3"/>
      <c r="B514" s="1"/>
      <c r="C514" s="1"/>
      <c r="D514" s="1"/>
      <c r="E514" s="2"/>
      <c r="F514" s="1"/>
      <c r="G514" s="1"/>
      <c r="H514" s="1"/>
    </row>
    <row r="515" spans="1:8" x14ac:dyDescent="0.25">
      <c r="A515" s="3"/>
      <c r="B515" s="1"/>
      <c r="C515" s="1"/>
      <c r="D515" s="1"/>
      <c r="E515" s="2"/>
      <c r="F515" s="1"/>
      <c r="G515" s="1"/>
      <c r="H515" s="1"/>
    </row>
    <row r="516" spans="1:8" x14ac:dyDescent="0.25">
      <c r="A516" s="3"/>
      <c r="B516" s="1"/>
      <c r="C516" s="1"/>
      <c r="D516" s="1"/>
      <c r="E516" s="2"/>
      <c r="F516" s="1"/>
      <c r="G516" s="1"/>
      <c r="H516" s="1"/>
    </row>
    <row r="517" spans="1:8" x14ac:dyDescent="0.25">
      <c r="A517" s="3"/>
      <c r="B517" s="1"/>
      <c r="C517" s="1"/>
      <c r="D517" s="1"/>
      <c r="E517" s="2"/>
      <c r="F517" s="1"/>
      <c r="G517" s="1"/>
      <c r="H517" s="1"/>
    </row>
    <row r="518" spans="1:8" x14ac:dyDescent="0.25">
      <c r="A518" s="3"/>
      <c r="B518" s="1"/>
      <c r="C518" s="1"/>
      <c r="D518" s="1"/>
      <c r="E518" s="2"/>
      <c r="F518" s="1"/>
      <c r="G518" s="1"/>
      <c r="H518" s="1"/>
    </row>
    <row r="519" spans="1:8" x14ac:dyDescent="0.25">
      <c r="A519" s="3"/>
      <c r="B519" s="1"/>
      <c r="C519" s="1"/>
      <c r="D519" s="1"/>
      <c r="E519" s="2"/>
      <c r="F519" s="1"/>
      <c r="G519" s="1"/>
      <c r="H519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51C2-CD78-4E15-B7A3-0279D9F09C1C}">
  <dimension ref="A1:L519"/>
  <sheetViews>
    <sheetView topLeftCell="J7" workbookViewId="0">
      <selection activeCell="J2" sqref="J2"/>
    </sheetView>
  </sheetViews>
  <sheetFormatPr defaultRowHeight="15" x14ac:dyDescent="0.25"/>
  <cols>
    <col min="1" max="1" width="11.140625" bestFit="1" customWidth="1"/>
    <col min="9" max="9" width="18.7109375" style="6" customWidth="1"/>
    <col min="10" max="10" width="16.42578125" customWidth="1"/>
    <col min="11" max="11" width="14" customWidth="1"/>
    <col min="12" max="12" width="15.140625" customWidth="1"/>
  </cols>
  <sheetData>
    <row r="1" spans="1:12" s="4" customFormat="1" ht="60" x14ac:dyDescent="0.25">
      <c r="A1" s="4" t="s">
        <v>4</v>
      </c>
      <c r="B1" s="4" t="s">
        <v>51</v>
      </c>
      <c r="C1" s="4" t="s">
        <v>5</v>
      </c>
      <c r="D1" s="4" t="s">
        <v>50</v>
      </c>
      <c r="E1" s="4" t="s">
        <v>7</v>
      </c>
      <c r="F1" s="4" t="s">
        <v>53</v>
      </c>
      <c r="G1" s="4" t="s">
        <v>8</v>
      </c>
      <c r="H1" s="4" t="s">
        <v>9</v>
      </c>
      <c r="I1" s="7" t="s">
        <v>57</v>
      </c>
      <c r="J1" s="4" t="s">
        <v>58</v>
      </c>
      <c r="K1" s="7" t="s">
        <v>59</v>
      </c>
      <c r="L1" s="4" t="s">
        <v>60</v>
      </c>
    </row>
    <row r="2" spans="1:12" x14ac:dyDescent="0.25">
      <c r="A2" s="3">
        <v>44196</v>
      </c>
      <c r="B2" s="1">
        <f t="shared" ref="B2:B65" si="0">+E2*H2</f>
        <v>621</v>
      </c>
      <c r="C2" s="1">
        <v>1564.407037995232</v>
      </c>
      <c r="D2" s="1">
        <f t="shared" ref="D2:D65" si="1">+E2*G2</f>
        <v>943.40703799523214</v>
      </c>
      <c r="E2" s="2">
        <v>9</v>
      </c>
      <c r="F2" s="1">
        <v>173.82300422169246</v>
      </c>
      <c r="G2" s="1">
        <v>104.82300422169246</v>
      </c>
      <c r="H2" s="1">
        <v>69</v>
      </c>
      <c r="I2" s="6">
        <f>(G2-AVERAGE($G$2:$G$501))/_xlfn.STDEV.S($G$2:$G$501)</f>
        <v>1.7021273879115466</v>
      </c>
      <c r="J2" s="1">
        <f>(G2-MEDIAN($G$2:$G$502))/(PERCENTILE($G$2:$G$502,0.75)-PERCENTILE($G$2:$G$502,0.25))</f>
        <v>1.4521483992536632</v>
      </c>
      <c r="K2" s="6">
        <f>(F2-AVERAGE($F$2:$F$501))/_xlfn.STDEV.S($F$2:$F$501)</f>
        <v>0.97074354653771877</v>
      </c>
      <c r="L2" s="1">
        <f>(F2-MEDIAN($F$2:$F$502))/(PERCENTILE($F$2:$F$502,0.75)-PERCENTILE($F$2:$F$502,0.25))</f>
        <v>0.96680389022285851</v>
      </c>
    </row>
    <row r="3" spans="1:12" x14ac:dyDescent="0.25">
      <c r="A3" s="3">
        <v>44190</v>
      </c>
      <c r="B3" s="1">
        <f t="shared" si="0"/>
        <v>3920</v>
      </c>
      <c r="C3" s="1">
        <v>10830.484273708065</v>
      </c>
      <c r="D3" s="1">
        <f t="shared" si="1"/>
        <v>6910.4842737080662</v>
      </c>
      <c r="E3" s="2">
        <v>80</v>
      </c>
      <c r="F3" s="1">
        <v>135.38105342135083</v>
      </c>
      <c r="G3" s="1">
        <v>86.381053421350828</v>
      </c>
      <c r="H3" s="1">
        <v>49</v>
      </c>
      <c r="I3" s="6">
        <f t="shared" ref="I3:I66" si="2">(G3-AVERAGE($G$2:$G$501))/_xlfn.STDEV.S($G$2:$G$501)</f>
        <v>0.9667665212663773</v>
      </c>
      <c r="J3" s="1">
        <f t="shared" ref="J3:J66" si="3">(G3-MEDIAN($G$2:$G$502))/(PERCENTILE($G$2:$G$502,0.75)-PERCENTILE($G$2:$G$502,0.25))</f>
        <v>0.87348777659558363</v>
      </c>
      <c r="K3" s="6">
        <f t="shared" ref="K3:K66" si="4">(F3-AVERAGE($F$2:$F$501))/_xlfn.STDEV.S($F$2:$F$501)</f>
        <v>0.23533027944299223</v>
      </c>
      <c r="L3" s="1">
        <f t="shared" ref="L3:L66" si="5">(F3-MEDIAN($F$2:$F$502))/(PERCENTILE($F$2:$F$502,0.75)-PERCENTILE($F$2:$F$502,0.25))</f>
        <v>0.35427739361248117</v>
      </c>
    </row>
    <row r="4" spans="1:12" x14ac:dyDescent="0.25">
      <c r="A4" s="3">
        <v>44181</v>
      </c>
      <c r="B4" s="1">
        <f t="shared" si="0"/>
        <v>1080</v>
      </c>
      <c r="C4" s="1">
        <v>2313.6293014759617</v>
      </c>
      <c r="D4" s="1">
        <f t="shared" si="1"/>
        <v>1233.6293014759617</v>
      </c>
      <c r="E4" s="2">
        <v>12</v>
      </c>
      <c r="F4" s="1">
        <v>192.80244178966348</v>
      </c>
      <c r="G4" s="1">
        <v>102.80244178966348</v>
      </c>
      <c r="H4" s="1">
        <v>90</v>
      </c>
      <c r="I4" s="6">
        <f t="shared" si="2"/>
        <v>1.621558767096227</v>
      </c>
      <c r="J4" s="1">
        <f t="shared" si="3"/>
        <v>1.3887483865491637</v>
      </c>
      <c r="K4" s="6">
        <f t="shared" si="4"/>
        <v>1.3338294435561895</v>
      </c>
      <c r="L4" s="1">
        <f t="shared" si="5"/>
        <v>1.2692185221317407</v>
      </c>
    </row>
    <row r="5" spans="1:12" x14ac:dyDescent="0.25">
      <c r="A5" s="3">
        <v>44163</v>
      </c>
      <c r="B5" s="1">
        <f t="shared" si="0"/>
        <v>1078</v>
      </c>
      <c r="C5" s="1">
        <v>1881.9656178577998</v>
      </c>
      <c r="D5" s="1">
        <f t="shared" si="1"/>
        <v>803.96561785779988</v>
      </c>
      <c r="E5" s="2">
        <v>22</v>
      </c>
      <c r="F5" s="1">
        <v>85.543891720809086</v>
      </c>
      <c r="G5" s="1">
        <v>36.543891720809086</v>
      </c>
      <c r="H5" s="1">
        <v>49</v>
      </c>
      <c r="I5" s="6">
        <f t="shared" si="2"/>
        <v>-1.0204580850679439</v>
      </c>
      <c r="J5" s="1">
        <f t="shared" si="3"/>
        <v>-0.69027320147907056</v>
      </c>
      <c r="K5" s="6">
        <f t="shared" si="4"/>
        <v>-0.71807892965983688</v>
      </c>
      <c r="L5" s="1">
        <f t="shared" si="5"/>
        <v>-0.43981815622018816</v>
      </c>
    </row>
    <row r="6" spans="1:12" x14ac:dyDescent="0.25">
      <c r="A6" s="3">
        <v>44160</v>
      </c>
      <c r="B6" s="1">
        <f t="shared" si="0"/>
        <v>700</v>
      </c>
      <c r="C6" s="1">
        <v>1572.4451189061003</v>
      </c>
      <c r="D6" s="1">
        <f t="shared" si="1"/>
        <v>872.44511890610033</v>
      </c>
      <c r="E6" s="2">
        <v>14</v>
      </c>
      <c r="F6" s="1">
        <v>112.31750849329288</v>
      </c>
      <c r="G6" s="1">
        <v>62.317508493292877</v>
      </c>
      <c r="H6" s="1">
        <v>50</v>
      </c>
      <c r="I6" s="6">
        <f t="shared" si="2"/>
        <v>7.2482227724965861E-3</v>
      </c>
      <c r="J6" s="1">
        <f t="shared" si="3"/>
        <v>0.11843609891879808</v>
      </c>
      <c r="K6" s="6">
        <f t="shared" si="4"/>
        <v>-0.20588658320848319</v>
      </c>
      <c r="L6" s="1">
        <f t="shared" si="5"/>
        <v>-1.3212603124984817E-2</v>
      </c>
    </row>
    <row r="7" spans="1:12" x14ac:dyDescent="0.25">
      <c r="A7" s="3">
        <v>44159</v>
      </c>
      <c r="B7" s="1">
        <f t="shared" si="0"/>
        <v>3200</v>
      </c>
      <c r="C7" s="1">
        <v>5581.0923255227844</v>
      </c>
      <c r="D7" s="1">
        <f t="shared" si="1"/>
        <v>2381.092325522784</v>
      </c>
      <c r="E7" s="2">
        <v>40</v>
      </c>
      <c r="F7" s="1">
        <v>139.5273081380696</v>
      </c>
      <c r="G7" s="1">
        <v>59.5273081380696</v>
      </c>
      <c r="H7" s="1">
        <v>80</v>
      </c>
      <c r="I7" s="6">
        <f t="shared" si="2"/>
        <v>-0.10400921270947201</v>
      </c>
      <c r="J7" s="1">
        <f t="shared" si="3"/>
        <v>3.0886842748762817E-2</v>
      </c>
      <c r="K7" s="6">
        <f t="shared" si="4"/>
        <v>0.31465015431786392</v>
      </c>
      <c r="L7" s="1">
        <f t="shared" si="5"/>
        <v>0.42034300222002957</v>
      </c>
    </row>
    <row r="8" spans="1:12" x14ac:dyDescent="0.25">
      <c r="A8" s="3">
        <v>44152</v>
      </c>
      <c r="B8" s="1">
        <f t="shared" si="0"/>
        <v>819</v>
      </c>
      <c r="C8" s="1">
        <v>1554.6592951170171</v>
      </c>
      <c r="D8" s="1">
        <f t="shared" si="1"/>
        <v>735.65929511701711</v>
      </c>
      <c r="E8" s="2">
        <v>13</v>
      </c>
      <c r="F8" s="1">
        <v>119.58917654746286</v>
      </c>
      <c r="G8" s="1">
        <v>56.589176547462856</v>
      </c>
      <c r="H8" s="1">
        <v>63</v>
      </c>
      <c r="I8" s="6">
        <f t="shared" si="2"/>
        <v>-0.2211653105744604</v>
      </c>
      <c r="J8" s="1">
        <f t="shared" si="3"/>
        <v>-6.1304112214655537E-2</v>
      </c>
      <c r="K8" s="6">
        <f t="shared" si="4"/>
        <v>-6.6776026912313824E-2</v>
      </c>
      <c r="L8" s="1">
        <f t="shared" si="5"/>
        <v>0.10265272797821075</v>
      </c>
    </row>
    <row r="9" spans="1:12" x14ac:dyDescent="0.25">
      <c r="A9" s="3">
        <v>44144</v>
      </c>
      <c r="B9" s="1">
        <f t="shared" si="0"/>
        <v>800</v>
      </c>
      <c r="C9" s="1">
        <v>2018.6707854889869</v>
      </c>
      <c r="D9" s="1">
        <f t="shared" si="1"/>
        <v>1218.6707854889869</v>
      </c>
      <c r="E9" s="2">
        <v>20</v>
      </c>
      <c r="F9" s="1">
        <v>100.93353927444934</v>
      </c>
      <c r="G9" s="1">
        <v>60.933539274449345</v>
      </c>
      <c r="H9" s="1">
        <v>40</v>
      </c>
      <c r="I9" s="6">
        <f t="shared" si="2"/>
        <v>-4.7936655183048384E-2</v>
      </c>
      <c r="J9" s="1">
        <f t="shared" si="3"/>
        <v>7.5010731473355213E-2</v>
      </c>
      <c r="K9" s="6">
        <f t="shared" si="4"/>
        <v>-0.42366746636962399</v>
      </c>
      <c r="L9" s="1">
        <f t="shared" si="5"/>
        <v>-0.19460253360365956</v>
      </c>
    </row>
    <row r="10" spans="1:12" x14ac:dyDescent="0.25">
      <c r="A10" s="3">
        <v>44139</v>
      </c>
      <c r="B10" s="1">
        <f t="shared" si="0"/>
        <v>1380</v>
      </c>
      <c r="C10" s="1">
        <v>2652.9646937188641</v>
      </c>
      <c r="D10" s="1">
        <f t="shared" si="1"/>
        <v>1272.9646937188643</v>
      </c>
      <c r="E10" s="2">
        <v>12</v>
      </c>
      <c r="F10" s="1">
        <v>221.08039114323867</v>
      </c>
      <c r="G10" s="1">
        <v>106.08039114323869</v>
      </c>
      <c r="H10" s="1">
        <v>115</v>
      </c>
      <c r="I10" s="6">
        <f t="shared" si="2"/>
        <v>1.7522648785895614</v>
      </c>
      <c r="J10" s="1">
        <f t="shared" si="3"/>
        <v>1.4916019422557727</v>
      </c>
      <c r="K10" s="6">
        <f t="shared" si="4"/>
        <v>1.8748004059524874</v>
      </c>
      <c r="L10" s="1">
        <f t="shared" si="5"/>
        <v>1.7197938152231924</v>
      </c>
    </row>
    <row r="11" spans="1:12" x14ac:dyDescent="0.25">
      <c r="A11" s="3">
        <v>44139</v>
      </c>
      <c r="B11" s="1">
        <f t="shared" si="0"/>
        <v>129</v>
      </c>
      <c r="C11" s="1">
        <v>245.94220497104135</v>
      </c>
      <c r="D11" s="1">
        <f t="shared" si="1"/>
        <v>116.94220497104135</v>
      </c>
      <c r="E11" s="2">
        <v>3</v>
      </c>
      <c r="F11" s="1">
        <v>81.980734990347116</v>
      </c>
      <c r="G11" s="1">
        <v>38.980734990347116</v>
      </c>
      <c r="H11" s="1">
        <v>43</v>
      </c>
      <c r="I11" s="6">
        <f t="shared" si="2"/>
        <v>-0.92329053495536362</v>
      </c>
      <c r="J11" s="1">
        <f t="shared" si="3"/>
        <v>-0.61381137491108595</v>
      </c>
      <c r="K11" s="6">
        <f t="shared" si="4"/>
        <v>-0.78624385567853194</v>
      </c>
      <c r="L11" s="1">
        <f t="shared" si="5"/>
        <v>-0.49659279599638184</v>
      </c>
    </row>
    <row r="12" spans="1:12" x14ac:dyDescent="0.25">
      <c r="A12" s="3">
        <v>44130</v>
      </c>
      <c r="B12" s="1">
        <f t="shared" si="0"/>
        <v>240</v>
      </c>
      <c r="C12" s="1">
        <v>650.94089966994284</v>
      </c>
      <c r="D12" s="1">
        <f t="shared" si="1"/>
        <v>410.94089966994289</v>
      </c>
      <c r="E12" s="2">
        <v>5</v>
      </c>
      <c r="F12" s="1">
        <v>130.18817993398858</v>
      </c>
      <c r="G12" s="1">
        <v>82.188179933988579</v>
      </c>
      <c r="H12" s="1">
        <v>48</v>
      </c>
      <c r="I12" s="6">
        <f t="shared" si="2"/>
        <v>0.79957840137706815</v>
      </c>
      <c r="J12" s="1">
        <f t="shared" si="3"/>
        <v>0.74192627265324329</v>
      </c>
      <c r="K12" s="6">
        <f t="shared" si="4"/>
        <v>0.13598807704579444</v>
      </c>
      <c r="L12" s="1">
        <f t="shared" si="5"/>
        <v>0.27153516699981295</v>
      </c>
    </row>
    <row r="13" spans="1:12" x14ac:dyDescent="0.25">
      <c r="A13" s="3">
        <v>44126</v>
      </c>
      <c r="B13" s="1">
        <f t="shared" si="0"/>
        <v>671</v>
      </c>
      <c r="C13" s="1">
        <v>1302.9937884562232</v>
      </c>
      <c r="D13" s="1">
        <f t="shared" si="1"/>
        <v>631.993788456223</v>
      </c>
      <c r="E13" s="2">
        <v>11</v>
      </c>
      <c r="F13" s="1">
        <v>118.45398076874756</v>
      </c>
      <c r="G13" s="1">
        <v>57.453980768747549</v>
      </c>
      <c r="H13" s="1">
        <v>61</v>
      </c>
      <c r="I13" s="6">
        <f t="shared" si="2"/>
        <v>-0.18668180129026191</v>
      </c>
      <c r="J13" s="1">
        <f t="shared" si="3"/>
        <v>-3.4168796944393245E-2</v>
      </c>
      <c r="K13" s="6">
        <f t="shared" si="4"/>
        <v>-8.8492875798394321E-2</v>
      </c>
      <c r="L13" s="1">
        <f t="shared" si="5"/>
        <v>8.4564741317107381E-2</v>
      </c>
    </row>
    <row r="14" spans="1:12" x14ac:dyDescent="0.25">
      <c r="A14" s="3">
        <v>44126</v>
      </c>
      <c r="B14" s="1">
        <f t="shared" si="0"/>
        <v>3078</v>
      </c>
      <c r="C14" s="1">
        <v>6935.9695605930874</v>
      </c>
      <c r="D14" s="1">
        <f t="shared" si="1"/>
        <v>3857.9695605930874</v>
      </c>
      <c r="E14" s="2">
        <v>57</v>
      </c>
      <c r="F14" s="1">
        <v>121.68367650163312</v>
      </c>
      <c r="G14" s="1">
        <v>67.683676501633116</v>
      </c>
      <c r="H14" s="1">
        <v>54</v>
      </c>
      <c r="I14" s="6">
        <f t="shared" si="2"/>
        <v>0.22122070322741463</v>
      </c>
      <c r="J14" s="1">
        <f t="shared" si="3"/>
        <v>0.2868125442640761</v>
      </c>
      <c r="K14" s="6">
        <f t="shared" si="4"/>
        <v>-2.6707221293520475E-2</v>
      </c>
      <c r="L14" s="1">
        <f t="shared" si="5"/>
        <v>0.13602607902747915</v>
      </c>
    </row>
    <row r="15" spans="1:12" x14ac:dyDescent="0.25">
      <c r="A15" s="3">
        <v>44125</v>
      </c>
      <c r="B15" s="1">
        <f t="shared" si="0"/>
        <v>846</v>
      </c>
      <c r="C15" s="1">
        <v>1476.2507396312167</v>
      </c>
      <c r="D15" s="1">
        <f t="shared" si="1"/>
        <v>630.25073963121679</v>
      </c>
      <c r="E15" s="2">
        <v>9</v>
      </c>
      <c r="F15" s="1">
        <v>164.02785995902408</v>
      </c>
      <c r="G15" s="1">
        <v>70.027859959024084</v>
      </c>
      <c r="H15" s="1">
        <v>94</v>
      </c>
      <c r="I15" s="6">
        <f t="shared" si="2"/>
        <v>0.31469350322915629</v>
      </c>
      <c r="J15" s="1">
        <f t="shared" si="3"/>
        <v>0.36036694606052266</v>
      </c>
      <c r="K15" s="6">
        <f t="shared" si="4"/>
        <v>0.78335765966412396</v>
      </c>
      <c r="L15" s="1">
        <f t="shared" si="5"/>
        <v>0.81072998465633417</v>
      </c>
    </row>
    <row r="16" spans="1:12" x14ac:dyDescent="0.25">
      <c r="A16" s="3">
        <v>44114</v>
      </c>
      <c r="B16" s="1">
        <f t="shared" si="0"/>
        <v>1152</v>
      </c>
      <c r="C16" s="1">
        <v>2455.6378398413908</v>
      </c>
      <c r="D16" s="1">
        <f t="shared" si="1"/>
        <v>1303.6378398413908</v>
      </c>
      <c r="E16" s="2">
        <v>36</v>
      </c>
      <c r="F16" s="1">
        <v>68.212162217816413</v>
      </c>
      <c r="G16" s="1">
        <v>36.212162217816413</v>
      </c>
      <c r="H16" s="1">
        <v>32</v>
      </c>
      <c r="I16" s="6">
        <f t="shared" si="2"/>
        <v>-1.0336855845582875</v>
      </c>
      <c r="J16" s="1">
        <f t="shared" si="3"/>
        <v>-0.70068201358544702</v>
      </c>
      <c r="K16" s="6">
        <f t="shared" si="4"/>
        <v>-1.0496433678018426</v>
      </c>
      <c r="L16" s="1">
        <f t="shared" si="5"/>
        <v>-0.71597853132197598</v>
      </c>
    </row>
    <row r="17" spans="1:12" x14ac:dyDescent="0.25">
      <c r="A17" s="3">
        <v>44110</v>
      </c>
      <c r="B17" s="1">
        <f t="shared" si="0"/>
        <v>312</v>
      </c>
      <c r="C17" s="1">
        <v>711.39008698257203</v>
      </c>
      <c r="D17" s="1">
        <f t="shared" si="1"/>
        <v>399.39008698257203</v>
      </c>
      <c r="E17" s="2">
        <v>13</v>
      </c>
      <c r="F17" s="1">
        <v>54.722314383274771</v>
      </c>
      <c r="G17" s="1">
        <v>30.722314383274771</v>
      </c>
      <c r="H17" s="1">
        <v>24</v>
      </c>
      <c r="I17" s="6">
        <f t="shared" si="2"/>
        <v>-1.2525897181320449</v>
      </c>
      <c r="J17" s="1">
        <f t="shared" si="3"/>
        <v>-0.87293921135300245</v>
      </c>
      <c r="K17" s="6">
        <f t="shared" si="4"/>
        <v>-1.3077107359262208</v>
      </c>
      <c r="L17" s="1">
        <f t="shared" si="5"/>
        <v>-0.93092311820869167</v>
      </c>
    </row>
    <row r="18" spans="1:12" x14ac:dyDescent="0.25">
      <c r="A18" s="3">
        <v>44107</v>
      </c>
      <c r="B18" s="1">
        <f t="shared" si="0"/>
        <v>1680</v>
      </c>
      <c r="C18" s="1">
        <v>3489.7514686045552</v>
      </c>
      <c r="D18" s="1">
        <f t="shared" si="1"/>
        <v>1809.7514686045552</v>
      </c>
      <c r="E18" s="2">
        <v>40</v>
      </c>
      <c r="F18" s="1">
        <v>87.243786715113885</v>
      </c>
      <c r="G18" s="1">
        <v>45.243786715113878</v>
      </c>
      <c r="H18" s="1">
        <v>42</v>
      </c>
      <c r="I18" s="6">
        <f t="shared" si="2"/>
        <v>-0.673555396084768</v>
      </c>
      <c r="J18" s="1">
        <f t="shared" si="3"/>
        <v>-0.4172930428739916</v>
      </c>
      <c r="K18" s="6">
        <f t="shared" si="4"/>
        <v>-0.68555910937359499</v>
      </c>
      <c r="L18" s="1">
        <f t="shared" si="5"/>
        <v>-0.41273236312724809</v>
      </c>
    </row>
    <row r="19" spans="1:12" x14ac:dyDescent="0.25">
      <c r="A19" s="3">
        <v>44098</v>
      </c>
      <c r="B19" s="1">
        <f t="shared" si="0"/>
        <v>594</v>
      </c>
      <c r="C19" s="1">
        <v>1154.9985014446413</v>
      </c>
      <c r="D19" s="1">
        <f t="shared" si="1"/>
        <v>560.99850144464142</v>
      </c>
      <c r="E19" s="2">
        <v>9</v>
      </c>
      <c r="F19" s="1">
        <v>128.33316682718237</v>
      </c>
      <c r="G19" s="1">
        <v>62.333166827182374</v>
      </c>
      <c r="H19" s="1">
        <v>66</v>
      </c>
      <c r="I19" s="6">
        <f t="shared" si="2"/>
        <v>7.8725887142486409E-3</v>
      </c>
      <c r="J19" s="1">
        <f t="shared" si="3"/>
        <v>0.11892741685670934</v>
      </c>
      <c r="K19" s="6">
        <f t="shared" si="4"/>
        <v>0.10050077161571279</v>
      </c>
      <c r="L19" s="1">
        <f t="shared" si="5"/>
        <v>0.24197775235715535</v>
      </c>
    </row>
    <row r="20" spans="1:12" x14ac:dyDescent="0.25">
      <c r="A20" s="3">
        <v>44097</v>
      </c>
      <c r="B20" s="1">
        <f t="shared" si="0"/>
        <v>1320</v>
      </c>
      <c r="C20" s="1">
        <v>2906.9300956130601</v>
      </c>
      <c r="D20" s="1">
        <f t="shared" si="1"/>
        <v>1586.9300956130601</v>
      </c>
      <c r="E20" s="2">
        <v>40</v>
      </c>
      <c r="F20" s="1">
        <v>72.673252390326496</v>
      </c>
      <c r="G20" s="1">
        <v>39.673252390326503</v>
      </c>
      <c r="H20" s="1">
        <v>33</v>
      </c>
      <c r="I20" s="6">
        <f t="shared" si="2"/>
        <v>-0.89567685129852026</v>
      </c>
      <c r="J20" s="1">
        <f t="shared" si="3"/>
        <v>-0.592081973601426</v>
      </c>
      <c r="K20" s="6">
        <f t="shared" si="4"/>
        <v>-0.96430053711124564</v>
      </c>
      <c r="L20" s="1">
        <f t="shared" si="5"/>
        <v>-0.64489639637459184</v>
      </c>
    </row>
    <row r="21" spans="1:12" x14ac:dyDescent="0.25">
      <c r="A21" s="3">
        <v>44092</v>
      </c>
      <c r="B21" s="1">
        <f t="shared" si="0"/>
        <v>235</v>
      </c>
      <c r="C21" s="1">
        <v>544.20837094262833</v>
      </c>
      <c r="D21" s="1">
        <f t="shared" si="1"/>
        <v>309.20837094262833</v>
      </c>
      <c r="E21" s="2">
        <v>5</v>
      </c>
      <c r="F21" s="1">
        <v>108.84167418852567</v>
      </c>
      <c r="G21" s="1">
        <v>61.841674188525673</v>
      </c>
      <c r="H21" s="1">
        <v>47</v>
      </c>
      <c r="I21" s="6">
        <f t="shared" si="2"/>
        <v>-1.1725362534250406E-2</v>
      </c>
      <c r="J21" s="1">
        <f t="shared" si="3"/>
        <v>0.10350565158924745</v>
      </c>
      <c r="K21" s="6">
        <f t="shared" si="4"/>
        <v>-0.27238098863616145</v>
      </c>
      <c r="L21" s="1">
        <f t="shared" si="5"/>
        <v>-6.8595864514474497E-2</v>
      </c>
    </row>
    <row r="22" spans="1:12" x14ac:dyDescent="0.25">
      <c r="A22" s="3">
        <v>44075</v>
      </c>
      <c r="B22" s="1">
        <f t="shared" si="0"/>
        <v>1813</v>
      </c>
      <c r="C22" s="1">
        <v>3951.0826788260824</v>
      </c>
      <c r="D22" s="1">
        <f t="shared" si="1"/>
        <v>2138.0826788260824</v>
      </c>
      <c r="E22" s="2">
        <v>37</v>
      </c>
      <c r="F22" s="1">
        <v>106.78601834665088</v>
      </c>
      <c r="G22" s="1">
        <v>57.786018346650877</v>
      </c>
      <c r="H22" s="1">
        <v>49</v>
      </c>
      <c r="I22" s="6">
        <f t="shared" si="2"/>
        <v>-0.17344201751200611</v>
      </c>
      <c r="J22" s="1">
        <f t="shared" si="3"/>
        <v>-2.3750318245715586E-2</v>
      </c>
      <c r="K22" s="6">
        <f t="shared" si="4"/>
        <v>-0.31170668744232266</v>
      </c>
      <c r="L22" s="1">
        <f t="shared" si="5"/>
        <v>-0.10135028110482699</v>
      </c>
    </row>
    <row r="23" spans="1:12" x14ac:dyDescent="0.25">
      <c r="A23" s="3">
        <v>44073</v>
      </c>
      <c r="B23" s="1">
        <f t="shared" si="0"/>
        <v>111</v>
      </c>
      <c r="C23" s="1">
        <v>310.91565049488042</v>
      </c>
      <c r="D23" s="1">
        <f t="shared" si="1"/>
        <v>199.91565049488045</v>
      </c>
      <c r="E23" s="2">
        <v>3</v>
      </c>
      <c r="F23" s="1">
        <v>103.63855016496015</v>
      </c>
      <c r="G23" s="1">
        <v>66.638550164960151</v>
      </c>
      <c r="H23" s="1">
        <v>37</v>
      </c>
      <c r="I23" s="6">
        <f t="shared" si="2"/>
        <v>0.17954696615859622</v>
      </c>
      <c r="J23" s="1">
        <f t="shared" si="3"/>
        <v>0.25401918832884979</v>
      </c>
      <c r="K23" s="6">
        <f t="shared" si="4"/>
        <v>-0.37191928879015296</v>
      </c>
      <c r="L23" s="1">
        <f t="shared" si="5"/>
        <v>-0.15150142115848217</v>
      </c>
    </row>
    <row r="24" spans="1:12" x14ac:dyDescent="0.25">
      <c r="A24" s="3">
        <v>44063</v>
      </c>
      <c r="B24" s="1">
        <f t="shared" si="0"/>
        <v>648</v>
      </c>
      <c r="C24" s="1">
        <v>1445.2493671282691</v>
      </c>
      <c r="D24" s="1">
        <f t="shared" si="1"/>
        <v>797.24936712826889</v>
      </c>
      <c r="E24" s="2">
        <v>18</v>
      </c>
      <c r="F24" s="1">
        <v>80.291631507126056</v>
      </c>
      <c r="G24" s="1">
        <v>44.291631507126048</v>
      </c>
      <c r="H24" s="1">
        <v>36</v>
      </c>
      <c r="I24" s="6">
        <f t="shared" si="2"/>
        <v>-0.71152196949703805</v>
      </c>
      <c r="J24" s="1">
        <f t="shared" si="3"/>
        <v>-0.4471692057315112</v>
      </c>
      <c r="K24" s="6">
        <f t="shared" si="4"/>
        <v>-0.81855722909468132</v>
      </c>
      <c r="L24" s="1">
        <f t="shared" si="5"/>
        <v>-0.5235066392704486</v>
      </c>
    </row>
    <row r="25" spans="1:12" x14ac:dyDescent="0.25">
      <c r="A25" s="3">
        <v>44057</v>
      </c>
      <c r="B25" s="1">
        <f t="shared" si="0"/>
        <v>624</v>
      </c>
      <c r="C25" s="1">
        <v>1244.599770314348</v>
      </c>
      <c r="D25" s="1">
        <f t="shared" si="1"/>
        <v>620.59977031434801</v>
      </c>
      <c r="E25" s="2">
        <v>12</v>
      </c>
      <c r="F25" s="1">
        <v>103.71664752619566</v>
      </c>
      <c r="G25" s="1">
        <v>51.716647526195665</v>
      </c>
      <c r="H25" s="1">
        <v>52</v>
      </c>
      <c r="I25" s="6">
        <f t="shared" si="2"/>
        <v>-0.41545425552525189</v>
      </c>
      <c r="J25" s="1">
        <f t="shared" si="3"/>
        <v>-0.21419144544156146</v>
      </c>
      <c r="K25" s="6">
        <f t="shared" si="4"/>
        <v>-0.37042524818134048</v>
      </c>
      <c r="L25" s="1">
        <f t="shared" si="5"/>
        <v>-0.1502570331376829</v>
      </c>
    </row>
    <row r="26" spans="1:12" x14ac:dyDescent="0.25">
      <c r="A26" s="3">
        <v>44053</v>
      </c>
      <c r="B26" s="1">
        <f t="shared" si="0"/>
        <v>1300</v>
      </c>
      <c r="C26" s="1">
        <v>2588.6296693978238</v>
      </c>
      <c r="D26" s="1">
        <f t="shared" si="1"/>
        <v>1288.6296693978234</v>
      </c>
      <c r="E26" s="2">
        <v>26</v>
      </c>
      <c r="F26" s="1">
        <v>99.562679592223986</v>
      </c>
      <c r="G26" s="1">
        <v>49.562679592223979</v>
      </c>
      <c r="H26" s="1">
        <v>50</v>
      </c>
      <c r="I26" s="6">
        <f t="shared" si="2"/>
        <v>-0.50134233449258003</v>
      </c>
      <c r="J26" s="1">
        <f t="shared" si="3"/>
        <v>-0.28177737706840994</v>
      </c>
      <c r="K26" s="6">
        <f t="shared" si="4"/>
        <v>-0.44989268066402527</v>
      </c>
      <c r="L26" s="1">
        <f t="shared" si="5"/>
        <v>-0.21644554263457616</v>
      </c>
    </row>
    <row r="27" spans="1:12" x14ac:dyDescent="0.25">
      <c r="A27" s="3">
        <v>44047</v>
      </c>
      <c r="B27" s="1">
        <f t="shared" si="0"/>
        <v>532</v>
      </c>
      <c r="C27" s="1">
        <v>1199.5466961887139</v>
      </c>
      <c r="D27" s="1">
        <f t="shared" si="1"/>
        <v>667.5466961887139</v>
      </c>
      <c r="E27" s="2">
        <v>19</v>
      </c>
      <c r="F27" s="1">
        <v>63.134036641511258</v>
      </c>
      <c r="G27" s="1">
        <v>35.134036641511258</v>
      </c>
      <c r="H27" s="1">
        <v>28</v>
      </c>
      <c r="I27" s="6">
        <f t="shared" si="2"/>
        <v>-1.0766751449755831</v>
      </c>
      <c r="J27" s="1">
        <f t="shared" si="3"/>
        <v>-0.73451080014076009</v>
      </c>
      <c r="K27" s="6">
        <f t="shared" si="4"/>
        <v>-1.1467903866975298</v>
      </c>
      <c r="L27" s="1">
        <f t="shared" si="5"/>
        <v>-0.79689238724871814</v>
      </c>
    </row>
    <row r="28" spans="1:12" x14ac:dyDescent="0.25">
      <c r="A28" s="3">
        <v>44047</v>
      </c>
      <c r="B28" s="1">
        <f t="shared" si="0"/>
        <v>731</v>
      </c>
      <c r="C28" s="1">
        <v>1913.0348643206573</v>
      </c>
      <c r="D28" s="1">
        <f t="shared" si="1"/>
        <v>1182.0348643206573</v>
      </c>
      <c r="E28" s="2">
        <v>17</v>
      </c>
      <c r="F28" s="1">
        <v>112.5314626070975</v>
      </c>
      <c r="G28" s="1">
        <v>69.531462607097495</v>
      </c>
      <c r="H28" s="1">
        <v>43</v>
      </c>
      <c r="I28" s="6">
        <f t="shared" si="2"/>
        <v>0.29489997970959769</v>
      </c>
      <c r="J28" s="1">
        <f t="shared" si="3"/>
        <v>0.34479128360151967</v>
      </c>
      <c r="K28" s="6">
        <f t="shared" si="4"/>
        <v>-0.20179353666517372</v>
      </c>
      <c r="L28" s="1">
        <f t="shared" si="5"/>
        <v>-9.803500281979351E-3</v>
      </c>
    </row>
    <row r="29" spans="1:12" x14ac:dyDescent="0.25">
      <c r="A29" s="3">
        <v>44040</v>
      </c>
      <c r="B29" s="1">
        <f t="shared" si="0"/>
        <v>1410</v>
      </c>
      <c r="C29" s="1">
        <v>2653.9361438102806</v>
      </c>
      <c r="D29" s="1">
        <f t="shared" si="1"/>
        <v>1243.9361438102806</v>
      </c>
      <c r="E29" s="2">
        <v>15</v>
      </c>
      <c r="F29" s="1">
        <v>176.9290762540187</v>
      </c>
      <c r="G29" s="1">
        <v>82.92907625401871</v>
      </c>
      <c r="H29" s="1">
        <v>94</v>
      </c>
      <c r="I29" s="6">
        <f t="shared" si="2"/>
        <v>0.82912116319711826</v>
      </c>
      <c r="J29" s="1">
        <f t="shared" si="3"/>
        <v>0.76517367909713063</v>
      </c>
      <c r="K29" s="6">
        <f t="shared" si="4"/>
        <v>1.0301642193591485</v>
      </c>
      <c r="L29" s="1">
        <f t="shared" si="5"/>
        <v>1.0162954321599904</v>
      </c>
    </row>
    <row r="30" spans="1:12" x14ac:dyDescent="0.25">
      <c r="A30" s="3">
        <v>44040</v>
      </c>
      <c r="B30" s="1">
        <f t="shared" si="0"/>
        <v>8112</v>
      </c>
      <c r="C30" s="1">
        <v>17660.714657337128</v>
      </c>
      <c r="D30" s="1">
        <f t="shared" si="1"/>
        <v>9548.7146573371283</v>
      </c>
      <c r="E30" s="2">
        <v>169</v>
      </c>
      <c r="F30" s="1">
        <v>104.50127016175816</v>
      </c>
      <c r="G30" s="1">
        <v>56.501270161758157</v>
      </c>
      <c r="H30" s="1">
        <v>48</v>
      </c>
      <c r="I30" s="6">
        <f t="shared" si="2"/>
        <v>-0.22467052087868994</v>
      </c>
      <c r="J30" s="1">
        <f t="shared" si="3"/>
        <v>-6.4062386783230993E-2</v>
      </c>
      <c r="K30" s="6">
        <f t="shared" si="4"/>
        <v>-0.35541503449961537</v>
      </c>
      <c r="L30" s="1">
        <f t="shared" si="5"/>
        <v>-0.13775501011032845</v>
      </c>
    </row>
    <row r="31" spans="1:12" x14ac:dyDescent="0.25">
      <c r="A31" s="3">
        <v>44032</v>
      </c>
      <c r="B31" s="1">
        <f t="shared" si="0"/>
        <v>4074</v>
      </c>
      <c r="C31" s="1">
        <v>8013.1626361673489</v>
      </c>
      <c r="D31" s="1">
        <f t="shared" si="1"/>
        <v>3939.1626361673493</v>
      </c>
      <c r="E31" s="2">
        <v>97</v>
      </c>
      <c r="F31" s="1">
        <v>82.609924084199477</v>
      </c>
      <c r="G31" s="1">
        <v>40.609924084199477</v>
      </c>
      <c r="H31" s="1">
        <v>42</v>
      </c>
      <c r="I31" s="6">
        <f t="shared" si="2"/>
        <v>-0.85832767300249813</v>
      </c>
      <c r="J31" s="1">
        <f t="shared" si="3"/>
        <v>-0.56269164329034571</v>
      </c>
      <c r="K31" s="6">
        <f t="shared" si="4"/>
        <v>-0.77420716145524537</v>
      </c>
      <c r="L31" s="1">
        <f t="shared" si="5"/>
        <v>-0.48656742050582741</v>
      </c>
    </row>
    <row r="32" spans="1:12" x14ac:dyDescent="0.25">
      <c r="A32" s="3">
        <v>44027</v>
      </c>
      <c r="B32" s="1">
        <f t="shared" si="0"/>
        <v>1280</v>
      </c>
      <c r="C32" s="1">
        <v>3341.5941748718797</v>
      </c>
      <c r="D32" s="1">
        <f t="shared" si="1"/>
        <v>2061.5941748718792</v>
      </c>
      <c r="E32" s="2">
        <v>20</v>
      </c>
      <c r="F32" s="1">
        <v>167.07970874359398</v>
      </c>
      <c r="G32" s="1">
        <v>103.07970874359397</v>
      </c>
      <c r="H32" s="1">
        <v>64</v>
      </c>
      <c r="I32" s="6">
        <f t="shared" si="2"/>
        <v>1.6326146076492023</v>
      </c>
      <c r="J32" s="1">
        <f t="shared" si="3"/>
        <v>1.3974483050090347</v>
      </c>
      <c r="K32" s="6">
        <f t="shared" si="4"/>
        <v>0.84174101531109269</v>
      </c>
      <c r="L32" s="1">
        <f t="shared" si="5"/>
        <v>0.85935754400955577</v>
      </c>
    </row>
    <row r="33" spans="1:12" x14ac:dyDescent="0.25">
      <c r="A33" s="3">
        <v>44019</v>
      </c>
      <c r="B33" s="1">
        <f t="shared" si="0"/>
        <v>2150</v>
      </c>
      <c r="C33" s="1">
        <v>3886.4900564452028</v>
      </c>
      <c r="D33" s="1">
        <f t="shared" si="1"/>
        <v>1736.4900564452032</v>
      </c>
      <c r="E33" s="2">
        <v>25</v>
      </c>
      <c r="F33" s="1">
        <v>155.45960225780811</v>
      </c>
      <c r="G33" s="1">
        <v>69.459602257808129</v>
      </c>
      <c r="H33" s="1">
        <v>86</v>
      </c>
      <c r="I33" s="6">
        <f t="shared" si="2"/>
        <v>0.29203459473471349</v>
      </c>
      <c r="J33" s="1">
        <f t="shared" si="3"/>
        <v>0.34253649207136105</v>
      </c>
      <c r="K33" s="6">
        <f t="shared" si="4"/>
        <v>0.6194427110683105</v>
      </c>
      <c r="L33" s="1">
        <f t="shared" si="5"/>
        <v>0.674205048681075</v>
      </c>
    </row>
    <row r="34" spans="1:12" x14ac:dyDescent="0.25">
      <c r="A34" s="3">
        <v>44018</v>
      </c>
      <c r="B34" s="1">
        <f t="shared" si="0"/>
        <v>270</v>
      </c>
      <c r="C34" s="1">
        <v>640.82245502530009</v>
      </c>
      <c r="D34" s="1">
        <f t="shared" si="1"/>
        <v>370.82245502530014</v>
      </c>
      <c r="E34" s="2">
        <v>10</v>
      </c>
      <c r="F34" s="1">
        <v>64.082245502530014</v>
      </c>
      <c r="G34" s="1">
        <v>37.082245502530014</v>
      </c>
      <c r="H34" s="1">
        <v>27</v>
      </c>
      <c r="I34" s="6">
        <f t="shared" si="2"/>
        <v>-0.99899157603243149</v>
      </c>
      <c r="J34" s="1">
        <f t="shared" si="3"/>
        <v>-0.67338105498580514</v>
      </c>
      <c r="K34" s="6">
        <f t="shared" si="4"/>
        <v>-1.1286506887412082</v>
      </c>
      <c r="L34" s="1">
        <f t="shared" si="5"/>
        <v>-0.78178381342239778</v>
      </c>
    </row>
    <row r="35" spans="1:12" x14ac:dyDescent="0.25">
      <c r="A35" s="3">
        <v>44014</v>
      </c>
      <c r="B35" s="1">
        <f t="shared" si="0"/>
        <v>40</v>
      </c>
      <c r="C35" s="1">
        <v>67.276980287112735</v>
      </c>
      <c r="D35" s="1">
        <f t="shared" si="1"/>
        <v>27.276980287112735</v>
      </c>
      <c r="E35" s="2">
        <v>1</v>
      </c>
      <c r="F35" s="1">
        <v>67.276980287112735</v>
      </c>
      <c r="G35" s="1">
        <v>27.276980287112735</v>
      </c>
      <c r="H35" s="1">
        <v>40</v>
      </c>
      <c r="I35" s="6">
        <f t="shared" si="2"/>
        <v>-1.3899701880327093</v>
      </c>
      <c r="J35" s="1">
        <f t="shared" si="3"/>
        <v>-0.9810448664940683</v>
      </c>
      <c r="K35" s="6">
        <f t="shared" si="4"/>
        <v>-1.0675338542279538</v>
      </c>
      <c r="L35" s="1">
        <f t="shared" si="5"/>
        <v>-0.73087953659827853</v>
      </c>
    </row>
    <row r="36" spans="1:12" x14ac:dyDescent="0.25">
      <c r="A36" s="3">
        <v>44010</v>
      </c>
      <c r="B36" s="1">
        <f t="shared" si="0"/>
        <v>585</v>
      </c>
      <c r="C36" s="1">
        <v>1425.817332512536</v>
      </c>
      <c r="D36" s="1">
        <f t="shared" si="1"/>
        <v>840.81733251253615</v>
      </c>
      <c r="E36" s="2">
        <v>13</v>
      </c>
      <c r="F36" s="1">
        <v>109.67825634711816</v>
      </c>
      <c r="G36" s="1">
        <v>64.678256347118165</v>
      </c>
      <c r="H36" s="1">
        <v>45</v>
      </c>
      <c r="I36" s="6">
        <f t="shared" si="2"/>
        <v>0.10138151737425467</v>
      </c>
      <c r="J36" s="1">
        <f t="shared" si="3"/>
        <v>0.19251024854769525</v>
      </c>
      <c r="K36" s="6">
        <f t="shared" si="4"/>
        <v>-0.25637676393801745</v>
      </c>
      <c r="L36" s="1">
        <f t="shared" si="5"/>
        <v>-5.5265928648554487E-2</v>
      </c>
    </row>
    <row r="37" spans="1:12" x14ac:dyDescent="0.25">
      <c r="A37" s="3">
        <v>43998</v>
      </c>
      <c r="B37" s="1">
        <f t="shared" si="0"/>
        <v>606</v>
      </c>
      <c r="C37" s="1">
        <v>1115.9977374340422</v>
      </c>
      <c r="D37" s="1">
        <f t="shared" si="1"/>
        <v>509.99773743404222</v>
      </c>
      <c r="E37" s="2">
        <v>6</v>
      </c>
      <c r="F37" s="1">
        <v>185.9996229056737</v>
      </c>
      <c r="G37" s="1">
        <v>84.999622905673704</v>
      </c>
      <c r="H37" s="1">
        <v>101</v>
      </c>
      <c r="I37" s="6">
        <f t="shared" si="2"/>
        <v>0.91168287245848678</v>
      </c>
      <c r="J37" s="1">
        <f t="shared" si="3"/>
        <v>0.83014206707629634</v>
      </c>
      <c r="K37" s="6">
        <f t="shared" si="4"/>
        <v>1.2036882005450735</v>
      </c>
      <c r="L37" s="1">
        <f t="shared" si="5"/>
        <v>1.1608237416554037</v>
      </c>
    </row>
    <row r="38" spans="1:12" x14ac:dyDescent="0.25">
      <c r="A38" s="3">
        <v>43983</v>
      </c>
      <c r="B38" s="1">
        <f t="shared" si="0"/>
        <v>570</v>
      </c>
      <c r="C38" s="1">
        <v>1281.8884245408519</v>
      </c>
      <c r="D38" s="1">
        <f t="shared" si="1"/>
        <v>711.88842454085193</v>
      </c>
      <c r="E38" s="2">
        <v>19</v>
      </c>
      <c r="F38" s="1">
        <v>67.467811817939577</v>
      </c>
      <c r="G38" s="1">
        <v>37.467811817939577</v>
      </c>
      <c r="H38" s="1">
        <v>30</v>
      </c>
      <c r="I38" s="6">
        <f t="shared" si="2"/>
        <v>-0.98361736844895242</v>
      </c>
      <c r="J38" s="1">
        <f t="shared" si="3"/>
        <v>-0.66128298322721735</v>
      </c>
      <c r="K38" s="6">
        <f t="shared" si="4"/>
        <v>-1.0638831539739801</v>
      </c>
      <c r="L38" s="1">
        <f t="shared" si="5"/>
        <v>-0.72783886445270363</v>
      </c>
    </row>
    <row r="39" spans="1:12" x14ac:dyDescent="0.25">
      <c r="A39" s="3">
        <v>43978</v>
      </c>
      <c r="B39" s="1">
        <f t="shared" si="0"/>
        <v>1586</v>
      </c>
      <c r="C39" s="1">
        <v>2729.8777102530426</v>
      </c>
      <c r="D39" s="1">
        <f t="shared" si="1"/>
        <v>1143.8777102530426</v>
      </c>
      <c r="E39" s="2">
        <v>13</v>
      </c>
      <c r="F39" s="1">
        <v>209.9905930963879</v>
      </c>
      <c r="G39" s="1">
        <v>87.990593096387883</v>
      </c>
      <c r="H39" s="1">
        <v>122</v>
      </c>
      <c r="I39" s="6">
        <f t="shared" si="2"/>
        <v>1.0309458753460501</v>
      </c>
      <c r="J39" s="1">
        <f t="shared" si="3"/>
        <v>0.92399096037658424</v>
      </c>
      <c r="K39" s="6">
        <f t="shared" si="4"/>
        <v>1.6626471607799567</v>
      </c>
      <c r="L39" s="1">
        <f t="shared" si="5"/>
        <v>1.5430911504433982</v>
      </c>
    </row>
    <row r="40" spans="1:12" x14ac:dyDescent="0.25">
      <c r="A40" s="3">
        <v>43977</v>
      </c>
      <c r="B40" s="1">
        <f t="shared" si="0"/>
        <v>7866</v>
      </c>
      <c r="C40" s="1">
        <v>14368.867018885629</v>
      </c>
      <c r="D40" s="1">
        <f t="shared" si="1"/>
        <v>6502.8670188856277</v>
      </c>
      <c r="E40" s="2">
        <v>138</v>
      </c>
      <c r="F40" s="1">
        <v>104.12222477453354</v>
      </c>
      <c r="G40" s="1">
        <v>47.122224774533535</v>
      </c>
      <c r="H40" s="1">
        <v>57</v>
      </c>
      <c r="I40" s="6">
        <f t="shared" si="2"/>
        <v>-0.59865389275310743</v>
      </c>
      <c r="J40" s="1">
        <f t="shared" si="3"/>
        <v>-0.35835252465786682</v>
      </c>
      <c r="K40" s="6">
        <f t="shared" si="4"/>
        <v>-0.36266635761908533</v>
      </c>
      <c r="L40" s="1">
        <f t="shared" si="5"/>
        <v>-0.14379464489106278</v>
      </c>
    </row>
    <row r="41" spans="1:12" x14ac:dyDescent="0.25">
      <c r="A41" s="3">
        <v>43959</v>
      </c>
      <c r="B41" s="1">
        <f t="shared" si="0"/>
        <v>725</v>
      </c>
      <c r="C41" s="1">
        <v>2049.7136956396153</v>
      </c>
      <c r="D41" s="1">
        <f t="shared" si="1"/>
        <v>1324.7136956396153</v>
      </c>
      <c r="E41" s="2">
        <v>29</v>
      </c>
      <c r="F41" s="1">
        <v>70.679782608262599</v>
      </c>
      <c r="G41" s="1">
        <v>45.679782608262592</v>
      </c>
      <c r="H41" s="1">
        <v>25</v>
      </c>
      <c r="I41" s="6">
        <f t="shared" si="2"/>
        <v>-0.6561703416883734</v>
      </c>
      <c r="J41" s="1">
        <f t="shared" si="3"/>
        <v>-0.40361262165732043</v>
      </c>
      <c r="K41" s="6">
        <f t="shared" si="4"/>
        <v>-1.0024365862648488</v>
      </c>
      <c r="L41" s="1">
        <f t="shared" si="5"/>
        <v>-0.67665995249712352</v>
      </c>
    </row>
    <row r="42" spans="1:12" x14ac:dyDescent="0.25">
      <c r="A42" s="3">
        <v>43958</v>
      </c>
      <c r="B42" s="1">
        <f t="shared" si="0"/>
        <v>6230</v>
      </c>
      <c r="C42" s="1">
        <v>12091.262715702564</v>
      </c>
      <c r="D42" s="1">
        <f t="shared" si="1"/>
        <v>5861.2627157025636</v>
      </c>
      <c r="E42" s="2">
        <v>70</v>
      </c>
      <c r="F42" s="1">
        <v>172.73232451003662</v>
      </c>
      <c r="G42" s="1">
        <v>83.732324510036619</v>
      </c>
      <c r="H42" s="1">
        <v>89</v>
      </c>
      <c r="I42" s="6">
        <f t="shared" si="2"/>
        <v>0.86115016815822076</v>
      </c>
      <c r="J42" s="1">
        <f t="shared" si="3"/>
        <v>0.79037752770341418</v>
      </c>
      <c r="K42" s="6">
        <f t="shared" si="4"/>
        <v>0.94987831172513937</v>
      </c>
      <c r="L42" s="1">
        <f t="shared" si="5"/>
        <v>0.94942521383428591</v>
      </c>
    </row>
    <row r="43" spans="1:12" x14ac:dyDescent="0.25">
      <c r="A43" s="3">
        <v>43957</v>
      </c>
      <c r="B43" s="1">
        <f t="shared" si="0"/>
        <v>1482</v>
      </c>
      <c r="C43" s="1">
        <v>3705.2320970096976</v>
      </c>
      <c r="D43" s="1">
        <f t="shared" si="1"/>
        <v>2223.232097009698</v>
      </c>
      <c r="E43" s="2">
        <v>57</v>
      </c>
      <c r="F43" s="1">
        <v>65.004071877363117</v>
      </c>
      <c r="G43" s="1">
        <v>39.004071877363124</v>
      </c>
      <c r="H43" s="1">
        <v>26</v>
      </c>
      <c r="I43" s="6">
        <f t="shared" si="2"/>
        <v>-0.92235999167137572</v>
      </c>
      <c r="J43" s="1">
        <f t="shared" si="3"/>
        <v>-0.61307912387551033</v>
      </c>
      <c r="K43" s="6">
        <f t="shared" si="4"/>
        <v>-1.1110157006124561</v>
      </c>
      <c r="L43" s="1">
        <f t="shared" si="5"/>
        <v>-0.76709561295119411</v>
      </c>
    </row>
    <row r="44" spans="1:12" x14ac:dyDescent="0.25">
      <c r="A44" s="3">
        <v>43952</v>
      </c>
      <c r="B44" s="1">
        <f t="shared" si="0"/>
        <v>2032</v>
      </c>
      <c r="C44" s="1">
        <v>3477.6965034467839</v>
      </c>
      <c r="D44" s="1">
        <f t="shared" si="1"/>
        <v>1445.6965034467842</v>
      </c>
      <c r="E44" s="2">
        <v>16</v>
      </c>
      <c r="F44" s="1">
        <v>217.356031465424</v>
      </c>
      <c r="G44" s="1">
        <v>90.35603146542401</v>
      </c>
      <c r="H44" s="1">
        <v>127</v>
      </c>
      <c r="I44" s="6">
        <f t="shared" si="2"/>
        <v>1.1252662012097283</v>
      </c>
      <c r="J44" s="1">
        <f t="shared" si="3"/>
        <v>0.99821228621703717</v>
      </c>
      <c r="K44" s="6">
        <f t="shared" si="4"/>
        <v>1.8035515889316505</v>
      </c>
      <c r="L44" s="1">
        <f t="shared" si="5"/>
        <v>1.6604505993334175</v>
      </c>
    </row>
    <row r="45" spans="1:12" x14ac:dyDescent="0.25">
      <c r="A45" s="3">
        <v>43951</v>
      </c>
      <c r="B45" s="1">
        <f t="shared" si="0"/>
        <v>1881</v>
      </c>
      <c r="C45" s="1">
        <v>3783.5765732582181</v>
      </c>
      <c r="D45" s="1">
        <f t="shared" si="1"/>
        <v>1902.5765732582181</v>
      </c>
      <c r="E45" s="2">
        <v>19</v>
      </c>
      <c r="F45" s="1">
        <v>199.13560911885358</v>
      </c>
      <c r="G45" s="1">
        <v>100.13560911885358</v>
      </c>
      <c r="H45" s="1">
        <v>99</v>
      </c>
      <c r="I45" s="6">
        <f t="shared" si="2"/>
        <v>1.5152205382810797</v>
      </c>
      <c r="J45" s="1">
        <f t="shared" si="3"/>
        <v>1.3050700886010325</v>
      </c>
      <c r="K45" s="6">
        <f t="shared" si="4"/>
        <v>1.4549860232731555</v>
      </c>
      <c r="L45" s="1">
        <f t="shared" si="5"/>
        <v>1.3701299669422273</v>
      </c>
    </row>
    <row r="46" spans="1:12" x14ac:dyDescent="0.25">
      <c r="A46" s="3">
        <v>43951</v>
      </c>
      <c r="B46" s="1">
        <f t="shared" si="0"/>
        <v>7375</v>
      </c>
      <c r="C46" s="1">
        <v>12544.533461631529</v>
      </c>
      <c r="D46" s="1">
        <f t="shared" si="1"/>
        <v>5169.5334616315276</v>
      </c>
      <c r="E46" s="2">
        <v>59</v>
      </c>
      <c r="F46" s="1">
        <v>212.6192112140937</v>
      </c>
      <c r="G46" s="1">
        <v>87.619211214093696</v>
      </c>
      <c r="H46" s="1">
        <v>125</v>
      </c>
      <c r="I46" s="6">
        <f t="shared" si="2"/>
        <v>1.0161372628637357</v>
      </c>
      <c r="J46" s="1">
        <f t="shared" si="3"/>
        <v>0.91233795936932083</v>
      </c>
      <c r="K46" s="6">
        <f t="shared" si="4"/>
        <v>1.7129339073586247</v>
      </c>
      <c r="L46" s="1">
        <f t="shared" si="5"/>
        <v>1.5849750354451602</v>
      </c>
    </row>
    <row r="47" spans="1:12" x14ac:dyDescent="0.25">
      <c r="A47" s="3">
        <v>43929</v>
      </c>
      <c r="B47" s="1">
        <f t="shared" si="0"/>
        <v>1914</v>
      </c>
      <c r="C47" s="1">
        <v>3965.8397738484996</v>
      </c>
      <c r="D47" s="1">
        <f t="shared" si="1"/>
        <v>2051.8397738484996</v>
      </c>
      <c r="E47" s="2">
        <v>33</v>
      </c>
      <c r="F47" s="1">
        <v>120.17696284389393</v>
      </c>
      <c r="G47" s="1">
        <v>62.176962843893925</v>
      </c>
      <c r="H47" s="1">
        <v>58</v>
      </c>
      <c r="I47" s="6">
        <f t="shared" si="2"/>
        <v>1.6440558563096718E-3</v>
      </c>
      <c r="J47" s="1">
        <f t="shared" si="3"/>
        <v>0.114026140673406</v>
      </c>
      <c r="K47" s="6">
        <f t="shared" si="4"/>
        <v>-5.553138839599675E-2</v>
      </c>
      <c r="L47" s="1">
        <f t="shared" si="5"/>
        <v>0.11201839942341005</v>
      </c>
    </row>
    <row r="48" spans="1:12" x14ac:dyDescent="0.25">
      <c r="A48" s="3">
        <v>43921</v>
      </c>
      <c r="B48" s="1">
        <f t="shared" si="0"/>
        <v>1287</v>
      </c>
      <c r="C48" s="1">
        <v>2556.1909525132673</v>
      </c>
      <c r="D48" s="1">
        <f t="shared" si="1"/>
        <v>1269.1909525132673</v>
      </c>
      <c r="E48" s="2">
        <v>33</v>
      </c>
      <c r="F48" s="1">
        <v>77.460331894341437</v>
      </c>
      <c r="G48" s="1">
        <v>38.460331894341437</v>
      </c>
      <c r="H48" s="1">
        <v>39</v>
      </c>
      <c r="I48" s="6">
        <f t="shared" si="2"/>
        <v>-0.94404127200192789</v>
      </c>
      <c r="J48" s="1">
        <f t="shared" si="3"/>
        <v>-0.63014027540691964</v>
      </c>
      <c r="K48" s="6">
        <f t="shared" si="4"/>
        <v>-0.87272137152273588</v>
      </c>
      <c r="L48" s="1">
        <f t="shared" si="5"/>
        <v>-0.56862001142163165</v>
      </c>
    </row>
    <row r="49" spans="1:12" x14ac:dyDescent="0.25">
      <c r="A49" s="3">
        <v>43921</v>
      </c>
      <c r="B49" s="1">
        <f t="shared" si="0"/>
        <v>2848</v>
      </c>
      <c r="C49" s="1">
        <v>7698.319721367141</v>
      </c>
      <c r="D49" s="1">
        <f t="shared" si="1"/>
        <v>4850.319721367141</v>
      </c>
      <c r="E49" s="2">
        <v>32</v>
      </c>
      <c r="F49" s="1">
        <v>240.57249129272316</v>
      </c>
      <c r="G49" s="1">
        <v>151.57249129272316</v>
      </c>
      <c r="H49" s="1">
        <v>89</v>
      </c>
      <c r="I49" s="6">
        <f t="shared" si="2"/>
        <v>3.5662329643743922</v>
      </c>
      <c r="J49" s="1">
        <f t="shared" si="3"/>
        <v>2.9190261493541207</v>
      </c>
      <c r="K49" s="6">
        <f t="shared" si="4"/>
        <v>2.2476937881827825</v>
      </c>
      <c r="L49" s="1">
        <f t="shared" si="5"/>
        <v>2.0303771120530776</v>
      </c>
    </row>
    <row r="50" spans="1:12" x14ac:dyDescent="0.25">
      <c r="A50" s="3">
        <v>43914</v>
      </c>
      <c r="B50" s="1">
        <f t="shared" si="0"/>
        <v>2704</v>
      </c>
      <c r="C50" s="1">
        <v>5038.0325671094843</v>
      </c>
      <c r="D50" s="1">
        <f t="shared" si="1"/>
        <v>2334.0325671094843</v>
      </c>
      <c r="E50" s="2">
        <v>104</v>
      </c>
      <c r="F50" s="1">
        <v>48.442620837591193</v>
      </c>
      <c r="G50" s="1">
        <v>22.442620837591193</v>
      </c>
      <c r="H50" s="1">
        <v>26</v>
      </c>
      <c r="I50" s="6">
        <f t="shared" si="2"/>
        <v>-1.5827371459842818</v>
      </c>
      <c r="J50" s="1">
        <f t="shared" si="3"/>
        <v>-1.1327345374784028</v>
      </c>
      <c r="K50" s="6">
        <f t="shared" si="4"/>
        <v>-1.4278443360853412</v>
      </c>
      <c r="L50" s="1">
        <f t="shared" si="5"/>
        <v>-1.0309825222514797</v>
      </c>
    </row>
    <row r="51" spans="1:12" x14ac:dyDescent="0.25">
      <c r="A51" s="3">
        <v>43911</v>
      </c>
      <c r="B51" s="1">
        <f t="shared" si="0"/>
        <v>59</v>
      </c>
      <c r="C51" s="1">
        <v>148.42228232490095</v>
      </c>
      <c r="D51" s="1">
        <f t="shared" si="1"/>
        <v>89.422282324900962</v>
      </c>
      <c r="E51" s="2">
        <v>1</v>
      </c>
      <c r="F51" s="1">
        <v>148.42228232490095</v>
      </c>
      <c r="G51" s="1">
        <v>89.422282324900962</v>
      </c>
      <c r="H51" s="1">
        <v>59</v>
      </c>
      <c r="I51" s="6">
        <f t="shared" si="2"/>
        <v>1.0880335578392943</v>
      </c>
      <c r="J51" s="1">
        <f t="shared" si="3"/>
        <v>0.96891365805609964</v>
      </c>
      <c r="K51" s="6">
        <f t="shared" si="4"/>
        <v>0.48481534862436015</v>
      </c>
      <c r="L51" s="1">
        <f t="shared" si="5"/>
        <v>0.56207377453169716</v>
      </c>
    </row>
    <row r="52" spans="1:12" x14ac:dyDescent="0.25">
      <c r="A52" s="3">
        <v>43902</v>
      </c>
      <c r="B52" s="1">
        <f t="shared" si="0"/>
        <v>180</v>
      </c>
      <c r="C52" s="1">
        <v>409.31037777159486</v>
      </c>
      <c r="D52" s="1">
        <f t="shared" si="1"/>
        <v>229.31037777159486</v>
      </c>
      <c r="E52" s="2">
        <v>10</v>
      </c>
      <c r="F52" s="1">
        <v>40.931037777159489</v>
      </c>
      <c r="G52" s="1">
        <v>22.931037777159485</v>
      </c>
      <c r="H52" s="1">
        <v>18</v>
      </c>
      <c r="I52" s="6">
        <f t="shared" si="2"/>
        <v>-1.5632618362486941</v>
      </c>
      <c r="J52" s="1">
        <f t="shared" si="3"/>
        <v>-1.1174092796774706</v>
      </c>
      <c r="K52" s="6">
        <f t="shared" si="4"/>
        <v>-1.5715445834587496</v>
      </c>
      <c r="L52" s="1">
        <f t="shared" si="5"/>
        <v>-1.1506706119610997</v>
      </c>
    </row>
    <row r="53" spans="1:12" x14ac:dyDescent="0.25">
      <c r="A53" s="3">
        <v>43895</v>
      </c>
      <c r="B53" s="1">
        <f t="shared" si="0"/>
        <v>117</v>
      </c>
      <c r="C53" s="1">
        <v>345.60279479222953</v>
      </c>
      <c r="D53" s="1">
        <f t="shared" si="1"/>
        <v>228.60279479222956</v>
      </c>
      <c r="E53" s="2">
        <v>13</v>
      </c>
      <c r="F53" s="1">
        <v>26.584830368633042</v>
      </c>
      <c r="G53" s="1">
        <v>17.584830368633042</v>
      </c>
      <c r="H53" s="1">
        <v>9</v>
      </c>
      <c r="I53" s="6">
        <f t="shared" si="2"/>
        <v>-1.7764384006892633</v>
      </c>
      <c r="J53" s="1">
        <f t="shared" si="3"/>
        <v>-1.2851594131297215</v>
      </c>
      <c r="K53" s="6">
        <f t="shared" si="4"/>
        <v>-1.8459945278832466</v>
      </c>
      <c r="L53" s="1">
        <f t="shared" si="5"/>
        <v>-1.3792602641676273</v>
      </c>
    </row>
    <row r="54" spans="1:12" x14ac:dyDescent="0.25">
      <c r="A54" s="3">
        <v>43893</v>
      </c>
      <c r="B54" s="1">
        <f t="shared" si="0"/>
        <v>23500</v>
      </c>
      <c r="C54" s="1">
        <v>40778.394586111419</v>
      </c>
      <c r="D54" s="1">
        <f t="shared" si="1"/>
        <v>17278.394586111419</v>
      </c>
      <c r="E54" s="2">
        <v>250</v>
      </c>
      <c r="F54" s="1">
        <v>163.11357834444567</v>
      </c>
      <c r="G54" s="1">
        <v>69.113578344445671</v>
      </c>
      <c r="H54" s="1">
        <v>94</v>
      </c>
      <c r="I54" s="6">
        <f t="shared" si="2"/>
        <v>0.27823711487127861</v>
      </c>
      <c r="J54" s="1">
        <f t="shared" si="3"/>
        <v>0.33167915841242968</v>
      </c>
      <c r="K54" s="6">
        <f t="shared" si="4"/>
        <v>0.76586700647865202</v>
      </c>
      <c r="L54" s="1">
        <f t="shared" si="5"/>
        <v>0.79616200091373968</v>
      </c>
    </row>
    <row r="55" spans="1:12" x14ac:dyDescent="0.25">
      <c r="A55" s="3">
        <v>43892</v>
      </c>
      <c r="B55" s="1">
        <f t="shared" si="0"/>
        <v>1334</v>
      </c>
      <c r="C55" s="1">
        <v>2648.402206841231</v>
      </c>
      <c r="D55" s="1">
        <f t="shared" si="1"/>
        <v>1314.4022068412312</v>
      </c>
      <c r="E55" s="2">
        <v>23</v>
      </c>
      <c r="F55" s="1">
        <v>115.14792203657527</v>
      </c>
      <c r="G55" s="1">
        <v>57.147922036575274</v>
      </c>
      <c r="H55" s="1">
        <v>58</v>
      </c>
      <c r="I55" s="6">
        <f t="shared" si="2"/>
        <v>-0.19888569538862141</v>
      </c>
      <c r="J55" s="1">
        <f t="shared" si="3"/>
        <v>-4.3772126789816658E-2</v>
      </c>
      <c r="K55" s="6">
        <f t="shared" si="4"/>
        <v>-0.15173939172214568</v>
      </c>
      <c r="L55" s="1">
        <f t="shared" si="5"/>
        <v>3.1886650568714821E-2</v>
      </c>
    </row>
    <row r="56" spans="1:12" x14ac:dyDescent="0.25">
      <c r="A56" s="3">
        <v>43885</v>
      </c>
      <c r="B56" s="1">
        <f t="shared" si="0"/>
        <v>1794</v>
      </c>
      <c r="C56" s="1">
        <v>3587.8882062967368</v>
      </c>
      <c r="D56" s="1">
        <f t="shared" si="1"/>
        <v>1793.8882062967364</v>
      </c>
      <c r="E56" s="2">
        <v>26</v>
      </c>
      <c r="F56" s="1">
        <v>137.99570024218218</v>
      </c>
      <c r="G56" s="1">
        <v>68.995700242182167</v>
      </c>
      <c r="H56" s="1">
        <v>69</v>
      </c>
      <c r="I56" s="6">
        <f t="shared" si="2"/>
        <v>0.27353680174402678</v>
      </c>
      <c r="J56" s="1">
        <f t="shared" si="3"/>
        <v>0.32798044905179696</v>
      </c>
      <c r="K56" s="6">
        <f t="shared" si="4"/>
        <v>0.28534974829859822</v>
      </c>
      <c r="L56" s="1">
        <f t="shared" si="5"/>
        <v>0.39593866271287914</v>
      </c>
    </row>
    <row r="57" spans="1:12" x14ac:dyDescent="0.25">
      <c r="A57" s="3">
        <v>43877</v>
      </c>
      <c r="B57" s="1">
        <f t="shared" si="0"/>
        <v>120</v>
      </c>
      <c r="C57" s="1">
        <v>339.4761387111115</v>
      </c>
      <c r="D57" s="1">
        <f t="shared" si="1"/>
        <v>219.4761387111115</v>
      </c>
      <c r="E57" s="2">
        <v>10</v>
      </c>
      <c r="F57" s="1">
        <v>33.947613871111152</v>
      </c>
      <c r="G57" s="1">
        <v>21.947613871111152</v>
      </c>
      <c r="H57" s="1">
        <v>12</v>
      </c>
      <c r="I57" s="6">
        <f t="shared" si="2"/>
        <v>-1.6024752287829529</v>
      </c>
      <c r="J57" s="1">
        <f t="shared" si="3"/>
        <v>-1.1482665732453632</v>
      </c>
      <c r="K57" s="6">
        <f t="shared" si="4"/>
        <v>-1.7051408886235953</v>
      </c>
      <c r="L57" s="1">
        <f t="shared" si="5"/>
        <v>-1.2619431174001039</v>
      </c>
    </row>
    <row r="58" spans="1:12" x14ac:dyDescent="0.25">
      <c r="A58" s="3">
        <v>43874</v>
      </c>
      <c r="B58" s="1">
        <f t="shared" si="0"/>
        <v>560</v>
      </c>
      <c r="C58" s="1">
        <v>1511.1074924847967</v>
      </c>
      <c r="D58" s="1">
        <f t="shared" si="1"/>
        <v>951.10749248479658</v>
      </c>
      <c r="E58" s="2">
        <v>28</v>
      </c>
      <c r="F58" s="1">
        <v>53.968124731599879</v>
      </c>
      <c r="G58" s="1">
        <v>33.968124731599879</v>
      </c>
      <c r="H58" s="1">
        <v>20</v>
      </c>
      <c r="I58" s="6">
        <f t="shared" si="2"/>
        <v>-1.1231651286972877</v>
      </c>
      <c r="J58" s="1">
        <f t="shared" si="3"/>
        <v>-0.77109409434092091</v>
      </c>
      <c r="K58" s="6">
        <f t="shared" si="4"/>
        <v>-1.3221387517838952</v>
      </c>
      <c r="L58" s="1">
        <f t="shared" si="5"/>
        <v>-0.9429402280457948</v>
      </c>
    </row>
    <row r="59" spans="1:12" x14ac:dyDescent="0.25">
      <c r="A59" s="3">
        <v>43868</v>
      </c>
      <c r="B59" s="1">
        <f t="shared" si="0"/>
        <v>444</v>
      </c>
      <c r="C59" s="1">
        <v>1149.9483740454452</v>
      </c>
      <c r="D59" s="1">
        <f t="shared" si="1"/>
        <v>705.94837404544523</v>
      </c>
      <c r="E59" s="2">
        <v>12</v>
      </c>
      <c r="F59" s="1">
        <v>95.829031170453774</v>
      </c>
      <c r="G59" s="1">
        <v>58.829031170453774</v>
      </c>
      <c r="H59" s="1">
        <v>37</v>
      </c>
      <c r="I59" s="6">
        <f t="shared" si="2"/>
        <v>-0.13185255540263341</v>
      </c>
      <c r="J59" s="1">
        <f t="shared" si="3"/>
        <v>8.9767211329474152E-3</v>
      </c>
      <c r="K59" s="6">
        <f t="shared" si="4"/>
        <v>-0.52131919588688691</v>
      </c>
      <c r="L59" s="1">
        <f t="shared" si="5"/>
        <v>-0.27593676354684704</v>
      </c>
    </row>
    <row r="60" spans="1:12" x14ac:dyDescent="0.25">
      <c r="A60" s="3">
        <v>43867</v>
      </c>
      <c r="B60" s="1">
        <f t="shared" si="0"/>
        <v>780</v>
      </c>
      <c r="C60" s="1">
        <v>1349.277276540362</v>
      </c>
      <c r="D60" s="1">
        <f t="shared" si="1"/>
        <v>569.27727654036221</v>
      </c>
      <c r="E60" s="2">
        <v>13</v>
      </c>
      <c r="F60" s="1">
        <v>103.79055973387401</v>
      </c>
      <c r="G60" s="1">
        <v>43.790559733874012</v>
      </c>
      <c r="H60" s="1">
        <v>60</v>
      </c>
      <c r="I60" s="6">
        <f t="shared" si="2"/>
        <v>-0.73150188254524018</v>
      </c>
      <c r="J60" s="1">
        <f t="shared" si="3"/>
        <v>-0.46289153941765465</v>
      </c>
      <c r="K60" s="6">
        <f t="shared" si="4"/>
        <v>-0.36901127160119163</v>
      </c>
      <c r="L60" s="1">
        <f t="shared" si="5"/>
        <v>-0.14907933053197761</v>
      </c>
    </row>
    <row r="61" spans="1:12" x14ac:dyDescent="0.25">
      <c r="A61" s="3">
        <v>43865</v>
      </c>
      <c r="B61" s="1">
        <f t="shared" si="0"/>
        <v>1700</v>
      </c>
      <c r="C61" s="1">
        <v>4942.1346800228612</v>
      </c>
      <c r="D61" s="1">
        <f t="shared" si="1"/>
        <v>3242.1346800228612</v>
      </c>
      <c r="E61" s="2">
        <v>50</v>
      </c>
      <c r="F61" s="1">
        <v>98.842693600457224</v>
      </c>
      <c r="G61" s="1">
        <v>64.842693600457224</v>
      </c>
      <c r="H61" s="1">
        <v>34</v>
      </c>
      <c r="I61" s="6">
        <f t="shared" si="2"/>
        <v>0.10793834655318958</v>
      </c>
      <c r="J61" s="1">
        <f t="shared" si="3"/>
        <v>0.19766986340815795</v>
      </c>
      <c r="K61" s="6">
        <f t="shared" si="4"/>
        <v>-0.46366636382640336</v>
      </c>
      <c r="L61" s="1">
        <f t="shared" si="5"/>
        <v>-0.22791765807002706</v>
      </c>
    </row>
    <row r="62" spans="1:12" x14ac:dyDescent="0.25">
      <c r="A62" s="3">
        <v>43859</v>
      </c>
      <c r="B62" s="1">
        <f t="shared" si="0"/>
        <v>784</v>
      </c>
      <c r="C62" s="1">
        <v>1523.6648389046331</v>
      </c>
      <c r="D62" s="1">
        <f t="shared" si="1"/>
        <v>739.66483890463314</v>
      </c>
      <c r="E62" s="2">
        <v>8</v>
      </c>
      <c r="F62" s="1">
        <v>190.45810486307914</v>
      </c>
      <c r="G62" s="1">
        <v>92.458104863079143</v>
      </c>
      <c r="H62" s="1">
        <v>98</v>
      </c>
      <c r="I62" s="6">
        <f t="shared" si="2"/>
        <v>1.2090850190878673</v>
      </c>
      <c r="J62" s="1">
        <f t="shared" si="3"/>
        <v>1.0641699017821742</v>
      </c>
      <c r="K62" s="6">
        <f t="shared" si="4"/>
        <v>1.2889811348086826</v>
      </c>
      <c r="L62" s="1">
        <f t="shared" si="5"/>
        <v>1.2318643178153905</v>
      </c>
    </row>
    <row r="63" spans="1:12" x14ac:dyDescent="0.25">
      <c r="A63" s="3">
        <v>43859</v>
      </c>
      <c r="B63" s="1">
        <f t="shared" si="0"/>
        <v>6083</v>
      </c>
      <c r="C63" s="1">
        <v>10651.565968190027</v>
      </c>
      <c r="D63" s="1">
        <f t="shared" si="1"/>
        <v>4568.5659681900279</v>
      </c>
      <c r="E63" s="2">
        <v>77</v>
      </c>
      <c r="F63" s="1">
        <v>138.33202556090944</v>
      </c>
      <c r="G63" s="1">
        <v>59.33202556090945</v>
      </c>
      <c r="H63" s="1">
        <v>79</v>
      </c>
      <c r="I63" s="6">
        <f t="shared" si="2"/>
        <v>-0.11179597923628271</v>
      </c>
      <c r="J63" s="1">
        <f t="shared" si="3"/>
        <v>2.4759381564359629E-2</v>
      </c>
      <c r="K63" s="6">
        <f t="shared" si="4"/>
        <v>0.2917838156729754</v>
      </c>
      <c r="L63" s="1">
        <f t="shared" si="5"/>
        <v>0.40129760430955658</v>
      </c>
    </row>
    <row r="64" spans="1:12" x14ac:dyDescent="0.25">
      <c r="A64" s="3">
        <v>43849</v>
      </c>
      <c r="B64" s="1">
        <f t="shared" si="0"/>
        <v>1428</v>
      </c>
      <c r="C64" s="1">
        <v>4025.4957237476124</v>
      </c>
      <c r="D64" s="1">
        <f t="shared" si="1"/>
        <v>2597.4957237476124</v>
      </c>
      <c r="E64" s="2">
        <v>34</v>
      </c>
      <c r="F64" s="1">
        <v>118.39693305140037</v>
      </c>
      <c r="G64" s="1">
        <v>76.396933051400367</v>
      </c>
      <c r="H64" s="1">
        <v>42</v>
      </c>
      <c r="I64" s="6">
        <f t="shared" si="2"/>
        <v>0.56865617559728177</v>
      </c>
      <c r="J64" s="1">
        <f t="shared" si="3"/>
        <v>0.5602119538522693</v>
      </c>
      <c r="K64" s="6">
        <f t="shared" si="4"/>
        <v>-8.9584226453632662E-2</v>
      </c>
      <c r="L64" s="1">
        <f t="shared" si="5"/>
        <v>8.3655754189274567E-2</v>
      </c>
    </row>
    <row r="65" spans="1:12" x14ac:dyDescent="0.25">
      <c r="A65" s="3">
        <v>43845</v>
      </c>
      <c r="B65" s="1">
        <f t="shared" si="0"/>
        <v>1260</v>
      </c>
      <c r="C65" s="1">
        <v>2152.883115525522</v>
      </c>
      <c r="D65" s="1">
        <f t="shared" si="1"/>
        <v>892.88311552552182</v>
      </c>
      <c r="E65" s="2">
        <v>12</v>
      </c>
      <c r="F65" s="1">
        <v>179.4069262937935</v>
      </c>
      <c r="G65" s="1">
        <v>74.406926293793489</v>
      </c>
      <c r="H65" s="1">
        <v>105</v>
      </c>
      <c r="I65" s="6">
        <f t="shared" si="2"/>
        <v>0.48930594254729293</v>
      </c>
      <c r="J65" s="1">
        <f t="shared" si="3"/>
        <v>0.49777069902421439</v>
      </c>
      <c r="K65" s="6">
        <f t="shared" si="4"/>
        <v>1.0775666990768373</v>
      </c>
      <c r="L65" s="1">
        <f t="shared" si="5"/>
        <v>1.0557770082088225</v>
      </c>
    </row>
    <row r="66" spans="1:12" x14ac:dyDescent="0.25">
      <c r="A66" s="3">
        <v>43840</v>
      </c>
      <c r="B66" s="1">
        <f t="shared" ref="B66:B129" si="6">+E66*H66</f>
        <v>80</v>
      </c>
      <c r="C66" s="1">
        <v>228.44562516672124</v>
      </c>
      <c r="D66" s="1">
        <f t="shared" ref="D66:D129" si="7">+E66*G66</f>
        <v>148.44562516672124</v>
      </c>
      <c r="E66" s="2">
        <v>4</v>
      </c>
      <c r="F66" s="1">
        <v>57.111406291680311</v>
      </c>
      <c r="G66" s="1">
        <v>37.111406291680311</v>
      </c>
      <c r="H66" s="1">
        <v>20</v>
      </c>
      <c r="I66" s="6">
        <f t="shared" si="2"/>
        <v>-0.99782880841561183</v>
      </c>
      <c r="J66" s="1">
        <f t="shared" si="3"/>
        <v>-0.67246606499425832</v>
      </c>
      <c r="K66" s="6">
        <f t="shared" si="4"/>
        <v>-1.2620062425493008</v>
      </c>
      <c r="L66" s="1">
        <f t="shared" si="5"/>
        <v>-0.89285579679890403</v>
      </c>
    </row>
    <row r="67" spans="1:12" x14ac:dyDescent="0.25">
      <c r="A67" s="3">
        <v>43839</v>
      </c>
      <c r="B67" s="1">
        <f t="shared" si="6"/>
        <v>1073</v>
      </c>
      <c r="C67" s="1">
        <v>2662.8484006213589</v>
      </c>
      <c r="D67" s="1">
        <f t="shared" si="7"/>
        <v>1589.8484006213591</v>
      </c>
      <c r="E67" s="2">
        <v>29</v>
      </c>
      <c r="F67" s="1">
        <v>91.82235864211583</v>
      </c>
      <c r="G67" s="1">
        <v>54.82235864211583</v>
      </c>
      <c r="H67" s="1">
        <v>37</v>
      </c>
      <c r="I67" s="6">
        <f t="shared" ref="I67:I130" si="8">(G67-AVERAGE($G$2:$G$501))/_xlfn.STDEV.S($G$2:$G$501)</f>
        <v>-0.29161603241762479</v>
      </c>
      <c r="J67" s="1">
        <f t="shared" ref="J67:J130" si="9">(G67-MEDIAN($G$2:$G$502))/(PERCENTILE($G$2:$G$502,0.75)-PERCENTILE($G$2:$G$502,0.25))</f>
        <v>-0.11674227926651722</v>
      </c>
      <c r="K67" s="6">
        <f t="shared" ref="K67:K130" si="10">(F67-AVERAGE($F$2:$F$501))/_xlfn.STDEV.S($F$2:$F$501)</f>
        <v>-0.59796879542327441</v>
      </c>
      <c r="L67" s="1">
        <f t="shared" ref="L67:L130" si="11">(F67-MEDIAN($F$2:$F$502))/(PERCENTILE($F$2:$F$502,0.75)-PERCENTILE($F$2:$F$502,0.25))</f>
        <v>-0.33977829696939316</v>
      </c>
    </row>
    <row r="68" spans="1:12" x14ac:dyDescent="0.25">
      <c r="A68" s="3">
        <v>43835</v>
      </c>
      <c r="B68" s="1">
        <f t="shared" si="6"/>
        <v>670</v>
      </c>
      <c r="C68" s="1">
        <v>1284.1485061504968</v>
      </c>
      <c r="D68" s="1">
        <f t="shared" si="7"/>
        <v>614.14850615049681</v>
      </c>
      <c r="E68" s="2">
        <v>10</v>
      </c>
      <c r="F68" s="1">
        <v>128.41485061504969</v>
      </c>
      <c r="G68" s="1">
        <v>61.414850615049687</v>
      </c>
      <c r="H68" s="1">
        <v>67</v>
      </c>
      <c r="I68" s="6">
        <f t="shared" si="8"/>
        <v>-2.8744676613001473E-2</v>
      </c>
      <c r="J68" s="1">
        <f t="shared" si="9"/>
        <v>9.0113033993272459E-2</v>
      </c>
      <c r="K68" s="6">
        <f t="shared" si="10"/>
        <v>0.10206342231510561</v>
      </c>
      <c r="L68" s="1">
        <f t="shared" si="11"/>
        <v>0.24327928579577027</v>
      </c>
    </row>
    <row r="69" spans="1:12" x14ac:dyDescent="0.25">
      <c r="A69" s="3">
        <v>43830</v>
      </c>
      <c r="B69" s="1">
        <f t="shared" si="6"/>
        <v>2747</v>
      </c>
      <c r="C69" s="1">
        <v>5927.4676444662664</v>
      </c>
      <c r="D69" s="1">
        <f t="shared" si="7"/>
        <v>3180.4676444662659</v>
      </c>
      <c r="E69" s="2">
        <v>41</v>
      </c>
      <c r="F69" s="1">
        <v>144.57238157234795</v>
      </c>
      <c r="G69" s="1">
        <v>77.57238157234795</v>
      </c>
      <c r="H69" s="1">
        <v>67</v>
      </c>
      <c r="I69" s="6">
        <f t="shared" si="8"/>
        <v>0.61552642551925774</v>
      </c>
      <c r="J69" s="1">
        <f t="shared" si="9"/>
        <v>0.59709448219202854</v>
      </c>
      <c r="K69" s="6">
        <f t="shared" si="10"/>
        <v>0.41116486961692417</v>
      </c>
      <c r="L69" s="1">
        <f t="shared" si="11"/>
        <v>0.50073021180495891</v>
      </c>
    </row>
    <row r="70" spans="1:12" x14ac:dyDescent="0.25">
      <c r="A70" s="3">
        <v>43809</v>
      </c>
      <c r="B70" s="1">
        <f t="shared" si="6"/>
        <v>3780</v>
      </c>
      <c r="C70" s="1">
        <v>7412.7421929311422</v>
      </c>
      <c r="D70" s="1">
        <f t="shared" si="7"/>
        <v>3632.7421929311413</v>
      </c>
      <c r="E70" s="2">
        <v>42</v>
      </c>
      <c r="F70" s="1">
        <v>176.49386173645576</v>
      </c>
      <c r="G70" s="1">
        <v>86.493861736455742</v>
      </c>
      <c r="H70" s="1">
        <v>90</v>
      </c>
      <c r="I70" s="6">
        <f t="shared" si="8"/>
        <v>0.97126467990796705</v>
      </c>
      <c r="J70" s="1">
        <f t="shared" si="9"/>
        <v>0.87702740917384692</v>
      </c>
      <c r="K70" s="6">
        <f t="shared" si="10"/>
        <v>1.02183835338241</v>
      </c>
      <c r="L70" s="1">
        <f t="shared" si="11"/>
        <v>1.0093608094843265</v>
      </c>
    </row>
    <row r="71" spans="1:12" x14ac:dyDescent="0.25">
      <c r="A71" s="3">
        <v>43809</v>
      </c>
      <c r="B71" s="1">
        <f t="shared" si="6"/>
        <v>3290</v>
      </c>
      <c r="C71" s="1">
        <v>6144.2860188286268</v>
      </c>
      <c r="D71" s="1">
        <f t="shared" si="7"/>
        <v>2854.2860188286268</v>
      </c>
      <c r="E71" s="2">
        <v>47</v>
      </c>
      <c r="F71" s="1">
        <v>130.7294897623112</v>
      </c>
      <c r="G71" s="1">
        <v>60.729489762311211</v>
      </c>
      <c r="H71" s="1">
        <v>70</v>
      </c>
      <c r="I71" s="6">
        <f t="shared" si="8"/>
        <v>-5.6072997574854497E-2</v>
      </c>
      <c r="J71" s="1">
        <f t="shared" si="9"/>
        <v>6.8608186589397352E-2</v>
      </c>
      <c r="K71" s="6">
        <f t="shared" si="10"/>
        <v>0.14634359806044828</v>
      </c>
      <c r="L71" s="1">
        <f t="shared" si="11"/>
        <v>0.28016029152705924</v>
      </c>
    </row>
    <row r="72" spans="1:12" x14ac:dyDescent="0.25">
      <c r="A72" s="3">
        <v>43805</v>
      </c>
      <c r="B72" s="1">
        <f t="shared" si="6"/>
        <v>396</v>
      </c>
      <c r="C72" s="1">
        <v>669.2251267216584</v>
      </c>
      <c r="D72" s="1">
        <f t="shared" si="7"/>
        <v>273.22512672165846</v>
      </c>
      <c r="E72" s="2">
        <v>9</v>
      </c>
      <c r="F72" s="1">
        <v>74.358347413517606</v>
      </c>
      <c r="G72" s="1">
        <v>30.358347413517606</v>
      </c>
      <c r="H72" s="1">
        <v>44</v>
      </c>
      <c r="I72" s="6">
        <f t="shared" si="8"/>
        <v>-1.2671026657702029</v>
      </c>
      <c r="J72" s="1">
        <f t="shared" si="9"/>
        <v>-0.88435955162105884</v>
      </c>
      <c r="K72" s="6">
        <f t="shared" si="10"/>
        <v>-0.93206384749041027</v>
      </c>
      <c r="L72" s="1">
        <f t="shared" si="11"/>
        <v>-0.61804642311564739</v>
      </c>
    </row>
    <row r="73" spans="1:12" x14ac:dyDescent="0.25">
      <c r="A73" s="3">
        <v>43800</v>
      </c>
      <c r="B73" s="1">
        <f t="shared" si="6"/>
        <v>6519</v>
      </c>
      <c r="C73" s="1">
        <v>11338.617086275133</v>
      </c>
      <c r="D73" s="1">
        <f t="shared" si="7"/>
        <v>4819.6170862751342</v>
      </c>
      <c r="E73" s="2">
        <v>53</v>
      </c>
      <c r="F73" s="1">
        <v>213.93617143915347</v>
      </c>
      <c r="G73" s="1">
        <v>90.936171439153469</v>
      </c>
      <c r="H73" s="1">
        <v>123</v>
      </c>
      <c r="I73" s="6">
        <f t="shared" si="8"/>
        <v>1.1483989076395329</v>
      </c>
      <c r="J73" s="1">
        <f t="shared" si="9"/>
        <v>1.016415575124028</v>
      </c>
      <c r="K73" s="6">
        <f t="shared" si="10"/>
        <v>1.7381279987504801</v>
      </c>
      <c r="L73" s="1">
        <f t="shared" si="11"/>
        <v>1.6059592211078686</v>
      </c>
    </row>
    <row r="74" spans="1:12" x14ac:dyDescent="0.25">
      <c r="A74" s="3">
        <v>43795</v>
      </c>
      <c r="B74" s="1">
        <f t="shared" si="6"/>
        <v>9398</v>
      </c>
      <c r="C74" s="1">
        <v>16488.562551013834</v>
      </c>
      <c r="D74" s="1">
        <f t="shared" si="7"/>
        <v>7090.5625510138334</v>
      </c>
      <c r="E74" s="2">
        <v>74</v>
      </c>
      <c r="F74" s="1">
        <v>222.81841285153828</v>
      </c>
      <c r="G74" s="1">
        <v>95.818412851538284</v>
      </c>
      <c r="H74" s="1">
        <v>127</v>
      </c>
      <c r="I74" s="6">
        <f t="shared" si="8"/>
        <v>1.343075127907712</v>
      </c>
      <c r="J74" s="1">
        <f t="shared" si="9"/>
        <v>1.1696076580139425</v>
      </c>
      <c r="K74" s="6">
        <f t="shared" si="10"/>
        <v>1.908049608871992</v>
      </c>
      <c r="L74" s="1">
        <f t="shared" si="11"/>
        <v>1.7474871118913751</v>
      </c>
    </row>
    <row r="75" spans="1:12" x14ac:dyDescent="0.25">
      <c r="A75" s="3">
        <v>43778</v>
      </c>
      <c r="B75" s="1">
        <f t="shared" si="6"/>
        <v>232</v>
      </c>
      <c r="C75" s="1">
        <v>672.70777424220068</v>
      </c>
      <c r="D75" s="1">
        <f t="shared" si="7"/>
        <v>440.70777424220074</v>
      </c>
      <c r="E75" s="2">
        <v>4</v>
      </c>
      <c r="F75" s="1">
        <v>168.17694356055017</v>
      </c>
      <c r="G75" s="1">
        <v>110.17694356055019</v>
      </c>
      <c r="H75" s="1">
        <v>58</v>
      </c>
      <c r="I75" s="6">
        <f t="shared" si="8"/>
        <v>1.9156122580758868</v>
      </c>
      <c r="J75" s="1">
        <f t="shared" si="9"/>
        <v>1.6201411406419337</v>
      </c>
      <c r="K75" s="6">
        <f t="shared" si="10"/>
        <v>0.86273165248501738</v>
      </c>
      <c r="L75" s="1">
        <f t="shared" si="11"/>
        <v>0.87684066815899753</v>
      </c>
    </row>
    <row r="76" spans="1:12" x14ac:dyDescent="0.25">
      <c r="A76" s="3">
        <v>43772</v>
      </c>
      <c r="B76" s="1">
        <f t="shared" si="6"/>
        <v>923</v>
      </c>
      <c r="C76" s="1">
        <v>2156.6295785401176</v>
      </c>
      <c r="D76" s="1">
        <f t="shared" si="7"/>
        <v>1233.6295785401173</v>
      </c>
      <c r="E76" s="2">
        <v>13</v>
      </c>
      <c r="F76" s="1">
        <v>165.89458296462442</v>
      </c>
      <c r="G76" s="1">
        <v>94.894582964624405</v>
      </c>
      <c r="H76" s="1">
        <v>71</v>
      </c>
      <c r="I76" s="6">
        <f t="shared" si="8"/>
        <v>1.3062380083627931</v>
      </c>
      <c r="J76" s="1">
        <f t="shared" si="9"/>
        <v>1.1406202703249011</v>
      </c>
      <c r="K76" s="6">
        <f t="shared" si="10"/>
        <v>0.81906898116909899</v>
      </c>
      <c r="L76" s="1">
        <f t="shared" si="11"/>
        <v>0.84047398252733208</v>
      </c>
    </row>
    <row r="77" spans="1:12" x14ac:dyDescent="0.25">
      <c r="A77" s="3">
        <v>43769</v>
      </c>
      <c r="B77" s="1">
        <f t="shared" si="6"/>
        <v>2300</v>
      </c>
      <c r="C77" s="1">
        <v>6493.7021186141874</v>
      </c>
      <c r="D77" s="1">
        <f t="shared" si="7"/>
        <v>4193.7021186141874</v>
      </c>
      <c r="E77" s="2">
        <v>50</v>
      </c>
      <c r="F77" s="1">
        <v>129.87404237228375</v>
      </c>
      <c r="G77" s="1">
        <v>83.874042372283753</v>
      </c>
      <c r="H77" s="1">
        <v>46</v>
      </c>
      <c r="I77" s="6">
        <f t="shared" si="8"/>
        <v>0.86680107630396974</v>
      </c>
      <c r="J77" s="1">
        <f t="shared" si="9"/>
        <v>0.7948242669501201</v>
      </c>
      <c r="K77" s="6">
        <f t="shared" si="10"/>
        <v>0.12997847228430914</v>
      </c>
      <c r="L77" s="1">
        <f t="shared" si="11"/>
        <v>0.26652976076733131</v>
      </c>
    </row>
    <row r="78" spans="1:12" x14ac:dyDescent="0.25">
      <c r="A78" s="3">
        <v>43767</v>
      </c>
      <c r="B78" s="1">
        <f t="shared" si="6"/>
        <v>1110</v>
      </c>
      <c r="C78" s="1">
        <v>2441.9790265776096</v>
      </c>
      <c r="D78" s="1">
        <f t="shared" si="7"/>
        <v>1331.9790265776098</v>
      </c>
      <c r="E78" s="2">
        <v>30</v>
      </c>
      <c r="F78" s="1">
        <v>81.399300885920326</v>
      </c>
      <c r="G78" s="1">
        <v>44.399300885920326</v>
      </c>
      <c r="H78" s="1">
        <v>37</v>
      </c>
      <c r="I78" s="6">
        <f t="shared" si="8"/>
        <v>-0.70722872261884762</v>
      </c>
      <c r="J78" s="1">
        <f t="shared" si="9"/>
        <v>-0.44379081965680428</v>
      </c>
      <c r="K78" s="6">
        <f t="shared" si="10"/>
        <v>-0.79736697366381903</v>
      </c>
      <c r="L78" s="1">
        <f t="shared" si="11"/>
        <v>-0.50585725286133287</v>
      </c>
    </row>
    <row r="79" spans="1:12" x14ac:dyDescent="0.25">
      <c r="A79" s="3">
        <v>43754</v>
      </c>
      <c r="B79" s="1">
        <f t="shared" si="6"/>
        <v>1156</v>
      </c>
      <c r="C79" s="1">
        <v>2371.5315376163821</v>
      </c>
      <c r="D79" s="1">
        <f t="shared" si="7"/>
        <v>1215.5315376163824</v>
      </c>
      <c r="E79" s="2">
        <v>17</v>
      </c>
      <c r="F79" s="1">
        <v>139.50185515390484</v>
      </c>
      <c r="G79" s="1">
        <v>71.501855153904842</v>
      </c>
      <c r="H79" s="1">
        <v>68</v>
      </c>
      <c r="I79" s="6">
        <f t="shared" si="8"/>
        <v>0.37346810878326336</v>
      </c>
      <c r="J79" s="1">
        <f t="shared" si="9"/>
        <v>0.40661709532612617</v>
      </c>
      <c r="K79" s="6">
        <f t="shared" si="10"/>
        <v>0.31416322631727589</v>
      </c>
      <c r="L79" s="1">
        <f t="shared" si="11"/>
        <v>0.41993743936762151</v>
      </c>
    </row>
    <row r="80" spans="1:12" x14ac:dyDescent="0.25">
      <c r="A80" s="3">
        <v>43745</v>
      </c>
      <c r="B80" s="1">
        <f t="shared" si="6"/>
        <v>2646</v>
      </c>
      <c r="C80" s="1">
        <v>4965.4466596933989</v>
      </c>
      <c r="D80" s="1">
        <f t="shared" si="7"/>
        <v>2319.4466596933989</v>
      </c>
      <c r="E80" s="2">
        <v>21</v>
      </c>
      <c r="F80" s="1">
        <v>236.44984093778089</v>
      </c>
      <c r="G80" s="1">
        <v>110.44984093778091</v>
      </c>
      <c r="H80" s="1">
        <v>126</v>
      </c>
      <c r="I80" s="6">
        <f t="shared" si="8"/>
        <v>1.9264938645826051</v>
      </c>
      <c r="J80" s="1">
        <f t="shared" si="9"/>
        <v>1.6287039531089944</v>
      </c>
      <c r="K80" s="6">
        <f t="shared" si="10"/>
        <v>2.1688254762606314</v>
      </c>
      <c r="L80" s="1">
        <f t="shared" si="11"/>
        <v>1.9646876107117495</v>
      </c>
    </row>
    <row r="81" spans="1:12" x14ac:dyDescent="0.25">
      <c r="A81" s="3">
        <v>43739</v>
      </c>
      <c r="B81" s="1">
        <f t="shared" si="6"/>
        <v>1368</v>
      </c>
      <c r="C81" s="1">
        <v>3517.5705064492572</v>
      </c>
      <c r="D81" s="1">
        <f t="shared" si="7"/>
        <v>2149.5705064492568</v>
      </c>
      <c r="E81" s="2">
        <v>24</v>
      </c>
      <c r="F81" s="1">
        <v>146.56543776871905</v>
      </c>
      <c r="G81" s="1">
        <v>89.565437768719036</v>
      </c>
      <c r="H81" s="1">
        <v>57</v>
      </c>
      <c r="I81" s="6">
        <f t="shared" si="8"/>
        <v>1.0937417886208818</v>
      </c>
      <c r="J81" s="1">
        <f t="shared" si="9"/>
        <v>0.97340550488692001</v>
      </c>
      <c r="K81" s="6">
        <f t="shared" si="10"/>
        <v>0.44929300667451683</v>
      </c>
      <c r="L81" s="1">
        <f t="shared" si="11"/>
        <v>0.53248717793426226</v>
      </c>
    </row>
    <row r="82" spans="1:12" x14ac:dyDescent="0.25">
      <c r="A82" s="3">
        <v>43735</v>
      </c>
      <c r="B82" s="1">
        <f t="shared" si="6"/>
        <v>1144</v>
      </c>
      <c r="C82" s="1">
        <v>2286.4925467420835</v>
      </c>
      <c r="D82" s="1">
        <f t="shared" si="7"/>
        <v>1142.4925467420837</v>
      </c>
      <c r="E82" s="2">
        <v>11</v>
      </c>
      <c r="F82" s="1">
        <v>207.86295879473488</v>
      </c>
      <c r="G82" s="1">
        <v>103.86295879473489</v>
      </c>
      <c r="H82" s="1">
        <v>104</v>
      </c>
      <c r="I82" s="6">
        <f t="shared" si="8"/>
        <v>1.6638461971183705</v>
      </c>
      <c r="J82" s="1">
        <f t="shared" si="9"/>
        <v>1.422024661772864</v>
      </c>
      <c r="K82" s="6">
        <f t="shared" si="10"/>
        <v>1.621944478934072</v>
      </c>
      <c r="L82" s="1">
        <f t="shared" si="11"/>
        <v>1.5091898432067214</v>
      </c>
    </row>
    <row r="83" spans="1:12" x14ac:dyDescent="0.25">
      <c r="A83" s="3">
        <v>43734</v>
      </c>
      <c r="B83" s="1">
        <f t="shared" si="6"/>
        <v>208</v>
      </c>
      <c r="C83" s="1">
        <v>383.53254678173693</v>
      </c>
      <c r="D83" s="1">
        <f t="shared" si="7"/>
        <v>175.53254678173693</v>
      </c>
      <c r="E83" s="2">
        <v>4</v>
      </c>
      <c r="F83" s="1">
        <v>95.883136695434231</v>
      </c>
      <c r="G83" s="1">
        <v>43.883136695434231</v>
      </c>
      <c r="H83" s="1">
        <v>52</v>
      </c>
      <c r="I83" s="6">
        <f t="shared" si="8"/>
        <v>-0.72781043604799445</v>
      </c>
      <c r="J83" s="1">
        <f t="shared" si="9"/>
        <v>-0.45998671428281929</v>
      </c>
      <c r="K83" s="6">
        <f t="shared" si="10"/>
        <v>-0.52028413080654246</v>
      </c>
      <c r="L83" s="1">
        <f t="shared" si="11"/>
        <v>-0.27507465673453485</v>
      </c>
    </row>
    <row r="84" spans="1:12" x14ac:dyDescent="0.25">
      <c r="A84" s="3">
        <v>43731</v>
      </c>
      <c r="B84" s="1">
        <f t="shared" si="6"/>
        <v>35002</v>
      </c>
      <c r="C84" s="1">
        <v>63613.49461122472</v>
      </c>
      <c r="D84" s="1">
        <f t="shared" si="7"/>
        <v>28611.494611224723</v>
      </c>
      <c r="E84" s="2">
        <v>814</v>
      </c>
      <c r="F84" s="1">
        <v>78.149256279145845</v>
      </c>
      <c r="G84" s="1">
        <v>35.149256279145852</v>
      </c>
      <c r="H84" s="1">
        <v>43</v>
      </c>
      <c r="I84" s="6">
        <f t="shared" si="8"/>
        <v>-1.0760682717634069</v>
      </c>
      <c r="J84" s="1">
        <f t="shared" si="9"/>
        <v>-0.73403324735441922</v>
      </c>
      <c r="K84" s="6">
        <f t="shared" si="10"/>
        <v>-0.85954191205041031</v>
      </c>
      <c r="L84" s="1">
        <f t="shared" si="11"/>
        <v>-0.55764282553308531</v>
      </c>
    </row>
    <row r="85" spans="1:12" x14ac:dyDescent="0.25">
      <c r="A85" s="3">
        <v>43730</v>
      </c>
      <c r="B85" s="1">
        <f t="shared" si="6"/>
        <v>3808</v>
      </c>
      <c r="C85" s="1">
        <v>6622.5526727896731</v>
      </c>
      <c r="D85" s="1">
        <f t="shared" si="7"/>
        <v>2814.5526727896727</v>
      </c>
      <c r="E85" s="2">
        <v>34</v>
      </c>
      <c r="F85" s="1">
        <v>194.78096096440214</v>
      </c>
      <c r="G85" s="1">
        <v>82.780960964402141</v>
      </c>
      <c r="H85" s="1">
        <v>112</v>
      </c>
      <c r="I85" s="6">
        <f t="shared" si="8"/>
        <v>0.82321516177053256</v>
      </c>
      <c r="J85" s="1">
        <f t="shared" si="9"/>
        <v>0.76052620515890068</v>
      </c>
      <c r="K85" s="6">
        <f t="shared" si="10"/>
        <v>1.3716794803001935</v>
      </c>
      <c r="L85" s="1">
        <f t="shared" si="11"/>
        <v>1.3007438582124569</v>
      </c>
    </row>
    <row r="86" spans="1:12" x14ac:dyDescent="0.25">
      <c r="A86" s="3">
        <v>43717</v>
      </c>
      <c r="B86" s="1">
        <f t="shared" si="6"/>
        <v>1596</v>
      </c>
      <c r="C86" s="1">
        <v>4146.8824297572364</v>
      </c>
      <c r="D86" s="1">
        <f t="shared" si="7"/>
        <v>2550.8824297572364</v>
      </c>
      <c r="E86" s="2">
        <v>28</v>
      </c>
      <c r="F86" s="1">
        <v>148.10294391990129</v>
      </c>
      <c r="G86" s="1">
        <v>91.102943919901307</v>
      </c>
      <c r="H86" s="1">
        <v>57</v>
      </c>
      <c r="I86" s="6">
        <f t="shared" si="8"/>
        <v>1.1550488525018205</v>
      </c>
      <c r="J86" s="1">
        <f t="shared" si="9"/>
        <v>1.021648463368692</v>
      </c>
      <c r="K86" s="6">
        <f t="shared" si="10"/>
        <v>0.47870624919417387</v>
      </c>
      <c r="L86" s="1">
        <f t="shared" si="11"/>
        <v>0.55698549908325534</v>
      </c>
    </row>
    <row r="87" spans="1:12" x14ac:dyDescent="0.25">
      <c r="A87" s="3">
        <v>43714</v>
      </c>
      <c r="B87" s="1">
        <f t="shared" si="6"/>
        <v>228</v>
      </c>
      <c r="C87" s="1">
        <v>475.03080785226382</v>
      </c>
      <c r="D87" s="1">
        <f t="shared" si="7"/>
        <v>247.03080785226385</v>
      </c>
      <c r="E87" s="2">
        <v>4</v>
      </c>
      <c r="F87" s="1">
        <v>118.75770196306595</v>
      </c>
      <c r="G87" s="1">
        <v>61.757701963065962</v>
      </c>
      <c r="H87" s="1">
        <v>57</v>
      </c>
      <c r="I87" s="6">
        <f t="shared" si="8"/>
        <v>-1.5073700741889072E-2</v>
      </c>
      <c r="J87" s="1">
        <f t="shared" si="9"/>
        <v>0.10087082077354</v>
      </c>
      <c r="K87" s="6">
        <f t="shared" si="10"/>
        <v>-8.2682541225112968E-2</v>
      </c>
      <c r="L87" s="1">
        <f t="shared" si="11"/>
        <v>8.940417519673545E-2</v>
      </c>
    </row>
    <row r="88" spans="1:12" x14ac:dyDescent="0.25">
      <c r="A88" s="3">
        <v>43712</v>
      </c>
      <c r="B88" s="1">
        <f t="shared" si="6"/>
        <v>378</v>
      </c>
      <c r="C88" s="1">
        <v>879.72177538792766</v>
      </c>
      <c r="D88" s="1">
        <f t="shared" si="7"/>
        <v>501.72177538792772</v>
      </c>
      <c r="E88" s="2">
        <v>9</v>
      </c>
      <c r="F88" s="1">
        <v>97.746863931991967</v>
      </c>
      <c r="G88" s="1">
        <v>55.746863931991967</v>
      </c>
      <c r="H88" s="1">
        <v>42</v>
      </c>
      <c r="I88" s="6">
        <f t="shared" si="8"/>
        <v>-0.25475198161618978</v>
      </c>
      <c r="J88" s="1">
        <f t="shared" si="9"/>
        <v>-8.7733699182868816E-2</v>
      </c>
      <c r="K88" s="6">
        <f t="shared" si="10"/>
        <v>-0.4846301198244003</v>
      </c>
      <c r="L88" s="1">
        <f t="shared" si="11"/>
        <v>-0.24537839285929194</v>
      </c>
    </row>
    <row r="89" spans="1:12" x14ac:dyDescent="0.25">
      <c r="A89" s="3">
        <v>43678</v>
      </c>
      <c r="B89" s="1">
        <f t="shared" si="6"/>
        <v>176</v>
      </c>
      <c r="C89" s="1">
        <v>313.89895318498077</v>
      </c>
      <c r="D89" s="1">
        <f t="shared" si="7"/>
        <v>137.89895318498074</v>
      </c>
      <c r="E89" s="2">
        <v>4</v>
      </c>
      <c r="F89" s="1">
        <v>78.474738296245192</v>
      </c>
      <c r="G89" s="1">
        <v>34.474738296245185</v>
      </c>
      <c r="H89" s="1">
        <v>44</v>
      </c>
      <c r="I89" s="6">
        <f t="shared" si="8"/>
        <v>-1.1029642402996855</v>
      </c>
      <c r="J89" s="1">
        <f t="shared" si="9"/>
        <v>-0.75519787360275192</v>
      </c>
      <c r="K89" s="6">
        <f t="shared" si="10"/>
        <v>-0.85331528232449427</v>
      </c>
      <c r="L89" s="1">
        <f t="shared" si="11"/>
        <v>-0.55245665897564389</v>
      </c>
    </row>
    <row r="90" spans="1:12" x14ac:dyDescent="0.25">
      <c r="A90" s="3">
        <v>43662</v>
      </c>
      <c r="B90" s="1">
        <f t="shared" si="6"/>
        <v>590</v>
      </c>
      <c r="C90" s="1">
        <v>1056.8216422404171</v>
      </c>
      <c r="D90" s="1">
        <f t="shared" si="7"/>
        <v>466.82164224041696</v>
      </c>
      <c r="E90" s="2">
        <v>10</v>
      </c>
      <c r="F90" s="1">
        <v>105.6821642240417</v>
      </c>
      <c r="G90" s="1">
        <v>46.682164224041699</v>
      </c>
      <c r="H90" s="1">
        <v>59</v>
      </c>
      <c r="I90" s="6">
        <f t="shared" si="8"/>
        <v>-0.61620102273352317</v>
      </c>
      <c r="J90" s="1">
        <f t="shared" si="9"/>
        <v>-0.37216048428815418</v>
      </c>
      <c r="K90" s="6">
        <f t="shared" si="10"/>
        <v>-0.33282395516164937</v>
      </c>
      <c r="L90" s="1">
        <f t="shared" si="11"/>
        <v>-0.11893887597095207</v>
      </c>
    </row>
    <row r="91" spans="1:12" x14ac:dyDescent="0.25">
      <c r="A91" s="3">
        <v>43655</v>
      </c>
      <c r="B91" s="1">
        <f t="shared" si="6"/>
        <v>4818</v>
      </c>
      <c r="C91" s="1">
        <v>8467.7346029795426</v>
      </c>
      <c r="D91" s="1">
        <f t="shared" si="7"/>
        <v>3649.7346029795431</v>
      </c>
      <c r="E91" s="2">
        <v>73</v>
      </c>
      <c r="F91" s="1">
        <v>115.9963644243773</v>
      </c>
      <c r="G91" s="1">
        <v>49.996364424377305</v>
      </c>
      <c r="H91" s="1">
        <v>66</v>
      </c>
      <c r="I91" s="6">
        <f t="shared" si="8"/>
        <v>-0.48404943215942636</v>
      </c>
      <c r="J91" s="1">
        <f t="shared" si="9"/>
        <v>-0.26816947095651644</v>
      </c>
      <c r="K91" s="6">
        <f t="shared" si="10"/>
        <v>-0.13550827505494462</v>
      </c>
      <c r="L91" s="1">
        <f t="shared" si="11"/>
        <v>4.540556499829957E-2</v>
      </c>
    </row>
    <row r="92" spans="1:12" x14ac:dyDescent="0.25">
      <c r="A92" s="3">
        <v>43653</v>
      </c>
      <c r="B92" s="1">
        <f t="shared" si="6"/>
        <v>237</v>
      </c>
      <c r="C92" s="1">
        <v>469.61715803202941</v>
      </c>
      <c r="D92" s="1">
        <f t="shared" si="7"/>
        <v>232.61715803202941</v>
      </c>
      <c r="E92" s="2">
        <v>3</v>
      </c>
      <c r="F92" s="1">
        <v>156.53905267734314</v>
      </c>
      <c r="G92" s="1">
        <v>77.539052677343136</v>
      </c>
      <c r="H92" s="1">
        <v>79</v>
      </c>
      <c r="I92" s="6">
        <f t="shared" si="8"/>
        <v>0.61419745737589782</v>
      </c>
      <c r="J92" s="1">
        <f t="shared" si="9"/>
        <v>0.59604870784067121</v>
      </c>
      <c r="K92" s="6">
        <f t="shared" si="10"/>
        <v>0.64009312404605068</v>
      </c>
      <c r="L92" s="1">
        <f t="shared" si="11"/>
        <v>0.69140479973368063</v>
      </c>
    </row>
    <row r="93" spans="1:12" x14ac:dyDescent="0.25">
      <c r="A93" s="3">
        <v>43650</v>
      </c>
      <c r="B93" s="1">
        <f t="shared" si="6"/>
        <v>287</v>
      </c>
      <c r="C93" s="1">
        <v>568.69068459811206</v>
      </c>
      <c r="D93" s="1">
        <f t="shared" si="7"/>
        <v>281.69068459811211</v>
      </c>
      <c r="E93" s="2">
        <v>7</v>
      </c>
      <c r="F93" s="1">
        <v>81.241526371158869</v>
      </c>
      <c r="G93" s="1">
        <v>40.241526371158876</v>
      </c>
      <c r="H93" s="1">
        <v>41</v>
      </c>
      <c r="I93" s="6">
        <f t="shared" si="8"/>
        <v>-0.87301729366489655</v>
      </c>
      <c r="J93" s="1">
        <f t="shared" si="9"/>
        <v>-0.57425100880009083</v>
      </c>
      <c r="K93" s="6">
        <f t="shared" si="10"/>
        <v>-0.80038527707843077</v>
      </c>
      <c r="L93" s="1">
        <f t="shared" si="11"/>
        <v>-0.50837120100312116</v>
      </c>
    </row>
    <row r="94" spans="1:12" x14ac:dyDescent="0.25">
      <c r="A94" s="3">
        <v>43629</v>
      </c>
      <c r="B94" s="1">
        <f t="shared" si="6"/>
        <v>333</v>
      </c>
      <c r="C94" s="1">
        <v>667.43215316018927</v>
      </c>
      <c r="D94" s="1">
        <f t="shared" si="7"/>
        <v>334.43215316018922</v>
      </c>
      <c r="E94" s="2">
        <v>9</v>
      </c>
      <c r="F94" s="1">
        <v>74.159128128909913</v>
      </c>
      <c r="G94" s="1">
        <v>37.159128128909913</v>
      </c>
      <c r="H94" s="1">
        <v>37</v>
      </c>
      <c r="I94" s="6">
        <f t="shared" si="8"/>
        <v>-0.99592593100513693</v>
      </c>
      <c r="J94" s="1">
        <f t="shared" si="9"/>
        <v>-0.67096867741608746</v>
      </c>
      <c r="K94" s="6">
        <f t="shared" si="10"/>
        <v>-0.93587500956495084</v>
      </c>
      <c r="L94" s="1">
        <f t="shared" si="11"/>
        <v>-0.62122074408316941</v>
      </c>
    </row>
    <row r="95" spans="1:12" x14ac:dyDescent="0.25">
      <c r="A95" s="3">
        <v>43620</v>
      </c>
      <c r="B95" s="1">
        <f t="shared" si="6"/>
        <v>768</v>
      </c>
      <c r="C95" s="1">
        <v>1684.1198470002232</v>
      </c>
      <c r="D95" s="1">
        <f t="shared" si="7"/>
        <v>916.11984700022322</v>
      </c>
      <c r="E95" s="2">
        <v>16</v>
      </c>
      <c r="F95" s="1">
        <v>105.25749043751395</v>
      </c>
      <c r="G95" s="1">
        <v>57.257490437513951</v>
      </c>
      <c r="H95" s="1">
        <v>48</v>
      </c>
      <c r="I95" s="6">
        <f t="shared" si="8"/>
        <v>-0.19451672623001709</v>
      </c>
      <c r="J95" s="1">
        <f t="shared" si="9"/>
        <v>-4.033415432165182E-2</v>
      </c>
      <c r="K95" s="6">
        <f t="shared" si="10"/>
        <v>-0.34094817181293036</v>
      </c>
      <c r="L95" s="1">
        <f t="shared" si="11"/>
        <v>-0.12570554470779965</v>
      </c>
    </row>
    <row r="96" spans="1:12" x14ac:dyDescent="0.25">
      <c r="A96" s="3">
        <v>43616</v>
      </c>
      <c r="B96" s="1">
        <f t="shared" si="6"/>
        <v>1739</v>
      </c>
      <c r="C96" s="1">
        <v>4407.5414197857708</v>
      </c>
      <c r="D96" s="1">
        <f t="shared" si="7"/>
        <v>2668.5414197857708</v>
      </c>
      <c r="E96" s="2">
        <v>37</v>
      </c>
      <c r="F96" s="1">
        <v>119.1227410752911</v>
      </c>
      <c r="G96" s="1">
        <v>72.122741075291103</v>
      </c>
      <c r="H96" s="1">
        <v>47</v>
      </c>
      <c r="I96" s="6">
        <f t="shared" si="8"/>
        <v>0.39822553353628498</v>
      </c>
      <c r="J96" s="1">
        <f t="shared" si="9"/>
        <v>0.42609888647494293</v>
      </c>
      <c r="K96" s="6">
        <f t="shared" si="10"/>
        <v>-7.5699164977295993E-2</v>
      </c>
      <c r="L96" s="1">
        <f t="shared" si="11"/>
        <v>9.5220636741528975E-2</v>
      </c>
    </row>
    <row r="97" spans="1:12" x14ac:dyDescent="0.25">
      <c r="A97" s="3">
        <v>43609</v>
      </c>
      <c r="B97" s="1">
        <f t="shared" si="6"/>
        <v>3570</v>
      </c>
      <c r="C97" s="1">
        <v>6260.9032444982422</v>
      </c>
      <c r="D97" s="1">
        <f t="shared" si="7"/>
        <v>2690.9032444982427</v>
      </c>
      <c r="E97" s="2">
        <v>34</v>
      </c>
      <c r="F97" s="1">
        <v>184.14421307347772</v>
      </c>
      <c r="G97" s="1">
        <v>79.144213073477729</v>
      </c>
      <c r="H97" s="1">
        <v>105</v>
      </c>
      <c r="I97" s="6">
        <f t="shared" si="8"/>
        <v>0.67820219054025321</v>
      </c>
      <c r="J97" s="1">
        <f t="shared" si="9"/>
        <v>0.64641448119888489</v>
      </c>
      <c r="K97" s="6">
        <f t="shared" si="10"/>
        <v>1.1681933055648011</v>
      </c>
      <c r="L97" s="1">
        <f t="shared" si="11"/>
        <v>1.131260005668276</v>
      </c>
    </row>
    <row r="98" spans="1:12" x14ac:dyDescent="0.25">
      <c r="A98" s="3">
        <v>43608</v>
      </c>
      <c r="B98" s="1">
        <f t="shared" si="6"/>
        <v>2223</v>
      </c>
      <c r="C98" s="1">
        <v>4444.9323414051196</v>
      </c>
      <c r="D98" s="1">
        <f t="shared" si="7"/>
        <v>2221.9323414051196</v>
      </c>
      <c r="E98" s="2">
        <v>39</v>
      </c>
      <c r="F98" s="1">
        <v>113.97262413859281</v>
      </c>
      <c r="G98" s="1">
        <v>56.972624138592813</v>
      </c>
      <c r="H98" s="1">
        <v>57</v>
      </c>
      <c r="I98" s="6">
        <f t="shared" si="8"/>
        <v>-0.20587558575201348</v>
      </c>
      <c r="J98" s="1">
        <f t="shared" si="9"/>
        <v>-4.9272520533156651E-2</v>
      </c>
      <c r="K98" s="6">
        <f t="shared" si="10"/>
        <v>-0.17422341370776157</v>
      </c>
      <c r="L98" s="1">
        <f t="shared" si="11"/>
        <v>1.3159684612597434E-2</v>
      </c>
    </row>
    <row r="99" spans="1:12" x14ac:dyDescent="0.25">
      <c r="A99" s="3">
        <v>43592</v>
      </c>
      <c r="B99" s="1">
        <f t="shared" si="6"/>
        <v>336</v>
      </c>
      <c r="C99" s="1">
        <v>694.57219823768196</v>
      </c>
      <c r="D99" s="1">
        <f t="shared" si="7"/>
        <v>358.57219823768207</v>
      </c>
      <c r="E99" s="2">
        <v>6</v>
      </c>
      <c r="F99" s="1">
        <v>115.76203303961367</v>
      </c>
      <c r="G99" s="1">
        <v>59.762033039613677</v>
      </c>
      <c r="H99" s="1">
        <v>56</v>
      </c>
      <c r="I99" s="6">
        <f t="shared" si="8"/>
        <v>-9.4649708994742621E-2</v>
      </c>
      <c r="J99" s="1">
        <f t="shared" si="9"/>
        <v>3.8251901855109398E-2</v>
      </c>
      <c r="K99" s="6">
        <f t="shared" si="10"/>
        <v>-0.13999114872977189</v>
      </c>
      <c r="L99" s="1">
        <f t="shared" si="11"/>
        <v>4.1671774720573804E-2</v>
      </c>
    </row>
    <row r="100" spans="1:12" x14ac:dyDescent="0.25">
      <c r="A100" s="3">
        <v>43586</v>
      </c>
      <c r="B100" s="1">
        <f t="shared" si="6"/>
        <v>144</v>
      </c>
      <c r="C100" s="1">
        <v>281.78268842497494</v>
      </c>
      <c r="D100" s="1">
        <f t="shared" si="7"/>
        <v>137.78268842497494</v>
      </c>
      <c r="E100" s="2">
        <v>4</v>
      </c>
      <c r="F100" s="1">
        <v>70.445672106243734</v>
      </c>
      <c r="G100" s="1">
        <v>34.445672106243734</v>
      </c>
      <c r="H100" s="1">
        <v>36</v>
      </c>
      <c r="I100" s="6">
        <f t="shared" si="8"/>
        <v>-1.1041232358365971</v>
      </c>
      <c r="J100" s="1">
        <f t="shared" si="9"/>
        <v>-0.75610989531816752</v>
      </c>
      <c r="K100" s="6">
        <f t="shared" si="10"/>
        <v>-1.0069152343450434</v>
      </c>
      <c r="L100" s="1">
        <f t="shared" si="11"/>
        <v>-0.68039022327256082</v>
      </c>
    </row>
    <row r="101" spans="1:12" x14ac:dyDescent="0.25">
      <c r="A101" s="3">
        <v>43580</v>
      </c>
      <c r="B101" s="1">
        <f t="shared" si="6"/>
        <v>980</v>
      </c>
      <c r="C101" s="1">
        <v>2034.2611545552995</v>
      </c>
      <c r="D101" s="1">
        <f t="shared" si="7"/>
        <v>1054.2611545552993</v>
      </c>
      <c r="E101" s="2">
        <v>20</v>
      </c>
      <c r="F101" s="1">
        <v>101.71305772776498</v>
      </c>
      <c r="G101" s="1">
        <v>52.713057727764969</v>
      </c>
      <c r="H101" s="1">
        <v>49</v>
      </c>
      <c r="I101" s="6">
        <f t="shared" si="8"/>
        <v>-0.37572304285188773</v>
      </c>
      <c r="J101" s="1">
        <f t="shared" si="9"/>
        <v>-0.18292667557500944</v>
      </c>
      <c r="K101" s="6">
        <f t="shared" si="10"/>
        <v>-0.40875489818361033</v>
      </c>
      <c r="L101" s="1">
        <f t="shared" si="11"/>
        <v>-0.18218183961410478</v>
      </c>
    </row>
    <row r="102" spans="1:12" x14ac:dyDescent="0.25">
      <c r="A102" s="3">
        <v>43576</v>
      </c>
      <c r="B102" s="1">
        <f t="shared" si="6"/>
        <v>18</v>
      </c>
      <c r="C102" s="1">
        <v>43.415516358062575</v>
      </c>
      <c r="D102" s="1">
        <f t="shared" si="7"/>
        <v>25.415516358062572</v>
      </c>
      <c r="E102" s="2">
        <v>2</v>
      </c>
      <c r="F102" s="1">
        <v>21.707758179031288</v>
      </c>
      <c r="G102" s="1">
        <v>12.707758179031286</v>
      </c>
      <c r="H102" s="1">
        <v>9</v>
      </c>
      <c r="I102" s="6">
        <f t="shared" si="8"/>
        <v>-1.9709085015405334</v>
      </c>
      <c r="J102" s="1">
        <f t="shared" si="9"/>
        <v>-1.438189299205064</v>
      </c>
      <c r="K102" s="6">
        <f t="shared" si="10"/>
        <v>-1.9392952974368038</v>
      </c>
      <c r="L102" s="1">
        <f t="shared" si="11"/>
        <v>-1.4569705749041502</v>
      </c>
    </row>
    <row r="103" spans="1:12" x14ac:dyDescent="0.25">
      <c r="A103" s="3">
        <v>43575</v>
      </c>
      <c r="B103" s="1">
        <f t="shared" si="6"/>
        <v>1080</v>
      </c>
      <c r="C103" s="1">
        <v>2016.2122593586353</v>
      </c>
      <c r="D103" s="1">
        <f t="shared" si="7"/>
        <v>936.21225935863549</v>
      </c>
      <c r="E103" s="2">
        <v>15</v>
      </c>
      <c r="F103" s="1">
        <v>134.41415062390902</v>
      </c>
      <c r="G103" s="1">
        <v>62.41415062390903</v>
      </c>
      <c r="H103" s="1">
        <v>72</v>
      </c>
      <c r="I103" s="6">
        <f t="shared" si="8"/>
        <v>1.1101765257981032E-2</v>
      </c>
      <c r="J103" s="1">
        <f t="shared" si="9"/>
        <v>0.12146847852347151</v>
      </c>
      <c r="K103" s="6">
        <f t="shared" si="10"/>
        <v>0.2168329573657945</v>
      </c>
      <c r="L103" s="1">
        <f t="shared" si="11"/>
        <v>0.33887095427344177</v>
      </c>
    </row>
    <row r="104" spans="1:12" x14ac:dyDescent="0.25">
      <c r="A104" s="3">
        <v>43561</v>
      </c>
      <c r="B104" s="1">
        <f t="shared" si="6"/>
        <v>3600</v>
      </c>
      <c r="C104" s="1">
        <v>6879.6406864616565</v>
      </c>
      <c r="D104" s="1">
        <f t="shared" si="7"/>
        <v>3279.640686461657</v>
      </c>
      <c r="E104" s="2">
        <v>36</v>
      </c>
      <c r="F104" s="1">
        <v>191.10113017949047</v>
      </c>
      <c r="G104" s="1">
        <v>91.101130179490468</v>
      </c>
      <c r="H104" s="1">
        <v>100</v>
      </c>
      <c r="I104" s="6">
        <f t="shared" si="8"/>
        <v>1.1549765307754032</v>
      </c>
      <c r="J104" s="1">
        <f t="shared" si="9"/>
        <v>1.0215915528950203</v>
      </c>
      <c r="K104" s="6">
        <f t="shared" si="10"/>
        <v>1.3012825227174998</v>
      </c>
      <c r="L104" s="1">
        <f t="shared" si="11"/>
        <v>1.2421101569596857</v>
      </c>
    </row>
    <row r="105" spans="1:12" x14ac:dyDescent="0.25">
      <c r="A105" s="3">
        <v>43538</v>
      </c>
      <c r="B105" s="1">
        <f t="shared" si="6"/>
        <v>2623</v>
      </c>
      <c r="C105" s="1">
        <v>4921.5575570962437</v>
      </c>
      <c r="D105" s="1">
        <f t="shared" si="7"/>
        <v>2298.5575570962437</v>
      </c>
      <c r="E105" s="2">
        <v>43</v>
      </c>
      <c r="F105" s="1">
        <v>114.45482690921497</v>
      </c>
      <c r="G105" s="1">
        <v>53.454826909214972</v>
      </c>
      <c r="H105" s="1">
        <v>61</v>
      </c>
      <c r="I105" s="6">
        <f t="shared" si="8"/>
        <v>-0.34614547624696829</v>
      </c>
      <c r="J105" s="1">
        <f t="shared" si="9"/>
        <v>-0.15965188100184088</v>
      </c>
      <c r="K105" s="6">
        <f t="shared" si="10"/>
        <v>-0.16499863953365215</v>
      </c>
      <c r="L105" s="1">
        <f t="shared" si="11"/>
        <v>2.08430088871394E-2</v>
      </c>
    </row>
    <row r="106" spans="1:12" x14ac:dyDescent="0.25">
      <c r="A106" s="3">
        <v>43538</v>
      </c>
      <c r="B106" s="1">
        <f t="shared" si="6"/>
        <v>2376</v>
      </c>
      <c r="C106" s="1">
        <v>4547.0463544049644</v>
      </c>
      <c r="D106" s="1">
        <f t="shared" si="7"/>
        <v>2171.0463544049649</v>
      </c>
      <c r="E106" s="2">
        <v>33</v>
      </c>
      <c r="F106" s="1">
        <v>137.7892834668171</v>
      </c>
      <c r="G106" s="1">
        <v>65.78928346681711</v>
      </c>
      <c r="H106" s="1">
        <v>72</v>
      </c>
      <c r="I106" s="6">
        <f t="shared" si="8"/>
        <v>0.14568300556567573</v>
      </c>
      <c r="J106" s="1">
        <f t="shared" si="9"/>
        <v>0.2273714002683199</v>
      </c>
      <c r="K106" s="6">
        <f t="shared" si="10"/>
        <v>0.28140089471562535</v>
      </c>
      <c r="L106" s="1">
        <f t="shared" si="11"/>
        <v>0.39264965834073723</v>
      </c>
    </row>
    <row r="107" spans="1:12" x14ac:dyDescent="0.25">
      <c r="A107" s="3">
        <v>43537</v>
      </c>
      <c r="B107" s="1">
        <f t="shared" si="6"/>
        <v>429</v>
      </c>
      <c r="C107" s="1">
        <v>783.24629021113537</v>
      </c>
      <c r="D107" s="1">
        <f t="shared" si="7"/>
        <v>354.24629021113532</v>
      </c>
      <c r="E107" s="2">
        <v>11</v>
      </c>
      <c r="F107" s="1">
        <v>71.204208201012307</v>
      </c>
      <c r="G107" s="1">
        <v>32.2042082010123</v>
      </c>
      <c r="H107" s="1">
        <v>39</v>
      </c>
      <c r="I107" s="6">
        <f t="shared" si="8"/>
        <v>-1.1935001600974686</v>
      </c>
      <c r="J107" s="1">
        <f t="shared" si="9"/>
        <v>-0.82644122377192342</v>
      </c>
      <c r="K107" s="6">
        <f t="shared" si="10"/>
        <v>-0.99240406891121014</v>
      </c>
      <c r="L107" s="1">
        <f t="shared" si="11"/>
        <v>-0.66830385806455528</v>
      </c>
    </row>
    <row r="108" spans="1:12" x14ac:dyDescent="0.25">
      <c r="A108" s="3">
        <v>43533</v>
      </c>
      <c r="B108" s="1">
        <f t="shared" si="6"/>
        <v>158</v>
      </c>
      <c r="C108" s="1">
        <v>286.21210976344196</v>
      </c>
      <c r="D108" s="1">
        <f t="shared" si="7"/>
        <v>128.21210976344193</v>
      </c>
      <c r="E108" s="2">
        <v>2</v>
      </c>
      <c r="F108" s="1">
        <v>143.10605488172098</v>
      </c>
      <c r="G108" s="1">
        <v>64.106054881720965</v>
      </c>
      <c r="H108" s="1">
        <v>79</v>
      </c>
      <c r="I108" s="6">
        <f t="shared" si="8"/>
        <v>7.8565353832471124E-2</v>
      </c>
      <c r="J108" s="1">
        <f t="shared" si="9"/>
        <v>0.17455604945903511</v>
      </c>
      <c r="K108" s="6">
        <f t="shared" si="10"/>
        <v>0.38311332489218053</v>
      </c>
      <c r="L108" s="1">
        <f t="shared" si="11"/>
        <v>0.47736605020554168</v>
      </c>
    </row>
    <row r="109" spans="1:12" x14ac:dyDescent="0.25">
      <c r="A109" s="3">
        <v>43532</v>
      </c>
      <c r="B109" s="1">
        <f t="shared" si="6"/>
        <v>165</v>
      </c>
      <c r="C109" s="1">
        <v>364.11883049612743</v>
      </c>
      <c r="D109" s="1">
        <f t="shared" si="7"/>
        <v>199.1188304961274</v>
      </c>
      <c r="E109" s="2">
        <v>5</v>
      </c>
      <c r="F109" s="1">
        <v>72.82376609922548</v>
      </c>
      <c r="G109" s="1">
        <v>39.82376609922548</v>
      </c>
      <c r="H109" s="1">
        <v>33</v>
      </c>
      <c r="I109" s="6">
        <f t="shared" si="8"/>
        <v>-0.88967521445347031</v>
      </c>
      <c r="J109" s="1">
        <f t="shared" si="9"/>
        <v>-0.58735924348176616</v>
      </c>
      <c r="K109" s="6">
        <f t="shared" si="10"/>
        <v>-0.96142113645390537</v>
      </c>
      <c r="L109" s="1">
        <f t="shared" si="11"/>
        <v>-0.6424981404878769</v>
      </c>
    </row>
    <row r="110" spans="1:12" x14ac:dyDescent="0.25">
      <c r="A110" s="3">
        <v>43526</v>
      </c>
      <c r="B110" s="1">
        <f t="shared" si="6"/>
        <v>722</v>
      </c>
      <c r="C110" s="1">
        <v>2058.3453627646468</v>
      </c>
      <c r="D110" s="1">
        <f t="shared" si="7"/>
        <v>1336.345362764647</v>
      </c>
      <c r="E110" s="2">
        <v>19</v>
      </c>
      <c r="F110" s="1">
        <v>108.33396646129721</v>
      </c>
      <c r="G110" s="1">
        <v>70.333966461297209</v>
      </c>
      <c r="H110" s="1">
        <v>38</v>
      </c>
      <c r="I110" s="6">
        <f t="shared" si="8"/>
        <v>0.32689930212940688</v>
      </c>
      <c r="J110" s="1">
        <f t="shared" si="9"/>
        <v>0.3699717748079116</v>
      </c>
      <c r="K110" s="6">
        <f t="shared" si="10"/>
        <v>-0.28209368506901272</v>
      </c>
      <c r="L110" s="1">
        <f t="shared" si="11"/>
        <v>-7.6685579760104136E-2</v>
      </c>
    </row>
    <row r="111" spans="1:12" x14ac:dyDescent="0.25">
      <c r="A111" s="3">
        <v>43525</v>
      </c>
      <c r="B111" s="1">
        <f t="shared" si="6"/>
        <v>602</v>
      </c>
      <c r="C111" s="1">
        <v>1318.4273211861464</v>
      </c>
      <c r="D111" s="1">
        <f t="shared" si="7"/>
        <v>716.4273211861464</v>
      </c>
      <c r="E111" s="2">
        <v>14</v>
      </c>
      <c r="F111" s="1">
        <v>94.173380084724741</v>
      </c>
      <c r="G111" s="1">
        <v>51.173380084724741</v>
      </c>
      <c r="H111" s="1">
        <v>43</v>
      </c>
      <c r="I111" s="6">
        <f t="shared" si="8"/>
        <v>-0.43711669356693467</v>
      </c>
      <c r="J111" s="1">
        <f t="shared" si="9"/>
        <v>-0.23123776984372846</v>
      </c>
      <c r="K111" s="6">
        <f t="shared" si="10"/>
        <v>-0.55299260862415367</v>
      </c>
      <c r="L111" s="1">
        <f t="shared" si="11"/>
        <v>-0.30231758288710175</v>
      </c>
    </row>
    <row r="112" spans="1:12" x14ac:dyDescent="0.25">
      <c r="A112" s="3">
        <v>43517</v>
      </c>
      <c r="B112" s="1">
        <f t="shared" si="6"/>
        <v>1892</v>
      </c>
      <c r="C112" s="1">
        <v>3323.208542475415</v>
      </c>
      <c r="D112" s="1">
        <f t="shared" si="7"/>
        <v>1431.2085424754146</v>
      </c>
      <c r="E112" s="2">
        <v>22</v>
      </c>
      <c r="F112" s="1">
        <v>151.05493374888249</v>
      </c>
      <c r="G112" s="1">
        <v>65.054933748882476</v>
      </c>
      <c r="H112" s="1">
        <v>86</v>
      </c>
      <c r="I112" s="6">
        <f t="shared" si="8"/>
        <v>0.11640128527223234</v>
      </c>
      <c r="J112" s="1">
        <f t="shared" si="9"/>
        <v>0.20432940923226484</v>
      </c>
      <c r="K112" s="6">
        <f t="shared" si="10"/>
        <v>0.53517925431914204</v>
      </c>
      <c r="L112" s="1">
        <f t="shared" si="11"/>
        <v>0.60402192544378364</v>
      </c>
    </row>
    <row r="113" spans="1:12" x14ac:dyDescent="0.25">
      <c r="A113" s="3">
        <v>43501</v>
      </c>
      <c r="B113" s="1">
        <f t="shared" si="6"/>
        <v>270</v>
      </c>
      <c r="C113" s="1">
        <v>725.0894329109575</v>
      </c>
      <c r="D113" s="1">
        <f t="shared" si="7"/>
        <v>455.0894329109575</v>
      </c>
      <c r="E113" s="2">
        <v>5</v>
      </c>
      <c r="F113" s="1">
        <v>145.01788658219149</v>
      </c>
      <c r="G113" s="1">
        <v>91.017886582191494</v>
      </c>
      <c r="H113" s="1">
        <v>54</v>
      </c>
      <c r="I113" s="6">
        <f t="shared" si="8"/>
        <v>1.1516572461446632</v>
      </c>
      <c r="J113" s="1">
        <f t="shared" si="9"/>
        <v>1.0189795845427119</v>
      </c>
      <c r="K113" s="6">
        <f t="shared" si="10"/>
        <v>0.41968759772970243</v>
      </c>
      <c r="L113" s="1">
        <f t="shared" si="11"/>
        <v>0.50782880116425366</v>
      </c>
    </row>
    <row r="114" spans="1:12" x14ac:dyDescent="0.25">
      <c r="A114" s="3">
        <v>43499</v>
      </c>
      <c r="B114" s="1">
        <f t="shared" si="6"/>
        <v>480</v>
      </c>
      <c r="C114" s="1">
        <v>1300.5940643500865</v>
      </c>
      <c r="D114" s="1">
        <f t="shared" si="7"/>
        <v>820.59406435008646</v>
      </c>
      <c r="E114" s="2">
        <v>12</v>
      </c>
      <c r="F114" s="1">
        <v>108.38283869584053</v>
      </c>
      <c r="G114" s="1">
        <v>68.382838695840533</v>
      </c>
      <c r="H114" s="1">
        <v>40</v>
      </c>
      <c r="I114" s="6">
        <f t="shared" si="8"/>
        <v>0.24909934375867451</v>
      </c>
      <c r="J114" s="1">
        <f t="shared" si="9"/>
        <v>0.30875044199621621</v>
      </c>
      <c r="K114" s="6">
        <f t="shared" si="10"/>
        <v>-0.28115873538702607</v>
      </c>
      <c r="L114" s="1">
        <f t="shared" si="11"/>
        <v>-7.5906859170147042E-2</v>
      </c>
    </row>
    <row r="115" spans="1:12" x14ac:dyDescent="0.25">
      <c r="A115" s="3">
        <v>43498</v>
      </c>
      <c r="B115" s="1">
        <f t="shared" si="6"/>
        <v>840</v>
      </c>
      <c r="C115" s="1">
        <v>2462.0207728639889</v>
      </c>
      <c r="D115" s="1">
        <f t="shared" si="7"/>
        <v>1622.0207728639894</v>
      </c>
      <c r="E115" s="2">
        <v>28</v>
      </c>
      <c r="F115" s="1">
        <v>87.92931331657104</v>
      </c>
      <c r="G115" s="1">
        <v>57.929313316571047</v>
      </c>
      <c r="H115" s="1">
        <v>30</v>
      </c>
      <c r="I115" s="6">
        <f t="shared" si="8"/>
        <v>-0.16772822321729203</v>
      </c>
      <c r="J115" s="1">
        <f t="shared" si="9"/>
        <v>-1.9254093447401935E-2</v>
      </c>
      <c r="K115" s="6">
        <f t="shared" si="10"/>
        <v>-0.67244465115381413</v>
      </c>
      <c r="L115" s="1">
        <f t="shared" si="11"/>
        <v>-0.40180931685145815</v>
      </c>
    </row>
    <row r="116" spans="1:12" x14ac:dyDescent="0.25">
      <c r="A116" s="3">
        <v>43466</v>
      </c>
      <c r="B116" s="1">
        <f t="shared" si="6"/>
        <v>1863</v>
      </c>
      <c r="C116" s="1">
        <v>3426.3612612443781</v>
      </c>
      <c r="D116" s="1">
        <f t="shared" si="7"/>
        <v>1563.3612612443781</v>
      </c>
      <c r="E116" s="2">
        <v>23</v>
      </c>
      <c r="F116" s="1">
        <v>148.97222874975557</v>
      </c>
      <c r="G116" s="1">
        <v>67.972228749755573</v>
      </c>
      <c r="H116" s="1">
        <v>81</v>
      </c>
      <c r="I116" s="6">
        <f t="shared" si="8"/>
        <v>0.23272653759108788</v>
      </c>
      <c r="J116" s="1">
        <f t="shared" si="9"/>
        <v>0.2958665660091529</v>
      </c>
      <c r="K116" s="6">
        <f t="shared" si="10"/>
        <v>0.49533609194277178</v>
      </c>
      <c r="L116" s="1">
        <f t="shared" si="11"/>
        <v>0.5708365128924312</v>
      </c>
    </row>
    <row r="117" spans="1:12" x14ac:dyDescent="0.25">
      <c r="A117" s="3">
        <v>43463</v>
      </c>
      <c r="B117" s="1">
        <f t="shared" si="6"/>
        <v>420</v>
      </c>
      <c r="C117" s="1">
        <v>700.71371921657953</v>
      </c>
      <c r="D117" s="1">
        <f t="shared" si="7"/>
        <v>280.71371921657959</v>
      </c>
      <c r="E117" s="2">
        <v>6</v>
      </c>
      <c r="F117" s="1">
        <v>116.78561986942992</v>
      </c>
      <c r="G117" s="1">
        <v>46.785619869429929</v>
      </c>
      <c r="H117" s="1">
        <v>70</v>
      </c>
      <c r="I117" s="6">
        <f t="shared" si="8"/>
        <v>-0.61207579575099513</v>
      </c>
      <c r="J117" s="1">
        <f t="shared" si="9"/>
        <v>-0.36891431424757809</v>
      </c>
      <c r="K117" s="6">
        <f t="shared" si="10"/>
        <v>-0.12040943346823489</v>
      </c>
      <c r="L117" s="1">
        <f t="shared" si="11"/>
        <v>5.7981406302493939E-2</v>
      </c>
    </row>
    <row r="118" spans="1:12" x14ac:dyDescent="0.25">
      <c r="A118" s="3">
        <v>43434</v>
      </c>
      <c r="B118" s="1">
        <f t="shared" si="6"/>
        <v>2016</v>
      </c>
      <c r="C118" s="1">
        <v>5257.3957015789138</v>
      </c>
      <c r="D118" s="1">
        <f t="shared" si="7"/>
        <v>3241.3957015789133</v>
      </c>
      <c r="E118" s="2">
        <v>72</v>
      </c>
      <c r="F118" s="1">
        <v>73.01938474415158</v>
      </c>
      <c r="G118" s="1">
        <v>45.019384744151573</v>
      </c>
      <c r="H118" s="1">
        <v>28</v>
      </c>
      <c r="I118" s="6">
        <f t="shared" si="8"/>
        <v>-0.6825032796156506</v>
      </c>
      <c r="J118" s="1">
        <f t="shared" si="9"/>
        <v>-0.42433419517119558</v>
      </c>
      <c r="K118" s="6">
        <f t="shared" si="10"/>
        <v>-0.95767885637251915</v>
      </c>
      <c r="L118" s="1">
        <f t="shared" si="11"/>
        <v>-0.63938119140611516</v>
      </c>
    </row>
    <row r="119" spans="1:12" x14ac:dyDescent="0.25">
      <c r="A119" s="3">
        <v>43422</v>
      </c>
      <c r="B119" s="1">
        <f t="shared" si="6"/>
        <v>145</v>
      </c>
      <c r="C119" s="1">
        <v>392.5409800399384</v>
      </c>
      <c r="D119" s="1">
        <f t="shared" si="7"/>
        <v>247.5409800399384</v>
      </c>
      <c r="E119" s="2">
        <v>5</v>
      </c>
      <c r="F119" s="1">
        <v>78.508196007987678</v>
      </c>
      <c r="G119" s="1">
        <v>49.508196007987678</v>
      </c>
      <c r="H119" s="1">
        <v>29</v>
      </c>
      <c r="I119" s="6">
        <f t="shared" si="8"/>
        <v>-0.50351483219391868</v>
      </c>
      <c r="J119" s="1">
        <f t="shared" si="9"/>
        <v>-0.2834869307441652</v>
      </c>
      <c r="K119" s="6">
        <f t="shared" si="10"/>
        <v>-0.85267521998140849</v>
      </c>
      <c r="L119" s="1">
        <f t="shared" si="11"/>
        <v>-0.55192355036560836</v>
      </c>
    </row>
    <row r="120" spans="1:12" x14ac:dyDescent="0.25">
      <c r="A120" s="3">
        <v>43420</v>
      </c>
      <c r="B120" s="1">
        <f t="shared" si="6"/>
        <v>1120</v>
      </c>
      <c r="C120" s="1">
        <v>1874.6169731935945</v>
      </c>
      <c r="D120" s="1">
        <f t="shared" si="7"/>
        <v>754.6169731935945</v>
      </c>
      <c r="E120" s="2">
        <v>20</v>
      </c>
      <c r="F120" s="1">
        <v>93.730848659679722</v>
      </c>
      <c r="G120" s="1">
        <v>37.730848659679722</v>
      </c>
      <c r="H120" s="1">
        <v>56</v>
      </c>
      <c r="I120" s="6">
        <f t="shared" si="8"/>
        <v>-0.97312894442072773</v>
      </c>
      <c r="J120" s="1">
        <f t="shared" si="9"/>
        <v>-0.65302956880966301</v>
      </c>
      <c r="K120" s="6">
        <f t="shared" si="10"/>
        <v>-0.56145845060950761</v>
      </c>
      <c r="L120" s="1">
        <f t="shared" si="11"/>
        <v>-0.30936879173003107</v>
      </c>
    </row>
    <row r="121" spans="1:12" x14ac:dyDescent="0.25">
      <c r="A121" s="3">
        <v>43419</v>
      </c>
      <c r="B121" s="1">
        <f t="shared" si="6"/>
        <v>864</v>
      </c>
      <c r="C121" s="1">
        <v>1577.5780766739947</v>
      </c>
      <c r="D121" s="1">
        <f t="shared" si="7"/>
        <v>713.57807667399459</v>
      </c>
      <c r="E121" s="2">
        <v>24</v>
      </c>
      <c r="F121" s="1">
        <v>65.732419861416446</v>
      </c>
      <c r="G121" s="1">
        <v>29.732419861416442</v>
      </c>
      <c r="H121" s="1">
        <v>36</v>
      </c>
      <c r="I121" s="6">
        <f t="shared" si="8"/>
        <v>-1.2920611222888958</v>
      </c>
      <c r="J121" s="1">
        <f t="shared" si="9"/>
        <v>-0.90399953607601125</v>
      </c>
      <c r="K121" s="6">
        <f t="shared" si="10"/>
        <v>-1.0970820484594608</v>
      </c>
      <c r="L121" s="1">
        <f t="shared" si="11"/>
        <v>-0.75549025917238821</v>
      </c>
    </row>
    <row r="122" spans="1:12" x14ac:dyDescent="0.25">
      <c r="A122" s="3">
        <v>43417</v>
      </c>
      <c r="B122" s="1">
        <f t="shared" si="6"/>
        <v>3283</v>
      </c>
      <c r="C122" s="1">
        <v>5512.3920845569683</v>
      </c>
      <c r="D122" s="1">
        <f t="shared" si="7"/>
        <v>2229.3920845569678</v>
      </c>
      <c r="E122" s="2">
        <v>49</v>
      </c>
      <c r="F122" s="1">
        <v>112.49779764401976</v>
      </c>
      <c r="G122" s="1">
        <v>45.497797644019755</v>
      </c>
      <c r="H122" s="1">
        <v>67</v>
      </c>
      <c r="I122" s="6">
        <f t="shared" si="8"/>
        <v>-0.66342687449614568</v>
      </c>
      <c r="J122" s="1">
        <f t="shared" si="9"/>
        <v>-0.40932283820996501</v>
      </c>
      <c r="K122" s="6">
        <f t="shared" si="10"/>
        <v>-0.20243756382738015</v>
      </c>
      <c r="L122" s="1">
        <f t="shared" si="11"/>
        <v>-1.0339911194100456E-2</v>
      </c>
    </row>
    <row r="123" spans="1:12" x14ac:dyDescent="0.25">
      <c r="A123" s="3">
        <v>43388</v>
      </c>
      <c r="B123" s="1">
        <f t="shared" si="6"/>
        <v>3710</v>
      </c>
      <c r="C123" s="1">
        <v>7775.4113915813705</v>
      </c>
      <c r="D123" s="1">
        <f t="shared" si="7"/>
        <v>4065.41139158137</v>
      </c>
      <c r="E123" s="2">
        <v>106</v>
      </c>
      <c r="F123" s="1">
        <v>73.352937656428026</v>
      </c>
      <c r="G123" s="1">
        <v>38.352937656428018</v>
      </c>
      <c r="H123" s="1">
        <v>35</v>
      </c>
      <c r="I123" s="6">
        <f t="shared" si="8"/>
        <v>-0.94832354781535466</v>
      </c>
      <c r="J123" s="1">
        <f t="shared" si="9"/>
        <v>-0.63351002827382985</v>
      </c>
      <c r="K123" s="6">
        <f t="shared" si="10"/>
        <v>-0.95129782648565919</v>
      </c>
      <c r="L123" s="1">
        <f t="shared" si="11"/>
        <v>-0.63406642478950881</v>
      </c>
    </row>
    <row r="124" spans="1:12" x14ac:dyDescent="0.25">
      <c r="A124" s="3">
        <v>43382</v>
      </c>
      <c r="B124" s="1">
        <f t="shared" si="6"/>
        <v>285</v>
      </c>
      <c r="C124" s="1">
        <v>596.95161546955455</v>
      </c>
      <c r="D124" s="1">
        <f t="shared" si="7"/>
        <v>311.9516154695545</v>
      </c>
      <c r="E124" s="2">
        <v>15</v>
      </c>
      <c r="F124" s="1">
        <v>39.796774364636967</v>
      </c>
      <c r="G124" s="1">
        <v>20.796774364636967</v>
      </c>
      <c r="H124" s="1">
        <v>19</v>
      </c>
      <c r="I124" s="6">
        <f t="shared" si="8"/>
        <v>-1.648364210160925</v>
      </c>
      <c r="J124" s="1">
        <f t="shared" si="9"/>
        <v>-1.184376934486731</v>
      </c>
      <c r="K124" s="6">
        <f t="shared" si="10"/>
        <v>-1.5932435957248439</v>
      </c>
      <c r="L124" s="1">
        <f t="shared" si="11"/>
        <v>-1.1687437424823419</v>
      </c>
    </row>
    <row r="125" spans="1:12" x14ac:dyDescent="0.25">
      <c r="A125" s="3">
        <v>43379</v>
      </c>
      <c r="B125" s="1">
        <f t="shared" si="6"/>
        <v>1695</v>
      </c>
      <c r="C125" s="1">
        <v>2942.4128507480459</v>
      </c>
      <c r="D125" s="1">
        <f t="shared" si="7"/>
        <v>1247.4128507480459</v>
      </c>
      <c r="E125" s="2">
        <v>15</v>
      </c>
      <c r="F125" s="1">
        <v>196.16085671653639</v>
      </c>
      <c r="G125" s="1">
        <v>83.160856716536401</v>
      </c>
      <c r="H125" s="1">
        <v>113</v>
      </c>
      <c r="I125" s="6">
        <f t="shared" si="8"/>
        <v>0.83836325930905831</v>
      </c>
      <c r="J125" s="1">
        <f t="shared" si="9"/>
        <v>0.7724463493375251</v>
      </c>
      <c r="K125" s="6">
        <f t="shared" si="10"/>
        <v>1.398077559018877</v>
      </c>
      <c r="L125" s="1">
        <f t="shared" si="11"/>
        <v>1.3227308462072187</v>
      </c>
    </row>
    <row r="126" spans="1:12" x14ac:dyDescent="0.25">
      <c r="A126" s="3">
        <v>43369</v>
      </c>
      <c r="B126" s="1">
        <f t="shared" si="6"/>
        <v>368</v>
      </c>
      <c r="C126" s="1">
        <v>825.28718633097947</v>
      </c>
      <c r="D126" s="1">
        <f t="shared" si="7"/>
        <v>457.28718633097941</v>
      </c>
      <c r="E126" s="2">
        <v>16</v>
      </c>
      <c r="F126" s="1">
        <v>51.580449145686217</v>
      </c>
      <c r="G126" s="1">
        <v>28.580449145686213</v>
      </c>
      <c r="H126" s="1">
        <v>23</v>
      </c>
      <c r="I126" s="6">
        <f t="shared" si="8"/>
        <v>-1.3379952099046997</v>
      </c>
      <c r="J126" s="1">
        <f t="shared" si="9"/>
        <v>-0.94014539173223499</v>
      </c>
      <c r="K126" s="6">
        <f t="shared" si="10"/>
        <v>-1.3678161502207995</v>
      </c>
      <c r="L126" s="1">
        <f t="shared" si="11"/>
        <v>-0.98098498205106832</v>
      </c>
    </row>
    <row r="127" spans="1:12" x14ac:dyDescent="0.25">
      <c r="A127" s="3">
        <v>43315</v>
      </c>
      <c r="B127" s="1">
        <f t="shared" si="6"/>
        <v>1083</v>
      </c>
      <c r="C127" s="1">
        <v>2746.4988104642903</v>
      </c>
      <c r="D127" s="1">
        <f t="shared" si="7"/>
        <v>1663.4988104642903</v>
      </c>
      <c r="E127" s="2">
        <v>19</v>
      </c>
      <c r="F127" s="1">
        <v>144.55256897180476</v>
      </c>
      <c r="G127" s="1">
        <v>87.552568971804746</v>
      </c>
      <c r="H127" s="1">
        <v>57</v>
      </c>
      <c r="I127" s="6">
        <f t="shared" si="8"/>
        <v>1.0134799465323272</v>
      </c>
      <c r="J127" s="1">
        <f t="shared" si="9"/>
        <v>0.91024689851378815</v>
      </c>
      <c r="K127" s="6">
        <f t="shared" si="10"/>
        <v>0.41078584490585307</v>
      </c>
      <c r="L127" s="1">
        <f t="shared" si="11"/>
        <v>0.50041452171778067</v>
      </c>
    </row>
    <row r="128" spans="1:12" x14ac:dyDescent="0.25">
      <c r="A128" s="3">
        <v>43309</v>
      </c>
      <c r="B128" s="1">
        <f t="shared" si="6"/>
        <v>1134</v>
      </c>
      <c r="C128" s="1">
        <v>2884.3385247034385</v>
      </c>
      <c r="D128" s="1">
        <f t="shared" si="7"/>
        <v>1750.3385247034387</v>
      </c>
      <c r="E128" s="2">
        <v>27</v>
      </c>
      <c r="F128" s="1">
        <v>106.82735276679402</v>
      </c>
      <c r="G128" s="1">
        <v>64.827352766794021</v>
      </c>
      <c r="H128" s="1">
        <v>42</v>
      </c>
      <c r="I128" s="6">
        <f t="shared" si="8"/>
        <v>0.10732664072771785</v>
      </c>
      <c r="J128" s="1">
        <f t="shared" si="9"/>
        <v>0.19718850780452635</v>
      </c>
      <c r="K128" s="6">
        <f t="shared" si="10"/>
        <v>-0.31091593982603194</v>
      </c>
      <c r="L128" s="1">
        <f t="shared" si="11"/>
        <v>-0.10069166656959699</v>
      </c>
    </row>
    <row r="129" spans="1:12" x14ac:dyDescent="0.25">
      <c r="A129" s="3">
        <v>43308</v>
      </c>
      <c r="B129" s="1">
        <f t="shared" si="6"/>
        <v>1020</v>
      </c>
      <c r="C129" s="1">
        <v>2814.1654899540249</v>
      </c>
      <c r="D129" s="1">
        <f t="shared" si="7"/>
        <v>1794.1654899540249</v>
      </c>
      <c r="E129" s="2">
        <v>30</v>
      </c>
      <c r="F129" s="1">
        <v>93.805516331800831</v>
      </c>
      <c r="G129" s="1">
        <v>59.805516331800831</v>
      </c>
      <c r="H129" s="1">
        <v>34</v>
      </c>
      <c r="I129" s="6">
        <f t="shared" si="8"/>
        <v>-9.2915840827892351E-2</v>
      </c>
      <c r="J129" s="1">
        <f t="shared" si="9"/>
        <v>3.9616294874299976E-2</v>
      </c>
      <c r="K129" s="6">
        <f t="shared" si="10"/>
        <v>-0.56003002162612581</v>
      </c>
      <c r="L129" s="1">
        <f t="shared" si="11"/>
        <v>-0.30817905170221782</v>
      </c>
    </row>
    <row r="130" spans="1:12" x14ac:dyDescent="0.25">
      <c r="A130" s="3">
        <v>43302</v>
      </c>
      <c r="B130" s="1">
        <f t="shared" ref="B130:B193" si="12">+E130*H130</f>
        <v>2009</v>
      </c>
      <c r="C130" s="1">
        <v>4750.2478058214983</v>
      </c>
      <c r="D130" s="1">
        <f t="shared" ref="D130:D193" si="13">+E130*G130</f>
        <v>2741.2478058214979</v>
      </c>
      <c r="E130" s="2">
        <v>41</v>
      </c>
      <c r="F130" s="1">
        <v>115.85970258101214</v>
      </c>
      <c r="G130" s="1">
        <v>66.859702581012144</v>
      </c>
      <c r="H130" s="1">
        <v>49</v>
      </c>
      <c r="I130" s="6">
        <f t="shared" si="8"/>
        <v>0.18836527578805548</v>
      </c>
      <c r="J130" s="1">
        <f t="shared" si="9"/>
        <v>0.26095837801439076</v>
      </c>
      <c r="K130" s="6">
        <f t="shared" si="10"/>
        <v>-0.13812268276901588</v>
      </c>
      <c r="L130" s="1">
        <f t="shared" si="11"/>
        <v>4.3228022017415407E-2</v>
      </c>
    </row>
    <row r="131" spans="1:12" x14ac:dyDescent="0.25">
      <c r="A131" s="3">
        <v>43297</v>
      </c>
      <c r="B131" s="1">
        <f t="shared" si="12"/>
        <v>8064</v>
      </c>
      <c r="C131" s="1">
        <v>22115.504774785724</v>
      </c>
      <c r="D131" s="1">
        <f t="shared" si="13"/>
        <v>14051.504774785726</v>
      </c>
      <c r="E131" s="2">
        <v>144</v>
      </c>
      <c r="F131" s="1">
        <v>153.57989426934532</v>
      </c>
      <c r="G131" s="1">
        <v>97.579894269345317</v>
      </c>
      <c r="H131" s="1">
        <v>56</v>
      </c>
      <c r="I131" s="6">
        <f t="shared" ref="I131:I194" si="14">(G131-AVERAGE($G$2:$G$501))/_xlfn.STDEV.S($G$2:$G$501)</f>
        <v>1.4133130607599105</v>
      </c>
      <c r="J131" s="1">
        <f t="shared" ref="J131:J194" si="15">(G131-MEDIAN($G$2:$G$502))/(PERCENTILE($G$2:$G$502,0.75)-PERCENTILE($G$2:$G$502,0.25))</f>
        <v>1.224878379916637</v>
      </c>
      <c r="K131" s="6">
        <f t="shared" ref="K131:K194" si="16">(F131-AVERAGE($F$2:$F$501))/_xlfn.STDEV.S($F$2:$F$501)</f>
        <v>0.58348298050835157</v>
      </c>
      <c r="L131" s="1">
        <f t="shared" ref="L131:L194" si="17">(F131-MEDIAN($F$2:$F$502))/(PERCENTILE($F$2:$F$502,0.75)-PERCENTILE($F$2:$F$502,0.25))</f>
        <v>0.64425415064253366</v>
      </c>
    </row>
    <row r="132" spans="1:12" x14ac:dyDescent="0.25">
      <c r="A132" s="3">
        <v>43281</v>
      </c>
      <c r="B132" s="1">
        <f t="shared" si="12"/>
        <v>140</v>
      </c>
      <c r="C132" s="1">
        <v>259.02571836581632</v>
      </c>
      <c r="D132" s="1">
        <f t="shared" si="13"/>
        <v>119.02571836581633</v>
      </c>
      <c r="E132" s="2">
        <v>2</v>
      </c>
      <c r="F132" s="1">
        <v>129.51285918290816</v>
      </c>
      <c r="G132" s="1">
        <v>59.512859182908166</v>
      </c>
      <c r="H132" s="1">
        <v>70</v>
      </c>
      <c r="I132" s="6">
        <f t="shared" si="14"/>
        <v>-0.10458535545622702</v>
      </c>
      <c r="J132" s="1">
        <f t="shared" si="15"/>
        <v>3.0433471981158377E-2</v>
      </c>
      <c r="K132" s="6">
        <f t="shared" si="16"/>
        <v>0.1230688617211522</v>
      </c>
      <c r="L132" s="1">
        <f t="shared" si="17"/>
        <v>0.26077473874017576</v>
      </c>
    </row>
    <row r="133" spans="1:12" x14ac:dyDescent="0.25">
      <c r="A133" s="3">
        <v>43279</v>
      </c>
      <c r="B133" s="1">
        <f t="shared" si="12"/>
        <v>1246</v>
      </c>
      <c r="C133" s="1">
        <v>2753.0073997998525</v>
      </c>
      <c r="D133" s="1">
        <f t="shared" si="13"/>
        <v>1507.0073997998525</v>
      </c>
      <c r="E133" s="2">
        <v>14</v>
      </c>
      <c r="F133" s="1">
        <v>196.64338569998947</v>
      </c>
      <c r="G133" s="1">
        <v>107.64338569998947</v>
      </c>
      <c r="H133" s="1">
        <v>89</v>
      </c>
      <c r="I133" s="6">
        <f t="shared" si="14"/>
        <v>1.8145882761659524</v>
      </c>
      <c r="J133" s="1">
        <f t="shared" si="15"/>
        <v>1.5406446608495041</v>
      </c>
      <c r="K133" s="6">
        <f t="shared" si="16"/>
        <v>1.4073085738035371</v>
      </c>
      <c r="L133" s="1">
        <f t="shared" si="17"/>
        <v>1.3304193682929619</v>
      </c>
    </row>
    <row r="134" spans="1:12" x14ac:dyDescent="0.25">
      <c r="A134" s="3">
        <v>43262</v>
      </c>
      <c r="B134" s="1">
        <f t="shared" si="12"/>
        <v>1600</v>
      </c>
      <c r="C134" s="1">
        <v>3833.0908229322672</v>
      </c>
      <c r="D134" s="1">
        <f t="shared" si="13"/>
        <v>2233.0908229322672</v>
      </c>
      <c r="E134" s="2">
        <v>40</v>
      </c>
      <c r="F134" s="1">
        <v>95.827270573306677</v>
      </c>
      <c r="G134" s="1">
        <v>55.827270573306677</v>
      </c>
      <c r="H134" s="1">
        <v>40</v>
      </c>
      <c r="I134" s="6">
        <f t="shared" si="14"/>
        <v>-0.25154581877141541</v>
      </c>
      <c r="J134" s="1">
        <f t="shared" si="15"/>
        <v>-8.5210747157199562E-2</v>
      </c>
      <c r="K134" s="6">
        <f t="shared" si="16"/>
        <v>-0.52135287696896082</v>
      </c>
      <c r="L134" s="1">
        <f t="shared" si="17"/>
        <v>-0.2759648165561247</v>
      </c>
    </row>
    <row r="135" spans="1:12" x14ac:dyDescent="0.25">
      <c r="A135" s="3">
        <v>43252</v>
      </c>
      <c r="B135" s="1">
        <f t="shared" si="12"/>
        <v>854</v>
      </c>
      <c r="C135" s="1">
        <v>1634.1862208005614</v>
      </c>
      <c r="D135" s="1">
        <f t="shared" si="13"/>
        <v>780.18622080056116</v>
      </c>
      <c r="E135" s="2">
        <v>14</v>
      </c>
      <c r="F135" s="1">
        <v>116.72758720004009</v>
      </c>
      <c r="G135" s="1">
        <v>55.727587200040084</v>
      </c>
      <c r="H135" s="1">
        <v>61</v>
      </c>
      <c r="I135" s="6">
        <f t="shared" si="14"/>
        <v>-0.25552062884162108</v>
      </c>
      <c r="J135" s="1">
        <f t="shared" si="15"/>
        <v>-8.833855307467528E-2</v>
      </c>
      <c r="K135" s="6">
        <f t="shared" si="16"/>
        <v>-0.1215196267364138</v>
      </c>
      <c r="L135" s="1">
        <f t="shared" si="17"/>
        <v>5.7056725142192732E-2</v>
      </c>
    </row>
    <row r="136" spans="1:12" x14ac:dyDescent="0.25">
      <c r="A136" s="3">
        <v>43233</v>
      </c>
      <c r="B136" s="1">
        <f t="shared" si="12"/>
        <v>3500</v>
      </c>
      <c r="C136" s="1">
        <v>7351.4824416208494</v>
      </c>
      <c r="D136" s="1">
        <f t="shared" si="13"/>
        <v>3851.4824416208498</v>
      </c>
      <c r="E136" s="2">
        <v>50</v>
      </c>
      <c r="F136" s="1">
        <v>147.029648832417</v>
      </c>
      <c r="G136" s="1">
        <v>77.029648832416996</v>
      </c>
      <c r="H136" s="1">
        <v>70</v>
      </c>
      <c r="I136" s="6">
        <f t="shared" si="14"/>
        <v>0.59388530835583164</v>
      </c>
      <c r="J136" s="1">
        <f t="shared" si="15"/>
        <v>0.5800649353384737</v>
      </c>
      <c r="K136" s="6">
        <f t="shared" si="16"/>
        <v>0.4581735907205427</v>
      </c>
      <c r="L136" s="1">
        <f t="shared" si="17"/>
        <v>0.53988382588304817</v>
      </c>
    </row>
    <row r="137" spans="1:12" x14ac:dyDescent="0.25">
      <c r="A137" s="3">
        <v>43233</v>
      </c>
      <c r="B137" s="1">
        <f t="shared" si="12"/>
        <v>629</v>
      </c>
      <c r="C137" s="1">
        <v>1073.162996821387</v>
      </c>
      <c r="D137" s="1">
        <f t="shared" si="13"/>
        <v>444.16299682138697</v>
      </c>
      <c r="E137" s="2">
        <v>17</v>
      </c>
      <c r="F137" s="1">
        <v>63.127235107140407</v>
      </c>
      <c r="G137" s="1">
        <v>26.127235107140411</v>
      </c>
      <c r="H137" s="1">
        <v>37</v>
      </c>
      <c r="I137" s="6">
        <f t="shared" si="14"/>
        <v>-1.4358155338488305</v>
      </c>
      <c r="J137" s="1">
        <f t="shared" si="15"/>
        <v>-1.0171208906058227</v>
      </c>
      <c r="K137" s="6">
        <f t="shared" si="16"/>
        <v>-1.1469205033671781</v>
      </c>
      <c r="L137" s="1">
        <f t="shared" si="17"/>
        <v>-0.79700076156201427</v>
      </c>
    </row>
    <row r="138" spans="1:12" x14ac:dyDescent="0.25">
      <c r="A138" s="3">
        <v>43220</v>
      </c>
      <c r="B138" s="1">
        <f t="shared" si="12"/>
        <v>3726</v>
      </c>
      <c r="C138" s="1">
        <v>6465.0474129829954</v>
      </c>
      <c r="D138" s="1">
        <f t="shared" si="13"/>
        <v>2739.0474129829954</v>
      </c>
      <c r="E138" s="2">
        <v>69</v>
      </c>
      <c r="F138" s="1">
        <v>93.696339318594141</v>
      </c>
      <c r="G138" s="1">
        <v>39.696339318594134</v>
      </c>
      <c r="H138" s="1">
        <v>54</v>
      </c>
      <c r="I138" s="6">
        <f t="shared" si="14"/>
        <v>-0.894756274958042</v>
      </c>
      <c r="J138" s="1">
        <f t="shared" si="15"/>
        <v>-0.59135756562359099</v>
      </c>
      <c r="K138" s="6">
        <f t="shared" si="16"/>
        <v>-0.56211863113481031</v>
      </c>
      <c r="L138" s="1">
        <f t="shared" si="17"/>
        <v>-0.30991865679554947</v>
      </c>
    </row>
    <row r="139" spans="1:12" x14ac:dyDescent="0.25">
      <c r="A139" s="3">
        <v>43219</v>
      </c>
      <c r="B139" s="1">
        <f t="shared" si="12"/>
        <v>1989</v>
      </c>
      <c r="C139" s="1">
        <v>3876.0739985129139</v>
      </c>
      <c r="D139" s="1">
        <f t="shared" si="13"/>
        <v>1887.0739985129137</v>
      </c>
      <c r="E139" s="2">
        <v>51</v>
      </c>
      <c r="F139" s="1">
        <v>76.001450951233608</v>
      </c>
      <c r="G139" s="1">
        <v>37.001450951233601</v>
      </c>
      <c r="H139" s="1">
        <v>39</v>
      </c>
      <c r="I139" s="6">
        <f t="shared" si="14"/>
        <v>-1.0022132065369678</v>
      </c>
      <c r="J139" s="1">
        <f t="shared" si="15"/>
        <v>-0.67591617862140752</v>
      </c>
      <c r="K139" s="6">
        <f t="shared" si="16"/>
        <v>-0.9006304754661193</v>
      </c>
      <c r="L139" s="1">
        <f t="shared" si="17"/>
        <v>-0.59186553394192842</v>
      </c>
    </row>
    <row r="140" spans="1:12" x14ac:dyDescent="0.25">
      <c r="A140" s="3">
        <v>43208</v>
      </c>
      <c r="B140" s="1">
        <f t="shared" si="12"/>
        <v>435</v>
      </c>
      <c r="C140" s="1">
        <v>1019.420725502142</v>
      </c>
      <c r="D140" s="1">
        <f t="shared" si="13"/>
        <v>584.42072550214198</v>
      </c>
      <c r="E140" s="2">
        <v>29</v>
      </c>
      <c r="F140" s="1">
        <v>35.152438810418687</v>
      </c>
      <c r="G140" s="1">
        <v>20.15243881041869</v>
      </c>
      <c r="H140" s="1">
        <v>15</v>
      </c>
      <c r="I140" s="6">
        <f t="shared" si="14"/>
        <v>-1.6740566738644651</v>
      </c>
      <c r="J140" s="1">
        <f t="shared" si="15"/>
        <v>-1.204594514342642</v>
      </c>
      <c r="K140" s="6">
        <f t="shared" si="16"/>
        <v>-1.6820919999369814</v>
      </c>
      <c r="L140" s="1">
        <f t="shared" si="17"/>
        <v>-1.2427456733646598</v>
      </c>
    </row>
    <row r="141" spans="1:12" x14ac:dyDescent="0.25">
      <c r="A141" s="3">
        <v>43205</v>
      </c>
      <c r="B141" s="1">
        <f t="shared" si="12"/>
        <v>1122</v>
      </c>
      <c r="C141" s="1">
        <v>1967.0181764401029</v>
      </c>
      <c r="D141" s="1">
        <f t="shared" si="13"/>
        <v>845.01817644010293</v>
      </c>
      <c r="E141" s="2">
        <v>22</v>
      </c>
      <c r="F141" s="1">
        <v>89.409917110913767</v>
      </c>
      <c r="G141" s="1">
        <v>38.409917110913767</v>
      </c>
      <c r="H141" s="1">
        <v>51</v>
      </c>
      <c r="I141" s="6">
        <f t="shared" si="14"/>
        <v>-0.94605152890123667</v>
      </c>
      <c r="J141" s="1">
        <f t="shared" si="15"/>
        <v>-0.63172216065784903</v>
      </c>
      <c r="K141" s="6">
        <f t="shared" si="16"/>
        <v>-0.64411997847199076</v>
      </c>
      <c r="L141" s="1">
        <f t="shared" si="17"/>
        <v>-0.37821766668450768</v>
      </c>
    </row>
    <row r="142" spans="1:12" x14ac:dyDescent="0.25">
      <c r="A142" s="3">
        <v>43185</v>
      </c>
      <c r="B142" s="1">
        <f t="shared" si="12"/>
        <v>2150</v>
      </c>
      <c r="C142" s="1">
        <v>4760.9758926075783</v>
      </c>
      <c r="D142" s="1">
        <f t="shared" si="13"/>
        <v>2610.9758926075779</v>
      </c>
      <c r="E142" s="2">
        <v>50</v>
      </c>
      <c r="F142" s="1">
        <v>95.219517852151569</v>
      </c>
      <c r="G142" s="1">
        <v>52.219517852151561</v>
      </c>
      <c r="H142" s="1">
        <v>43</v>
      </c>
      <c r="I142" s="6">
        <f t="shared" si="14"/>
        <v>-0.39540262635063028</v>
      </c>
      <c r="J142" s="1">
        <f t="shared" si="15"/>
        <v>-0.1984126778326315</v>
      </c>
      <c r="K142" s="6">
        <f t="shared" si="16"/>
        <v>-0.53297948292794917</v>
      </c>
      <c r="L142" s="1">
        <f t="shared" si="17"/>
        <v>-0.28564862909279892</v>
      </c>
    </row>
    <row r="143" spans="1:12" x14ac:dyDescent="0.25">
      <c r="A143" s="3">
        <v>43177</v>
      </c>
      <c r="B143" s="1">
        <f t="shared" si="12"/>
        <v>520</v>
      </c>
      <c r="C143" s="1">
        <v>873.80047125785586</v>
      </c>
      <c r="D143" s="1">
        <f t="shared" si="13"/>
        <v>353.80047125785592</v>
      </c>
      <c r="E143" s="2">
        <v>4</v>
      </c>
      <c r="F143" s="1">
        <v>218.45011781446397</v>
      </c>
      <c r="G143" s="1">
        <v>88.450117814463979</v>
      </c>
      <c r="H143" s="1">
        <v>130</v>
      </c>
      <c r="I143" s="6">
        <f t="shared" si="14"/>
        <v>1.0492691264265734</v>
      </c>
      <c r="J143" s="1">
        <f t="shared" si="15"/>
        <v>0.93840965514307106</v>
      </c>
      <c r="K143" s="6">
        <f t="shared" si="16"/>
        <v>1.8244819943788182</v>
      </c>
      <c r="L143" s="1">
        <f t="shared" si="17"/>
        <v>1.6778835564132319</v>
      </c>
    </row>
    <row r="144" spans="1:12" x14ac:dyDescent="0.25">
      <c r="A144" s="3">
        <v>43174</v>
      </c>
      <c r="B144" s="1">
        <f t="shared" si="12"/>
        <v>180</v>
      </c>
      <c r="C144" s="1">
        <v>310.52477364548162</v>
      </c>
      <c r="D144" s="1">
        <f t="shared" si="13"/>
        <v>130.52477364548162</v>
      </c>
      <c r="E144" s="2">
        <v>4</v>
      </c>
      <c r="F144" s="1">
        <v>77.631193411370404</v>
      </c>
      <c r="G144" s="1">
        <v>32.631193411370404</v>
      </c>
      <c r="H144" s="1">
        <v>45</v>
      </c>
      <c r="I144" s="6">
        <f t="shared" si="14"/>
        <v>-1.1764744008525307</v>
      </c>
      <c r="J144" s="1">
        <f t="shared" si="15"/>
        <v>-0.81304353442947952</v>
      </c>
      <c r="K144" s="6">
        <f t="shared" si="16"/>
        <v>-0.8694527073721664</v>
      </c>
      <c r="L144" s="1">
        <f t="shared" si="17"/>
        <v>-0.56589753755512961</v>
      </c>
    </row>
    <row r="145" spans="1:12" x14ac:dyDescent="0.25">
      <c r="A145" s="3">
        <v>43166</v>
      </c>
      <c r="B145" s="1">
        <f t="shared" si="12"/>
        <v>290</v>
      </c>
      <c r="C145" s="1">
        <v>506.52455944013673</v>
      </c>
      <c r="D145" s="1">
        <f t="shared" si="13"/>
        <v>216.52455944013673</v>
      </c>
      <c r="E145" s="2">
        <v>5</v>
      </c>
      <c r="F145" s="1">
        <v>101.30491188802735</v>
      </c>
      <c r="G145" s="1">
        <v>43.304911888027348</v>
      </c>
      <c r="H145" s="1">
        <v>58</v>
      </c>
      <c r="I145" s="6">
        <f t="shared" si="14"/>
        <v>-0.75086677645871636</v>
      </c>
      <c r="J145" s="1">
        <f t="shared" si="15"/>
        <v>-0.4781299102338798</v>
      </c>
      <c r="K145" s="6">
        <f t="shared" si="16"/>
        <v>-0.41656292715205445</v>
      </c>
      <c r="L145" s="1">
        <f t="shared" si="17"/>
        <v>-0.18868515529178803</v>
      </c>
    </row>
    <row r="146" spans="1:12" x14ac:dyDescent="0.25">
      <c r="A146" s="3">
        <v>43161</v>
      </c>
      <c r="B146" s="1">
        <f t="shared" si="12"/>
        <v>448</v>
      </c>
      <c r="C146" s="1">
        <v>808.77758520966279</v>
      </c>
      <c r="D146" s="1">
        <f t="shared" si="13"/>
        <v>360.77758520966285</v>
      </c>
      <c r="E146" s="2">
        <v>7</v>
      </c>
      <c r="F146" s="1">
        <v>115.53965502995183</v>
      </c>
      <c r="G146" s="1">
        <v>51.539655029951838</v>
      </c>
      <c r="H146" s="1">
        <v>64</v>
      </c>
      <c r="I146" s="6">
        <f t="shared" si="14"/>
        <v>-0.42251171689886868</v>
      </c>
      <c r="J146" s="1">
        <f t="shared" si="15"/>
        <v>-0.21974501128668689</v>
      </c>
      <c r="K146" s="6">
        <f t="shared" si="16"/>
        <v>-0.14424534850919574</v>
      </c>
      <c r="L146" s="1">
        <f t="shared" si="17"/>
        <v>3.8128447174872244E-2</v>
      </c>
    </row>
    <row r="147" spans="1:12" x14ac:dyDescent="0.25">
      <c r="A147" s="3">
        <v>43160</v>
      </c>
      <c r="B147" s="1">
        <f t="shared" si="12"/>
        <v>1926</v>
      </c>
      <c r="C147" s="1">
        <v>3465.7147289993686</v>
      </c>
      <c r="D147" s="1">
        <f t="shared" si="13"/>
        <v>1539.7147289993686</v>
      </c>
      <c r="E147" s="2">
        <v>18</v>
      </c>
      <c r="F147" s="1">
        <v>192.53970716663159</v>
      </c>
      <c r="G147" s="1">
        <v>85.539707166631587</v>
      </c>
      <c r="H147" s="1">
        <v>107</v>
      </c>
      <c r="I147" s="6">
        <f t="shared" si="14"/>
        <v>0.93321838323493067</v>
      </c>
      <c r="J147" s="1">
        <f t="shared" si="15"/>
        <v>0.84708851152337339</v>
      </c>
      <c r="K147" s="6">
        <f t="shared" si="16"/>
        <v>1.3288032020809242</v>
      </c>
      <c r="L147" s="1">
        <f t="shared" si="17"/>
        <v>1.2650321602319554</v>
      </c>
    </row>
    <row r="148" spans="1:12" x14ac:dyDescent="0.25">
      <c r="A148" s="3">
        <v>43158</v>
      </c>
      <c r="B148" s="1">
        <f t="shared" si="12"/>
        <v>720</v>
      </c>
      <c r="C148" s="1">
        <v>1473.1296069700884</v>
      </c>
      <c r="D148" s="1">
        <f t="shared" si="13"/>
        <v>753.12960697008839</v>
      </c>
      <c r="E148" s="2">
        <v>12</v>
      </c>
      <c r="F148" s="1">
        <v>122.76080058084069</v>
      </c>
      <c r="G148" s="1">
        <v>62.760800580840694</v>
      </c>
      <c r="H148" s="1">
        <v>60</v>
      </c>
      <c r="I148" s="6">
        <f t="shared" si="14"/>
        <v>2.4924208204041641E-2</v>
      </c>
      <c r="J148" s="1">
        <f t="shared" si="15"/>
        <v>0.13234545580717391</v>
      </c>
      <c r="K148" s="6">
        <f t="shared" si="16"/>
        <v>-6.1013123408092378E-3</v>
      </c>
      <c r="L148" s="1">
        <f t="shared" si="17"/>
        <v>0.1531887626300458</v>
      </c>
    </row>
    <row r="149" spans="1:12" x14ac:dyDescent="0.25">
      <c r="A149" s="3">
        <v>43147</v>
      </c>
      <c r="B149" s="1">
        <f t="shared" si="12"/>
        <v>5824</v>
      </c>
      <c r="C149" s="1">
        <v>11839.86370584257</v>
      </c>
      <c r="D149" s="1">
        <f t="shared" si="13"/>
        <v>6015.8637058425702</v>
      </c>
      <c r="E149" s="2">
        <v>112</v>
      </c>
      <c r="F149" s="1">
        <v>105.71306880216581</v>
      </c>
      <c r="G149" s="1">
        <v>53.713068802165807</v>
      </c>
      <c r="H149" s="1">
        <v>52</v>
      </c>
      <c r="I149" s="6">
        <f t="shared" si="14"/>
        <v>-0.33584824770209565</v>
      </c>
      <c r="J149" s="1">
        <f t="shared" si="15"/>
        <v>-0.15154891965088862</v>
      </c>
      <c r="K149" s="6">
        <f t="shared" si="16"/>
        <v>-0.33223273550985605</v>
      </c>
      <c r="L149" s="1">
        <f t="shared" si="17"/>
        <v>-0.11844644849072614</v>
      </c>
    </row>
    <row r="150" spans="1:12" x14ac:dyDescent="0.25">
      <c r="A150" s="3">
        <v>43130</v>
      </c>
      <c r="B150" s="1">
        <f t="shared" si="12"/>
        <v>1995</v>
      </c>
      <c r="C150" s="1">
        <v>3867.6585419562316</v>
      </c>
      <c r="D150" s="1">
        <f t="shared" si="13"/>
        <v>1872.6585419562321</v>
      </c>
      <c r="E150" s="2">
        <v>57</v>
      </c>
      <c r="F150" s="1">
        <v>67.853658630811083</v>
      </c>
      <c r="G150" s="1">
        <v>32.85365863081109</v>
      </c>
      <c r="H150" s="1">
        <v>35</v>
      </c>
      <c r="I150" s="6">
        <f t="shared" si="14"/>
        <v>-1.1676037440365892</v>
      </c>
      <c r="J150" s="1">
        <f t="shared" si="15"/>
        <v>-0.8060631523758125</v>
      </c>
      <c r="K150" s="6">
        <f t="shared" si="16"/>
        <v>-1.0565017162648043</v>
      </c>
      <c r="L150" s="1">
        <f t="shared" si="17"/>
        <v>-0.7216908570910594</v>
      </c>
    </row>
    <row r="151" spans="1:12" x14ac:dyDescent="0.25">
      <c r="A151" s="3">
        <v>43130</v>
      </c>
      <c r="B151" s="1">
        <f t="shared" si="12"/>
        <v>756</v>
      </c>
      <c r="C151" s="1">
        <v>1310.7658480416037</v>
      </c>
      <c r="D151" s="1">
        <f t="shared" si="13"/>
        <v>554.7658480416037</v>
      </c>
      <c r="E151" s="2">
        <v>4</v>
      </c>
      <c r="F151" s="1">
        <v>327.69146201040093</v>
      </c>
      <c r="G151" s="1">
        <v>138.69146201040093</v>
      </c>
      <c r="H151" s="1">
        <v>189</v>
      </c>
      <c r="I151" s="6">
        <f t="shared" si="14"/>
        <v>3.0526102484871549</v>
      </c>
      <c r="J151" s="1">
        <f t="shared" si="15"/>
        <v>2.51485283245928</v>
      </c>
      <c r="K151" s="6">
        <f t="shared" si="16"/>
        <v>3.914322186262098</v>
      </c>
      <c r="L151" s="1">
        <f t="shared" si="17"/>
        <v>3.4185136870972084</v>
      </c>
    </row>
    <row r="152" spans="1:12" x14ac:dyDescent="0.25">
      <c r="A152" s="3">
        <v>43129</v>
      </c>
      <c r="B152" s="1">
        <f t="shared" si="12"/>
        <v>2205</v>
      </c>
      <c r="C152" s="1">
        <v>4821.5925266114655</v>
      </c>
      <c r="D152" s="1">
        <f t="shared" si="13"/>
        <v>2616.592526611465</v>
      </c>
      <c r="E152" s="2">
        <v>63</v>
      </c>
      <c r="F152" s="1">
        <v>76.533214708118493</v>
      </c>
      <c r="G152" s="1">
        <v>41.533214708118493</v>
      </c>
      <c r="H152" s="1">
        <v>35</v>
      </c>
      <c r="I152" s="6">
        <f t="shared" si="14"/>
        <v>-0.82151205622090095</v>
      </c>
      <c r="J152" s="1">
        <f t="shared" si="15"/>
        <v>-0.5337211762765498</v>
      </c>
      <c r="K152" s="6">
        <f t="shared" si="16"/>
        <v>-0.89045757545372439</v>
      </c>
      <c r="L152" s="1">
        <f t="shared" si="17"/>
        <v>-0.58339251464275765</v>
      </c>
    </row>
    <row r="153" spans="1:12" x14ac:dyDescent="0.25">
      <c r="A153" s="3">
        <v>43120</v>
      </c>
      <c r="B153" s="1">
        <f t="shared" si="12"/>
        <v>9640</v>
      </c>
      <c r="C153" s="1">
        <v>25477.307176838989</v>
      </c>
      <c r="D153" s="1">
        <f t="shared" si="13"/>
        <v>15837.307176838991</v>
      </c>
      <c r="E153" s="2">
        <v>241</v>
      </c>
      <c r="F153" s="1">
        <v>105.714967538751</v>
      </c>
      <c r="G153" s="1">
        <v>65.714967538750997</v>
      </c>
      <c r="H153" s="1">
        <v>40</v>
      </c>
      <c r="I153" s="6">
        <f t="shared" si="14"/>
        <v>0.14271970597444025</v>
      </c>
      <c r="J153" s="1">
        <f t="shared" si="15"/>
        <v>0.22503955903993134</v>
      </c>
      <c r="K153" s="6">
        <f t="shared" si="16"/>
        <v>-0.33219641175296033</v>
      </c>
      <c r="L153" s="1">
        <f t="shared" si="17"/>
        <v>-0.11841619439476329</v>
      </c>
    </row>
    <row r="154" spans="1:12" x14ac:dyDescent="0.25">
      <c r="A154" s="3">
        <v>43113</v>
      </c>
      <c r="B154" s="1">
        <f t="shared" si="12"/>
        <v>377</v>
      </c>
      <c r="C154" s="1">
        <v>979.10156736937495</v>
      </c>
      <c r="D154" s="1">
        <f t="shared" si="13"/>
        <v>602.10156736937483</v>
      </c>
      <c r="E154" s="2">
        <v>13</v>
      </c>
      <c r="F154" s="1">
        <v>75.315505182259614</v>
      </c>
      <c r="G154" s="1">
        <v>46.315505182259606</v>
      </c>
      <c r="H154" s="1">
        <v>29</v>
      </c>
      <c r="I154" s="6">
        <f t="shared" si="14"/>
        <v>-0.6308213150034262</v>
      </c>
      <c r="J154" s="1">
        <f t="shared" si="15"/>
        <v>-0.38366529479968153</v>
      </c>
      <c r="K154" s="6">
        <f t="shared" si="16"/>
        <v>-0.91375295256492683</v>
      </c>
      <c r="L154" s="1">
        <f t="shared" si="17"/>
        <v>-0.60279525915063503</v>
      </c>
    </row>
    <row r="155" spans="1:12" x14ac:dyDescent="0.25">
      <c r="A155" s="3">
        <v>43105</v>
      </c>
      <c r="B155" s="1">
        <f t="shared" si="12"/>
        <v>1036</v>
      </c>
      <c r="C155" s="1">
        <v>2745.8765185528346</v>
      </c>
      <c r="D155" s="1">
        <f t="shared" si="13"/>
        <v>1709.8765185528346</v>
      </c>
      <c r="E155" s="2">
        <v>28</v>
      </c>
      <c r="F155" s="1">
        <v>98.067018519744096</v>
      </c>
      <c r="G155" s="1">
        <v>61.067018519744096</v>
      </c>
      <c r="H155" s="1">
        <v>37</v>
      </c>
      <c r="I155" s="6">
        <f t="shared" si="14"/>
        <v>-4.2614256562547075E-2</v>
      </c>
      <c r="J155" s="1">
        <f t="shared" si="15"/>
        <v>7.919896427098097E-2</v>
      </c>
      <c r="K155" s="6">
        <f t="shared" si="16"/>
        <v>-0.47850540642010381</v>
      </c>
      <c r="L155" s="1">
        <f t="shared" si="17"/>
        <v>-0.2402771125151163</v>
      </c>
    </row>
    <row r="156" spans="1:12" x14ac:dyDescent="0.25">
      <c r="A156" s="3">
        <v>43101</v>
      </c>
      <c r="B156" s="1">
        <f t="shared" si="12"/>
        <v>440</v>
      </c>
      <c r="C156" s="1">
        <v>966.51978069120753</v>
      </c>
      <c r="D156" s="1">
        <f t="shared" si="13"/>
        <v>526.51978069120742</v>
      </c>
      <c r="E156" s="2">
        <v>11</v>
      </c>
      <c r="F156" s="1">
        <v>87.865434608291594</v>
      </c>
      <c r="G156" s="1">
        <v>47.865434608291586</v>
      </c>
      <c r="H156" s="1">
        <v>40</v>
      </c>
      <c r="I156" s="6">
        <f t="shared" si="14"/>
        <v>-0.56901888106869236</v>
      </c>
      <c r="J156" s="1">
        <f t="shared" si="15"/>
        <v>-0.33503252614881129</v>
      </c>
      <c r="K156" s="6">
        <f t="shared" si="16"/>
        <v>-0.67366668199708657</v>
      </c>
      <c r="L156" s="1">
        <f t="shared" si="17"/>
        <v>-0.40282714764765332</v>
      </c>
    </row>
    <row r="157" spans="1:12" x14ac:dyDescent="0.25">
      <c r="A157" s="3">
        <v>43092</v>
      </c>
      <c r="B157" s="1">
        <f t="shared" si="12"/>
        <v>434</v>
      </c>
      <c r="C157" s="1">
        <v>1188.3477426038623</v>
      </c>
      <c r="D157" s="1">
        <f t="shared" si="13"/>
        <v>754.34774260386234</v>
      </c>
      <c r="E157" s="2">
        <v>14</v>
      </c>
      <c r="F157" s="1">
        <v>84.881981614561596</v>
      </c>
      <c r="G157" s="1">
        <v>53.881981614561596</v>
      </c>
      <c r="H157" s="1">
        <v>31</v>
      </c>
      <c r="I157" s="6">
        <f t="shared" si="14"/>
        <v>-0.32911295849893069</v>
      </c>
      <c r="J157" s="1">
        <f t="shared" si="15"/>
        <v>-0.14624887334591402</v>
      </c>
      <c r="K157" s="6">
        <f t="shared" si="16"/>
        <v>-0.73074159280840312</v>
      </c>
      <c r="L157" s="1">
        <f t="shared" si="17"/>
        <v>-0.45036490189801609</v>
      </c>
    </row>
    <row r="158" spans="1:12" x14ac:dyDescent="0.25">
      <c r="A158" s="3">
        <v>43070</v>
      </c>
      <c r="B158" s="1">
        <f t="shared" si="12"/>
        <v>198</v>
      </c>
      <c r="C158" s="1">
        <v>431.81127863149942</v>
      </c>
      <c r="D158" s="1">
        <f t="shared" si="13"/>
        <v>233.81127863149942</v>
      </c>
      <c r="E158" s="2">
        <v>2</v>
      </c>
      <c r="F158" s="1">
        <v>215.90563931574971</v>
      </c>
      <c r="G158" s="1">
        <v>116.90563931574971</v>
      </c>
      <c r="H158" s="1">
        <v>99</v>
      </c>
      <c r="I158" s="6">
        <f t="shared" si="14"/>
        <v>2.1839146516514911</v>
      </c>
      <c r="J158" s="1">
        <f t="shared" si="15"/>
        <v>1.8312701756086902</v>
      </c>
      <c r="K158" s="6">
        <f t="shared" si="16"/>
        <v>1.7758048797466675</v>
      </c>
      <c r="L158" s="1">
        <f t="shared" si="17"/>
        <v>1.6373403355810565</v>
      </c>
    </row>
    <row r="159" spans="1:12" x14ac:dyDescent="0.25">
      <c r="A159" s="3">
        <v>43068</v>
      </c>
      <c r="B159" s="1">
        <f t="shared" si="12"/>
        <v>600</v>
      </c>
      <c r="C159" s="1">
        <v>1202.2844480722106</v>
      </c>
      <c r="D159" s="1">
        <f t="shared" si="13"/>
        <v>602.28444807221069</v>
      </c>
      <c r="E159" s="2">
        <v>12</v>
      </c>
      <c r="F159" s="1">
        <v>100.19037067268422</v>
      </c>
      <c r="G159" s="1">
        <v>50.190370672684224</v>
      </c>
      <c r="H159" s="1">
        <v>50</v>
      </c>
      <c r="I159" s="6">
        <f t="shared" si="14"/>
        <v>-0.47631355842057482</v>
      </c>
      <c r="J159" s="1">
        <f t="shared" si="15"/>
        <v>-0.2620820576638424</v>
      </c>
      <c r="K159" s="6">
        <f t="shared" si="16"/>
        <v>-0.43788464416751688</v>
      </c>
      <c r="L159" s="1">
        <f t="shared" si="17"/>
        <v>-0.20644403619530161</v>
      </c>
    </row>
    <row r="160" spans="1:12" x14ac:dyDescent="0.25">
      <c r="A160" s="3">
        <v>43065</v>
      </c>
      <c r="B160" s="1">
        <f t="shared" si="12"/>
        <v>155</v>
      </c>
      <c r="C160" s="1">
        <v>422.31963628779653</v>
      </c>
      <c r="D160" s="1">
        <f t="shared" si="13"/>
        <v>267.31963628779653</v>
      </c>
      <c r="E160" s="2">
        <v>5</v>
      </c>
      <c r="F160" s="1">
        <v>84.463927257559305</v>
      </c>
      <c r="G160" s="1">
        <v>53.463927257559305</v>
      </c>
      <c r="H160" s="1">
        <v>31</v>
      </c>
      <c r="I160" s="6">
        <f t="shared" si="14"/>
        <v>-0.34578260573951969</v>
      </c>
      <c r="J160" s="1">
        <f t="shared" si="15"/>
        <v>-0.15936633565491157</v>
      </c>
      <c r="K160" s="6">
        <f t="shared" si="16"/>
        <v>-0.73873917654454146</v>
      </c>
      <c r="L160" s="1">
        <f t="shared" si="17"/>
        <v>-0.45702609794442073</v>
      </c>
    </row>
    <row r="161" spans="1:12" x14ac:dyDescent="0.25">
      <c r="A161" s="3">
        <v>43041</v>
      </c>
      <c r="B161" s="1">
        <f t="shared" si="12"/>
        <v>161</v>
      </c>
      <c r="C161" s="1">
        <v>358.5108401146112</v>
      </c>
      <c r="D161" s="1">
        <f t="shared" si="13"/>
        <v>197.5108401146112</v>
      </c>
      <c r="E161" s="2">
        <v>7</v>
      </c>
      <c r="F161" s="1">
        <v>51.215834302087316</v>
      </c>
      <c r="G161" s="1">
        <v>28.215834302087313</v>
      </c>
      <c r="H161" s="1">
        <v>23</v>
      </c>
      <c r="I161" s="6">
        <f t="shared" si="14"/>
        <v>-1.3525339910934888</v>
      </c>
      <c r="J161" s="1">
        <f t="shared" si="15"/>
        <v>-0.95158606060243978</v>
      </c>
      <c r="K161" s="6">
        <f t="shared" si="16"/>
        <v>-1.3747914100028789</v>
      </c>
      <c r="L161" s="1">
        <f t="shared" si="17"/>
        <v>-0.98679468338286935</v>
      </c>
    </row>
    <row r="162" spans="1:12" x14ac:dyDescent="0.25">
      <c r="A162" s="3">
        <v>43041</v>
      </c>
      <c r="B162" s="1">
        <f t="shared" si="12"/>
        <v>657</v>
      </c>
      <c r="C162" s="1">
        <v>1860.3549452933262</v>
      </c>
      <c r="D162" s="1">
        <f t="shared" si="13"/>
        <v>1203.3549452933262</v>
      </c>
      <c r="E162" s="2">
        <v>9</v>
      </c>
      <c r="F162" s="1">
        <v>206.70610503259181</v>
      </c>
      <c r="G162" s="1">
        <v>133.70610503259181</v>
      </c>
      <c r="H162" s="1">
        <v>73</v>
      </c>
      <c r="I162" s="6">
        <f t="shared" si="14"/>
        <v>2.8538223617051695</v>
      </c>
      <c r="J162" s="1">
        <f t="shared" si="15"/>
        <v>2.3584252503567193</v>
      </c>
      <c r="K162" s="6">
        <f t="shared" si="16"/>
        <v>1.5998133022623382</v>
      </c>
      <c r="L162" s="1">
        <f t="shared" si="17"/>
        <v>1.4907567624898674</v>
      </c>
    </row>
    <row r="163" spans="1:12" x14ac:dyDescent="0.25">
      <c r="A163" s="3">
        <v>43026</v>
      </c>
      <c r="B163" s="1">
        <f t="shared" si="12"/>
        <v>975</v>
      </c>
      <c r="C163" s="1">
        <v>1798.42054531753</v>
      </c>
      <c r="D163" s="1">
        <f t="shared" si="13"/>
        <v>823.42054531753001</v>
      </c>
      <c r="E163" s="2">
        <v>15</v>
      </c>
      <c r="F163" s="1">
        <v>119.89470302116867</v>
      </c>
      <c r="G163" s="1">
        <v>54.894703021168667</v>
      </c>
      <c r="H163" s="1">
        <v>65</v>
      </c>
      <c r="I163" s="6">
        <f t="shared" si="14"/>
        <v>-0.28873134706881587</v>
      </c>
      <c r="J163" s="1">
        <f t="shared" si="15"/>
        <v>-0.11447230013677402</v>
      </c>
      <c r="K163" s="6">
        <f t="shared" si="16"/>
        <v>-6.0931156463909709E-2</v>
      </c>
      <c r="L163" s="1">
        <f t="shared" si="17"/>
        <v>0.10752092682516104</v>
      </c>
    </row>
    <row r="164" spans="1:12" x14ac:dyDescent="0.25">
      <c r="A164" s="3">
        <v>43020</v>
      </c>
      <c r="B164" s="1">
        <f t="shared" si="12"/>
        <v>100</v>
      </c>
      <c r="C164" s="1">
        <v>289.56841207814108</v>
      </c>
      <c r="D164" s="1">
        <f t="shared" si="13"/>
        <v>189.56841207814108</v>
      </c>
      <c r="E164" s="2">
        <v>5</v>
      </c>
      <c r="F164" s="1">
        <v>57.913682415628216</v>
      </c>
      <c r="G164" s="1">
        <v>37.913682415628216</v>
      </c>
      <c r="H164" s="1">
        <v>20</v>
      </c>
      <c r="I164" s="6">
        <f t="shared" si="14"/>
        <v>-0.96583856659238077</v>
      </c>
      <c r="J164" s="1">
        <f t="shared" si="15"/>
        <v>-0.64729271937299104</v>
      </c>
      <c r="K164" s="6">
        <f t="shared" si="16"/>
        <v>-1.24665830902509</v>
      </c>
      <c r="L164" s="1">
        <f t="shared" si="17"/>
        <v>-0.8800724865535875</v>
      </c>
    </row>
    <row r="165" spans="1:12" x14ac:dyDescent="0.25">
      <c r="A165" s="3">
        <v>43020</v>
      </c>
      <c r="B165" s="1">
        <f t="shared" si="12"/>
        <v>650</v>
      </c>
      <c r="C165" s="1">
        <v>1527.1190597880798</v>
      </c>
      <c r="D165" s="1">
        <f t="shared" si="13"/>
        <v>877.11905978807988</v>
      </c>
      <c r="E165" s="2">
        <v>13</v>
      </c>
      <c r="F165" s="1">
        <v>117.47069690677537</v>
      </c>
      <c r="G165" s="1">
        <v>67.470696906775373</v>
      </c>
      <c r="H165" s="1">
        <v>50</v>
      </c>
      <c r="I165" s="6">
        <f t="shared" si="14"/>
        <v>0.21272827955988022</v>
      </c>
      <c r="J165" s="1">
        <f t="shared" si="15"/>
        <v>0.28012979652723891</v>
      </c>
      <c r="K165" s="6">
        <f t="shared" si="16"/>
        <v>-0.10730357562916505</v>
      </c>
      <c r="L165" s="1">
        <f t="shared" si="17"/>
        <v>6.8897289311992418E-2</v>
      </c>
    </row>
    <row r="166" spans="1:12" x14ac:dyDescent="0.25">
      <c r="A166" s="3">
        <v>43012</v>
      </c>
      <c r="B166" s="1">
        <f t="shared" si="12"/>
        <v>576</v>
      </c>
      <c r="C166" s="1">
        <v>1635.7920266463836</v>
      </c>
      <c r="D166" s="1">
        <f t="shared" si="13"/>
        <v>1059.7920266463839</v>
      </c>
      <c r="E166" s="2">
        <v>18</v>
      </c>
      <c r="F166" s="1">
        <v>90.87733481368798</v>
      </c>
      <c r="G166" s="1">
        <v>58.877334813687987</v>
      </c>
      <c r="H166" s="1">
        <v>32</v>
      </c>
      <c r="I166" s="6">
        <f t="shared" si="14"/>
        <v>-0.12992647885382427</v>
      </c>
      <c r="J166" s="1">
        <f t="shared" si="15"/>
        <v>1.0492364275756677E-2</v>
      </c>
      <c r="K166" s="6">
        <f t="shared" si="16"/>
        <v>-0.61604756215277956</v>
      </c>
      <c r="L166" s="1">
        <f t="shared" si="17"/>
        <v>-0.35483612111173857</v>
      </c>
    </row>
    <row r="167" spans="1:12" x14ac:dyDescent="0.25">
      <c r="A167" s="3">
        <v>43008</v>
      </c>
      <c r="B167" s="1">
        <f t="shared" si="12"/>
        <v>588</v>
      </c>
      <c r="C167" s="1">
        <v>989.3713685888689</v>
      </c>
      <c r="D167" s="1">
        <f t="shared" si="13"/>
        <v>401.37136858886879</v>
      </c>
      <c r="E167" s="2">
        <v>21</v>
      </c>
      <c r="F167" s="1">
        <v>47.112922313755661</v>
      </c>
      <c r="G167" s="1">
        <v>19.112922313755657</v>
      </c>
      <c r="H167" s="1">
        <v>28</v>
      </c>
      <c r="I167" s="6">
        <f t="shared" si="14"/>
        <v>-1.7155067221892828</v>
      </c>
      <c r="J167" s="1">
        <f t="shared" si="15"/>
        <v>-1.2372118480366039</v>
      </c>
      <c r="K167" s="6">
        <f t="shared" si="16"/>
        <v>-1.4532821173452932</v>
      </c>
      <c r="L167" s="1">
        <f t="shared" si="17"/>
        <v>-1.0521696774659266</v>
      </c>
    </row>
    <row r="168" spans="1:12" x14ac:dyDescent="0.25">
      <c r="A168" s="3">
        <v>42991</v>
      </c>
      <c r="B168" s="1">
        <f t="shared" si="12"/>
        <v>1240</v>
      </c>
      <c r="C168" s="1">
        <v>2868.1466123142663</v>
      </c>
      <c r="D168" s="1">
        <f t="shared" si="13"/>
        <v>1628.1466123142661</v>
      </c>
      <c r="E168" s="2">
        <v>20</v>
      </c>
      <c r="F168" s="1">
        <v>143.40733061571331</v>
      </c>
      <c r="G168" s="1">
        <v>81.407330615713306</v>
      </c>
      <c r="H168" s="1">
        <v>62</v>
      </c>
      <c r="I168" s="6">
        <f t="shared" si="14"/>
        <v>0.76844253957900088</v>
      </c>
      <c r="J168" s="1">
        <f t="shared" si="15"/>
        <v>0.7174252446650905</v>
      </c>
      <c r="K168" s="6">
        <f t="shared" si="16"/>
        <v>0.3888768766167639</v>
      </c>
      <c r="L168" s="1">
        <f t="shared" si="17"/>
        <v>0.48216651860045989</v>
      </c>
    </row>
    <row r="169" spans="1:12" x14ac:dyDescent="0.25">
      <c r="A169" s="3">
        <v>42988</v>
      </c>
      <c r="B169" s="1">
        <f t="shared" si="12"/>
        <v>1080</v>
      </c>
      <c r="C169" s="1">
        <v>1845.3760131126269</v>
      </c>
      <c r="D169" s="1">
        <f t="shared" si="13"/>
        <v>765.37601311262677</v>
      </c>
      <c r="E169" s="2">
        <v>12</v>
      </c>
      <c r="F169" s="1">
        <v>153.78133442605224</v>
      </c>
      <c r="G169" s="1">
        <v>63.781334426052233</v>
      </c>
      <c r="H169" s="1">
        <v>90</v>
      </c>
      <c r="I169" s="6">
        <f t="shared" si="14"/>
        <v>6.5617335573277535E-2</v>
      </c>
      <c r="J169" s="1">
        <f t="shared" si="15"/>
        <v>0.16436716309330404</v>
      </c>
      <c r="K169" s="6">
        <f t="shared" si="16"/>
        <v>0.58733662894927818</v>
      </c>
      <c r="L169" s="1">
        <f t="shared" si="17"/>
        <v>0.64746385855005328</v>
      </c>
    </row>
    <row r="170" spans="1:12" x14ac:dyDescent="0.25">
      <c r="A170" s="3">
        <v>42984</v>
      </c>
      <c r="B170" s="1">
        <f t="shared" si="12"/>
        <v>2800</v>
      </c>
      <c r="C170" s="1">
        <v>5440.3274404616941</v>
      </c>
      <c r="D170" s="1">
        <f t="shared" si="13"/>
        <v>2640.3274404616946</v>
      </c>
      <c r="E170" s="2">
        <v>56</v>
      </c>
      <c r="F170" s="1">
        <v>97.148704293958829</v>
      </c>
      <c r="G170" s="1">
        <v>47.148704293958829</v>
      </c>
      <c r="H170" s="1">
        <v>50</v>
      </c>
      <c r="I170" s="6">
        <f t="shared" si="14"/>
        <v>-0.59759803903330622</v>
      </c>
      <c r="J170" s="1">
        <f t="shared" si="15"/>
        <v>-0.35752166596161417</v>
      </c>
      <c r="K170" s="6">
        <f t="shared" si="16"/>
        <v>-0.49607320542468258</v>
      </c>
      <c r="L170" s="1">
        <f t="shared" si="17"/>
        <v>-0.25490935109294416</v>
      </c>
    </row>
    <row r="171" spans="1:12" x14ac:dyDescent="0.25">
      <c r="A171" s="3">
        <v>42977</v>
      </c>
      <c r="B171" s="1">
        <f t="shared" si="12"/>
        <v>4650</v>
      </c>
      <c r="C171" s="1">
        <v>8119.5054826808191</v>
      </c>
      <c r="D171" s="1">
        <f t="shared" si="13"/>
        <v>3469.5054826808187</v>
      </c>
      <c r="E171" s="2">
        <v>31</v>
      </c>
      <c r="F171" s="1">
        <v>261.91953169938125</v>
      </c>
      <c r="G171" s="1">
        <v>111.91953169938125</v>
      </c>
      <c r="H171" s="1">
        <v>150</v>
      </c>
      <c r="I171" s="6">
        <f t="shared" si="14"/>
        <v>1.9850968336421912</v>
      </c>
      <c r="J171" s="1">
        <f t="shared" si="15"/>
        <v>1.6748190404134637</v>
      </c>
      <c r="K171" s="6">
        <f t="shared" si="16"/>
        <v>2.6560730821941592</v>
      </c>
      <c r="L171" s="1">
        <f t="shared" si="17"/>
        <v>2.3705166627538774</v>
      </c>
    </row>
    <row r="172" spans="1:12" x14ac:dyDescent="0.25">
      <c r="A172" s="3">
        <v>42961</v>
      </c>
      <c r="B172" s="1">
        <f t="shared" si="12"/>
        <v>1404</v>
      </c>
      <c r="C172" s="1">
        <v>2423.190643401223</v>
      </c>
      <c r="D172" s="1">
        <f t="shared" si="13"/>
        <v>1019.1906434012233</v>
      </c>
      <c r="E172" s="2">
        <v>18</v>
      </c>
      <c r="F172" s="1">
        <v>134.62170241117906</v>
      </c>
      <c r="G172" s="1">
        <v>56.621702411179072</v>
      </c>
      <c r="H172" s="1">
        <v>78</v>
      </c>
      <c r="I172" s="6">
        <f t="shared" si="14"/>
        <v>-0.2198683627846259</v>
      </c>
      <c r="J172" s="1">
        <f t="shared" si="15"/>
        <v>-6.0283534904029101E-2</v>
      </c>
      <c r="K172" s="6">
        <f t="shared" si="16"/>
        <v>0.22080352428005862</v>
      </c>
      <c r="L172" s="1">
        <f t="shared" si="17"/>
        <v>0.34217804370243626</v>
      </c>
    </row>
    <row r="173" spans="1:12" x14ac:dyDescent="0.25">
      <c r="A173" s="3">
        <v>42951</v>
      </c>
      <c r="B173" s="1">
        <f t="shared" si="12"/>
        <v>1716</v>
      </c>
      <c r="C173" s="1">
        <v>2901.0457929713875</v>
      </c>
      <c r="D173" s="1">
        <f t="shared" si="13"/>
        <v>1185.0457929713873</v>
      </c>
      <c r="E173" s="2">
        <v>13</v>
      </c>
      <c r="F173" s="1">
        <v>223.15736869010672</v>
      </c>
      <c r="G173" s="1">
        <v>91.157368690106722</v>
      </c>
      <c r="H173" s="1">
        <v>132</v>
      </c>
      <c r="I173" s="6">
        <f t="shared" si="14"/>
        <v>1.1572190050316971</v>
      </c>
      <c r="J173" s="1">
        <f t="shared" si="15"/>
        <v>1.0233561716125781</v>
      </c>
      <c r="K173" s="6">
        <f t="shared" si="16"/>
        <v>1.9145339993738455</v>
      </c>
      <c r="L173" s="1">
        <f t="shared" si="17"/>
        <v>1.7528879676747429</v>
      </c>
    </row>
    <row r="174" spans="1:12" x14ac:dyDescent="0.25">
      <c r="A174" s="3">
        <v>42949</v>
      </c>
      <c r="B174" s="1">
        <f t="shared" si="12"/>
        <v>10149</v>
      </c>
      <c r="C174" s="1">
        <v>18840.841067063695</v>
      </c>
      <c r="D174" s="1">
        <f t="shared" si="13"/>
        <v>8691.8410670636931</v>
      </c>
      <c r="E174" s="2">
        <v>199</v>
      </c>
      <c r="F174" s="1">
        <v>94.677593301827613</v>
      </c>
      <c r="G174" s="1">
        <v>43.677593301827606</v>
      </c>
      <c r="H174" s="1">
        <v>51</v>
      </c>
      <c r="I174" s="6">
        <f t="shared" si="14"/>
        <v>-0.73600634599765968</v>
      </c>
      <c r="J174" s="1">
        <f t="shared" si="15"/>
        <v>-0.46643613329577216</v>
      </c>
      <c r="K174" s="6">
        <f t="shared" si="16"/>
        <v>-0.54334676387429071</v>
      </c>
      <c r="L174" s="1">
        <f t="shared" si="17"/>
        <v>-0.29428354847972393</v>
      </c>
    </row>
    <row r="175" spans="1:12" x14ac:dyDescent="0.25">
      <c r="A175" s="3">
        <v>42937</v>
      </c>
      <c r="B175" s="1">
        <f t="shared" si="12"/>
        <v>371</v>
      </c>
      <c r="C175" s="1">
        <v>798.03788830279143</v>
      </c>
      <c r="D175" s="1">
        <f t="shared" si="13"/>
        <v>427.03788830279143</v>
      </c>
      <c r="E175" s="2">
        <v>7</v>
      </c>
      <c r="F175" s="1">
        <v>114.00541261468449</v>
      </c>
      <c r="G175" s="1">
        <v>61.005412614684488</v>
      </c>
      <c r="H175" s="1">
        <v>53</v>
      </c>
      <c r="I175" s="6">
        <f t="shared" si="14"/>
        <v>-4.5070752202599103E-2</v>
      </c>
      <c r="J175" s="1">
        <f t="shared" si="15"/>
        <v>7.7265930625725454E-2</v>
      </c>
      <c r="K175" s="6">
        <f t="shared" si="16"/>
        <v>-0.17359615416906443</v>
      </c>
      <c r="L175" s="1">
        <f t="shared" si="17"/>
        <v>1.368212975316643E-2</v>
      </c>
    </row>
    <row r="176" spans="1:12" x14ac:dyDescent="0.25">
      <c r="A176" s="3">
        <v>42919</v>
      </c>
      <c r="B176" s="1">
        <f t="shared" si="12"/>
        <v>2736</v>
      </c>
      <c r="C176" s="1">
        <v>6037.753451149938</v>
      </c>
      <c r="D176" s="1">
        <f t="shared" si="13"/>
        <v>3301.753451149938</v>
      </c>
      <c r="E176" s="2">
        <v>48</v>
      </c>
      <c r="F176" s="1">
        <v>125.78653023229037</v>
      </c>
      <c r="G176" s="1">
        <v>68.786530232290374</v>
      </c>
      <c r="H176" s="1">
        <v>57</v>
      </c>
      <c r="I176" s="6">
        <f t="shared" si="14"/>
        <v>0.26519628281436142</v>
      </c>
      <c r="J176" s="1">
        <f t="shared" si="15"/>
        <v>0.32141723621841606</v>
      </c>
      <c r="K176" s="6">
        <f t="shared" si="16"/>
        <v>5.178237155117011E-2</v>
      </c>
      <c r="L176" s="1">
        <f t="shared" si="17"/>
        <v>0.20140014484419036</v>
      </c>
    </row>
    <row r="177" spans="1:12" x14ac:dyDescent="0.25">
      <c r="A177" s="3">
        <v>42918</v>
      </c>
      <c r="B177" s="1">
        <f t="shared" si="12"/>
        <v>630</v>
      </c>
      <c r="C177" s="1">
        <v>1549.0976529277016</v>
      </c>
      <c r="D177" s="1">
        <f t="shared" si="13"/>
        <v>919.09765292770157</v>
      </c>
      <c r="E177" s="2">
        <v>14</v>
      </c>
      <c r="F177" s="1">
        <v>110.64983235197869</v>
      </c>
      <c r="G177" s="1">
        <v>65.649832351978688</v>
      </c>
      <c r="H177" s="1">
        <v>45</v>
      </c>
      <c r="I177" s="6">
        <f t="shared" si="14"/>
        <v>0.14012248250754472</v>
      </c>
      <c r="J177" s="1">
        <f t="shared" si="15"/>
        <v>0.22299578568088319</v>
      </c>
      <c r="K177" s="6">
        <f t="shared" si="16"/>
        <v>-0.23779004112375879</v>
      </c>
      <c r="L177" s="1">
        <f t="shared" si="17"/>
        <v>-3.978502734001229E-2</v>
      </c>
    </row>
    <row r="178" spans="1:12" x14ac:dyDescent="0.25">
      <c r="A178" s="3">
        <v>42913</v>
      </c>
      <c r="B178" s="1">
        <f t="shared" si="12"/>
        <v>1533</v>
      </c>
      <c r="C178" s="1">
        <v>2620.4472330269018</v>
      </c>
      <c r="D178" s="1">
        <f t="shared" si="13"/>
        <v>1087.4472330269018</v>
      </c>
      <c r="E178" s="2">
        <v>21</v>
      </c>
      <c r="F178" s="1">
        <v>124.78320157270961</v>
      </c>
      <c r="G178" s="1">
        <v>51.783201572709615</v>
      </c>
      <c r="H178" s="1">
        <v>73</v>
      </c>
      <c r="I178" s="6">
        <f t="shared" si="14"/>
        <v>-0.41280045594335874</v>
      </c>
      <c r="J178" s="1">
        <f t="shared" si="15"/>
        <v>-0.21210315194088347</v>
      </c>
      <c r="K178" s="6">
        <f t="shared" si="16"/>
        <v>3.258820496622402E-2</v>
      </c>
      <c r="L178" s="1">
        <f t="shared" si="17"/>
        <v>0.18541330296944536</v>
      </c>
    </row>
    <row r="179" spans="1:12" x14ac:dyDescent="0.25">
      <c r="A179" s="3">
        <v>42912</v>
      </c>
      <c r="B179" s="1">
        <f t="shared" si="12"/>
        <v>4800</v>
      </c>
      <c r="C179" s="1">
        <v>12637.808043010031</v>
      </c>
      <c r="D179" s="1">
        <f t="shared" si="13"/>
        <v>7837.808043010029</v>
      </c>
      <c r="E179" s="2">
        <v>96</v>
      </c>
      <c r="F179" s="1">
        <v>131.64383378135449</v>
      </c>
      <c r="G179" s="1">
        <v>81.643833781354473</v>
      </c>
      <c r="H179" s="1">
        <v>50</v>
      </c>
      <c r="I179" s="6">
        <f t="shared" si="14"/>
        <v>0.77787295042506999</v>
      </c>
      <c r="J179" s="1">
        <f t="shared" si="15"/>
        <v>0.72484610109032233</v>
      </c>
      <c r="K179" s="6">
        <f t="shared" si="16"/>
        <v>0.16383544507376813</v>
      </c>
      <c r="L179" s="1">
        <f t="shared" si="17"/>
        <v>0.29472926961014489</v>
      </c>
    </row>
    <row r="180" spans="1:12" x14ac:dyDescent="0.25">
      <c r="A180" s="3">
        <v>42892</v>
      </c>
      <c r="B180" s="1">
        <f t="shared" si="12"/>
        <v>396</v>
      </c>
      <c r="C180" s="1">
        <v>982.20268738348364</v>
      </c>
      <c r="D180" s="1">
        <f t="shared" si="13"/>
        <v>586.20268738348364</v>
      </c>
      <c r="E180" s="2">
        <v>11</v>
      </c>
      <c r="F180" s="1">
        <v>89.291153398498508</v>
      </c>
      <c r="G180" s="1">
        <v>53.291153398498508</v>
      </c>
      <c r="H180" s="1">
        <v>36</v>
      </c>
      <c r="I180" s="6">
        <f t="shared" si="14"/>
        <v>-0.35267185168253701</v>
      </c>
      <c r="J180" s="1">
        <f t="shared" si="15"/>
        <v>-0.16478753159809278</v>
      </c>
      <c r="K180" s="6">
        <f t="shared" si="16"/>
        <v>-0.64639198621200455</v>
      </c>
      <c r="L180" s="1">
        <f t="shared" si="17"/>
        <v>-0.38011002436083857</v>
      </c>
    </row>
    <row r="181" spans="1:12" x14ac:dyDescent="0.25">
      <c r="A181" s="3">
        <v>42888</v>
      </c>
      <c r="B181" s="1">
        <f t="shared" si="12"/>
        <v>1785</v>
      </c>
      <c r="C181" s="1">
        <v>4445.1735525561853</v>
      </c>
      <c r="D181" s="1">
        <f t="shared" si="13"/>
        <v>2660.1735525561853</v>
      </c>
      <c r="E181" s="2">
        <v>51</v>
      </c>
      <c r="F181" s="1">
        <v>87.160265736395786</v>
      </c>
      <c r="G181" s="1">
        <v>52.160265736395793</v>
      </c>
      <c r="H181" s="1">
        <v>35</v>
      </c>
      <c r="I181" s="6">
        <f t="shared" si="14"/>
        <v>-0.39776526616376295</v>
      </c>
      <c r="J181" s="1">
        <f t="shared" si="15"/>
        <v>-0.20027185566952316</v>
      </c>
      <c r="K181" s="6">
        <f t="shared" si="16"/>
        <v>-0.68715690642996807</v>
      </c>
      <c r="L181" s="1">
        <f t="shared" si="17"/>
        <v>-0.41406317000417725</v>
      </c>
    </row>
    <row r="182" spans="1:12" x14ac:dyDescent="0.25">
      <c r="A182" s="3">
        <v>42887</v>
      </c>
      <c r="B182" s="1">
        <f t="shared" si="12"/>
        <v>3645</v>
      </c>
      <c r="C182" s="1">
        <v>6669.147323824739</v>
      </c>
      <c r="D182" s="1">
        <f t="shared" si="13"/>
        <v>3024.1473238247395</v>
      </c>
      <c r="E182" s="2">
        <v>81</v>
      </c>
      <c r="F182" s="1">
        <v>82.335152145984438</v>
      </c>
      <c r="G182" s="1">
        <v>37.335152145984438</v>
      </c>
      <c r="H182" s="1">
        <v>45</v>
      </c>
      <c r="I182" s="6">
        <f t="shared" si="14"/>
        <v>-0.98890708711233744</v>
      </c>
      <c r="J182" s="1">
        <f t="shared" si="15"/>
        <v>-0.66544549993742108</v>
      </c>
      <c r="K182" s="6">
        <f t="shared" si="16"/>
        <v>-0.77946368264060828</v>
      </c>
      <c r="L182" s="1">
        <f t="shared" si="17"/>
        <v>-0.49094558262241295</v>
      </c>
    </row>
    <row r="183" spans="1:12" x14ac:dyDescent="0.25">
      <c r="A183" s="3">
        <v>42874</v>
      </c>
      <c r="B183" s="1">
        <f t="shared" si="12"/>
        <v>988</v>
      </c>
      <c r="C183" s="1">
        <v>2360.778611844602</v>
      </c>
      <c r="D183" s="1">
        <f t="shared" si="13"/>
        <v>1372.7786118446024</v>
      </c>
      <c r="E183" s="2">
        <v>26</v>
      </c>
      <c r="F183" s="1">
        <v>90.799177378638547</v>
      </c>
      <c r="G183" s="1">
        <v>52.799177378638554</v>
      </c>
      <c r="H183" s="1">
        <v>38</v>
      </c>
      <c r="I183" s="6">
        <f t="shared" si="14"/>
        <v>-0.37228907744404133</v>
      </c>
      <c r="J183" s="1">
        <f t="shared" si="15"/>
        <v>-0.18022446411500045</v>
      </c>
      <c r="K183" s="6">
        <f t="shared" si="16"/>
        <v>-0.61754275200295072</v>
      </c>
      <c r="L183" s="1">
        <f t="shared" si="17"/>
        <v>-0.35608146633689441</v>
      </c>
    </row>
    <row r="184" spans="1:12" x14ac:dyDescent="0.25">
      <c r="A184" s="3">
        <v>42869</v>
      </c>
      <c r="B184" s="1">
        <f t="shared" si="12"/>
        <v>784</v>
      </c>
      <c r="C184" s="1">
        <v>1514.9028517219742</v>
      </c>
      <c r="D184" s="1">
        <f t="shared" si="13"/>
        <v>730.90285172197423</v>
      </c>
      <c r="E184" s="2">
        <v>16</v>
      </c>
      <c r="F184" s="1">
        <v>94.681428232623389</v>
      </c>
      <c r="G184" s="1">
        <v>45.681428232623389</v>
      </c>
      <c r="H184" s="1">
        <v>49</v>
      </c>
      <c r="I184" s="6">
        <f t="shared" si="14"/>
        <v>-0.65610472348077542</v>
      </c>
      <c r="J184" s="1">
        <f t="shared" si="15"/>
        <v>-0.40356098622961595</v>
      </c>
      <c r="K184" s="6">
        <f t="shared" si="16"/>
        <v>-0.54327339977785727</v>
      </c>
      <c r="L184" s="1">
        <f t="shared" si="17"/>
        <v>-0.29422244344534937</v>
      </c>
    </row>
    <row r="185" spans="1:12" x14ac:dyDescent="0.25">
      <c r="A185" s="3">
        <v>42866</v>
      </c>
      <c r="B185" s="1">
        <f t="shared" si="12"/>
        <v>1150</v>
      </c>
      <c r="C185" s="1">
        <v>2596.475708350551</v>
      </c>
      <c r="D185" s="1">
        <f t="shared" si="13"/>
        <v>1446.4757083505508</v>
      </c>
      <c r="E185" s="2">
        <v>25</v>
      </c>
      <c r="F185" s="1">
        <v>103.85902833402204</v>
      </c>
      <c r="G185" s="1">
        <v>57.859028334022035</v>
      </c>
      <c r="H185" s="1">
        <v>46</v>
      </c>
      <c r="I185" s="6">
        <f t="shared" si="14"/>
        <v>-0.17053079146177649</v>
      </c>
      <c r="J185" s="1">
        <f t="shared" si="15"/>
        <v>-2.1459454051908595E-2</v>
      </c>
      <c r="K185" s="6">
        <f t="shared" si="16"/>
        <v>-0.3677014338879655</v>
      </c>
      <c r="L185" s="1">
        <f t="shared" si="17"/>
        <v>-0.14798836529989784</v>
      </c>
    </row>
    <row r="186" spans="1:12" x14ac:dyDescent="0.25">
      <c r="A186" s="3">
        <v>42856</v>
      </c>
      <c r="B186" s="1">
        <f t="shared" si="12"/>
        <v>99</v>
      </c>
      <c r="C186" s="1">
        <v>209.76800721511574</v>
      </c>
      <c r="D186" s="1">
        <f t="shared" si="13"/>
        <v>110.76800721511573</v>
      </c>
      <c r="E186" s="2">
        <v>3</v>
      </c>
      <c r="F186" s="1">
        <v>69.922669071705243</v>
      </c>
      <c r="G186" s="1">
        <v>36.922669071705243</v>
      </c>
      <c r="H186" s="1">
        <v>33</v>
      </c>
      <c r="I186" s="6">
        <f t="shared" si="14"/>
        <v>-1.0053545830558139</v>
      </c>
      <c r="J186" s="1">
        <f t="shared" si="15"/>
        <v>-0.67838814983289175</v>
      </c>
      <c r="K186" s="6">
        <f t="shared" si="16"/>
        <v>-1.0169205374663144</v>
      </c>
      <c r="L186" s="1">
        <f t="shared" si="17"/>
        <v>-0.68872365094188737</v>
      </c>
    </row>
    <row r="187" spans="1:12" x14ac:dyDescent="0.25">
      <c r="A187" s="3">
        <v>42837</v>
      </c>
      <c r="B187" s="1">
        <f t="shared" si="12"/>
        <v>1958</v>
      </c>
      <c r="C187" s="1">
        <v>3516.0738020989584</v>
      </c>
      <c r="D187" s="1">
        <f t="shared" si="13"/>
        <v>1558.0738020989586</v>
      </c>
      <c r="E187" s="2">
        <v>22</v>
      </c>
      <c r="F187" s="1">
        <v>159.82153645904356</v>
      </c>
      <c r="G187" s="1">
        <v>70.821536459043571</v>
      </c>
      <c r="H187" s="1">
        <v>89</v>
      </c>
      <c r="I187" s="6">
        <f t="shared" si="14"/>
        <v>0.34634084060733766</v>
      </c>
      <c r="J187" s="1">
        <f t="shared" si="15"/>
        <v>0.38527045776937369</v>
      </c>
      <c r="K187" s="6">
        <f t="shared" si="16"/>
        <v>0.70288863966968307</v>
      </c>
      <c r="L187" s="1">
        <f t="shared" si="17"/>
        <v>0.74370725184980668</v>
      </c>
    </row>
    <row r="188" spans="1:12" x14ac:dyDescent="0.25">
      <c r="A188" s="3">
        <v>42822</v>
      </c>
      <c r="B188" s="1">
        <f t="shared" si="12"/>
        <v>1328</v>
      </c>
      <c r="C188" s="1">
        <v>3123.3379875602322</v>
      </c>
      <c r="D188" s="1">
        <f t="shared" si="13"/>
        <v>1795.3379875602325</v>
      </c>
      <c r="E188" s="2">
        <v>16</v>
      </c>
      <c r="F188" s="1">
        <v>195.20862422251452</v>
      </c>
      <c r="G188" s="1">
        <v>112.20862422251453</v>
      </c>
      <c r="H188" s="1">
        <v>83</v>
      </c>
      <c r="I188" s="6">
        <f t="shared" si="14"/>
        <v>1.9966242111226682</v>
      </c>
      <c r="J188" s="1">
        <f t="shared" si="15"/>
        <v>1.6838900145882241</v>
      </c>
      <c r="K188" s="6">
        <f t="shared" si="16"/>
        <v>1.3798608870008648</v>
      </c>
      <c r="L188" s="1">
        <f t="shared" si="17"/>
        <v>1.3075581606026005</v>
      </c>
    </row>
    <row r="189" spans="1:12" x14ac:dyDescent="0.25">
      <c r="A189" s="3">
        <v>42819</v>
      </c>
      <c r="B189" s="1">
        <f t="shared" si="12"/>
        <v>207</v>
      </c>
      <c r="C189" s="1">
        <v>401.55061191131273</v>
      </c>
      <c r="D189" s="1">
        <f t="shared" si="13"/>
        <v>194.55061191131267</v>
      </c>
      <c r="E189" s="2">
        <v>3</v>
      </c>
      <c r="F189" s="1">
        <v>133.85020397043758</v>
      </c>
      <c r="G189" s="1">
        <v>64.850203970437562</v>
      </c>
      <c r="H189" s="1">
        <v>69</v>
      </c>
      <c r="I189" s="6">
        <f t="shared" si="14"/>
        <v>0.10823781770119116</v>
      </c>
      <c r="J189" s="1">
        <f t="shared" si="15"/>
        <v>0.19790551935455242</v>
      </c>
      <c r="K189" s="6">
        <f t="shared" si="16"/>
        <v>0.20604438284597879</v>
      </c>
      <c r="L189" s="1">
        <f t="shared" si="17"/>
        <v>0.32988513901864097</v>
      </c>
    </row>
    <row r="190" spans="1:12" x14ac:dyDescent="0.25">
      <c r="A190" s="3">
        <v>42813</v>
      </c>
      <c r="B190" s="1">
        <f t="shared" si="12"/>
        <v>290</v>
      </c>
      <c r="C190" s="1">
        <v>537.21591532425168</v>
      </c>
      <c r="D190" s="1">
        <f t="shared" si="13"/>
        <v>247.21591532425168</v>
      </c>
      <c r="E190" s="2">
        <v>5</v>
      </c>
      <c r="F190" s="1">
        <v>107.44318306485033</v>
      </c>
      <c r="G190" s="1">
        <v>49.443183064850338</v>
      </c>
      <c r="H190" s="1">
        <v>58</v>
      </c>
      <c r="I190" s="6">
        <f t="shared" si="14"/>
        <v>-0.5061071812748924</v>
      </c>
      <c r="J190" s="1">
        <f t="shared" si="15"/>
        <v>-0.28552686841474995</v>
      </c>
      <c r="K190" s="6">
        <f t="shared" si="16"/>
        <v>-0.29913480588145896</v>
      </c>
      <c r="L190" s="1">
        <f t="shared" si="17"/>
        <v>-9.0879147508477864E-2</v>
      </c>
    </row>
    <row r="191" spans="1:12" x14ac:dyDescent="0.25">
      <c r="A191" s="3">
        <v>42799</v>
      </c>
      <c r="B191" s="1">
        <f t="shared" si="12"/>
        <v>132</v>
      </c>
      <c r="C191" s="1">
        <v>373.05779136047227</v>
      </c>
      <c r="D191" s="1">
        <f t="shared" si="13"/>
        <v>241.05779136047221</v>
      </c>
      <c r="E191" s="2">
        <v>11</v>
      </c>
      <c r="F191" s="1">
        <v>33.91434466913384</v>
      </c>
      <c r="G191" s="1">
        <v>21.914344669133836</v>
      </c>
      <c r="H191" s="1">
        <v>12</v>
      </c>
      <c r="I191" s="6">
        <f t="shared" si="14"/>
        <v>-1.6038018167054289</v>
      </c>
      <c r="J191" s="1">
        <f t="shared" si="15"/>
        <v>-1.1493104745842155</v>
      </c>
      <c r="K191" s="6">
        <f t="shared" si="16"/>
        <v>-1.7057773446829365</v>
      </c>
      <c r="L191" s="1">
        <f t="shared" si="17"/>
        <v>-1.2624732223325519</v>
      </c>
    </row>
    <row r="192" spans="1:12" x14ac:dyDescent="0.25">
      <c r="A192" s="3">
        <v>42797</v>
      </c>
      <c r="B192" s="1">
        <f t="shared" si="12"/>
        <v>196</v>
      </c>
      <c r="C192" s="1">
        <v>543.52748308029368</v>
      </c>
      <c r="D192" s="1">
        <f t="shared" si="13"/>
        <v>347.52748308029373</v>
      </c>
      <c r="E192" s="2">
        <v>4</v>
      </c>
      <c r="F192" s="1">
        <v>135.88187077007342</v>
      </c>
      <c r="G192" s="1">
        <v>86.881870770073434</v>
      </c>
      <c r="H192" s="1">
        <v>49</v>
      </c>
      <c r="I192" s="6">
        <f t="shared" si="14"/>
        <v>0.98673628930093726</v>
      </c>
      <c r="J192" s="1">
        <f t="shared" si="15"/>
        <v>0.88920212709935043</v>
      </c>
      <c r="K192" s="6">
        <f t="shared" si="16"/>
        <v>0.24491115957456264</v>
      </c>
      <c r="L192" s="1">
        <f t="shared" si="17"/>
        <v>0.36225731891981033</v>
      </c>
    </row>
    <row r="193" spans="1:12" x14ac:dyDescent="0.25">
      <c r="A193" s="3">
        <v>42796</v>
      </c>
      <c r="B193" s="1">
        <f t="shared" si="12"/>
        <v>2688</v>
      </c>
      <c r="C193" s="1">
        <v>4551.4976662263216</v>
      </c>
      <c r="D193" s="1">
        <f t="shared" si="13"/>
        <v>1863.4976662263216</v>
      </c>
      <c r="E193" s="2">
        <v>56</v>
      </c>
      <c r="F193" s="1">
        <v>81.276744039755741</v>
      </c>
      <c r="G193" s="1">
        <v>33.276744039755741</v>
      </c>
      <c r="H193" s="1">
        <v>48</v>
      </c>
      <c r="I193" s="6">
        <f t="shared" si="14"/>
        <v>-1.1507334868520456</v>
      </c>
      <c r="J193" s="1">
        <f t="shared" si="15"/>
        <v>-0.79278782869514619</v>
      </c>
      <c r="K193" s="6">
        <f t="shared" si="16"/>
        <v>-0.79971154590238303</v>
      </c>
      <c r="L193" s="1">
        <f t="shared" si="17"/>
        <v>-0.50781004958610632</v>
      </c>
    </row>
    <row r="194" spans="1:12" x14ac:dyDescent="0.25">
      <c r="A194" s="3">
        <v>42792</v>
      </c>
      <c r="B194" s="1">
        <f t="shared" ref="B194:B257" si="18">+E194*H194</f>
        <v>405</v>
      </c>
      <c r="C194" s="1">
        <v>697.36663507256571</v>
      </c>
      <c r="D194" s="1">
        <f t="shared" ref="D194:D257" si="19">+E194*G194</f>
        <v>292.36663507256571</v>
      </c>
      <c r="E194" s="2">
        <v>5</v>
      </c>
      <c r="F194" s="1">
        <v>139.47332701451313</v>
      </c>
      <c r="G194" s="1">
        <v>58.473327014513146</v>
      </c>
      <c r="H194" s="1">
        <v>81</v>
      </c>
      <c r="I194" s="6">
        <f t="shared" si="14"/>
        <v>-0.14603602868122734</v>
      </c>
      <c r="J194" s="1">
        <f t="shared" si="15"/>
        <v>-2.1843534511393091E-3</v>
      </c>
      <c r="K194" s="6">
        <f t="shared" si="16"/>
        <v>0.31361746909743143</v>
      </c>
      <c r="L194" s="1">
        <f t="shared" si="17"/>
        <v>0.41948287759558306</v>
      </c>
    </row>
    <row r="195" spans="1:12" x14ac:dyDescent="0.25">
      <c r="A195" s="3">
        <v>42787</v>
      </c>
      <c r="B195" s="1">
        <f t="shared" si="18"/>
        <v>288</v>
      </c>
      <c r="C195" s="1">
        <v>577.18834648151847</v>
      </c>
      <c r="D195" s="1">
        <f t="shared" si="19"/>
        <v>289.18834648151841</v>
      </c>
      <c r="E195" s="2">
        <v>8</v>
      </c>
      <c r="F195" s="1">
        <v>72.148543310189808</v>
      </c>
      <c r="G195" s="1">
        <v>36.148543310189801</v>
      </c>
      <c r="H195" s="1">
        <v>36</v>
      </c>
      <c r="I195" s="6">
        <f t="shared" ref="I195:I258" si="20">(G195-AVERAGE($G$2:$G$501))/_xlfn.STDEV.S($G$2:$G$501)</f>
        <v>-1.0362223473744239</v>
      </c>
      <c r="J195" s="1">
        <f t="shared" ref="J195:J258" si="21">(G195-MEDIAN($G$2:$G$502))/(PERCENTILE($G$2:$G$502,0.75)-PERCENTILE($G$2:$G$502,0.25))</f>
        <v>-0.70267821003443443</v>
      </c>
      <c r="K195" s="6">
        <f t="shared" ref="K195:K258" si="22">(F195-AVERAGE($F$2:$F$501))/_xlfn.STDEV.S($F$2:$F$501)</f>
        <v>-0.97433847771685511</v>
      </c>
      <c r="L195" s="1">
        <f t="shared" ref="L195:L258" si="23">(F195-MEDIAN($F$2:$F$502))/(PERCENTILE($F$2:$F$502,0.75)-PERCENTILE($F$2:$F$502,0.25))</f>
        <v>-0.65325700783952623</v>
      </c>
    </row>
    <row r="196" spans="1:12" x14ac:dyDescent="0.25">
      <c r="A196" s="3">
        <v>42759</v>
      </c>
      <c r="B196" s="1">
        <f t="shared" si="18"/>
        <v>987</v>
      </c>
      <c r="C196" s="1">
        <v>1986.2683565057853</v>
      </c>
      <c r="D196" s="1">
        <f t="shared" si="19"/>
        <v>999.26835650578528</v>
      </c>
      <c r="E196" s="2">
        <v>21</v>
      </c>
      <c r="F196" s="1">
        <v>94.584207452656443</v>
      </c>
      <c r="G196" s="1">
        <v>47.584207452656443</v>
      </c>
      <c r="H196" s="1">
        <v>47</v>
      </c>
      <c r="I196" s="6">
        <f t="shared" si="20"/>
        <v>-0.5802326321046285</v>
      </c>
      <c r="J196" s="1">
        <f t="shared" si="21"/>
        <v>-0.34385670547506664</v>
      </c>
      <c r="K196" s="6">
        <f t="shared" si="22"/>
        <v>-0.54513328071356548</v>
      </c>
      <c r="L196" s="1">
        <f t="shared" si="23"/>
        <v>-0.29577154026564789</v>
      </c>
    </row>
    <row r="197" spans="1:12" x14ac:dyDescent="0.25">
      <c r="A197" s="3">
        <v>42756</v>
      </c>
      <c r="B197" s="1">
        <f t="shared" si="18"/>
        <v>3828</v>
      </c>
      <c r="C197" s="1">
        <v>6452.5148059645198</v>
      </c>
      <c r="D197" s="1">
        <f t="shared" si="19"/>
        <v>2624.5148059645203</v>
      </c>
      <c r="E197" s="2">
        <v>33</v>
      </c>
      <c r="F197" s="1">
        <v>195.53075169589454</v>
      </c>
      <c r="G197" s="1">
        <v>79.530751695894551</v>
      </c>
      <c r="H197" s="1">
        <v>116</v>
      </c>
      <c r="I197" s="6">
        <f t="shared" si="20"/>
        <v>0.69361516823711378</v>
      </c>
      <c r="J197" s="1">
        <f t="shared" si="21"/>
        <v>0.65854306143156671</v>
      </c>
      <c r="K197" s="6">
        <f t="shared" si="22"/>
        <v>1.3860233426694066</v>
      </c>
      <c r="L197" s="1">
        <f t="shared" si="23"/>
        <v>1.3126908765190275</v>
      </c>
    </row>
    <row r="198" spans="1:12" x14ac:dyDescent="0.25">
      <c r="A198" s="3">
        <v>42739</v>
      </c>
      <c r="B198" s="1">
        <f t="shared" si="18"/>
        <v>162</v>
      </c>
      <c r="C198" s="1">
        <v>385.8886620659556</v>
      </c>
      <c r="D198" s="1">
        <f t="shared" si="19"/>
        <v>223.88866206595554</v>
      </c>
      <c r="E198" s="2">
        <v>3</v>
      </c>
      <c r="F198" s="1">
        <v>128.6295540219852</v>
      </c>
      <c r="G198" s="1">
        <v>74.629554021985186</v>
      </c>
      <c r="H198" s="1">
        <v>54</v>
      </c>
      <c r="I198" s="6">
        <f t="shared" si="20"/>
        <v>0.49818307929462979</v>
      </c>
      <c r="J198" s="1">
        <f t="shared" si="21"/>
        <v>0.50475618018133661</v>
      </c>
      <c r="K198" s="6">
        <f t="shared" si="22"/>
        <v>0.10617080320144219</v>
      </c>
      <c r="L198" s="1">
        <f t="shared" si="23"/>
        <v>0.24670032772841208</v>
      </c>
    </row>
    <row r="199" spans="1:12" x14ac:dyDescent="0.25">
      <c r="A199" s="3">
        <v>42730</v>
      </c>
      <c r="B199" s="1">
        <f t="shared" si="18"/>
        <v>1404</v>
      </c>
      <c r="C199" s="1">
        <v>2801.7906325157751</v>
      </c>
      <c r="D199" s="1">
        <f t="shared" si="19"/>
        <v>1397.7906325157751</v>
      </c>
      <c r="E199" s="2">
        <v>18</v>
      </c>
      <c r="F199" s="1">
        <v>155.65503513976529</v>
      </c>
      <c r="G199" s="1">
        <v>77.655035139765289</v>
      </c>
      <c r="H199" s="1">
        <v>78</v>
      </c>
      <c r="I199" s="6">
        <f t="shared" si="20"/>
        <v>0.61882218308988324</v>
      </c>
      <c r="J199" s="1">
        <f t="shared" si="21"/>
        <v>0.59968793693575029</v>
      </c>
      <c r="K199" s="6">
        <f t="shared" si="22"/>
        <v>0.62318143741350385</v>
      </c>
      <c r="L199" s="1">
        <f t="shared" si="23"/>
        <v>0.6773190378521613</v>
      </c>
    </row>
    <row r="200" spans="1:12" x14ac:dyDescent="0.25">
      <c r="A200" s="3">
        <v>42727</v>
      </c>
      <c r="B200" s="1">
        <f t="shared" si="18"/>
        <v>924</v>
      </c>
      <c r="C200" s="1">
        <v>2429.7204621728283</v>
      </c>
      <c r="D200" s="1">
        <f t="shared" si="19"/>
        <v>1505.7204621728283</v>
      </c>
      <c r="E200" s="2">
        <v>21</v>
      </c>
      <c r="F200" s="1">
        <v>115.70097438918231</v>
      </c>
      <c r="G200" s="1">
        <v>71.700974389182306</v>
      </c>
      <c r="H200" s="1">
        <v>44</v>
      </c>
      <c r="I200" s="6">
        <f t="shared" si="20"/>
        <v>0.38140785957235274</v>
      </c>
      <c r="J200" s="1">
        <f t="shared" si="21"/>
        <v>0.4128649408993138</v>
      </c>
      <c r="K200" s="6">
        <f t="shared" si="22"/>
        <v>-0.14115923049105766</v>
      </c>
      <c r="L200" s="1">
        <f t="shared" si="23"/>
        <v>4.0698878172458243E-2</v>
      </c>
    </row>
    <row r="201" spans="1:12" x14ac:dyDescent="0.25">
      <c r="A201" s="3">
        <v>42726</v>
      </c>
      <c r="B201" s="1">
        <f t="shared" si="18"/>
        <v>780</v>
      </c>
      <c r="C201" s="1">
        <v>1630.8223086724397</v>
      </c>
      <c r="D201" s="1">
        <f t="shared" si="19"/>
        <v>850.82230867243982</v>
      </c>
      <c r="E201" s="2">
        <v>26</v>
      </c>
      <c r="F201" s="1">
        <v>62.723934948939991</v>
      </c>
      <c r="G201" s="1">
        <v>32.723934948939991</v>
      </c>
      <c r="H201" s="1">
        <v>30</v>
      </c>
      <c r="I201" s="6">
        <f t="shared" si="20"/>
        <v>-1.1727763919932992</v>
      </c>
      <c r="J201" s="1">
        <f t="shared" si="21"/>
        <v>-0.81013354532597903</v>
      </c>
      <c r="K201" s="6">
        <f t="shared" si="22"/>
        <v>-1.1546358320845582</v>
      </c>
      <c r="L201" s="1">
        <f t="shared" si="23"/>
        <v>-0.80342686710145317</v>
      </c>
    </row>
    <row r="202" spans="1:12" x14ac:dyDescent="0.25">
      <c r="A202" s="3">
        <v>42711</v>
      </c>
      <c r="B202" s="1">
        <f t="shared" si="18"/>
        <v>1460</v>
      </c>
      <c r="C202" s="1">
        <v>4198.6643653517376</v>
      </c>
      <c r="D202" s="1">
        <f t="shared" si="19"/>
        <v>2738.6643653517381</v>
      </c>
      <c r="E202" s="2">
        <v>73</v>
      </c>
      <c r="F202" s="1">
        <v>57.515950210297781</v>
      </c>
      <c r="G202" s="1">
        <v>37.515950210297781</v>
      </c>
      <c r="H202" s="1">
        <v>20</v>
      </c>
      <c r="I202" s="6">
        <f t="shared" si="20"/>
        <v>-0.98169788117200019</v>
      </c>
      <c r="J202" s="1">
        <f t="shared" si="21"/>
        <v>-0.65977252522863938</v>
      </c>
      <c r="K202" s="6">
        <f t="shared" si="22"/>
        <v>-1.2542671200885558</v>
      </c>
      <c r="L202" s="1">
        <f t="shared" si="23"/>
        <v>-0.88640987342517163</v>
      </c>
    </row>
    <row r="203" spans="1:12" x14ac:dyDescent="0.25">
      <c r="A203" s="3">
        <v>42685</v>
      </c>
      <c r="B203" s="1">
        <f t="shared" si="18"/>
        <v>369</v>
      </c>
      <c r="C203" s="1">
        <v>728.00133857768969</v>
      </c>
      <c r="D203" s="1">
        <f t="shared" si="19"/>
        <v>359.00133857768981</v>
      </c>
      <c r="E203" s="2">
        <v>9</v>
      </c>
      <c r="F203" s="1">
        <v>80.889037619743306</v>
      </c>
      <c r="G203" s="1">
        <v>39.889037619743313</v>
      </c>
      <c r="H203" s="1">
        <v>41</v>
      </c>
      <c r="I203" s="6">
        <f t="shared" si="20"/>
        <v>-0.88707255476660285</v>
      </c>
      <c r="J203" s="1">
        <f t="shared" si="21"/>
        <v>-0.5853111923231008</v>
      </c>
      <c r="K203" s="6">
        <f t="shared" si="22"/>
        <v>-0.80712855880310219</v>
      </c>
      <c r="L203" s="1">
        <f t="shared" si="23"/>
        <v>-0.51398768756283097</v>
      </c>
    </row>
    <row r="204" spans="1:12" x14ac:dyDescent="0.25">
      <c r="A204" s="3">
        <v>42672</v>
      </c>
      <c r="B204" s="1">
        <f t="shared" si="18"/>
        <v>475</v>
      </c>
      <c r="C204" s="1">
        <v>900.66600519512895</v>
      </c>
      <c r="D204" s="1">
        <f t="shared" si="19"/>
        <v>425.66600519512889</v>
      </c>
      <c r="E204" s="2">
        <v>25</v>
      </c>
      <c r="F204" s="1">
        <v>36.026640207805158</v>
      </c>
      <c r="G204" s="1">
        <v>17.026640207805155</v>
      </c>
      <c r="H204" s="1">
        <v>19</v>
      </c>
      <c r="I204" s="6">
        <f t="shared" si="20"/>
        <v>-1.7986958725187399</v>
      </c>
      <c r="J204" s="1">
        <f t="shared" si="21"/>
        <v>-1.3026739737921591</v>
      </c>
      <c r="K204" s="6">
        <f t="shared" si="22"/>
        <v>-1.6653681008536643</v>
      </c>
      <c r="L204" s="1">
        <f t="shared" si="23"/>
        <v>-1.2288163199337128</v>
      </c>
    </row>
    <row r="205" spans="1:12" x14ac:dyDescent="0.25">
      <c r="A205" s="3">
        <v>42653</v>
      </c>
      <c r="B205" s="1">
        <f t="shared" si="18"/>
        <v>522</v>
      </c>
      <c r="C205" s="1">
        <v>1008.7822271839731</v>
      </c>
      <c r="D205" s="1">
        <f t="shared" si="19"/>
        <v>486.78222718397296</v>
      </c>
      <c r="E205" s="2">
        <v>9</v>
      </c>
      <c r="F205" s="1">
        <v>112.08691413155256</v>
      </c>
      <c r="G205" s="1">
        <v>54.086914131552554</v>
      </c>
      <c r="H205" s="1">
        <v>58</v>
      </c>
      <c r="I205" s="6">
        <f t="shared" si="20"/>
        <v>-0.32094140685942329</v>
      </c>
      <c r="J205" s="1">
        <f t="shared" si="21"/>
        <v>-0.13981862205803625</v>
      </c>
      <c r="K205" s="6">
        <f t="shared" si="22"/>
        <v>-0.21029796581031415</v>
      </c>
      <c r="L205" s="1">
        <f t="shared" si="23"/>
        <v>-1.6886848411559775E-2</v>
      </c>
    </row>
    <row r="206" spans="1:12" x14ac:dyDescent="0.25">
      <c r="A206" s="3">
        <v>42650</v>
      </c>
      <c r="B206" s="1">
        <f t="shared" si="18"/>
        <v>624</v>
      </c>
      <c r="C206" s="1">
        <v>1199.9097973571811</v>
      </c>
      <c r="D206" s="1">
        <f t="shared" si="19"/>
        <v>575.90979735718111</v>
      </c>
      <c r="E206" s="2">
        <v>12</v>
      </c>
      <c r="F206" s="1">
        <v>99.99248311309843</v>
      </c>
      <c r="G206" s="1">
        <v>47.99248311309843</v>
      </c>
      <c r="H206" s="1">
        <v>52</v>
      </c>
      <c r="I206" s="6">
        <f t="shared" si="20"/>
        <v>-0.56395290406809195</v>
      </c>
      <c r="J206" s="1">
        <f t="shared" si="21"/>
        <v>-0.33104607332203417</v>
      </c>
      <c r="K206" s="6">
        <f t="shared" si="22"/>
        <v>-0.44167032969290126</v>
      </c>
      <c r="L206" s="1">
        <f t="shared" si="23"/>
        <v>-0.20959713771778696</v>
      </c>
    </row>
    <row r="207" spans="1:12" x14ac:dyDescent="0.25">
      <c r="A207" s="3">
        <v>42646</v>
      </c>
      <c r="B207" s="1">
        <f t="shared" si="18"/>
        <v>1209</v>
      </c>
      <c r="C207" s="1">
        <v>2918.5735732345879</v>
      </c>
      <c r="D207" s="1">
        <f t="shared" si="19"/>
        <v>1709.5735732345879</v>
      </c>
      <c r="E207" s="2">
        <v>39</v>
      </c>
      <c r="F207" s="1">
        <v>74.83521982652789</v>
      </c>
      <c r="G207" s="1">
        <v>43.835219826527897</v>
      </c>
      <c r="H207" s="1">
        <v>31</v>
      </c>
      <c r="I207" s="6">
        <f t="shared" si="20"/>
        <v>-0.7297210902205038</v>
      </c>
      <c r="J207" s="1">
        <f t="shared" si="21"/>
        <v>-0.4614902214495693</v>
      </c>
      <c r="K207" s="6">
        <f t="shared" si="22"/>
        <v>-0.9229410456570516</v>
      </c>
      <c r="L207" s="1">
        <f t="shared" si="23"/>
        <v>-0.6104480317127654</v>
      </c>
    </row>
    <row r="208" spans="1:12" x14ac:dyDescent="0.25">
      <c r="A208" s="3">
        <v>42638</v>
      </c>
      <c r="B208" s="1">
        <f t="shared" si="18"/>
        <v>651</v>
      </c>
      <c r="C208" s="1">
        <v>1189.9805742082863</v>
      </c>
      <c r="D208" s="1">
        <f t="shared" si="19"/>
        <v>538.98057420828638</v>
      </c>
      <c r="E208" s="2">
        <v>7</v>
      </c>
      <c r="F208" s="1">
        <v>169.99722488689804</v>
      </c>
      <c r="G208" s="1">
        <v>76.997224886898053</v>
      </c>
      <c r="H208" s="1">
        <v>93</v>
      </c>
      <c r="I208" s="6">
        <f t="shared" si="20"/>
        <v>0.59259242448822991</v>
      </c>
      <c r="J208" s="1">
        <f t="shared" si="21"/>
        <v>0.57904755595675039</v>
      </c>
      <c r="K208" s="6">
        <f t="shared" si="22"/>
        <v>0.89755452201611075</v>
      </c>
      <c r="L208" s="1">
        <f t="shared" si="23"/>
        <v>0.90584467343084341</v>
      </c>
    </row>
    <row r="209" spans="1:12" x14ac:dyDescent="0.25">
      <c r="A209" s="3">
        <v>42629</v>
      </c>
      <c r="B209" s="1">
        <f t="shared" si="18"/>
        <v>1755</v>
      </c>
      <c r="C209" s="1">
        <v>3142.3281442306816</v>
      </c>
      <c r="D209" s="1">
        <f t="shared" si="19"/>
        <v>1387.3281442306813</v>
      </c>
      <c r="E209" s="2">
        <v>27</v>
      </c>
      <c r="F209" s="1">
        <v>116.38252386039561</v>
      </c>
      <c r="G209" s="1">
        <v>51.382523860395608</v>
      </c>
      <c r="H209" s="1">
        <v>65</v>
      </c>
      <c r="I209" s="6">
        <f t="shared" si="20"/>
        <v>-0.42877722070986996</v>
      </c>
      <c r="J209" s="1">
        <f t="shared" si="21"/>
        <v>-0.22467538017221261</v>
      </c>
      <c r="K209" s="6">
        <f t="shared" si="22"/>
        <v>-0.12812085671250312</v>
      </c>
      <c r="L209" s="1">
        <f t="shared" si="23"/>
        <v>5.1558553635786417E-2</v>
      </c>
    </row>
    <row r="210" spans="1:12" x14ac:dyDescent="0.25">
      <c r="A210" s="3">
        <v>42628</v>
      </c>
      <c r="B210" s="1">
        <f t="shared" si="18"/>
        <v>1188</v>
      </c>
      <c r="C210" s="1">
        <v>2188.2777767192911</v>
      </c>
      <c r="D210" s="1">
        <f t="shared" si="19"/>
        <v>1000.2777767192912</v>
      </c>
      <c r="E210" s="2">
        <v>33</v>
      </c>
      <c r="F210" s="1">
        <v>66.311447779372457</v>
      </c>
      <c r="G210" s="1">
        <v>30.311447779372461</v>
      </c>
      <c r="H210" s="1">
        <v>36</v>
      </c>
      <c r="I210" s="6">
        <f t="shared" si="20"/>
        <v>-1.2689727583641859</v>
      </c>
      <c r="J210" s="1">
        <f t="shared" si="21"/>
        <v>-0.88583114059722956</v>
      </c>
      <c r="K210" s="6">
        <f t="shared" si="22"/>
        <v>-1.086004961994866</v>
      </c>
      <c r="L210" s="1">
        <f t="shared" si="23"/>
        <v>-0.7462641420102476</v>
      </c>
    </row>
    <row r="211" spans="1:12" x14ac:dyDescent="0.25">
      <c r="A211" s="3">
        <v>42624</v>
      </c>
      <c r="B211" s="1">
        <f t="shared" si="18"/>
        <v>231</v>
      </c>
      <c r="C211" s="1">
        <v>566.84727024897745</v>
      </c>
      <c r="D211" s="1">
        <f t="shared" si="19"/>
        <v>335.8472702489774</v>
      </c>
      <c r="E211" s="2">
        <v>11</v>
      </c>
      <c r="F211" s="1">
        <v>51.531570022634313</v>
      </c>
      <c r="G211" s="1">
        <v>30.531570022634309</v>
      </c>
      <c r="H211" s="1">
        <v>21</v>
      </c>
      <c r="I211" s="6">
        <f t="shared" si="20"/>
        <v>-1.260195526208794</v>
      </c>
      <c r="J211" s="1">
        <f t="shared" si="21"/>
        <v>-0.87892427506408677</v>
      </c>
      <c r="K211" s="6">
        <f t="shared" si="22"/>
        <v>-1.3687512316833148</v>
      </c>
      <c r="L211" s="1">
        <f t="shared" si="23"/>
        <v>-0.98176381240116872</v>
      </c>
    </row>
    <row r="212" spans="1:12" x14ac:dyDescent="0.25">
      <c r="A212" s="3">
        <v>42618</v>
      </c>
      <c r="B212" s="1">
        <f t="shared" si="18"/>
        <v>1860</v>
      </c>
      <c r="C212" s="1">
        <v>4018.6029453383303</v>
      </c>
      <c r="D212" s="1">
        <f t="shared" si="19"/>
        <v>2158.6029453383303</v>
      </c>
      <c r="E212" s="2">
        <v>15</v>
      </c>
      <c r="F212" s="1">
        <v>267.90686302255534</v>
      </c>
      <c r="G212" s="1">
        <v>143.90686302255534</v>
      </c>
      <c r="H212" s="1">
        <v>124</v>
      </c>
      <c r="I212" s="6">
        <f t="shared" si="20"/>
        <v>3.2605709924301935</v>
      </c>
      <c r="J212" s="1">
        <f t="shared" si="21"/>
        <v>2.6784986001862467</v>
      </c>
      <c r="K212" s="6">
        <f t="shared" si="22"/>
        <v>2.7706136504505161</v>
      </c>
      <c r="L212" s="1">
        <f t="shared" si="23"/>
        <v>2.4659176245436938</v>
      </c>
    </row>
    <row r="213" spans="1:12" x14ac:dyDescent="0.25">
      <c r="A213" s="3">
        <v>42618</v>
      </c>
      <c r="B213" s="1">
        <f t="shared" si="18"/>
        <v>776</v>
      </c>
      <c r="C213" s="1">
        <v>1463.5118502400246</v>
      </c>
      <c r="D213" s="1">
        <f t="shared" si="19"/>
        <v>687.51185024002473</v>
      </c>
      <c r="E213" s="2">
        <v>8</v>
      </c>
      <c r="F213" s="1">
        <v>182.93898128000308</v>
      </c>
      <c r="G213" s="1">
        <v>85.938981280003091</v>
      </c>
      <c r="H213" s="1">
        <v>97</v>
      </c>
      <c r="I213" s="6">
        <f t="shared" si="20"/>
        <v>0.9491391804009448</v>
      </c>
      <c r="J213" s="1">
        <f t="shared" si="21"/>
        <v>0.8596166984574003</v>
      </c>
      <c r="K213" s="6">
        <f t="shared" si="22"/>
        <v>1.1451366335595463</v>
      </c>
      <c r="L213" s="1">
        <f t="shared" si="23"/>
        <v>1.1120560788984124</v>
      </c>
    </row>
    <row r="214" spans="1:12" x14ac:dyDescent="0.25">
      <c r="A214" s="3">
        <v>42608</v>
      </c>
      <c r="B214" s="1">
        <f t="shared" si="18"/>
        <v>1320</v>
      </c>
      <c r="C214" s="1">
        <v>2305.6543926010745</v>
      </c>
      <c r="D214" s="1">
        <f t="shared" si="19"/>
        <v>985.65439260107473</v>
      </c>
      <c r="E214" s="2">
        <v>12</v>
      </c>
      <c r="F214" s="1">
        <v>192.13786605008954</v>
      </c>
      <c r="G214" s="1">
        <v>82.137866050089556</v>
      </c>
      <c r="H214" s="1">
        <v>110</v>
      </c>
      <c r="I214" s="6">
        <f t="shared" si="20"/>
        <v>0.79757216778123918</v>
      </c>
      <c r="J214" s="1">
        <f t="shared" si="21"/>
        <v>0.74034755336803537</v>
      </c>
      <c r="K214" s="6">
        <f t="shared" si="22"/>
        <v>1.321115785542049</v>
      </c>
      <c r="L214" s="1">
        <f t="shared" si="23"/>
        <v>1.2586293027758422</v>
      </c>
    </row>
    <row r="215" spans="1:12" x14ac:dyDescent="0.25">
      <c r="A215" s="3">
        <v>42587</v>
      </c>
      <c r="B215" s="1">
        <f t="shared" si="18"/>
        <v>264</v>
      </c>
      <c r="C215" s="1">
        <v>627.12169776250403</v>
      </c>
      <c r="D215" s="1">
        <f t="shared" si="19"/>
        <v>363.12169776250403</v>
      </c>
      <c r="E215" s="2">
        <v>11</v>
      </c>
      <c r="F215" s="1">
        <v>57.011063432954913</v>
      </c>
      <c r="G215" s="1">
        <v>33.011063432954913</v>
      </c>
      <c r="H215" s="1">
        <v>24</v>
      </c>
      <c r="I215" s="6">
        <f t="shared" si="20"/>
        <v>-1.1613273293030433</v>
      </c>
      <c r="J215" s="1">
        <f t="shared" si="21"/>
        <v>-0.80112419760882392</v>
      </c>
      <c r="K215" s="6">
        <f t="shared" si="22"/>
        <v>-1.2639258503743078</v>
      </c>
      <c r="L215" s="1">
        <f t="shared" si="23"/>
        <v>-0.89445464020917109</v>
      </c>
    </row>
    <row r="216" spans="1:12" x14ac:dyDescent="0.25">
      <c r="A216" s="3">
        <v>42568</v>
      </c>
      <c r="B216" s="1">
        <f t="shared" si="18"/>
        <v>8774</v>
      </c>
      <c r="C216" s="1">
        <v>17001.022723463269</v>
      </c>
      <c r="D216" s="1">
        <f t="shared" si="19"/>
        <v>8227.0227234632694</v>
      </c>
      <c r="E216" s="2">
        <v>107</v>
      </c>
      <c r="F216" s="1">
        <v>158.88806283610532</v>
      </c>
      <c r="G216" s="1">
        <v>76.88806283610532</v>
      </c>
      <c r="H216" s="1">
        <v>82</v>
      </c>
      <c r="I216" s="6">
        <f t="shared" si="20"/>
        <v>0.58823965827901625</v>
      </c>
      <c r="J216" s="1">
        <f t="shared" si="21"/>
        <v>0.57562233370308369</v>
      </c>
      <c r="K216" s="6">
        <f t="shared" si="22"/>
        <v>0.68503083400427289</v>
      </c>
      <c r="L216" s="1">
        <f t="shared" si="23"/>
        <v>0.72883346641404068</v>
      </c>
    </row>
    <row r="217" spans="1:12" x14ac:dyDescent="0.25">
      <c r="A217" s="3">
        <v>42546</v>
      </c>
      <c r="B217" s="1">
        <f t="shared" si="18"/>
        <v>132</v>
      </c>
      <c r="C217" s="1">
        <v>293.25382240453382</v>
      </c>
      <c r="D217" s="1">
        <f t="shared" si="19"/>
        <v>161.25382240453382</v>
      </c>
      <c r="E217" s="2">
        <v>6</v>
      </c>
      <c r="F217" s="1">
        <v>48.875637067422304</v>
      </c>
      <c r="G217" s="1">
        <v>26.875637067422304</v>
      </c>
      <c r="H217" s="1">
        <v>22</v>
      </c>
      <c r="I217" s="6">
        <f t="shared" si="20"/>
        <v>-1.4059734894756484</v>
      </c>
      <c r="J217" s="1">
        <f t="shared" si="21"/>
        <v>-0.99363797662216613</v>
      </c>
      <c r="K217" s="6">
        <f t="shared" si="22"/>
        <v>-1.419560524425026</v>
      </c>
      <c r="L217" s="1">
        <f t="shared" si="23"/>
        <v>-1.0240829266609373</v>
      </c>
    </row>
    <row r="218" spans="1:12" x14ac:dyDescent="0.25">
      <c r="A218" s="3">
        <v>42541</v>
      </c>
      <c r="B218" s="1">
        <f t="shared" si="18"/>
        <v>2016</v>
      </c>
      <c r="C218" s="1">
        <v>3400.5150547906651</v>
      </c>
      <c r="D218" s="1">
        <f t="shared" si="19"/>
        <v>1384.5150547906649</v>
      </c>
      <c r="E218" s="2">
        <v>12</v>
      </c>
      <c r="F218" s="1">
        <v>283.37625456588876</v>
      </c>
      <c r="G218" s="1">
        <v>115.37625456588874</v>
      </c>
      <c r="H218" s="1">
        <v>168</v>
      </c>
      <c r="I218" s="6">
        <f t="shared" si="20"/>
        <v>2.122931423398283</v>
      </c>
      <c r="J218" s="1">
        <f t="shared" si="21"/>
        <v>1.783282045653267</v>
      </c>
      <c r="K218" s="6">
        <f t="shared" si="22"/>
        <v>3.066550655155003</v>
      </c>
      <c r="L218" s="1">
        <f t="shared" si="23"/>
        <v>2.7124038722355777</v>
      </c>
    </row>
    <row r="219" spans="1:12" x14ac:dyDescent="0.25">
      <c r="A219" s="3">
        <v>42533</v>
      </c>
      <c r="B219" s="1">
        <f t="shared" si="18"/>
        <v>650</v>
      </c>
      <c r="C219" s="1">
        <v>1421.129033740699</v>
      </c>
      <c r="D219" s="1">
        <f t="shared" si="19"/>
        <v>771.12903374069901</v>
      </c>
      <c r="E219" s="2">
        <v>10</v>
      </c>
      <c r="F219" s="1">
        <v>142.1129033740699</v>
      </c>
      <c r="G219" s="1">
        <v>77.112903374069901</v>
      </c>
      <c r="H219" s="1">
        <v>65</v>
      </c>
      <c r="I219" s="6">
        <f t="shared" si="20"/>
        <v>0.59720502938560971</v>
      </c>
      <c r="J219" s="1">
        <f t="shared" si="21"/>
        <v>0.58267724709624558</v>
      </c>
      <c r="K219" s="6">
        <f t="shared" si="22"/>
        <v>0.36411385218708453</v>
      </c>
      <c r="L219" s="1">
        <f t="shared" si="23"/>
        <v>0.46154136907152848</v>
      </c>
    </row>
    <row r="220" spans="1:12" x14ac:dyDescent="0.25">
      <c r="A220" s="3">
        <v>42524</v>
      </c>
      <c r="B220" s="1">
        <f t="shared" si="18"/>
        <v>5612</v>
      </c>
      <c r="C220" s="1">
        <v>11737.851254765186</v>
      </c>
      <c r="D220" s="1">
        <f t="shared" si="19"/>
        <v>6125.8512547651862</v>
      </c>
      <c r="E220" s="2">
        <v>61</v>
      </c>
      <c r="F220" s="1">
        <v>192.42379106172436</v>
      </c>
      <c r="G220" s="1">
        <v>100.42379106172436</v>
      </c>
      <c r="H220" s="1">
        <v>92</v>
      </c>
      <c r="I220" s="6">
        <f t="shared" si="20"/>
        <v>1.5267116069622204</v>
      </c>
      <c r="J220" s="1">
        <f t="shared" si="21"/>
        <v>1.3141124911269806</v>
      </c>
      <c r="K220" s="6">
        <f t="shared" si="22"/>
        <v>1.3265856704613281</v>
      </c>
      <c r="L220" s="1">
        <f t="shared" si="23"/>
        <v>1.2631851757745767</v>
      </c>
    </row>
    <row r="221" spans="1:12" x14ac:dyDescent="0.25">
      <c r="A221" s="3">
        <v>42504</v>
      </c>
      <c r="B221" s="1">
        <f t="shared" si="18"/>
        <v>2112</v>
      </c>
      <c r="C221" s="1">
        <v>3875.652927028023</v>
      </c>
      <c r="D221" s="1">
        <f t="shared" si="19"/>
        <v>1763.652927028023</v>
      </c>
      <c r="E221" s="2">
        <v>24</v>
      </c>
      <c r="F221" s="1">
        <v>161.48553862616762</v>
      </c>
      <c r="G221" s="1">
        <v>73.485538626167624</v>
      </c>
      <c r="H221" s="1">
        <v>88</v>
      </c>
      <c r="I221" s="6">
        <f t="shared" si="20"/>
        <v>0.45256620491774802</v>
      </c>
      <c r="J221" s="1">
        <f t="shared" si="21"/>
        <v>0.46885994184726859</v>
      </c>
      <c r="K221" s="6">
        <f t="shared" si="22"/>
        <v>0.73472181266689063</v>
      </c>
      <c r="L221" s="1">
        <f t="shared" si="23"/>
        <v>0.77022113568141293</v>
      </c>
    </row>
    <row r="222" spans="1:12" x14ac:dyDescent="0.25">
      <c r="A222" s="3">
        <v>42495</v>
      </c>
      <c r="B222" s="1">
        <f t="shared" si="18"/>
        <v>558</v>
      </c>
      <c r="C222" s="1">
        <v>1263.1492139565148</v>
      </c>
      <c r="D222" s="1">
        <f t="shared" si="19"/>
        <v>705.14921395651481</v>
      </c>
      <c r="E222" s="2">
        <v>9</v>
      </c>
      <c r="F222" s="1">
        <v>140.34991266183499</v>
      </c>
      <c r="G222" s="1">
        <v>78.349912661834978</v>
      </c>
      <c r="H222" s="1">
        <v>62</v>
      </c>
      <c r="I222" s="6">
        <f t="shared" si="20"/>
        <v>0.64652997508941235</v>
      </c>
      <c r="J222" s="1">
        <f t="shared" si="21"/>
        <v>0.62149139276020138</v>
      </c>
      <c r="K222" s="6">
        <f t="shared" si="22"/>
        <v>0.33038698004482037</v>
      </c>
      <c r="L222" s="1">
        <f t="shared" si="23"/>
        <v>0.43345022119689236</v>
      </c>
    </row>
    <row r="223" spans="1:12" x14ac:dyDescent="0.25">
      <c r="A223" s="3">
        <v>42490</v>
      </c>
      <c r="B223" s="1">
        <f t="shared" si="18"/>
        <v>212</v>
      </c>
      <c r="C223" s="1">
        <v>440.50997324580885</v>
      </c>
      <c r="D223" s="1">
        <f t="shared" si="19"/>
        <v>228.50997324580882</v>
      </c>
      <c r="E223" s="2">
        <v>4</v>
      </c>
      <c r="F223" s="1">
        <v>110.12749331145221</v>
      </c>
      <c r="G223" s="1">
        <v>57.127493311452206</v>
      </c>
      <c r="H223" s="1">
        <v>53</v>
      </c>
      <c r="I223" s="6">
        <f t="shared" si="20"/>
        <v>-0.1997002775970653</v>
      </c>
      <c r="J223" s="1">
        <f t="shared" si="21"/>
        <v>-4.4413127241873303E-2</v>
      </c>
      <c r="K223" s="6">
        <f t="shared" si="22"/>
        <v>-0.24778264171574763</v>
      </c>
      <c r="L223" s="1">
        <f t="shared" si="23"/>
        <v>-4.8107875059115672E-2</v>
      </c>
    </row>
    <row r="224" spans="1:12" x14ac:dyDescent="0.25">
      <c r="A224" s="3">
        <v>42485</v>
      </c>
      <c r="B224" s="1">
        <f t="shared" si="18"/>
        <v>429</v>
      </c>
      <c r="C224" s="1">
        <v>800.21152821062867</v>
      </c>
      <c r="D224" s="1">
        <f t="shared" si="19"/>
        <v>371.21152821062867</v>
      </c>
      <c r="E224" s="2">
        <v>11</v>
      </c>
      <c r="F224" s="1">
        <v>72.746502564602608</v>
      </c>
      <c r="G224" s="1">
        <v>33.746502564602608</v>
      </c>
      <c r="H224" s="1">
        <v>39</v>
      </c>
      <c r="I224" s="6">
        <f t="shared" si="20"/>
        <v>-1.1320021693420266</v>
      </c>
      <c r="J224" s="1">
        <f t="shared" si="21"/>
        <v>-0.77804802359373604</v>
      </c>
      <c r="K224" s="6">
        <f t="shared" si="22"/>
        <v>-0.9628992255529577</v>
      </c>
      <c r="L224" s="1">
        <f t="shared" si="23"/>
        <v>-0.64372924247913854</v>
      </c>
    </row>
    <row r="225" spans="1:12" x14ac:dyDescent="0.25">
      <c r="A225" s="3">
        <v>42475</v>
      </c>
      <c r="B225" s="1">
        <f t="shared" si="18"/>
        <v>1458</v>
      </c>
      <c r="C225" s="1">
        <v>3086.5180512953807</v>
      </c>
      <c r="D225" s="1">
        <f t="shared" si="19"/>
        <v>1628.5180512953807</v>
      </c>
      <c r="E225" s="2">
        <v>27</v>
      </c>
      <c r="F225" s="1">
        <v>114.3154833813104</v>
      </c>
      <c r="G225" s="1">
        <v>60.315483381310401</v>
      </c>
      <c r="H225" s="1">
        <v>54</v>
      </c>
      <c r="I225" s="6">
        <f t="shared" si="20"/>
        <v>-7.2581234389136967E-2</v>
      </c>
      <c r="J225" s="1">
        <f t="shared" si="21"/>
        <v>5.5617739276745973E-2</v>
      </c>
      <c r="K225" s="6">
        <f t="shared" si="22"/>
        <v>-0.16766434918083001</v>
      </c>
      <c r="L225" s="1">
        <f t="shared" si="23"/>
        <v>1.8622736471308743E-2</v>
      </c>
    </row>
    <row r="226" spans="1:12" x14ac:dyDescent="0.25">
      <c r="A226" s="3">
        <v>42470</v>
      </c>
      <c r="B226" s="1">
        <f t="shared" si="18"/>
        <v>68</v>
      </c>
      <c r="C226" s="1">
        <v>201.37098711286376</v>
      </c>
      <c r="D226" s="1">
        <f t="shared" si="19"/>
        <v>133.37098711286376</v>
      </c>
      <c r="E226" s="2">
        <v>2</v>
      </c>
      <c r="F226" s="1">
        <v>100.68549355643188</v>
      </c>
      <c r="G226" s="1">
        <v>66.685493556431879</v>
      </c>
      <c r="H226" s="1">
        <v>34</v>
      </c>
      <c r="I226" s="6">
        <f t="shared" si="20"/>
        <v>0.18141880354769035</v>
      </c>
      <c r="J226" s="1">
        <f t="shared" si="21"/>
        <v>0.25549215029652889</v>
      </c>
      <c r="K226" s="6">
        <f t="shared" si="22"/>
        <v>-0.42841270192812902</v>
      </c>
      <c r="L226" s="1">
        <f t="shared" si="23"/>
        <v>-0.19855484537486898</v>
      </c>
    </row>
    <row r="227" spans="1:12" x14ac:dyDescent="0.25">
      <c r="A227" s="3">
        <v>42468</v>
      </c>
      <c r="B227" s="1">
        <f t="shared" si="18"/>
        <v>1170</v>
      </c>
      <c r="C227" s="1">
        <v>2228.4137301545011</v>
      </c>
      <c r="D227" s="1">
        <f t="shared" si="19"/>
        <v>1058.4137301545011</v>
      </c>
      <c r="E227" s="2">
        <v>30</v>
      </c>
      <c r="F227" s="1">
        <v>74.280457671816706</v>
      </c>
      <c r="G227" s="1">
        <v>35.280457671816706</v>
      </c>
      <c r="H227" s="1">
        <v>39</v>
      </c>
      <c r="I227" s="6">
        <f t="shared" si="20"/>
        <v>-1.0708367010438005</v>
      </c>
      <c r="J227" s="1">
        <f t="shared" si="21"/>
        <v>-0.72991648766893535</v>
      </c>
      <c r="K227" s="6">
        <f t="shared" si="22"/>
        <v>-0.93355391623626882</v>
      </c>
      <c r="L227" s="1">
        <f t="shared" si="23"/>
        <v>-0.61928750296754487</v>
      </c>
    </row>
    <row r="228" spans="1:12" x14ac:dyDescent="0.25">
      <c r="A228" s="3">
        <v>42456</v>
      </c>
      <c r="B228" s="1">
        <f t="shared" si="18"/>
        <v>1026</v>
      </c>
      <c r="C228" s="1">
        <v>1980.1400547703802</v>
      </c>
      <c r="D228" s="1">
        <f t="shared" si="19"/>
        <v>954.14005477038017</v>
      </c>
      <c r="E228" s="2">
        <v>19</v>
      </c>
      <c r="F228" s="1">
        <v>104.2178976194937</v>
      </c>
      <c r="G228" s="1">
        <v>50.217897619493691</v>
      </c>
      <c r="H228" s="1">
        <v>54</v>
      </c>
      <c r="I228" s="6">
        <f t="shared" si="20"/>
        <v>-0.47521593921092325</v>
      </c>
      <c r="J228" s="1">
        <f t="shared" si="21"/>
        <v>-0.26121833341074729</v>
      </c>
      <c r="K228" s="6">
        <f t="shared" si="22"/>
        <v>-0.36083608943499063</v>
      </c>
      <c r="L228" s="1">
        <f t="shared" si="23"/>
        <v>-0.14227021256325084</v>
      </c>
    </row>
    <row r="229" spans="1:12" x14ac:dyDescent="0.25">
      <c r="A229" s="3">
        <v>42452</v>
      </c>
      <c r="B229" s="1">
        <f t="shared" si="18"/>
        <v>837</v>
      </c>
      <c r="C229" s="1">
        <v>1497.0252383870259</v>
      </c>
      <c r="D229" s="1">
        <f t="shared" si="19"/>
        <v>660.02523838702575</v>
      </c>
      <c r="E229" s="2">
        <v>31</v>
      </c>
      <c r="F229" s="1">
        <v>48.291136722162122</v>
      </c>
      <c r="G229" s="1">
        <v>21.291136722162122</v>
      </c>
      <c r="H229" s="1">
        <v>27</v>
      </c>
      <c r="I229" s="6">
        <f t="shared" si="20"/>
        <v>-1.6286518307276325</v>
      </c>
      <c r="J229" s="1">
        <f t="shared" si="21"/>
        <v>-1.1688651248782309</v>
      </c>
      <c r="K229" s="6">
        <f t="shared" si="22"/>
        <v>-1.430742301092873</v>
      </c>
      <c r="L229" s="1">
        <f t="shared" si="23"/>
        <v>-1.0333962404053219</v>
      </c>
    </row>
    <row r="230" spans="1:12" x14ac:dyDescent="0.25">
      <c r="A230" s="3">
        <v>42448</v>
      </c>
      <c r="B230" s="1">
        <f t="shared" si="18"/>
        <v>297</v>
      </c>
      <c r="C230" s="1">
        <v>658.1554520823845</v>
      </c>
      <c r="D230" s="1">
        <f t="shared" si="19"/>
        <v>361.15545208238456</v>
      </c>
      <c r="E230" s="2">
        <v>9</v>
      </c>
      <c r="F230" s="1">
        <v>73.128383564709395</v>
      </c>
      <c r="G230" s="1">
        <v>40.128383564709395</v>
      </c>
      <c r="H230" s="1">
        <v>33</v>
      </c>
      <c r="I230" s="6">
        <f t="shared" si="20"/>
        <v>-0.87752878993262418</v>
      </c>
      <c r="J230" s="1">
        <f t="shared" si="21"/>
        <v>-0.57780113684989165</v>
      </c>
      <c r="K230" s="6">
        <f t="shared" si="22"/>
        <v>-0.95559365577611288</v>
      </c>
      <c r="L230" s="1">
        <f t="shared" si="23"/>
        <v>-0.63764442559946555</v>
      </c>
    </row>
    <row r="231" spans="1:12" x14ac:dyDescent="0.25">
      <c r="A231" s="3">
        <v>42433</v>
      </c>
      <c r="B231" s="1">
        <f t="shared" si="18"/>
        <v>14328</v>
      </c>
      <c r="C231" s="1">
        <v>41926.891291215135</v>
      </c>
      <c r="D231" s="1">
        <f t="shared" si="19"/>
        <v>27598.891291215135</v>
      </c>
      <c r="E231" s="2">
        <v>199</v>
      </c>
      <c r="F231" s="1">
        <v>210.68789593575445</v>
      </c>
      <c r="G231" s="1">
        <v>138.68789593575445</v>
      </c>
      <c r="H231" s="1">
        <v>72</v>
      </c>
      <c r="I231" s="6">
        <f t="shared" si="20"/>
        <v>3.0524680535658613</v>
      </c>
      <c r="J231" s="1">
        <f t="shared" si="21"/>
        <v>2.5147409382785768</v>
      </c>
      <c r="K231" s="6">
        <f t="shared" si="22"/>
        <v>1.6759869041742599</v>
      </c>
      <c r="L231" s="1">
        <f t="shared" si="23"/>
        <v>1.5542018369819666</v>
      </c>
    </row>
    <row r="232" spans="1:12" x14ac:dyDescent="0.25">
      <c r="A232" s="3">
        <v>42430</v>
      </c>
      <c r="B232" s="1">
        <f t="shared" si="18"/>
        <v>3550</v>
      </c>
      <c r="C232" s="1">
        <v>9329.5152286761841</v>
      </c>
      <c r="D232" s="1">
        <f t="shared" si="19"/>
        <v>5779.5152286761822</v>
      </c>
      <c r="E232" s="2">
        <v>71</v>
      </c>
      <c r="F232" s="1">
        <v>131.40162293910117</v>
      </c>
      <c r="G232" s="1">
        <v>81.401622939101159</v>
      </c>
      <c r="H232" s="1">
        <v>50</v>
      </c>
      <c r="I232" s="6">
        <f t="shared" si="20"/>
        <v>0.76821494966373216</v>
      </c>
      <c r="J232" s="1">
        <f t="shared" si="21"/>
        <v>0.71724615256479851</v>
      </c>
      <c r="K232" s="6">
        <f t="shared" si="22"/>
        <v>0.15920183353432221</v>
      </c>
      <c r="L232" s="1">
        <f t="shared" si="23"/>
        <v>0.29086992960377994</v>
      </c>
    </row>
    <row r="233" spans="1:12" x14ac:dyDescent="0.25">
      <c r="A233" s="3">
        <v>42428</v>
      </c>
      <c r="B233" s="1">
        <f t="shared" si="18"/>
        <v>3136</v>
      </c>
      <c r="C233" s="1">
        <v>6505.183733594461</v>
      </c>
      <c r="D233" s="1">
        <f t="shared" si="19"/>
        <v>3369.183733594461</v>
      </c>
      <c r="E233" s="2">
        <v>64</v>
      </c>
      <c r="F233" s="1">
        <v>101.64349583741345</v>
      </c>
      <c r="G233" s="1">
        <v>52.643495837413454</v>
      </c>
      <c r="H233" s="1">
        <v>49</v>
      </c>
      <c r="I233" s="6">
        <f t="shared" si="20"/>
        <v>-0.37849677826242895</v>
      </c>
      <c r="J233" s="1">
        <f t="shared" si="21"/>
        <v>-0.18510934742029683</v>
      </c>
      <c r="K233" s="6">
        <f t="shared" si="22"/>
        <v>-0.41008565107163092</v>
      </c>
      <c r="L233" s="1">
        <f t="shared" si="23"/>
        <v>-0.1832902251176374</v>
      </c>
    </row>
    <row r="234" spans="1:12" x14ac:dyDescent="0.25">
      <c r="A234" s="3">
        <v>42389</v>
      </c>
      <c r="B234" s="1">
        <f t="shared" si="18"/>
        <v>2752</v>
      </c>
      <c r="C234" s="1">
        <v>4660.137887728135</v>
      </c>
      <c r="D234" s="1">
        <f t="shared" si="19"/>
        <v>1908.1378877281345</v>
      </c>
      <c r="E234" s="2">
        <v>32</v>
      </c>
      <c r="F234" s="1">
        <v>145.62930899150422</v>
      </c>
      <c r="G234" s="1">
        <v>59.629308991504203</v>
      </c>
      <c r="H234" s="1">
        <v>86</v>
      </c>
      <c r="I234" s="6">
        <f t="shared" si="20"/>
        <v>-9.9941994615666704E-2</v>
      </c>
      <c r="J234" s="1">
        <f t="shared" si="21"/>
        <v>3.4087365188017436E-2</v>
      </c>
      <c r="K234" s="6">
        <f t="shared" si="22"/>
        <v>0.43138440661286664</v>
      </c>
      <c r="L234" s="1">
        <f t="shared" si="23"/>
        <v>0.51757108579154865</v>
      </c>
    </row>
    <row r="235" spans="1:12" x14ac:dyDescent="0.25">
      <c r="A235" s="3">
        <v>42389</v>
      </c>
      <c r="B235" s="1">
        <f t="shared" si="18"/>
        <v>1224</v>
      </c>
      <c r="C235" s="1">
        <v>3296.731394362324</v>
      </c>
      <c r="D235" s="1">
        <f t="shared" si="19"/>
        <v>2072.731394362324</v>
      </c>
      <c r="E235" s="2">
        <v>36</v>
      </c>
      <c r="F235" s="1">
        <v>91.575872065620104</v>
      </c>
      <c r="G235" s="1">
        <v>57.575872065620104</v>
      </c>
      <c r="H235" s="1">
        <v>34</v>
      </c>
      <c r="I235" s="6">
        <f t="shared" si="20"/>
        <v>-0.18182146462224275</v>
      </c>
      <c r="J235" s="1">
        <f t="shared" si="21"/>
        <v>-3.034416393737065E-2</v>
      </c>
      <c r="K235" s="6">
        <f t="shared" si="22"/>
        <v>-0.6026842038440694</v>
      </c>
      <c r="L235" s="1">
        <f t="shared" si="23"/>
        <v>-0.34370576568570688</v>
      </c>
    </row>
    <row r="236" spans="1:12" x14ac:dyDescent="0.25">
      <c r="A236" s="3">
        <v>42388</v>
      </c>
      <c r="B236" s="1">
        <f t="shared" si="18"/>
        <v>364</v>
      </c>
      <c r="C236" s="1">
        <v>836.21782522092258</v>
      </c>
      <c r="D236" s="1">
        <f t="shared" si="19"/>
        <v>472.21782522092263</v>
      </c>
      <c r="E236" s="2">
        <v>4</v>
      </c>
      <c r="F236" s="1">
        <v>209.05445630523064</v>
      </c>
      <c r="G236" s="1">
        <v>118.05445630523066</v>
      </c>
      <c r="H236" s="1">
        <v>91</v>
      </c>
      <c r="I236" s="6">
        <f t="shared" si="20"/>
        <v>2.2297229864717836</v>
      </c>
      <c r="J236" s="1">
        <f t="shared" si="21"/>
        <v>1.8673170755082882</v>
      </c>
      <c r="K236" s="6">
        <f t="shared" si="22"/>
        <v>1.6447384074076794</v>
      </c>
      <c r="L236" s="1">
        <f t="shared" si="23"/>
        <v>1.5281749306080994</v>
      </c>
    </row>
    <row r="237" spans="1:12" x14ac:dyDescent="0.25">
      <c r="A237" s="3">
        <v>42368</v>
      </c>
      <c r="B237" s="1">
        <f t="shared" si="18"/>
        <v>657</v>
      </c>
      <c r="C237" s="1">
        <v>1381.2921200943022</v>
      </c>
      <c r="D237" s="1">
        <f t="shared" si="19"/>
        <v>724.29212009430216</v>
      </c>
      <c r="E237" s="2">
        <v>9</v>
      </c>
      <c r="F237" s="1">
        <v>153.47690223270024</v>
      </c>
      <c r="G237" s="1">
        <v>80.47690223270024</v>
      </c>
      <c r="H237" s="1">
        <v>73</v>
      </c>
      <c r="I237" s="6">
        <f t="shared" si="20"/>
        <v>0.73134230926762422</v>
      </c>
      <c r="J237" s="1">
        <f t="shared" si="21"/>
        <v>0.6882308132688677</v>
      </c>
      <c r="K237" s="6">
        <f t="shared" si="22"/>
        <v>0.58151269261772709</v>
      </c>
      <c r="L237" s="1">
        <f t="shared" si="23"/>
        <v>0.64261309575141667</v>
      </c>
    </row>
    <row r="238" spans="1:12" x14ac:dyDescent="0.25">
      <c r="A238" s="3">
        <v>42364</v>
      </c>
      <c r="B238" s="1">
        <f t="shared" si="18"/>
        <v>344</v>
      </c>
      <c r="C238" s="1">
        <v>792.84143914675724</v>
      </c>
      <c r="D238" s="1">
        <f t="shared" si="19"/>
        <v>448.84143914675724</v>
      </c>
      <c r="E238" s="2">
        <v>8</v>
      </c>
      <c r="F238" s="1">
        <v>99.105179893344655</v>
      </c>
      <c r="G238" s="1">
        <v>56.105179893344655</v>
      </c>
      <c r="H238" s="1">
        <v>43</v>
      </c>
      <c r="I238" s="6">
        <f t="shared" si="20"/>
        <v>-0.24046436428515186</v>
      </c>
      <c r="J238" s="1">
        <f t="shared" si="21"/>
        <v>-7.6490672913607033E-2</v>
      </c>
      <c r="K238" s="6">
        <f t="shared" si="22"/>
        <v>-0.45864487302791312</v>
      </c>
      <c r="L238" s="1">
        <f t="shared" si="23"/>
        <v>-0.22373525301400804</v>
      </c>
    </row>
    <row r="239" spans="1:12" x14ac:dyDescent="0.25">
      <c r="A239" s="3">
        <v>42363</v>
      </c>
      <c r="B239" s="1">
        <f t="shared" si="18"/>
        <v>253</v>
      </c>
      <c r="C239" s="1">
        <v>562.93107180971901</v>
      </c>
      <c r="D239" s="1">
        <f t="shared" si="19"/>
        <v>309.93107180971901</v>
      </c>
      <c r="E239" s="2">
        <v>11</v>
      </c>
      <c r="F239" s="1">
        <v>51.175551982701734</v>
      </c>
      <c r="G239" s="1">
        <v>28.17555198270173</v>
      </c>
      <c r="H239" s="1">
        <v>23</v>
      </c>
      <c r="I239" s="6">
        <f t="shared" si="20"/>
        <v>-1.3541402225390966</v>
      </c>
      <c r="J239" s="1">
        <f t="shared" si="21"/>
        <v>-0.95285001539063618</v>
      </c>
      <c r="K239" s="6">
        <f t="shared" si="22"/>
        <v>-1.3755620304185641</v>
      </c>
      <c r="L239" s="1">
        <f t="shared" si="23"/>
        <v>-0.98743653395119102</v>
      </c>
    </row>
    <row r="240" spans="1:12" x14ac:dyDescent="0.25">
      <c r="A240" s="3">
        <v>42360</v>
      </c>
      <c r="B240" s="1">
        <f t="shared" si="18"/>
        <v>837</v>
      </c>
      <c r="C240" s="1">
        <v>2492.5742575549307</v>
      </c>
      <c r="D240" s="1">
        <f t="shared" si="19"/>
        <v>1655.5742575549305</v>
      </c>
      <c r="E240" s="2">
        <v>27</v>
      </c>
      <c r="F240" s="1">
        <v>92.317565094627057</v>
      </c>
      <c r="G240" s="1">
        <v>61.317565094627057</v>
      </c>
      <c r="H240" s="1">
        <v>31</v>
      </c>
      <c r="I240" s="6">
        <f t="shared" si="20"/>
        <v>-3.2623873851109639E-2</v>
      </c>
      <c r="J240" s="1">
        <f t="shared" si="21"/>
        <v>8.7060466483856264E-2</v>
      </c>
      <c r="K240" s="6">
        <f t="shared" si="22"/>
        <v>-0.58849525447268269</v>
      </c>
      <c r="L240" s="1">
        <f t="shared" si="23"/>
        <v>-0.33188777458068913</v>
      </c>
    </row>
    <row r="241" spans="1:12" x14ac:dyDescent="0.25">
      <c r="A241" s="3">
        <v>42357</v>
      </c>
      <c r="B241" s="1">
        <f t="shared" si="18"/>
        <v>1680</v>
      </c>
      <c r="C241" s="1">
        <v>3591.62655441164</v>
      </c>
      <c r="D241" s="1">
        <f t="shared" si="19"/>
        <v>1911.62655441164</v>
      </c>
      <c r="E241" s="2">
        <v>28</v>
      </c>
      <c r="F241" s="1">
        <v>128.27237694327286</v>
      </c>
      <c r="G241" s="1">
        <v>68.27237694327286</v>
      </c>
      <c r="H241" s="1">
        <v>60</v>
      </c>
      <c r="I241" s="6">
        <f t="shared" si="20"/>
        <v>0.24469475278135755</v>
      </c>
      <c r="J241" s="1">
        <f t="shared" si="21"/>
        <v>0.30528443846910946</v>
      </c>
      <c r="K241" s="6">
        <f t="shared" si="22"/>
        <v>9.9337831489068579E-2</v>
      </c>
      <c r="L241" s="1">
        <f t="shared" si="23"/>
        <v>0.24100913828203116</v>
      </c>
    </row>
    <row r="242" spans="1:12" x14ac:dyDescent="0.25">
      <c r="A242" s="3">
        <v>42330</v>
      </c>
      <c r="B242" s="1">
        <f t="shared" si="18"/>
        <v>3094</v>
      </c>
      <c r="C242" s="1">
        <v>5471.2013823504203</v>
      </c>
      <c r="D242" s="1">
        <f t="shared" si="19"/>
        <v>2377.2013823504199</v>
      </c>
      <c r="E242" s="2">
        <v>26</v>
      </c>
      <c r="F242" s="1">
        <v>210.43082239809308</v>
      </c>
      <c r="G242" s="1">
        <v>91.430822398093071</v>
      </c>
      <c r="H242" s="1">
        <v>119</v>
      </c>
      <c r="I242" s="6">
        <f t="shared" si="20"/>
        <v>1.1681227948676645</v>
      </c>
      <c r="J242" s="1">
        <f t="shared" si="21"/>
        <v>1.0319364402969848</v>
      </c>
      <c r="K242" s="6">
        <f t="shared" si="22"/>
        <v>1.6710689620230652</v>
      </c>
      <c r="L242" s="1">
        <f t="shared" si="23"/>
        <v>1.5501056777050146</v>
      </c>
    </row>
    <row r="243" spans="1:12" x14ac:dyDescent="0.25">
      <c r="A243" s="3">
        <v>42323</v>
      </c>
      <c r="B243" s="1">
        <f t="shared" si="18"/>
        <v>1681</v>
      </c>
      <c r="C243" s="1">
        <v>3626.6833177027465</v>
      </c>
      <c r="D243" s="1">
        <f t="shared" si="19"/>
        <v>1945.683317702747</v>
      </c>
      <c r="E243" s="2">
        <v>41</v>
      </c>
      <c r="F243" s="1">
        <v>88.455690675676749</v>
      </c>
      <c r="G243" s="1">
        <v>47.455690675676756</v>
      </c>
      <c r="H243" s="1">
        <v>41</v>
      </c>
      <c r="I243" s="6">
        <f t="shared" si="20"/>
        <v>-0.58535715550897871</v>
      </c>
      <c r="J243" s="1">
        <f t="shared" si="21"/>
        <v>-0.34788922887750939</v>
      </c>
      <c r="K243" s="6">
        <f t="shared" si="22"/>
        <v>-0.66237479555790135</v>
      </c>
      <c r="L243" s="1">
        <f t="shared" si="23"/>
        <v>-0.39342212335697047</v>
      </c>
    </row>
    <row r="244" spans="1:12" x14ac:dyDescent="0.25">
      <c r="A244" s="3">
        <v>42312</v>
      </c>
      <c r="B244" s="1">
        <f t="shared" si="18"/>
        <v>840</v>
      </c>
      <c r="C244" s="1">
        <v>2066.5974512829557</v>
      </c>
      <c r="D244" s="1">
        <f t="shared" si="19"/>
        <v>1226.5974512829557</v>
      </c>
      <c r="E244" s="2">
        <v>35</v>
      </c>
      <c r="F244" s="1">
        <v>59.045641465227305</v>
      </c>
      <c r="G244" s="1">
        <v>35.045641465227305</v>
      </c>
      <c r="H244" s="1">
        <v>24</v>
      </c>
      <c r="I244" s="6">
        <f t="shared" si="20"/>
        <v>-1.0801998454881894</v>
      </c>
      <c r="J244" s="1">
        <f t="shared" si="21"/>
        <v>-0.73728441169098147</v>
      </c>
      <c r="K244" s="6">
        <f t="shared" si="22"/>
        <v>-1.2250033803455678</v>
      </c>
      <c r="L244" s="1">
        <f t="shared" si="23"/>
        <v>-0.86203607329874343</v>
      </c>
    </row>
    <row r="245" spans="1:12" x14ac:dyDescent="0.25">
      <c r="A245" s="3">
        <v>42308</v>
      </c>
      <c r="B245" s="1">
        <f t="shared" si="18"/>
        <v>276</v>
      </c>
      <c r="C245" s="1">
        <v>480.57119793924835</v>
      </c>
      <c r="D245" s="1">
        <f t="shared" si="19"/>
        <v>204.57119793924838</v>
      </c>
      <c r="E245" s="2">
        <v>6</v>
      </c>
      <c r="F245" s="1">
        <v>80.095199656541396</v>
      </c>
      <c r="G245" s="1">
        <v>34.095199656541396</v>
      </c>
      <c r="H245" s="1">
        <v>46</v>
      </c>
      <c r="I245" s="6">
        <f t="shared" si="20"/>
        <v>-1.1180980982108961</v>
      </c>
      <c r="J245" s="1">
        <f t="shared" si="21"/>
        <v>-0.7671068125187871</v>
      </c>
      <c r="K245" s="6">
        <f t="shared" si="22"/>
        <v>-0.82231506619691919</v>
      </c>
      <c r="L245" s="1">
        <f t="shared" si="23"/>
        <v>-0.52663654581151431</v>
      </c>
    </row>
    <row r="246" spans="1:12" x14ac:dyDescent="0.25">
      <c r="A246" s="3">
        <v>42305</v>
      </c>
      <c r="B246" s="1">
        <f t="shared" si="18"/>
        <v>272</v>
      </c>
      <c r="C246" s="1">
        <v>488.28784377662942</v>
      </c>
      <c r="D246" s="1">
        <f t="shared" si="19"/>
        <v>216.28784377662939</v>
      </c>
      <c r="E246" s="2">
        <v>4</v>
      </c>
      <c r="F246" s="1">
        <v>122.07196094415735</v>
      </c>
      <c r="G246" s="1">
        <v>54.071960944157347</v>
      </c>
      <c r="H246" s="1">
        <v>68</v>
      </c>
      <c r="I246" s="6">
        <f t="shared" si="20"/>
        <v>-0.3215376555405467</v>
      </c>
      <c r="J246" s="1">
        <f t="shared" si="21"/>
        <v>-0.14028781432638743</v>
      </c>
      <c r="K246" s="6">
        <f t="shared" si="22"/>
        <v>-1.9279150540246762E-2</v>
      </c>
      <c r="L246" s="1">
        <f t="shared" si="23"/>
        <v>0.14221292710142164</v>
      </c>
    </row>
    <row r="247" spans="1:12" x14ac:dyDescent="0.25">
      <c r="A247" s="3">
        <v>42295</v>
      </c>
      <c r="B247" s="1">
        <f t="shared" si="18"/>
        <v>1350</v>
      </c>
      <c r="C247" s="1">
        <v>2606.9536289765115</v>
      </c>
      <c r="D247" s="1">
        <f t="shared" si="19"/>
        <v>1256.9536289765115</v>
      </c>
      <c r="E247" s="2">
        <v>27</v>
      </c>
      <c r="F247" s="1">
        <v>96.553838110241173</v>
      </c>
      <c r="G247" s="1">
        <v>46.553838110241166</v>
      </c>
      <c r="H247" s="1">
        <v>50</v>
      </c>
      <c r="I247" s="6">
        <f t="shared" si="20"/>
        <v>-0.62131794356685599</v>
      </c>
      <c r="J247" s="1">
        <f t="shared" si="21"/>
        <v>-0.37618702517415048</v>
      </c>
      <c r="K247" s="6">
        <f t="shared" si="22"/>
        <v>-0.50745328563767955</v>
      </c>
      <c r="L247" s="1">
        <f t="shared" si="23"/>
        <v>-0.26438783207214889</v>
      </c>
    </row>
    <row r="248" spans="1:12" x14ac:dyDescent="0.25">
      <c r="A248" s="3">
        <v>42274</v>
      </c>
      <c r="B248" s="1">
        <f t="shared" si="18"/>
        <v>960</v>
      </c>
      <c r="C248" s="1">
        <v>1908.2362208878801</v>
      </c>
      <c r="D248" s="1">
        <f t="shared" si="19"/>
        <v>948.23622088788022</v>
      </c>
      <c r="E248" s="2">
        <v>15</v>
      </c>
      <c r="F248" s="1">
        <v>127.21574805919201</v>
      </c>
      <c r="G248" s="1">
        <v>63.215748059192016</v>
      </c>
      <c r="H248" s="1">
        <v>64</v>
      </c>
      <c r="I248" s="6">
        <f t="shared" si="20"/>
        <v>4.3064944809426416E-2</v>
      </c>
      <c r="J248" s="1">
        <f t="shared" si="21"/>
        <v>0.14662052865329722</v>
      </c>
      <c r="K248" s="6">
        <f t="shared" si="22"/>
        <v>7.9124005614715498E-2</v>
      </c>
      <c r="L248" s="1">
        <f t="shared" si="23"/>
        <v>0.22417302109472068</v>
      </c>
    </row>
    <row r="249" spans="1:12" x14ac:dyDescent="0.25">
      <c r="A249" s="3">
        <v>42271</v>
      </c>
      <c r="B249" s="1">
        <f t="shared" si="18"/>
        <v>658</v>
      </c>
      <c r="C249" s="1">
        <v>1112.2629134590973</v>
      </c>
      <c r="D249" s="1">
        <f t="shared" si="19"/>
        <v>454.26291345909732</v>
      </c>
      <c r="E249" s="2">
        <v>7</v>
      </c>
      <c r="F249" s="1">
        <v>158.89470192272819</v>
      </c>
      <c r="G249" s="1">
        <v>64.894701922728188</v>
      </c>
      <c r="H249" s="1">
        <v>94</v>
      </c>
      <c r="I249" s="6">
        <f t="shared" si="20"/>
        <v>0.11001214478375579</v>
      </c>
      <c r="J249" s="1">
        <f t="shared" si="21"/>
        <v>0.1993017497782355</v>
      </c>
      <c r="K249" s="6">
        <f t="shared" si="22"/>
        <v>0.68515784296927595</v>
      </c>
      <c r="L249" s="1">
        <f t="shared" si="23"/>
        <v>0.72893925231681445</v>
      </c>
    </row>
    <row r="250" spans="1:12" x14ac:dyDescent="0.25">
      <c r="A250" s="3">
        <v>42269</v>
      </c>
      <c r="B250" s="1">
        <f t="shared" si="18"/>
        <v>792</v>
      </c>
      <c r="C250" s="1">
        <v>1673.4531230390953</v>
      </c>
      <c r="D250" s="1">
        <f t="shared" si="19"/>
        <v>881.45312303909532</v>
      </c>
      <c r="E250" s="2">
        <v>9</v>
      </c>
      <c r="F250" s="1">
        <v>185.93923589323282</v>
      </c>
      <c r="G250" s="1">
        <v>97.939235893232819</v>
      </c>
      <c r="H250" s="1">
        <v>88</v>
      </c>
      <c r="I250" s="6">
        <f t="shared" si="20"/>
        <v>1.4276415757215002</v>
      </c>
      <c r="J250" s="1">
        <f t="shared" si="21"/>
        <v>1.2361535888181732</v>
      </c>
      <c r="K250" s="6">
        <f t="shared" si="22"/>
        <v>1.2025329675461061</v>
      </c>
      <c r="L250" s="1">
        <f t="shared" si="23"/>
        <v>1.1598615468551634</v>
      </c>
    </row>
    <row r="251" spans="1:12" x14ac:dyDescent="0.25">
      <c r="A251" s="3">
        <v>42268</v>
      </c>
      <c r="B251" s="1">
        <f t="shared" si="18"/>
        <v>390</v>
      </c>
      <c r="C251" s="1">
        <v>1146.78142200196</v>
      </c>
      <c r="D251" s="1">
        <f t="shared" si="19"/>
        <v>756.7814220019601</v>
      </c>
      <c r="E251" s="2">
        <v>10</v>
      </c>
      <c r="F251" s="1">
        <v>114.67814220019601</v>
      </c>
      <c r="G251" s="1">
        <v>75.678142200196007</v>
      </c>
      <c r="H251" s="1">
        <v>39</v>
      </c>
      <c r="I251" s="6">
        <f t="shared" si="20"/>
        <v>0.53999485505691536</v>
      </c>
      <c r="J251" s="1">
        <f t="shared" si="21"/>
        <v>0.53765815973244435</v>
      </c>
      <c r="K251" s="6">
        <f t="shared" si="22"/>
        <v>-0.16072650910547648</v>
      </c>
      <c r="L251" s="1">
        <f t="shared" si="23"/>
        <v>2.4401270889361313E-2</v>
      </c>
    </row>
    <row r="252" spans="1:12" x14ac:dyDescent="0.25">
      <c r="A252" s="3">
        <v>42256</v>
      </c>
      <c r="B252" s="1">
        <f t="shared" si="18"/>
        <v>240</v>
      </c>
      <c r="C252" s="1">
        <v>534.39258490342422</v>
      </c>
      <c r="D252" s="1">
        <f t="shared" si="19"/>
        <v>294.39258490342417</v>
      </c>
      <c r="E252" s="2">
        <v>16</v>
      </c>
      <c r="F252" s="1">
        <v>33.399536556464014</v>
      </c>
      <c r="G252" s="1">
        <v>18.39953655646401</v>
      </c>
      <c r="H252" s="1">
        <v>15</v>
      </c>
      <c r="I252" s="6">
        <f t="shared" si="20"/>
        <v>-1.7439525181039206</v>
      </c>
      <c r="J252" s="1">
        <f t="shared" si="21"/>
        <v>-1.2595960443170833</v>
      </c>
      <c r="K252" s="6">
        <f t="shared" si="22"/>
        <v>-1.7156258749521658</v>
      </c>
      <c r="L252" s="1">
        <f t="shared" si="23"/>
        <v>-1.2706760737257607</v>
      </c>
    </row>
    <row r="253" spans="1:12" x14ac:dyDescent="0.25">
      <c r="A253" s="3">
        <v>42246</v>
      </c>
      <c r="B253" s="1">
        <f t="shared" si="18"/>
        <v>445</v>
      </c>
      <c r="C253" s="1">
        <v>785.97115297929099</v>
      </c>
      <c r="D253" s="1">
        <f t="shared" si="19"/>
        <v>340.97115297929088</v>
      </c>
      <c r="E253" s="2">
        <v>5</v>
      </c>
      <c r="F253" s="1">
        <v>157.19423059585819</v>
      </c>
      <c r="G253" s="1">
        <v>68.194230595858173</v>
      </c>
      <c r="H253" s="1">
        <v>89</v>
      </c>
      <c r="I253" s="6">
        <f t="shared" si="20"/>
        <v>0.24157871769471398</v>
      </c>
      <c r="J253" s="1">
        <f t="shared" si="21"/>
        <v>0.30283240860833144</v>
      </c>
      <c r="K253" s="6">
        <f t="shared" si="22"/>
        <v>0.65262699715998207</v>
      </c>
      <c r="L253" s="1">
        <f t="shared" si="23"/>
        <v>0.70184427605393374</v>
      </c>
    </row>
    <row r="254" spans="1:12" x14ac:dyDescent="0.25">
      <c r="A254" s="3">
        <v>42238</v>
      </c>
      <c r="B254" s="1">
        <f t="shared" si="18"/>
        <v>856</v>
      </c>
      <c r="C254" s="1">
        <v>1506.1547726441074</v>
      </c>
      <c r="D254" s="1">
        <f t="shared" si="19"/>
        <v>650.15477264410742</v>
      </c>
      <c r="E254" s="2">
        <v>8</v>
      </c>
      <c r="F254" s="1">
        <v>188.26934658051343</v>
      </c>
      <c r="G254" s="1">
        <v>81.269346580513428</v>
      </c>
      <c r="H254" s="1">
        <v>107</v>
      </c>
      <c r="I254" s="6">
        <f t="shared" si="20"/>
        <v>0.76294051537308549</v>
      </c>
      <c r="J254" s="1">
        <f t="shared" si="21"/>
        <v>0.71309566323468365</v>
      </c>
      <c r="K254" s="6">
        <f t="shared" si="22"/>
        <v>1.2471091213975423</v>
      </c>
      <c r="L254" s="1">
        <f t="shared" si="23"/>
        <v>1.1969890730675352</v>
      </c>
    </row>
    <row r="255" spans="1:12" x14ac:dyDescent="0.25">
      <c r="A255" s="3">
        <v>42232</v>
      </c>
      <c r="B255" s="1">
        <f t="shared" si="18"/>
        <v>684</v>
      </c>
      <c r="C255" s="1">
        <v>1141.1078842099716</v>
      </c>
      <c r="D255" s="1">
        <f t="shared" si="19"/>
        <v>457.10788420997159</v>
      </c>
      <c r="E255" s="2">
        <v>6</v>
      </c>
      <c r="F255" s="1">
        <v>190.1846473683286</v>
      </c>
      <c r="G255" s="1">
        <v>76.184647368328598</v>
      </c>
      <c r="H255" s="1">
        <v>114</v>
      </c>
      <c r="I255" s="6">
        <f t="shared" si="20"/>
        <v>0.56019142121364429</v>
      </c>
      <c r="J255" s="1">
        <f t="shared" si="21"/>
        <v>0.55355097926896057</v>
      </c>
      <c r="K255" s="6">
        <f t="shared" si="22"/>
        <v>1.2837497595678544</v>
      </c>
      <c r="L255" s="1">
        <f t="shared" si="23"/>
        <v>1.227507099782899</v>
      </c>
    </row>
    <row r="256" spans="1:12" x14ac:dyDescent="0.25">
      <c r="A256" s="3">
        <v>42218</v>
      </c>
      <c r="B256" s="1">
        <f t="shared" si="18"/>
        <v>2010</v>
      </c>
      <c r="C256" s="1">
        <v>5149.4853439559192</v>
      </c>
      <c r="D256" s="1">
        <f t="shared" si="19"/>
        <v>3139.4853439559188</v>
      </c>
      <c r="E256" s="2">
        <v>30</v>
      </c>
      <c r="F256" s="1">
        <v>171.64951146519729</v>
      </c>
      <c r="G256" s="1">
        <v>104.64951146519729</v>
      </c>
      <c r="H256" s="1">
        <v>67</v>
      </c>
      <c r="I256" s="6">
        <f t="shared" si="20"/>
        <v>1.6952094763980541</v>
      </c>
      <c r="J256" s="1">
        <f t="shared" si="21"/>
        <v>1.4467046461720585</v>
      </c>
      <c r="K256" s="6">
        <f t="shared" si="22"/>
        <v>0.92916357008536277</v>
      </c>
      <c r="L256" s="1">
        <f t="shared" si="23"/>
        <v>0.93217188337027745</v>
      </c>
    </row>
    <row r="257" spans="1:12" x14ac:dyDescent="0.25">
      <c r="A257" s="3">
        <v>42216</v>
      </c>
      <c r="B257" s="1">
        <f t="shared" si="18"/>
        <v>2145</v>
      </c>
      <c r="C257" s="1">
        <v>5124.1901899455752</v>
      </c>
      <c r="D257" s="1">
        <f t="shared" si="19"/>
        <v>2979.1901899455752</v>
      </c>
      <c r="E257" s="2">
        <v>55</v>
      </c>
      <c r="F257" s="1">
        <v>93.167094362646822</v>
      </c>
      <c r="G257" s="1">
        <v>54.167094362646822</v>
      </c>
      <c r="H257" s="1">
        <v>39</v>
      </c>
      <c r="I257" s="6">
        <f t="shared" si="20"/>
        <v>-0.31774427197582961</v>
      </c>
      <c r="J257" s="1">
        <f t="shared" si="21"/>
        <v>-0.13730277419832834</v>
      </c>
      <c r="K257" s="6">
        <f t="shared" si="22"/>
        <v>-0.57224334525684095</v>
      </c>
      <c r="L257" s="1">
        <f t="shared" si="23"/>
        <v>-0.31835154201510613</v>
      </c>
    </row>
    <row r="258" spans="1:12" x14ac:dyDescent="0.25">
      <c r="A258" s="3">
        <v>42214</v>
      </c>
      <c r="B258" s="1">
        <f t="shared" ref="B258:B321" si="24">+E258*H258</f>
        <v>558</v>
      </c>
      <c r="C258" s="1">
        <v>1084.2501011530426</v>
      </c>
      <c r="D258" s="1">
        <f t="shared" ref="D258:D321" si="25">+E258*G258</f>
        <v>526.25010115304258</v>
      </c>
      <c r="E258" s="2">
        <v>6</v>
      </c>
      <c r="F258" s="1">
        <v>180.70835019217375</v>
      </c>
      <c r="G258" s="1">
        <v>87.708350192173754</v>
      </c>
      <c r="H258" s="1">
        <v>93</v>
      </c>
      <c r="I258" s="6">
        <f t="shared" si="20"/>
        <v>1.0196916219921421</v>
      </c>
      <c r="J258" s="1">
        <f t="shared" si="21"/>
        <v>0.91513490949229559</v>
      </c>
      <c r="K258" s="6">
        <f t="shared" si="22"/>
        <v>1.1024635729621883</v>
      </c>
      <c r="L258" s="1">
        <f t="shared" si="23"/>
        <v>1.0765136410925207</v>
      </c>
    </row>
    <row r="259" spans="1:12" x14ac:dyDescent="0.25">
      <c r="A259" s="3">
        <v>42210</v>
      </c>
      <c r="B259" s="1">
        <f t="shared" si="24"/>
        <v>1378</v>
      </c>
      <c r="C259" s="1">
        <v>3162.4034414271637</v>
      </c>
      <c r="D259" s="1">
        <f t="shared" si="25"/>
        <v>1784.4034414271639</v>
      </c>
      <c r="E259" s="2">
        <v>53</v>
      </c>
      <c r="F259" s="1">
        <v>59.667989460889885</v>
      </c>
      <c r="G259" s="1">
        <v>33.667989460889885</v>
      </c>
      <c r="H259" s="1">
        <v>26</v>
      </c>
      <c r="I259" s="6">
        <f t="shared" ref="I259:I322" si="26">(G259-AVERAGE($G$2:$G$501))/_xlfn.STDEV.S($G$2:$G$501)</f>
        <v>-1.1351328285989701</v>
      </c>
      <c r="J259" s="1">
        <f t="shared" ref="J259:J322" si="27">(G259-MEDIAN($G$2:$G$502))/(PERCENTILE($G$2:$G$502,0.75)-PERCENTILE($G$2:$G$502,0.25))</f>
        <v>-0.78051156131667487</v>
      </c>
      <c r="K259" s="6">
        <f t="shared" ref="K259:K322" si="28">(F259-AVERAGE($F$2:$F$501))/_xlfn.STDEV.S($F$2:$F$501)</f>
        <v>-1.213097559667081</v>
      </c>
      <c r="L259" s="1">
        <f t="shared" ref="L259:L322" si="29">(F259-MEDIAN($F$2:$F$502))/(PERCENTILE($F$2:$F$502,0.75)-PERCENTILE($F$2:$F$502,0.25))</f>
        <v>-0.85211970252360836</v>
      </c>
    </row>
    <row r="260" spans="1:12" x14ac:dyDescent="0.25">
      <c r="A260" s="3">
        <v>42205</v>
      </c>
      <c r="B260" s="1">
        <f t="shared" si="24"/>
        <v>2700</v>
      </c>
      <c r="C260" s="1">
        <v>6788.9081118099693</v>
      </c>
      <c r="D260" s="1">
        <f t="shared" si="25"/>
        <v>4088.9081118099689</v>
      </c>
      <c r="E260" s="2">
        <v>45</v>
      </c>
      <c r="F260" s="1">
        <v>150.86462470688821</v>
      </c>
      <c r="G260" s="1">
        <v>90.864624706888193</v>
      </c>
      <c r="H260" s="1">
        <v>60</v>
      </c>
      <c r="I260" s="6">
        <f t="shared" si="26"/>
        <v>1.1455460279407512</v>
      </c>
      <c r="J260" s="1">
        <f t="shared" si="27"/>
        <v>1.0141706240833275</v>
      </c>
      <c r="K260" s="6">
        <f t="shared" si="28"/>
        <v>0.53153854953135482</v>
      </c>
      <c r="L260" s="1">
        <f t="shared" si="29"/>
        <v>0.60098957853268464</v>
      </c>
    </row>
    <row r="261" spans="1:12" x14ac:dyDescent="0.25">
      <c r="A261" s="3">
        <v>42195</v>
      </c>
      <c r="B261" s="1">
        <f t="shared" si="24"/>
        <v>832</v>
      </c>
      <c r="C261" s="1">
        <v>1742.2129369825111</v>
      </c>
      <c r="D261" s="1">
        <f t="shared" si="25"/>
        <v>910.21293698251111</v>
      </c>
      <c r="E261" s="2">
        <v>16</v>
      </c>
      <c r="F261" s="1">
        <v>108.88830856140694</v>
      </c>
      <c r="G261" s="1">
        <v>56.888308561406944</v>
      </c>
      <c r="H261" s="1">
        <v>52</v>
      </c>
      <c r="I261" s="6">
        <f t="shared" si="26"/>
        <v>-0.20923761488777823</v>
      </c>
      <c r="J261" s="1">
        <f t="shared" si="27"/>
        <v>-5.1918124836213705E-2</v>
      </c>
      <c r="K261" s="6">
        <f t="shared" si="28"/>
        <v>-0.27148885033918341</v>
      </c>
      <c r="L261" s="1">
        <f t="shared" si="29"/>
        <v>-6.7852801572873378E-2</v>
      </c>
    </row>
    <row r="262" spans="1:12" x14ac:dyDescent="0.25">
      <c r="A262" s="3">
        <v>42195</v>
      </c>
      <c r="B262" s="1">
        <f t="shared" si="24"/>
        <v>176</v>
      </c>
      <c r="C262" s="1">
        <v>448.38439461195395</v>
      </c>
      <c r="D262" s="1">
        <f t="shared" si="25"/>
        <v>272.38439461195395</v>
      </c>
      <c r="E262" s="2">
        <v>11</v>
      </c>
      <c r="F262" s="1">
        <v>40.762217691995815</v>
      </c>
      <c r="G262" s="1">
        <v>24.762217691995815</v>
      </c>
      <c r="H262" s="1">
        <v>16</v>
      </c>
      <c r="I262" s="6">
        <f t="shared" si="26"/>
        <v>-1.4902447208829854</v>
      </c>
      <c r="J262" s="1">
        <f t="shared" si="27"/>
        <v>-1.0599515995659647</v>
      </c>
      <c r="K262" s="6">
        <f t="shared" si="28"/>
        <v>-1.574774194022122</v>
      </c>
      <c r="L262" s="1">
        <f t="shared" si="29"/>
        <v>-1.1533605580530615</v>
      </c>
    </row>
    <row r="263" spans="1:12" x14ac:dyDescent="0.25">
      <c r="A263" s="3">
        <v>42184</v>
      </c>
      <c r="B263" s="1">
        <f t="shared" si="24"/>
        <v>1008</v>
      </c>
      <c r="C263" s="1">
        <v>1695.1334814136078</v>
      </c>
      <c r="D263" s="1">
        <f t="shared" si="25"/>
        <v>687.13348141360768</v>
      </c>
      <c r="E263" s="2">
        <v>18</v>
      </c>
      <c r="F263" s="1">
        <v>94.174082300755984</v>
      </c>
      <c r="G263" s="1">
        <v>38.174082300755984</v>
      </c>
      <c r="H263" s="1">
        <v>56</v>
      </c>
      <c r="I263" s="6">
        <f t="shared" si="26"/>
        <v>-0.95545528950445413</v>
      </c>
      <c r="J263" s="1">
        <f t="shared" si="27"/>
        <v>-0.63912204582009691</v>
      </c>
      <c r="K263" s="6">
        <f t="shared" si="28"/>
        <v>-0.5529791748890025</v>
      </c>
      <c r="L263" s="1">
        <f t="shared" si="29"/>
        <v>-0.30230639391472847</v>
      </c>
    </row>
    <row r="264" spans="1:12" x14ac:dyDescent="0.25">
      <c r="A264" s="3">
        <v>42177</v>
      </c>
      <c r="B264" s="1">
        <f t="shared" si="24"/>
        <v>924</v>
      </c>
      <c r="C264" s="1">
        <v>1665.6016705894071</v>
      </c>
      <c r="D264" s="1">
        <f t="shared" si="25"/>
        <v>741.60167058940704</v>
      </c>
      <c r="E264" s="2">
        <v>7</v>
      </c>
      <c r="F264" s="1">
        <v>237.94309579848672</v>
      </c>
      <c r="G264" s="1">
        <v>105.94309579848672</v>
      </c>
      <c r="H264" s="1">
        <v>132</v>
      </c>
      <c r="I264" s="6">
        <f t="shared" si="26"/>
        <v>1.746790315470063</v>
      </c>
      <c r="J264" s="1">
        <f t="shared" si="27"/>
        <v>1.4872939701468375</v>
      </c>
      <c r="K264" s="6">
        <f t="shared" si="28"/>
        <v>2.1973921700119536</v>
      </c>
      <c r="L264" s="1">
        <f t="shared" si="29"/>
        <v>1.9884808404863017</v>
      </c>
    </row>
    <row r="265" spans="1:12" x14ac:dyDescent="0.25">
      <c r="A265" s="3">
        <v>42171</v>
      </c>
      <c r="B265" s="1">
        <f t="shared" si="24"/>
        <v>5428</v>
      </c>
      <c r="C265" s="1">
        <v>9748.9687206601993</v>
      </c>
      <c r="D265" s="1">
        <f t="shared" si="25"/>
        <v>4320.9687206601993</v>
      </c>
      <c r="E265" s="2">
        <v>92</v>
      </c>
      <c r="F265" s="1">
        <v>105.9670513115239</v>
      </c>
      <c r="G265" s="1">
        <v>46.967051311523903</v>
      </c>
      <c r="H265" s="1">
        <v>59</v>
      </c>
      <c r="I265" s="6">
        <f t="shared" si="26"/>
        <v>-0.60484133428109266</v>
      </c>
      <c r="J265" s="1">
        <f t="shared" si="27"/>
        <v>-0.36322146578547793</v>
      </c>
      <c r="K265" s="6">
        <f t="shared" si="28"/>
        <v>-0.32737392623760925</v>
      </c>
      <c r="L265" s="1">
        <f t="shared" si="29"/>
        <v>-0.11439954105188606</v>
      </c>
    </row>
    <row r="266" spans="1:12" x14ac:dyDescent="0.25">
      <c r="A266" s="3">
        <v>42150</v>
      </c>
      <c r="B266" s="1">
        <f t="shared" si="24"/>
        <v>1488</v>
      </c>
      <c r="C266" s="1">
        <v>2709.9220095987748</v>
      </c>
      <c r="D266" s="1">
        <f t="shared" si="25"/>
        <v>1221.9220095987748</v>
      </c>
      <c r="E266" s="2">
        <v>12</v>
      </c>
      <c r="F266" s="1">
        <v>225.82683413323124</v>
      </c>
      <c r="G266" s="1">
        <v>101.82683413323124</v>
      </c>
      <c r="H266" s="1">
        <v>124</v>
      </c>
      <c r="I266" s="6">
        <f t="shared" si="26"/>
        <v>1.5826570424627149</v>
      </c>
      <c r="J266" s="1">
        <f t="shared" si="27"/>
        <v>1.3581363466379299</v>
      </c>
      <c r="K266" s="6">
        <f t="shared" si="28"/>
        <v>1.9656021752091684</v>
      </c>
      <c r="L266" s="1">
        <f t="shared" si="29"/>
        <v>1.7954227059400287</v>
      </c>
    </row>
    <row r="267" spans="1:12" x14ac:dyDescent="0.25">
      <c r="A267" s="3">
        <v>42141</v>
      </c>
      <c r="B267" s="1">
        <f t="shared" si="24"/>
        <v>420</v>
      </c>
      <c r="C267" s="1">
        <v>929.66790699768262</v>
      </c>
      <c r="D267" s="1">
        <f t="shared" si="25"/>
        <v>509.66790699768268</v>
      </c>
      <c r="E267" s="2">
        <v>10</v>
      </c>
      <c r="F267" s="1">
        <v>92.966790699768268</v>
      </c>
      <c r="G267" s="1">
        <v>50.966790699768268</v>
      </c>
      <c r="H267" s="1">
        <v>42</v>
      </c>
      <c r="I267" s="6">
        <f t="shared" si="26"/>
        <v>-0.44535431174550988</v>
      </c>
      <c r="J267" s="1">
        <f t="shared" si="27"/>
        <v>-0.23772000935448825</v>
      </c>
      <c r="K267" s="6">
        <f t="shared" si="28"/>
        <v>-0.5760752520165584</v>
      </c>
      <c r="L267" s="1">
        <f t="shared" si="29"/>
        <v>-0.3215431412530963</v>
      </c>
    </row>
    <row r="268" spans="1:12" x14ac:dyDescent="0.25">
      <c r="A268" s="3">
        <v>42126</v>
      </c>
      <c r="B268" s="1">
        <f t="shared" si="24"/>
        <v>7654</v>
      </c>
      <c r="C268" s="1">
        <v>21971.326567309126</v>
      </c>
      <c r="D268" s="1">
        <f t="shared" si="25"/>
        <v>14317.326567309126</v>
      </c>
      <c r="E268" s="2">
        <v>178</v>
      </c>
      <c r="F268" s="1">
        <v>123.434418917467</v>
      </c>
      <c r="G268" s="1">
        <v>80.434418917466999</v>
      </c>
      <c r="H268" s="1">
        <v>43</v>
      </c>
      <c r="I268" s="6">
        <f t="shared" si="26"/>
        <v>0.72964831453539136</v>
      </c>
      <c r="J268" s="1">
        <f t="shared" si="27"/>
        <v>0.68689779693498876</v>
      </c>
      <c r="K268" s="6">
        <f t="shared" si="28"/>
        <v>6.7853349650518298E-3</v>
      </c>
      <c r="L268" s="1">
        <f t="shared" si="29"/>
        <v>0.16392206495201206</v>
      </c>
    </row>
    <row r="269" spans="1:12" x14ac:dyDescent="0.25">
      <c r="A269" s="3">
        <v>42113</v>
      </c>
      <c r="B269" s="1">
        <f t="shared" si="24"/>
        <v>6536</v>
      </c>
      <c r="C269" s="1">
        <v>13695.881867259124</v>
      </c>
      <c r="D269" s="1">
        <f t="shared" si="25"/>
        <v>7159.8818672591224</v>
      </c>
      <c r="E269" s="2">
        <v>76</v>
      </c>
      <c r="F269" s="1">
        <v>180.20897193762005</v>
      </c>
      <c r="G269" s="1">
        <v>94.208971937620035</v>
      </c>
      <c r="H269" s="1">
        <v>86</v>
      </c>
      <c r="I269" s="6">
        <f t="shared" si="26"/>
        <v>1.278899711863809</v>
      </c>
      <c r="J269" s="1">
        <f t="shared" si="27"/>
        <v>1.1191075731009044</v>
      </c>
      <c r="K269" s="6">
        <f t="shared" si="28"/>
        <v>1.0929102234039205</v>
      </c>
      <c r="L269" s="1">
        <f t="shared" si="29"/>
        <v>1.0685566460291362</v>
      </c>
    </row>
    <row r="270" spans="1:12" x14ac:dyDescent="0.25">
      <c r="A270" s="3">
        <v>42098</v>
      </c>
      <c r="B270" s="1">
        <f t="shared" si="24"/>
        <v>1763</v>
      </c>
      <c r="C270" s="1">
        <v>4062.4914354278553</v>
      </c>
      <c r="D270" s="1">
        <f t="shared" si="25"/>
        <v>2299.4914354278553</v>
      </c>
      <c r="E270" s="2">
        <v>41</v>
      </c>
      <c r="F270" s="1">
        <v>99.085156961655002</v>
      </c>
      <c r="G270" s="1">
        <v>56.085156961655009</v>
      </c>
      <c r="H270" s="1">
        <v>43</v>
      </c>
      <c r="I270" s="6">
        <f t="shared" si="26"/>
        <v>-0.24126276574275698</v>
      </c>
      <c r="J270" s="1">
        <f t="shared" si="27"/>
        <v>-7.7118940619361656E-2</v>
      </c>
      <c r="K270" s="6">
        <f t="shared" si="28"/>
        <v>-0.45902792147639537</v>
      </c>
      <c r="L270" s="1">
        <f t="shared" si="29"/>
        <v>-0.22405429447637895</v>
      </c>
    </row>
    <row r="271" spans="1:12" x14ac:dyDescent="0.25">
      <c r="A271" s="3">
        <v>42070</v>
      </c>
      <c r="B271" s="1">
        <f t="shared" si="24"/>
        <v>3180</v>
      </c>
      <c r="C271" s="1">
        <v>5360.4246064487161</v>
      </c>
      <c r="D271" s="1">
        <f t="shared" si="25"/>
        <v>2180.4246064487156</v>
      </c>
      <c r="E271" s="2">
        <v>53</v>
      </c>
      <c r="F271" s="1">
        <v>101.14008691412671</v>
      </c>
      <c r="G271" s="1">
        <v>41.140086914126712</v>
      </c>
      <c r="H271" s="1">
        <v>60</v>
      </c>
      <c r="I271" s="6">
        <f t="shared" si="26"/>
        <v>-0.83718777287484325</v>
      </c>
      <c r="J271" s="1">
        <f t="shared" si="27"/>
        <v>-0.54605650763700797</v>
      </c>
      <c r="K271" s="6">
        <f t="shared" si="28"/>
        <v>-0.41971610928853414</v>
      </c>
      <c r="L271" s="1">
        <f t="shared" si="29"/>
        <v>-0.19131144406525882</v>
      </c>
    </row>
    <row r="272" spans="1:12" x14ac:dyDescent="0.25">
      <c r="A272" s="3">
        <v>42060</v>
      </c>
      <c r="B272" s="1">
        <f t="shared" si="24"/>
        <v>7480</v>
      </c>
      <c r="C272" s="1">
        <v>14022.850478921431</v>
      </c>
      <c r="D272" s="1">
        <f t="shared" si="25"/>
        <v>6542.8504789214312</v>
      </c>
      <c r="E272" s="2">
        <v>85</v>
      </c>
      <c r="F272" s="1">
        <v>164.97471151672272</v>
      </c>
      <c r="G272" s="1">
        <v>76.974711516722721</v>
      </c>
      <c r="H272" s="1">
        <v>88</v>
      </c>
      <c r="I272" s="6">
        <f t="shared" si="26"/>
        <v>0.59169471840591414</v>
      </c>
      <c r="J272" s="1">
        <f t="shared" si="27"/>
        <v>0.57834114474544029</v>
      </c>
      <c r="K272" s="6">
        <f t="shared" si="28"/>
        <v>0.80147139174596971</v>
      </c>
      <c r="L272" s="1">
        <f t="shared" si="29"/>
        <v>0.82581693147803581</v>
      </c>
    </row>
    <row r="273" spans="1:12" x14ac:dyDescent="0.25">
      <c r="A273" s="3">
        <v>42049</v>
      </c>
      <c r="B273" s="1">
        <f t="shared" si="24"/>
        <v>2079</v>
      </c>
      <c r="C273" s="1">
        <v>3493.6484225825643</v>
      </c>
      <c r="D273" s="1">
        <f t="shared" si="25"/>
        <v>1414.6484225825639</v>
      </c>
      <c r="E273" s="2">
        <v>21</v>
      </c>
      <c r="F273" s="1">
        <v>166.36421059916972</v>
      </c>
      <c r="G273" s="1">
        <v>67.364210599169709</v>
      </c>
      <c r="H273" s="1">
        <v>99</v>
      </c>
      <c r="I273" s="6">
        <f t="shared" si="26"/>
        <v>0.20848220688055746</v>
      </c>
      <c r="J273" s="1">
        <f t="shared" si="27"/>
        <v>0.27678853216042842</v>
      </c>
      <c r="K273" s="6">
        <f t="shared" si="28"/>
        <v>0.82805318685711671</v>
      </c>
      <c r="L273" s="1">
        <f t="shared" si="29"/>
        <v>0.8479569370525456</v>
      </c>
    </row>
    <row r="274" spans="1:12" x14ac:dyDescent="0.25">
      <c r="A274" s="3">
        <v>42048</v>
      </c>
      <c r="B274" s="1">
        <f t="shared" si="24"/>
        <v>1391</v>
      </c>
      <c r="C274" s="1">
        <v>2370.8703122519032</v>
      </c>
      <c r="D274" s="1">
        <f t="shared" si="25"/>
        <v>979.87031225190333</v>
      </c>
      <c r="E274" s="2">
        <v>13</v>
      </c>
      <c r="F274" s="1">
        <v>182.37463940399255</v>
      </c>
      <c r="G274" s="1">
        <v>75.37463940399256</v>
      </c>
      <c r="H274" s="1">
        <v>107</v>
      </c>
      <c r="I274" s="6">
        <f t="shared" si="26"/>
        <v>0.52789287725306699</v>
      </c>
      <c r="J274" s="1">
        <f t="shared" si="27"/>
        <v>0.52813502853385652</v>
      </c>
      <c r="K274" s="6">
        <f t="shared" si="28"/>
        <v>1.1343404982398064</v>
      </c>
      <c r="L274" s="1">
        <f t="shared" si="29"/>
        <v>1.1030639662452693</v>
      </c>
    </row>
    <row r="275" spans="1:12" x14ac:dyDescent="0.25">
      <c r="A275" s="3">
        <v>42044</v>
      </c>
      <c r="B275" s="1">
        <f t="shared" si="24"/>
        <v>1414</v>
      </c>
      <c r="C275" s="1">
        <v>2522.4671144032941</v>
      </c>
      <c r="D275" s="1">
        <f t="shared" si="25"/>
        <v>1108.4671144032941</v>
      </c>
      <c r="E275" s="2">
        <v>14</v>
      </c>
      <c r="F275" s="1">
        <v>180.17622245737815</v>
      </c>
      <c r="G275" s="1">
        <v>79.176222457378145</v>
      </c>
      <c r="H275" s="1">
        <v>101</v>
      </c>
      <c r="I275" s="6">
        <f t="shared" si="26"/>
        <v>0.67947854403130326</v>
      </c>
      <c r="J275" s="1">
        <f t="shared" si="27"/>
        <v>0.64741885271138089</v>
      </c>
      <c r="K275" s="6">
        <f t="shared" si="28"/>
        <v>1.0922837098748479</v>
      </c>
      <c r="L275" s="1">
        <f t="shared" si="29"/>
        <v>1.0680348222407814</v>
      </c>
    </row>
    <row r="276" spans="1:12" x14ac:dyDescent="0.25">
      <c r="A276" s="3">
        <v>42038</v>
      </c>
      <c r="B276" s="1">
        <f t="shared" si="24"/>
        <v>512</v>
      </c>
      <c r="C276" s="1">
        <v>1052.5905044766482</v>
      </c>
      <c r="D276" s="1">
        <f t="shared" si="25"/>
        <v>540.59050447664822</v>
      </c>
      <c r="E276" s="2">
        <v>8</v>
      </c>
      <c r="F276" s="1">
        <v>131.57381305958103</v>
      </c>
      <c r="G276" s="1">
        <v>67.573813059581028</v>
      </c>
      <c r="H276" s="1">
        <v>64</v>
      </c>
      <c r="I276" s="6">
        <f t="shared" si="26"/>
        <v>0.2168399694951379</v>
      </c>
      <c r="J276" s="1">
        <f t="shared" si="27"/>
        <v>0.28336531417038974</v>
      </c>
      <c r="K276" s="6">
        <f t="shared" si="28"/>
        <v>0.16249591451687212</v>
      </c>
      <c r="L276" s="1">
        <f t="shared" si="29"/>
        <v>0.29361357317681908</v>
      </c>
    </row>
    <row r="277" spans="1:12" x14ac:dyDescent="0.25">
      <c r="A277" s="3">
        <v>42025</v>
      </c>
      <c r="B277" s="1">
        <f t="shared" si="24"/>
        <v>408</v>
      </c>
      <c r="C277" s="1">
        <v>689.36879897867198</v>
      </c>
      <c r="D277" s="1">
        <f t="shared" si="25"/>
        <v>281.36879897867203</v>
      </c>
      <c r="E277" s="2">
        <v>8</v>
      </c>
      <c r="F277" s="1">
        <v>86.171099872333997</v>
      </c>
      <c r="G277" s="1">
        <v>35.171099872334004</v>
      </c>
      <c r="H277" s="1">
        <v>51</v>
      </c>
      <c r="I277" s="6">
        <f t="shared" si="26"/>
        <v>-1.0751972726054877</v>
      </c>
      <c r="J277" s="1">
        <f t="shared" si="27"/>
        <v>-0.73334785200919839</v>
      </c>
      <c r="K277" s="6">
        <f t="shared" si="28"/>
        <v>-0.70608013182938756</v>
      </c>
      <c r="L277" s="1">
        <f t="shared" si="29"/>
        <v>-0.42982434467575398</v>
      </c>
    </row>
    <row r="278" spans="1:12" x14ac:dyDescent="0.25">
      <c r="A278" s="3">
        <v>42007</v>
      </c>
      <c r="B278" s="1">
        <f t="shared" si="24"/>
        <v>704</v>
      </c>
      <c r="C278" s="1">
        <v>1636.2880825833699</v>
      </c>
      <c r="D278" s="1">
        <f t="shared" si="25"/>
        <v>932.28808258337006</v>
      </c>
      <c r="E278" s="2">
        <v>16</v>
      </c>
      <c r="F278" s="1">
        <v>102.26800516146062</v>
      </c>
      <c r="G278" s="1">
        <v>58.268005161460628</v>
      </c>
      <c r="H278" s="1">
        <v>44</v>
      </c>
      <c r="I278" s="6">
        <f t="shared" si="26"/>
        <v>-0.15422310484450905</v>
      </c>
      <c r="J278" s="1">
        <f t="shared" si="27"/>
        <v>-8.6268210956403097E-3</v>
      </c>
      <c r="K278" s="6">
        <f t="shared" si="28"/>
        <v>-0.39813848312705913</v>
      </c>
      <c r="L278" s="1">
        <f t="shared" si="29"/>
        <v>-0.17333941616036339</v>
      </c>
    </row>
    <row r="279" spans="1:12" x14ac:dyDescent="0.25">
      <c r="A279" s="3">
        <v>42001</v>
      </c>
      <c r="B279" s="1">
        <f t="shared" si="24"/>
        <v>295</v>
      </c>
      <c r="C279" s="1">
        <v>555.69273382077893</v>
      </c>
      <c r="D279" s="1">
        <f t="shared" si="25"/>
        <v>260.69273382077893</v>
      </c>
      <c r="E279" s="2">
        <v>5</v>
      </c>
      <c r="F279" s="1">
        <v>111.13854676415579</v>
      </c>
      <c r="G279" s="1">
        <v>52.138546764155791</v>
      </c>
      <c r="H279" s="1">
        <v>59</v>
      </c>
      <c r="I279" s="6">
        <f t="shared" si="26"/>
        <v>-0.39863129614193393</v>
      </c>
      <c r="J279" s="1">
        <f t="shared" si="27"/>
        <v>-0.20095334073235396</v>
      </c>
      <c r="K279" s="6">
        <f t="shared" si="28"/>
        <v>-0.22844069607095133</v>
      </c>
      <c r="L279" s="1">
        <f t="shared" si="29"/>
        <v>-3.1997947847387256E-2</v>
      </c>
    </row>
    <row r="280" spans="1:12" x14ac:dyDescent="0.25">
      <c r="A280" s="3">
        <v>41996</v>
      </c>
      <c r="B280" s="1">
        <f t="shared" si="24"/>
        <v>2537</v>
      </c>
      <c r="C280" s="1">
        <v>5268.6441930678029</v>
      </c>
      <c r="D280" s="1">
        <f t="shared" si="25"/>
        <v>2731.6441930678029</v>
      </c>
      <c r="E280" s="2">
        <v>43</v>
      </c>
      <c r="F280" s="1">
        <v>122.52660914111169</v>
      </c>
      <c r="G280" s="1">
        <v>63.526609141111699</v>
      </c>
      <c r="H280" s="1">
        <v>59</v>
      </c>
      <c r="I280" s="6">
        <f t="shared" si="26"/>
        <v>5.5460329499557905E-2</v>
      </c>
      <c r="J280" s="1">
        <f t="shared" si="27"/>
        <v>0.15637454378820778</v>
      </c>
      <c r="K280" s="6">
        <f t="shared" si="28"/>
        <v>-1.058150879887226E-2</v>
      </c>
      <c r="L280" s="1">
        <f t="shared" si="29"/>
        <v>0.14945720220902595</v>
      </c>
    </row>
    <row r="281" spans="1:12" x14ac:dyDescent="0.25">
      <c r="A281" s="3">
        <v>41975</v>
      </c>
      <c r="B281" s="1">
        <f t="shared" si="24"/>
        <v>736</v>
      </c>
      <c r="C281" s="1">
        <v>1751.0996353419141</v>
      </c>
      <c r="D281" s="1">
        <f t="shared" si="25"/>
        <v>1015.0996353419141</v>
      </c>
      <c r="E281" s="2">
        <v>16</v>
      </c>
      <c r="F281" s="1">
        <v>109.44372720886963</v>
      </c>
      <c r="G281" s="1">
        <v>63.443727208869632</v>
      </c>
      <c r="H281" s="1">
        <v>46</v>
      </c>
      <c r="I281" s="6">
        <f t="shared" si="26"/>
        <v>5.215546602916931E-2</v>
      </c>
      <c r="J281" s="1">
        <f t="shared" si="27"/>
        <v>0.15377392354810765</v>
      </c>
      <c r="K281" s="6">
        <f t="shared" si="28"/>
        <v>-0.26086342073345592</v>
      </c>
      <c r="L281" s="1">
        <f t="shared" si="29"/>
        <v>-5.9002869891482977E-2</v>
      </c>
    </row>
    <row r="282" spans="1:12" x14ac:dyDescent="0.25">
      <c r="A282" s="3">
        <v>41951</v>
      </c>
      <c r="B282" s="1">
        <f t="shared" si="24"/>
        <v>588</v>
      </c>
      <c r="C282" s="1">
        <v>1325.6874043167822</v>
      </c>
      <c r="D282" s="1">
        <f t="shared" si="25"/>
        <v>737.68740431678236</v>
      </c>
      <c r="E282" s="2">
        <v>14</v>
      </c>
      <c r="F282" s="1">
        <v>94.691957451198732</v>
      </c>
      <c r="G282" s="1">
        <v>52.691957451198739</v>
      </c>
      <c r="H282" s="1">
        <v>42</v>
      </c>
      <c r="I282" s="6">
        <f t="shared" si="26"/>
        <v>-0.37656440274001346</v>
      </c>
      <c r="J282" s="1">
        <f t="shared" si="27"/>
        <v>-0.18358874757098539</v>
      </c>
      <c r="K282" s="6">
        <f t="shared" si="28"/>
        <v>-0.54307197069137136</v>
      </c>
      <c r="L282" s="1">
        <f t="shared" si="29"/>
        <v>-0.29405467294380805</v>
      </c>
    </row>
    <row r="283" spans="1:12" x14ac:dyDescent="0.25">
      <c r="A283" s="3">
        <v>41933</v>
      </c>
      <c r="B283" s="1">
        <f t="shared" si="24"/>
        <v>1380</v>
      </c>
      <c r="C283" s="1">
        <v>2843.3875610632108</v>
      </c>
      <c r="D283" s="1">
        <f t="shared" si="25"/>
        <v>1463.387561063211</v>
      </c>
      <c r="E283" s="2">
        <v>30</v>
      </c>
      <c r="F283" s="1">
        <v>94.779585368773695</v>
      </c>
      <c r="G283" s="1">
        <v>48.779585368773702</v>
      </c>
      <c r="H283" s="1">
        <v>46</v>
      </c>
      <c r="I283" s="6">
        <f t="shared" si="26"/>
        <v>-0.53256771043331597</v>
      </c>
      <c r="J283" s="1">
        <f t="shared" si="27"/>
        <v>-0.30634884436314364</v>
      </c>
      <c r="K283" s="6">
        <f t="shared" si="28"/>
        <v>-0.54139560589169688</v>
      </c>
      <c r="L283" s="1">
        <f t="shared" si="29"/>
        <v>-0.29265842690946325</v>
      </c>
    </row>
    <row r="284" spans="1:12" x14ac:dyDescent="0.25">
      <c r="A284" s="3">
        <v>41916</v>
      </c>
      <c r="B284" s="1">
        <f t="shared" si="24"/>
        <v>4248</v>
      </c>
      <c r="C284" s="1">
        <v>7486.5676338455996</v>
      </c>
      <c r="D284" s="1">
        <f t="shared" si="25"/>
        <v>3238.5676338456001</v>
      </c>
      <c r="E284" s="2">
        <v>36</v>
      </c>
      <c r="F284" s="1">
        <v>207.96021205126667</v>
      </c>
      <c r="G284" s="1">
        <v>89.960212051266666</v>
      </c>
      <c r="H284" s="1">
        <v>118</v>
      </c>
      <c r="I284" s="6">
        <f t="shared" si="26"/>
        <v>1.1094831579416411</v>
      </c>
      <c r="J284" s="1">
        <f t="shared" si="27"/>
        <v>0.98579249879128383</v>
      </c>
      <c r="K284" s="6">
        <f t="shared" si="28"/>
        <v>1.6238049811623045</v>
      </c>
      <c r="L284" s="1">
        <f t="shared" si="29"/>
        <v>1.5107394575022279</v>
      </c>
    </row>
    <row r="285" spans="1:12" x14ac:dyDescent="0.25">
      <c r="A285" s="3">
        <v>41892</v>
      </c>
      <c r="B285" s="1">
        <f t="shared" si="24"/>
        <v>3536</v>
      </c>
      <c r="C285" s="1">
        <v>6059.0467549208452</v>
      </c>
      <c r="D285" s="1">
        <f t="shared" si="25"/>
        <v>2523.0467549208452</v>
      </c>
      <c r="E285" s="2">
        <v>52</v>
      </c>
      <c r="F285" s="1">
        <v>116.52012990232394</v>
      </c>
      <c r="G285" s="1">
        <v>48.520129902323944</v>
      </c>
      <c r="H285" s="1">
        <v>68</v>
      </c>
      <c r="I285" s="6">
        <f t="shared" si="26"/>
        <v>-0.54291332943696202</v>
      </c>
      <c r="J285" s="1">
        <f t="shared" si="27"/>
        <v>-0.3144898845054413</v>
      </c>
      <c r="K285" s="6">
        <f t="shared" si="28"/>
        <v>-0.12548838601942913</v>
      </c>
      <c r="L285" s="1">
        <f t="shared" si="29"/>
        <v>5.3751141291198415E-2</v>
      </c>
    </row>
    <row r="286" spans="1:12" x14ac:dyDescent="0.25">
      <c r="A286" s="3">
        <v>41872</v>
      </c>
      <c r="B286" s="1">
        <f t="shared" si="24"/>
        <v>1581</v>
      </c>
      <c r="C286" s="1">
        <v>2774.4678713941657</v>
      </c>
      <c r="D286" s="1">
        <f t="shared" si="25"/>
        <v>1193.4678713941653</v>
      </c>
      <c r="E286" s="2">
        <v>17</v>
      </c>
      <c r="F286" s="1">
        <v>163.20399243495092</v>
      </c>
      <c r="G286" s="1">
        <v>70.203992434950905</v>
      </c>
      <c r="H286" s="1">
        <v>93</v>
      </c>
      <c r="I286" s="6">
        <f t="shared" si="26"/>
        <v>0.32171667184857949</v>
      </c>
      <c r="J286" s="1">
        <f t="shared" si="27"/>
        <v>0.36589352669689634</v>
      </c>
      <c r="K286" s="6">
        <f t="shared" si="28"/>
        <v>0.76759667212530991</v>
      </c>
      <c r="L286" s="1">
        <f t="shared" si="29"/>
        <v>0.7976026412805366</v>
      </c>
    </row>
    <row r="287" spans="1:12" x14ac:dyDescent="0.25">
      <c r="A287" s="3">
        <v>41848</v>
      </c>
      <c r="B287" s="1">
        <f t="shared" si="24"/>
        <v>741</v>
      </c>
      <c r="C287" s="1">
        <v>2071.6369177692832</v>
      </c>
      <c r="D287" s="1">
        <f t="shared" si="25"/>
        <v>1330.6369177692829</v>
      </c>
      <c r="E287" s="2">
        <v>19</v>
      </c>
      <c r="F287" s="1">
        <v>109.033521987857</v>
      </c>
      <c r="G287" s="1">
        <v>70.033521987857</v>
      </c>
      <c r="H287" s="1">
        <v>39</v>
      </c>
      <c r="I287" s="6">
        <f t="shared" si="26"/>
        <v>0.3149192729687364</v>
      </c>
      <c r="J287" s="1">
        <f t="shared" si="27"/>
        <v>0.36054460585180154</v>
      </c>
      <c r="K287" s="6">
        <f t="shared" si="28"/>
        <v>-0.26871084667005884</v>
      </c>
      <c r="L287" s="1">
        <f t="shared" si="29"/>
        <v>-6.5538999346076626E-2</v>
      </c>
    </row>
    <row r="288" spans="1:12" x14ac:dyDescent="0.25">
      <c r="A288" s="3">
        <v>41843</v>
      </c>
      <c r="B288" s="1">
        <f t="shared" si="24"/>
        <v>1272</v>
      </c>
      <c r="C288" s="1">
        <v>2315.7503528825837</v>
      </c>
      <c r="D288" s="1">
        <f t="shared" si="25"/>
        <v>1043.7503528825835</v>
      </c>
      <c r="E288" s="2">
        <v>24</v>
      </c>
      <c r="F288" s="1">
        <v>96.489598036774311</v>
      </c>
      <c r="G288" s="1">
        <v>43.489598036774311</v>
      </c>
      <c r="H288" s="1">
        <v>53</v>
      </c>
      <c r="I288" s="6">
        <f t="shared" si="26"/>
        <v>-0.74350253566498159</v>
      </c>
      <c r="J288" s="1">
        <f t="shared" si="27"/>
        <v>-0.47233493751178252</v>
      </c>
      <c r="K288" s="6">
        <f t="shared" si="28"/>
        <v>-0.50868222957322651</v>
      </c>
      <c r="L288" s="1">
        <f t="shared" si="29"/>
        <v>-0.26541142079029223</v>
      </c>
    </row>
    <row r="289" spans="1:12" x14ac:dyDescent="0.25">
      <c r="A289" s="3">
        <v>41842</v>
      </c>
      <c r="B289" s="1">
        <f t="shared" si="24"/>
        <v>420</v>
      </c>
      <c r="C289" s="1">
        <v>828.01284583996312</v>
      </c>
      <c r="D289" s="1">
        <f t="shared" si="25"/>
        <v>408.01284583996301</v>
      </c>
      <c r="E289" s="2">
        <v>6</v>
      </c>
      <c r="F289" s="1">
        <v>138.00214097332719</v>
      </c>
      <c r="G289" s="1">
        <v>68.002140973327172</v>
      </c>
      <c r="H289" s="1">
        <v>70</v>
      </c>
      <c r="I289" s="6">
        <f t="shared" si="26"/>
        <v>0.23391926816970368</v>
      </c>
      <c r="J289" s="1">
        <f t="shared" si="27"/>
        <v>0.29680513406545145</v>
      </c>
      <c r="K289" s="6">
        <f t="shared" si="28"/>
        <v>0.28547296262657101</v>
      </c>
      <c r="L289" s="1">
        <f t="shared" si="29"/>
        <v>0.39604128805841243</v>
      </c>
    </row>
    <row r="290" spans="1:12" x14ac:dyDescent="0.25">
      <c r="A290" s="3">
        <v>41834</v>
      </c>
      <c r="B290" s="1">
        <f t="shared" si="24"/>
        <v>3900</v>
      </c>
      <c r="C290" s="1">
        <v>6640.5699105719432</v>
      </c>
      <c r="D290" s="1">
        <f t="shared" si="25"/>
        <v>2740.5699105719441</v>
      </c>
      <c r="E290" s="2">
        <v>39</v>
      </c>
      <c r="F290" s="1">
        <v>170.27102334799855</v>
      </c>
      <c r="G290" s="1">
        <v>70.271023347998565</v>
      </c>
      <c r="H290" s="1">
        <v>100</v>
      </c>
      <c r="I290" s="6">
        <f t="shared" si="26"/>
        <v>0.32438948617524122</v>
      </c>
      <c r="J290" s="1">
        <f t="shared" si="27"/>
        <v>0.36799678303357303</v>
      </c>
      <c r="K290" s="6">
        <f t="shared" si="28"/>
        <v>0.90279242010950422</v>
      </c>
      <c r="L290" s="1">
        <f t="shared" si="29"/>
        <v>0.91020732435421225</v>
      </c>
    </row>
    <row r="291" spans="1:12" x14ac:dyDescent="0.25">
      <c r="A291" s="3">
        <v>41833</v>
      </c>
      <c r="B291" s="1">
        <f t="shared" si="24"/>
        <v>1107</v>
      </c>
      <c r="C291" s="1">
        <v>3045.2144558087725</v>
      </c>
      <c r="D291" s="1">
        <f t="shared" si="25"/>
        <v>1938.2144558087721</v>
      </c>
      <c r="E291" s="2">
        <v>41</v>
      </c>
      <c r="F291" s="1">
        <v>74.273523312409083</v>
      </c>
      <c r="G291" s="1">
        <v>47.273523312409075</v>
      </c>
      <c r="H291" s="1">
        <v>27</v>
      </c>
      <c r="I291" s="6">
        <f t="shared" si="26"/>
        <v>-0.59262096135995768</v>
      </c>
      <c r="J291" s="1">
        <f t="shared" si="27"/>
        <v>-0.35360516863885522</v>
      </c>
      <c r="K291" s="6">
        <f t="shared" si="28"/>
        <v>-0.93368657391364984</v>
      </c>
      <c r="L291" s="1">
        <f t="shared" si="29"/>
        <v>-0.61939799368889903</v>
      </c>
    </row>
    <row r="292" spans="1:12" x14ac:dyDescent="0.25">
      <c r="A292" s="3">
        <v>41819</v>
      </c>
      <c r="B292" s="1">
        <f t="shared" si="24"/>
        <v>310</v>
      </c>
      <c r="C292" s="1">
        <v>577.67170336946083</v>
      </c>
      <c r="D292" s="1">
        <f t="shared" si="25"/>
        <v>267.67170336946089</v>
      </c>
      <c r="E292" s="2">
        <v>2</v>
      </c>
      <c r="F292" s="1">
        <v>288.83585168473041</v>
      </c>
      <c r="G292" s="1">
        <v>133.83585168473044</v>
      </c>
      <c r="H292" s="1">
        <v>155</v>
      </c>
      <c r="I292" s="6">
        <f t="shared" si="26"/>
        <v>2.8589959255864485</v>
      </c>
      <c r="J292" s="1">
        <f t="shared" si="27"/>
        <v>2.3624963640543521</v>
      </c>
      <c r="K292" s="6">
        <f t="shared" si="28"/>
        <v>3.1709954107045215</v>
      </c>
      <c r="L292" s="1">
        <f t="shared" si="29"/>
        <v>2.799396020825458</v>
      </c>
    </row>
    <row r="293" spans="1:12" x14ac:dyDescent="0.25">
      <c r="A293" s="3">
        <v>41809</v>
      </c>
      <c r="B293" s="1">
        <f t="shared" si="24"/>
        <v>740</v>
      </c>
      <c r="C293" s="1">
        <v>1927.1890924196027</v>
      </c>
      <c r="D293" s="1">
        <f t="shared" si="25"/>
        <v>1187.1890924196027</v>
      </c>
      <c r="E293" s="2">
        <v>20</v>
      </c>
      <c r="F293" s="1">
        <v>96.359454620980131</v>
      </c>
      <c r="G293" s="1">
        <v>59.359454620980131</v>
      </c>
      <c r="H293" s="1">
        <v>37</v>
      </c>
      <c r="I293" s="6">
        <f t="shared" si="26"/>
        <v>-0.11070226319706279</v>
      </c>
      <c r="J293" s="1">
        <f t="shared" si="27"/>
        <v>2.5620034385271169E-2</v>
      </c>
      <c r="K293" s="6">
        <f t="shared" si="28"/>
        <v>-0.51117193658880322</v>
      </c>
      <c r="L293" s="1">
        <f t="shared" si="29"/>
        <v>-0.26748510042604595</v>
      </c>
    </row>
    <row r="294" spans="1:12" x14ac:dyDescent="0.25">
      <c r="A294" s="3">
        <v>41787</v>
      </c>
      <c r="B294" s="1">
        <f t="shared" si="24"/>
        <v>2356</v>
      </c>
      <c r="C294" s="1">
        <v>4700.580341368629</v>
      </c>
      <c r="D294" s="1">
        <f t="shared" si="25"/>
        <v>2344.5803413686294</v>
      </c>
      <c r="E294" s="2">
        <v>19</v>
      </c>
      <c r="F294" s="1">
        <v>247.39896533519101</v>
      </c>
      <c r="G294" s="1">
        <v>123.39896533519102</v>
      </c>
      <c r="H294" s="1">
        <v>124</v>
      </c>
      <c r="I294" s="6">
        <f t="shared" si="26"/>
        <v>2.4428318291649207</v>
      </c>
      <c r="J294" s="1">
        <f t="shared" si="27"/>
        <v>2.0350139182425884</v>
      </c>
      <c r="K294" s="6">
        <f t="shared" si="28"/>
        <v>2.3782875659122942</v>
      </c>
      <c r="L294" s="1">
        <f t="shared" si="29"/>
        <v>2.1391488091803041</v>
      </c>
    </row>
    <row r="295" spans="1:12" x14ac:dyDescent="0.25">
      <c r="A295" s="3">
        <v>41765</v>
      </c>
      <c r="B295" s="1">
        <f t="shared" si="24"/>
        <v>630</v>
      </c>
      <c r="C295" s="1">
        <v>1590.8215668640046</v>
      </c>
      <c r="D295" s="1">
        <f t="shared" si="25"/>
        <v>960.82156686400458</v>
      </c>
      <c r="E295" s="2">
        <v>14</v>
      </c>
      <c r="F295" s="1">
        <v>113.63011191885747</v>
      </c>
      <c r="G295" s="1">
        <v>68.630111918857466</v>
      </c>
      <c r="H295" s="1">
        <v>45</v>
      </c>
      <c r="I295" s="6">
        <f t="shared" si="26"/>
        <v>0.2589592036804626</v>
      </c>
      <c r="J295" s="1">
        <f t="shared" si="27"/>
        <v>0.31650923491062943</v>
      </c>
      <c r="K295" s="6">
        <f t="shared" si="28"/>
        <v>-0.18077583951579823</v>
      </c>
      <c r="L295" s="1">
        <f t="shared" si="29"/>
        <v>7.7021621499531265E-3</v>
      </c>
    </row>
    <row r="296" spans="1:12" x14ac:dyDescent="0.25">
      <c r="A296" s="3">
        <v>41761</v>
      </c>
      <c r="B296" s="1">
        <f t="shared" si="24"/>
        <v>6912</v>
      </c>
      <c r="C296" s="1">
        <v>13525.22631399288</v>
      </c>
      <c r="D296" s="1">
        <f t="shared" si="25"/>
        <v>6613.22631399288</v>
      </c>
      <c r="E296" s="2">
        <v>64</v>
      </c>
      <c r="F296" s="1">
        <v>211.33166115613875</v>
      </c>
      <c r="G296" s="1">
        <v>103.33166115613875</v>
      </c>
      <c r="H296" s="1">
        <v>108</v>
      </c>
      <c r="I296" s="6">
        <f t="shared" si="26"/>
        <v>1.6426610472286225</v>
      </c>
      <c r="J296" s="1">
        <f t="shared" si="27"/>
        <v>1.4053539187644228</v>
      </c>
      <c r="K296" s="6">
        <f t="shared" si="28"/>
        <v>1.6883024468069341</v>
      </c>
      <c r="L296" s="1">
        <f t="shared" si="29"/>
        <v>1.5644594656108992</v>
      </c>
    </row>
    <row r="297" spans="1:12" x14ac:dyDescent="0.25">
      <c r="A297" s="3">
        <v>41755</v>
      </c>
      <c r="B297" s="1">
        <f t="shared" si="24"/>
        <v>1003</v>
      </c>
      <c r="C297" s="1">
        <v>2091.1930111384509</v>
      </c>
      <c r="D297" s="1">
        <f t="shared" si="25"/>
        <v>1088.1930111384509</v>
      </c>
      <c r="E297" s="2">
        <v>17</v>
      </c>
      <c r="F297" s="1">
        <v>123.01135359637946</v>
      </c>
      <c r="G297" s="1">
        <v>64.011353596379465</v>
      </c>
      <c r="H297" s="1">
        <v>59</v>
      </c>
      <c r="I297" s="6">
        <f t="shared" si="26"/>
        <v>7.4789201297683586E-2</v>
      </c>
      <c r="J297" s="1">
        <f t="shared" si="27"/>
        <v>0.17158456854925966</v>
      </c>
      <c r="K297" s="6">
        <f t="shared" si="28"/>
        <v>-1.3081109579032135E-3</v>
      </c>
      <c r="L297" s="1">
        <f t="shared" si="29"/>
        <v>0.15718102518769322</v>
      </c>
    </row>
    <row r="298" spans="1:12" x14ac:dyDescent="0.25">
      <c r="A298" s="3">
        <v>41755</v>
      </c>
      <c r="B298" s="1">
        <f t="shared" si="24"/>
        <v>930</v>
      </c>
      <c r="C298" s="1">
        <v>2192.3799680411012</v>
      </c>
      <c r="D298" s="1">
        <f t="shared" si="25"/>
        <v>1262.3799680411012</v>
      </c>
      <c r="E298" s="2">
        <v>62</v>
      </c>
      <c r="F298" s="1">
        <v>35.36096722646937</v>
      </c>
      <c r="G298" s="1">
        <v>20.360967226469374</v>
      </c>
      <c r="H298" s="1">
        <v>15</v>
      </c>
      <c r="I298" s="6">
        <f t="shared" si="26"/>
        <v>-1.6657417380744652</v>
      </c>
      <c r="J298" s="1">
        <f t="shared" si="27"/>
        <v>-1.1980514330612648</v>
      </c>
      <c r="K298" s="6">
        <f t="shared" si="28"/>
        <v>-1.678102749637838</v>
      </c>
      <c r="L298" s="1">
        <f t="shared" si="29"/>
        <v>-1.2394230225244192</v>
      </c>
    </row>
    <row r="299" spans="1:12" x14ac:dyDescent="0.25">
      <c r="A299" s="3">
        <v>41751</v>
      </c>
      <c r="B299" s="1">
        <f t="shared" si="24"/>
        <v>610</v>
      </c>
      <c r="C299" s="1">
        <v>1299.2252770594491</v>
      </c>
      <c r="D299" s="1">
        <f t="shared" si="25"/>
        <v>689.22527705944901</v>
      </c>
      <c r="E299" s="2">
        <v>10</v>
      </c>
      <c r="F299" s="1">
        <v>129.9225277059449</v>
      </c>
      <c r="G299" s="1">
        <v>68.922527705944901</v>
      </c>
      <c r="H299" s="1">
        <v>61</v>
      </c>
      <c r="I299" s="6">
        <f t="shared" si="26"/>
        <v>0.27061909416283836</v>
      </c>
      <c r="J299" s="1">
        <f t="shared" si="27"/>
        <v>0.32568448449582699</v>
      </c>
      <c r="K299" s="6">
        <f t="shared" si="28"/>
        <v>0.13090602036372673</v>
      </c>
      <c r="L299" s="1">
        <f t="shared" si="29"/>
        <v>0.26730231655459336</v>
      </c>
    </row>
    <row r="300" spans="1:12" x14ac:dyDescent="0.25">
      <c r="A300" s="3">
        <v>41746</v>
      </c>
      <c r="B300" s="1">
        <f t="shared" si="24"/>
        <v>7473</v>
      </c>
      <c r="C300" s="1">
        <v>12697.555740437121</v>
      </c>
      <c r="D300" s="1">
        <f t="shared" si="25"/>
        <v>5224.5557404371193</v>
      </c>
      <c r="E300" s="2">
        <v>141</v>
      </c>
      <c r="F300" s="1">
        <v>90.053586811610785</v>
      </c>
      <c r="G300" s="1">
        <v>37.053586811610778</v>
      </c>
      <c r="H300" s="1">
        <v>53</v>
      </c>
      <c r="I300" s="6">
        <f t="shared" si="26"/>
        <v>-1.0001343228068615</v>
      </c>
      <c r="J300" s="1">
        <f t="shared" si="27"/>
        <v>-0.67428029043607995</v>
      </c>
      <c r="K300" s="6">
        <f t="shared" si="28"/>
        <v>-0.63180626317751953</v>
      </c>
      <c r="L300" s="1">
        <f t="shared" si="29"/>
        <v>-0.36796156004751851</v>
      </c>
    </row>
    <row r="301" spans="1:12" x14ac:dyDescent="0.25">
      <c r="A301" s="3">
        <v>41743</v>
      </c>
      <c r="B301" s="1">
        <f t="shared" si="24"/>
        <v>164</v>
      </c>
      <c r="C301" s="1">
        <v>361.94126916518087</v>
      </c>
      <c r="D301" s="1">
        <f t="shared" si="25"/>
        <v>197.94126916518084</v>
      </c>
      <c r="E301" s="2">
        <v>4</v>
      </c>
      <c r="F301" s="1">
        <v>90.485317291295218</v>
      </c>
      <c r="G301" s="1">
        <v>49.48531729129521</v>
      </c>
      <c r="H301" s="1">
        <v>41</v>
      </c>
      <c r="I301" s="6">
        <f t="shared" si="26"/>
        <v>-0.50442710623243259</v>
      </c>
      <c r="J301" s="1">
        <f t="shared" si="27"/>
        <v>-0.28420480558236488</v>
      </c>
      <c r="K301" s="6">
        <f t="shared" si="28"/>
        <v>-0.62354704854457532</v>
      </c>
      <c r="L301" s="1">
        <f t="shared" si="29"/>
        <v>-0.36108245134737749</v>
      </c>
    </row>
    <row r="302" spans="1:12" x14ac:dyDescent="0.25">
      <c r="A302" s="3">
        <v>41724</v>
      </c>
      <c r="B302" s="1">
        <f t="shared" si="24"/>
        <v>148</v>
      </c>
      <c r="C302" s="1">
        <v>433.26655361847918</v>
      </c>
      <c r="D302" s="1">
        <f t="shared" si="25"/>
        <v>285.26655361847918</v>
      </c>
      <c r="E302" s="2">
        <v>4</v>
      </c>
      <c r="F302" s="1">
        <v>108.31663840461979</v>
      </c>
      <c r="G302" s="1">
        <v>71.316638404619795</v>
      </c>
      <c r="H302" s="1">
        <v>37</v>
      </c>
      <c r="I302" s="6">
        <f t="shared" si="26"/>
        <v>0.36608271063607112</v>
      </c>
      <c r="J302" s="1">
        <f t="shared" si="27"/>
        <v>0.40080547373422792</v>
      </c>
      <c r="K302" s="6">
        <f t="shared" si="28"/>
        <v>-0.28242517924421018</v>
      </c>
      <c r="L302" s="1">
        <f t="shared" si="29"/>
        <v>-7.696168161312425E-2</v>
      </c>
    </row>
    <row r="303" spans="1:12" x14ac:dyDescent="0.25">
      <c r="A303" s="3">
        <v>41717</v>
      </c>
      <c r="B303" s="1">
        <f t="shared" si="24"/>
        <v>9936</v>
      </c>
      <c r="C303" s="1">
        <v>22377.89245883936</v>
      </c>
      <c r="D303" s="1">
        <f t="shared" si="25"/>
        <v>12441.892458839358</v>
      </c>
      <c r="E303" s="2">
        <v>184</v>
      </c>
      <c r="F303" s="1">
        <v>121.61898075456173</v>
      </c>
      <c r="G303" s="1">
        <v>67.618980754561733</v>
      </c>
      <c r="H303" s="1">
        <v>54</v>
      </c>
      <c r="I303" s="6">
        <f t="shared" si="26"/>
        <v>0.21864100213452442</v>
      </c>
      <c r="J303" s="1">
        <f t="shared" si="27"/>
        <v>0.28478255938400787</v>
      </c>
      <c r="K303" s="6">
        <f t="shared" si="28"/>
        <v>-2.7944882487355542E-2</v>
      </c>
      <c r="L303" s="1">
        <f t="shared" si="29"/>
        <v>0.13499522969558539</v>
      </c>
    </row>
    <row r="304" spans="1:12" x14ac:dyDescent="0.25">
      <c r="A304" s="3">
        <v>41711</v>
      </c>
      <c r="B304" s="1">
        <f t="shared" si="24"/>
        <v>1920</v>
      </c>
      <c r="C304" s="1">
        <v>3662.5936350119882</v>
      </c>
      <c r="D304" s="1">
        <f t="shared" si="25"/>
        <v>1742.5936350119882</v>
      </c>
      <c r="E304" s="2">
        <v>15</v>
      </c>
      <c r="F304" s="1">
        <v>244.17290900079922</v>
      </c>
      <c r="G304" s="1">
        <v>116.17290900079921</v>
      </c>
      <c r="H304" s="1">
        <v>128</v>
      </c>
      <c r="I304" s="6">
        <f t="shared" si="26"/>
        <v>2.1546975040052017</v>
      </c>
      <c r="J304" s="1">
        <f t="shared" si="27"/>
        <v>1.8082789972414943</v>
      </c>
      <c r="K304" s="6">
        <f t="shared" si="28"/>
        <v>2.3165715348755542</v>
      </c>
      <c r="L304" s="1">
        <f t="shared" si="29"/>
        <v>2.0877454609309964</v>
      </c>
    </row>
    <row r="305" spans="1:12" x14ac:dyDescent="0.25">
      <c r="A305" s="3">
        <v>41711</v>
      </c>
      <c r="B305" s="1">
        <f t="shared" si="24"/>
        <v>1518</v>
      </c>
      <c r="C305" s="1">
        <v>3023.4578848277642</v>
      </c>
      <c r="D305" s="1">
        <f t="shared" si="25"/>
        <v>1505.4578848277645</v>
      </c>
      <c r="E305" s="2">
        <v>23</v>
      </c>
      <c r="F305" s="1">
        <v>131.4546906446854</v>
      </c>
      <c r="G305" s="1">
        <v>65.454690644685414</v>
      </c>
      <c r="H305" s="1">
        <v>66</v>
      </c>
      <c r="I305" s="6">
        <f t="shared" si="26"/>
        <v>0.13234133307561252</v>
      </c>
      <c r="J305" s="1">
        <f t="shared" si="27"/>
        <v>0.21687274462782957</v>
      </c>
      <c r="K305" s="6">
        <f t="shared" si="28"/>
        <v>0.16021704462346834</v>
      </c>
      <c r="L305" s="1">
        <f t="shared" si="29"/>
        <v>0.29171550000559132</v>
      </c>
    </row>
    <row r="306" spans="1:12" x14ac:dyDescent="0.25">
      <c r="A306" s="3">
        <v>41697</v>
      </c>
      <c r="B306" s="1">
        <f t="shared" si="24"/>
        <v>3835</v>
      </c>
      <c r="C306" s="1">
        <v>7522.2258600668974</v>
      </c>
      <c r="D306" s="1">
        <f t="shared" si="25"/>
        <v>3687.2258600668979</v>
      </c>
      <c r="E306" s="2">
        <v>59</v>
      </c>
      <c r="F306" s="1">
        <v>127.4953535604559</v>
      </c>
      <c r="G306" s="1">
        <v>62.495353560455897</v>
      </c>
      <c r="H306" s="1">
        <v>65</v>
      </c>
      <c r="I306" s="6">
        <f t="shared" si="26"/>
        <v>1.4339679860384695E-2</v>
      </c>
      <c r="J306" s="1">
        <f t="shared" si="27"/>
        <v>0.12401641622987747</v>
      </c>
      <c r="K306" s="6">
        <f t="shared" si="28"/>
        <v>8.4472995218549729E-2</v>
      </c>
      <c r="L306" s="1">
        <f t="shared" si="29"/>
        <v>0.22862820025593628</v>
      </c>
    </row>
    <row r="307" spans="1:12" x14ac:dyDescent="0.25">
      <c r="A307" s="3">
        <v>41695</v>
      </c>
      <c r="B307" s="1">
        <f t="shared" si="24"/>
        <v>78</v>
      </c>
      <c r="C307" s="1">
        <v>206.78323120901214</v>
      </c>
      <c r="D307" s="1">
        <f t="shared" si="25"/>
        <v>128.78323120901214</v>
      </c>
      <c r="E307" s="2">
        <v>2</v>
      </c>
      <c r="F307" s="1">
        <v>103.39161560450607</v>
      </c>
      <c r="G307" s="1">
        <v>64.391615604506072</v>
      </c>
      <c r="H307" s="1">
        <v>39</v>
      </c>
      <c r="I307" s="6">
        <f t="shared" si="26"/>
        <v>8.9951903057143553E-2</v>
      </c>
      <c r="J307" s="1">
        <f t="shared" si="27"/>
        <v>0.18351620489174886</v>
      </c>
      <c r="K307" s="6">
        <f t="shared" si="28"/>
        <v>-0.37664326736255466</v>
      </c>
      <c r="L307" s="1">
        <f t="shared" si="29"/>
        <v>-0.15543602796323405</v>
      </c>
    </row>
    <row r="308" spans="1:12" x14ac:dyDescent="0.25">
      <c r="A308" s="3">
        <v>41692</v>
      </c>
      <c r="B308" s="1">
        <f t="shared" si="24"/>
        <v>923</v>
      </c>
      <c r="C308" s="1">
        <v>1705.3344964193382</v>
      </c>
      <c r="D308" s="1">
        <f t="shared" si="25"/>
        <v>782.33449641933794</v>
      </c>
      <c r="E308" s="2">
        <v>13</v>
      </c>
      <c r="F308" s="1">
        <v>131.1795766476414</v>
      </c>
      <c r="G308" s="1">
        <v>60.179576647641383</v>
      </c>
      <c r="H308" s="1">
        <v>71</v>
      </c>
      <c r="I308" s="6">
        <f t="shared" si="26"/>
        <v>-7.8000427539349229E-2</v>
      </c>
      <c r="J308" s="1">
        <f t="shared" si="27"/>
        <v>5.1353338184922076E-2</v>
      </c>
      <c r="K308" s="6">
        <f t="shared" si="28"/>
        <v>0.15495397968588406</v>
      </c>
      <c r="L308" s="1">
        <f t="shared" si="29"/>
        <v>0.28733188759078271</v>
      </c>
    </row>
    <row r="309" spans="1:12" x14ac:dyDescent="0.25">
      <c r="A309" s="3">
        <v>41688</v>
      </c>
      <c r="B309" s="1">
        <f t="shared" si="24"/>
        <v>429</v>
      </c>
      <c r="C309" s="1">
        <v>833.33375287905346</v>
      </c>
      <c r="D309" s="1">
        <f t="shared" si="25"/>
        <v>404.33375287905358</v>
      </c>
      <c r="E309" s="2">
        <v>13</v>
      </c>
      <c r="F309" s="1">
        <v>64.102596375311805</v>
      </c>
      <c r="G309" s="1">
        <v>31.102596375311812</v>
      </c>
      <c r="H309" s="1">
        <v>33</v>
      </c>
      <c r="I309" s="6">
        <f t="shared" si="26"/>
        <v>-1.2374262195270747</v>
      </c>
      <c r="J309" s="1">
        <f t="shared" si="27"/>
        <v>-0.86100694796719346</v>
      </c>
      <c r="K309" s="6">
        <f t="shared" si="28"/>
        <v>-1.1282613666196952</v>
      </c>
      <c r="L309" s="1">
        <f t="shared" si="29"/>
        <v>-0.78145954661105055</v>
      </c>
    </row>
    <row r="310" spans="1:12" x14ac:dyDescent="0.25">
      <c r="A310" s="3">
        <v>41680</v>
      </c>
      <c r="B310" s="1">
        <f t="shared" si="24"/>
        <v>4602</v>
      </c>
      <c r="C310" s="1">
        <v>10054.112327627679</v>
      </c>
      <c r="D310" s="1">
        <f t="shared" si="25"/>
        <v>5452.1123276276776</v>
      </c>
      <c r="E310" s="2">
        <v>59</v>
      </c>
      <c r="F310" s="1">
        <v>170.4086835191132</v>
      </c>
      <c r="G310" s="1">
        <v>92.408683519113183</v>
      </c>
      <c r="H310" s="1">
        <v>78</v>
      </c>
      <c r="I310" s="6">
        <f t="shared" si="26"/>
        <v>1.2071143749449003</v>
      </c>
      <c r="J310" s="1">
        <f t="shared" si="27"/>
        <v>1.0626191880869933</v>
      </c>
      <c r="K310" s="6">
        <f t="shared" si="28"/>
        <v>0.90542592632031138</v>
      </c>
      <c r="L310" s="1">
        <f t="shared" si="29"/>
        <v>0.91240077449345158</v>
      </c>
    </row>
    <row r="311" spans="1:12" x14ac:dyDescent="0.25">
      <c r="A311" s="3">
        <v>41679</v>
      </c>
      <c r="B311" s="1">
        <f t="shared" si="24"/>
        <v>1680</v>
      </c>
      <c r="C311" s="1">
        <v>3287.7560039338791</v>
      </c>
      <c r="D311" s="1">
        <f t="shared" si="25"/>
        <v>1607.7560039338791</v>
      </c>
      <c r="E311" s="2">
        <v>56</v>
      </c>
      <c r="F311" s="1">
        <v>58.709928641676413</v>
      </c>
      <c r="G311" s="1">
        <v>28.709928641676413</v>
      </c>
      <c r="H311" s="1">
        <v>30</v>
      </c>
      <c r="I311" s="6">
        <f t="shared" si="26"/>
        <v>-1.3328322987021404</v>
      </c>
      <c r="J311" s="1">
        <f t="shared" si="27"/>
        <v>-0.93608266070218826</v>
      </c>
      <c r="K311" s="6">
        <f t="shared" si="28"/>
        <v>-1.2314257303885048</v>
      </c>
      <c r="L311" s="1">
        <f t="shared" si="29"/>
        <v>-0.86738525551753387</v>
      </c>
    </row>
    <row r="312" spans="1:12" x14ac:dyDescent="0.25">
      <c r="A312" s="3">
        <v>41665</v>
      </c>
      <c r="B312" s="1">
        <f t="shared" si="24"/>
        <v>689</v>
      </c>
      <c r="C312" s="1">
        <v>1582.0396460556865</v>
      </c>
      <c r="D312" s="1">
        <f t="shared" si="25"/>
        <v>893.03964605568638</v>
      </c>
      <c r="E312" s="2">
        <v>13</v>
      </c>
      <c r="F312" s="1">
        <v>121.69535738889896</v>
      </c>
      <c r="G312" s="1">
        <v>68.695357388898955</v>
      </c>
      <c r="H312" s="1">
        <v>53</v>
      </c>
      <c r="I312" s="6">
        <f t="shared" si="26"/>
        <v>0.26156082462142577</v>
      </c>
      <c r="J312" s="1">
        <f t="shared" si="27"/>
        <v>0.31855646867285853</v>
      </c>
      <c r="K312" s="6">
        <f t="shared" si="28"/>
        <v>-2.6483760223312249E-2</v>
      </c>
      <c r="L312" s="1">
        <f t="shared" si="29"/>
        <v>0.13621219999182371</v>
      </c>
    </row>
    <row r="313" spans="1:12" x14ac:dyDescent="0.25">
      <c r="A313" s="3">
        <v>41656</v>
      </c>
      <c r="B313" s="1">
        <f t="shared" si="24"/>
        <v>3450</v>
      </c>
      <c r="C313" s="1">
        <v>8996.6091805985852</v>
      </c>
      <c r="D313" s="1">
        <f t="shared" si="25"/>
        <v>5546.6091805985852</v>
      </c>
      <c r="E313" s="2">
        <v>75</v>
      </c>
      <c r="F313" s="1">
        <v>119.95478907464781</v>
      </c>
      <c r="G313" s="1">
        <v>73.954789074647806</v>
      </c>
      <c r="H313" s="1">
        <v>46</v>
      </c>
      <c r="I313" s="6">
        <f t="shared" si="26"/>
        <v>0.47127726321108365</v>
      </c>
      <c r="J313" s="1">
        <f t="shared" si="27"/>
        <v>0.48358380482900337</v>
      </c>
      <c r="K313" s="6">
        <f t="shared" si="28"/>
        <v>-5.9781680956659186E-2</v>
      </c>
      <c r="L313" s="1">
        <f t="shared" si="29"/>
        <v>0.10847832620439322</v>
      </c>
    </row>
    <row r="314" spans="1:12" x14ac:dyDescent="0.25">
      <c r="A314" s="3">
        <v>41651</v>
      </c>
      <c r="B314" s="1">
        <f t="shared" si="24"/>
        <v>5047</v>
      </c>
      <c r="C314" s="1">
        <v>12203.593799417858</v>
      </c>
      <c r="D314" s="1">
        <f t="shared" si="25"/>
        <v>7156.5937994178585</v>
      </c>
      <c r="E314" s="2">
        <v>103</v>
      </c>
      <c r="F314" s="1">
        <v>118.48149319823163</v>
      </c>
      <c r="G314" s="1">
        <v>69.481493198231632</v>
      </c>
      <c r="H314" s="1">
        <v>49</v>
      </c>
      <c r="I314" s="6">
        <f t="shared" si="26"/>
        <v>0.29290748183303539</v>
      </c>
      <c r="J314" s="1">
        <f t="shared" si="27"/>
        <v>0.34322337305012396</v>
      </c>
      <c r="K314" s="6">
        <f t="shared" si="28"/>
        <v>-8.7966549604448468E-2</v>
      </c>
      <c r="L314" s="1">
        <f t="shared" si="29"/>
        <v>8.5003118966895413E-2</v>
      </c>
    </row>
    <row r="315" spans="1:12" x14ac:dyDescent="0.25">
      <c r="A315" s="3">
        <v>41633</v>
      </c>
      <c r="B315" s="1">
        <f t="shared" si="24"/>
        <v>810</v>
      </c>
      <c r="C315" s="1">
        <v>1594.1263084694472</v>
      </c>
      <c r="D315" s="1">
        <f t="shared" si="25"/>
        <v>784.12630846944717</v>
      </c>
      <c r="E315" s="2">
        <v>15</v>
      </c>
      <c r="F315" s="1">
        <v>106.27508723129648</v>
      </c>
      <c r="G315" s="1">
        <v>52.275087231296482</v>
      </c>
      <c r="H315" s="1">
        <v>54</v>
      </c>
      <c r="I315" s="6">
        <f t="shared" si="26"/>
        <v>-0.39318683327920606</v>
      </c>
      <c r="J315" s="1">
        <f t="shared" si="27"/>
        <v>-0.19666905472654847</v>
      </c>
      <c r="K315" s="6">
        <f t="shared" si="28"/>
        <v>-0.32148104886208156</v>
      </c>
      <c r="L315" s="1">
        <f t="shared" si="29"/>
        <v>-0.10949135718399619</v>
      </c>
    </row>
    <row r="316" spans="1:12" x14ac:dyDescent="0.25">
      <c r="A316" s="3">
        <v>41623</v>
      </c>
      <c r="B316" s="1">
        <f t="shared" si="24"/>
        <v>288</v>
      </c>
      <c r="C316" s="1">
        <v>530.32456391929009</v>
      </c>
      <c r="D316" s="1">
        <f t="shared" si="25"/>
        <v>242.32456391929003</v>
      </c>
      <c r="E316" s="2">
        <v>6</v>
      </c>
      <c r="F316" s="1">
        <v>88.387427319881681</v>
      </c>
      <c r="G316" s="1">
        <v>40.387427319881674</v>
      </c>
      <c r="H316" s="1">
        <v>48</v>
      </c>
      <c r="I316" s="6">
        <f t="shared" si="26"/>
        <v>-0.86719958765002314</v>
      </c>
      <c r="J316" s="1">
        <f t="shared" si="27"/>
        <v>-0.56967301514050606</v>
      </c>
      <c r="K316" s="6">
        <f t="shared" si="28"/>
        <v>-0.66368070684655667</v>
      </c>
      <c r="L316" s="1">
        <f t="shared" si="29"/>
        <v>-0.39450981826582637</v>
      </c>
    </row>
    <row r="317" spans="1:12" x14ac:dyDescent="0.25">
      <c r="A317" s="3">
        <v>41618</v>
      </c>
      <c r="B317" s="1">
        <f t="shared" si="24"/>
        <v>2562</v>
      </c>
      <c r="C317" s="1">
        <v>4426.5811789795443</v>
      </c>
      <c r="D317" s="1">
        <f t="shared" si="25"/>
        <v>1864.5811789795441</v>
      </c>
      <c r="E317" s="2">
        <v>21</v>
      </c>
      <c r="F317" s="1">
        <v>210.78957995140686</v>
      </c>
      <c r="G317" s="1">
        <v>88.789579951406864</v>
      </c>
      <c r="H317" s="1">
        <v>122</v>
      </c>
      <c r="I317" s="6">
        <f t="shared" si="26"/>
        <v>1.0628049596970384</v>
      </c>
      <c r="J317" s="1">
        <f t="shared" si="27"/>
        <v>0.94906109726320587</v>
      </c>
      <c r="K317" s="6">
        <f t="shared" si="28"/>
        <v>1.6779321689853679</v>
      </c>
      <c r="L317" s="1">
        <f t="shared" si="29"/>
        <v>1.5558220501233948</v>
      </c>
    </row>
    <row r="318" spans="1:12" x14ac:dyDescent="0.25">
      <c r="A318" s="3">
        <v>41609</v>
      </c>
      <c r="B318" s="1">
        <f t="shared" si="24"/>
        <v>518</v>
      </c>
      <c r="C318" s="1">
        <v>1053.7420842967149</v>
      </c>
      <c r="D318" s="1">
        <f t="shared" si="25"/>
        <v>535.74208429671489</v>
      </c>
      <c r="E318" s="2">
        <v>7</v>
      </c>
      <c r="F318" s="1">
        <v>150.53458347095926</v>
      </c>
      <c r="G318" s="1">
        <v>76.534583470959276</v>
      </c>
      <c r="H318" s="1">
        <v>74</v>
      </c>
      <c r="I318" s="6">
        <f t="shared" si="26"/>
        <v>0.57414489709517424</v>
      </c>
      <c r="J318" s="1">
        <f t="shared" si="27"/>
        <v>0.56453106728844804</v>
      </c>
      <c r="K318" s="6">
        <f t="shared" si="28"/>
        <v>0.52522469972568031</v>
      </c>
      <c r="L318" s="1">
        <f t="shared" si="29"/>
        <v>0.59573076627753974</v>
      </c>
    </row>
    <row r="319" spans="1:12" x14ac:dyDescent="0.25">
      <c r="A319" s="3">
        <v>41589</v>
      </c>
      <c r="B319" s="1">
        <f t="shared" si="24"/>
        <v>480</v>
      </c>
      <c r="C319" s="1">
        <v>1140.2350348468988</v>
      </c>
      <c r="D319" s="1">
        <f t="shared" si="25"/>
        <v>660.23503484689877</v>
      </c>
      <c r="E319" s="2">
        <v>8</v>
      </c>
      <c r="F319" s="1">
        <v>142.52937935586235</v>
      </c>
      <c r="G319" s="1">
        <v>82.529379355862346</v>
      </c>
      <c r="H319" s="1">
        <v>60</v>
      </c>
      <c r="I319" s="6">
        <f t="shared" si="26"/>
        <v>0.81318350776111059</v>
      </c>
      <c r="J319" s="1">
        <f t="shared" si="27"/>
        <v>0.7526322262722277</v>
      </c>
      <c r="K319" s="6">
        <f t="shared" si="28"/>
        <v>0.37208124083567895</v>
      </c>
      <c r="L319" s="1">
        <f t="shared" si="29"/>
        <v>0.46817741559722736</v>
      </c>
    </row>
    <row r="320" spans="1:12" x14ac:dyDescent="0.25">
      <c r="A320" s="3">
        <v>41587</v>
      </c>
      <c r="B320" s="1">
        <f t="shared" si="24"/>
        <v>1820</v>
      </c>
      <c r="C320" s="1">
        <v>3467.7310399336766</v>
      </c>
      <c r="D320" s="1">
        <f t="shared" si="25"/>
        <v>1647.7310399336768</v>
      </c>
      <c r="E320" s="2">
        <v>14</v>
      </c>
      <c r="F320" s="1">
        <v>247.69507428097691</v>
      </c>
      <c r="G320" s="1">
        <v>117.69507428097691</v>
      </c>
      <c r="H320" s="1">
        <v>130</v>
      </c>
      <c r="I320" s="6">
        <f t="shared" si="26"/>
        <v>2.2153928605717059</v>
      </c>
      <c r="J320" s="1">
        <f t="shared" si="27"/>
        <v>1.8560405989479591</v>
      </c>
      <c r="K320" s="6">
        <f t="shared" si="28"/>
        <v>2.3839522744586263</v>
      </c>
      <c r="L320" s="1">
        <f t="shared" si="29"/>
        <v>2.143866950986355</v>
      </c>
    </row>
    <row r="321" spans="1:12" x14ac:dyDescent="0.25">
      <c r="A321" s="3">
        <v>41583</v>
      </c>
      <c r="B321" s="1">
        <f t="shared" si="24"/>
        <v>3634</v>
      </c>
      <c r="C321" s="1">
        <v>6121.4239211922595</v>
      </c>
      <c r="D321" s="1">
        <f t="shared" si="25"/>
        <v>2487.4239211922595</v>
      </c>
      <c r="E321" s="2">
        <v>23</v>
      </c>
      <c r="F321" s="1">
        <v>266.14886613879389</v>
      </c>
      <c r="G321" s="1">
        <v>108.14886613879389</v>
      </c>
      <c r="H321" s="1">
        <v>158</v>
      </c>
      <c r="I321" s="6">
        <f t="shared" si="26"/>
        <v>1.8347439819031415</v>
      </c>
      <c r="J321" s="1">
        <f t="shared" si="27"/>
        <v>1.5565053270353519</v>
      </c>
      <c r="K321" s="6">
        <f t="shared" si="28"/>
        <v>2.736982312682458</v>
      </c>
      <c r="L321" s="1">
        <f t="shared" si="29"/>
        <v>2.4379060473514982</v>
      </c>
    </row>
    <row r="322" spans="1:12" x14ac:dyDescent="0.25">
      <c r="A322" s="3">
        <v>41580</v>
      </c>
      <c r="B322" s="1">
        <f t="shared" ref="B322:B385" si="30">+E322*H322</f>
        <v>80</v>
      </c>
      <c r="C322" s="1">
        <v>202.70872236556107</v>
      </c>
      <c r="D322" s="1">
        <f t="shared" ref="D322:D385" si="31">+E322*G322</f>
        <v>122.70872236556106</v>
      </c>
      <c r="E322" s="2">
        <v>4</v>
      </c>
      <c r="F322" s="1">
        <v>50.677180591390268</v>
      </c>
      <c r="G322" s="1">
        <v>30.677180591390265</v>
      </c>
      <c r="H322" s="1">
        <v>20</v>
      </c>
      <c r="I322" s="6">
        <f t="shared" si="26"/>
        <v>-1.2543893989073867</v>
      </c>
      <c r="J322" s="1">
        <f t="shared" si="27"/>
        <v>-0.87435539277532381</v>
      </c>
      <c r="K322" s="6">
        <f t="shared" si="28"/>
        <v>-1.385096118191957</v>
      </c>
      <c r="L322" s="1">
        <f t="shared" si="29"/>
        <v>-0.99537748585335462</v>
      </c>
    </row>
    <row r="323" spans="1:12" x14ac:dyDescent="0.25">
      <c r="A323" s="3">
        <v>41574</v>
      </c>
      <c r="B323" s="1">
        <f t="shared" si="30"/>
        <v>2703</v>
      </c>
      <c r="C323" s="1">
        <v>5112.925784779166</v>
      </c>
      <c r="D323" s="1">
        <f t="shared" si="31"/>
        <v>2409.9257847791664</v>
      </c>
      <c r="E323" s="2">
        <v>53</v>
      </c>
      <c r="F323" s="1">
        <v>96.470297826022005</v>
      </c>
      <c r="G323" s="1">
        <v>45.470297826022005</v>
      </c>
      <c r="H323" s="1">
        <v>51</v>
      </c>
      <c r="I323" s="6">
        <f t="shared" ref="I323:I386" si="32">(G323-AVERAGE($G$2:$G$501))/_xlfn.STDEV.S($G$2:$G$501)</f>
        <v>-0.66452341196196718</v>
      </c>
      <c r="J323" s="1">
        <f t="shared" ref="J323:J386" si="33">(G323-MEDIAN($G$2:$G$502))/(PERCENTILE($G$2:$G$502,0.75)-PERCENTILE($G$2:$G$502,0.25))</f>
        <v>-0.41018571123125447</v>
      </c>
      <c r="K323" s="6">
        <f t="shared" ref="K323:K386" si="34">(F323-AVERAGE($F$2:$F$501))/_xlfn.STDEV.S($F$2:$F$501)</f>
        <v>-0.50905145201770352</v>
      </c>
      <c r="L323" s="1">
        <f t="shared" ref="L323:L386" si="35">(F323-MEDIAN($F$2:$F$502))/(PERCENTILE($F$2:$F$502,0.75)-PERCENTILE($F$2:$F$502,0.25))</f>
        <v>-0.26571894655914174</v>
      </c>
    </row>
    <row r="324" spans="1:12" x14ac:dyDescent="0.25">
      <c r="A324" s="3">
        <v>41564</v>
      </c>
      <c r="B324" s="1">
        <f t="shared" si="30"/>
        <v>3600</v>
      </c>
      <c r="C324" s="1">
        <v>10030.42851753041</v>
      </c>
      <c r="D324" s="1">
        <f t="shared" si="31"/>
        <v>6430.4285175304103</v>
      </c>
      <c r="E324" s="2">
        <v>80</v>
      </c>
      <c r="F324" s="1">
        <v>125.38035646913013</v>
      </c>
      <c r="G324" s="1">
        <v>80.380356469130135</v>
      </c>
      <c r="H324" s="1">
        <v>45</v>
      </c>
      <c r="I324" s="6">
        <f t="shared" si="32"/>
        <v>0.72749260935580584</v>
      </c>
      <c r="J324" s="1">
        <f t="shared" si="33"/>
        <v>0.68520145741235805</v>
      </c>
      <c r="K324" s="6">
        <f t="shared" si="34"/>
        <v>4.4012069369440639E-2</v>
      </c>
      <c r="L324" s="1">
        <f t="shared" si="35"/>
        <v>0.19492825184750653</v>
      </c>
    </row>
    <row r="325" spans="1:12" x14ac:dyDescent="0.25">
      <c r="A325" s="3">
        <v>41563</v>
      </c>
      <c r="B325" s="1">
        <f t="shared" si="30"/>
        <v>4669</v>
      </c>
      <c r="C325" s="1">
        <v>9110.5976892723447</v>
      </c>
      <c r="D325" s="1">
        <f t="shared" si="31"/>
        <v>4441.5976892723438</v>
      </c>
      <c r="E325" s="2">
        <v>29</v>
      </c>
      <c r="F325" s="1">
        <v>314.15854100939117</v>
      </c>
      <c r="G325" s="1">
        <v>153.15854100939117</v>
      </c>
      <c r="H325" s="1">
        <v>161</v>
      </c>
      <c r="I325" s="6">
        <f t="shared" si="32"/>
        <v>3.6294756715488257</v>
      </c>
      <c r="J325" s="1">
        <f t="shared" si="33"/>
        <v>2.9687922791171815</v>
      </c>
      <c r="K325" s="6">
        <f t="shared" si="34"/>
        <v>3.6554308074562396</v>
      </c>
      <c r="L325" s="1">
        <f t="shared" si="35"/>
        <v>3.2028827808326952</v>
      </c>
    </row>
    <row r="326" spans="1:12" x14ac:dyDescent="0.25">
      <c r="A326" s="3">
        <v>41556</v>
      </c>
      <c r="B326" s="1">
        <f t="shared" si="30"/>
        <v>418</v>
      </c>
      <c r="C326" s="1">
        <v>1160.1656380677248</v>
      </c>
      <c r="D326" s="1">
        <f t="shared" si="31"/>
        <v>742.1656380677249</v>
      </c>
      <c r="E326" s="2">
        <v>11</v>
      </c>
      <c r="F326" s="1">
        <v>105.46960346070226</v>
      </c>
      <c r="G326" s="1">
        <v>67.46960346070226</v>
      </c>
      <c r="H326" s="1">
        <v>38</v>
      </c>
      <c r="I326" s="6">
        <f t="shared" si="32"/>
        <v>0.21268467910455641</v>
      </c>
      <c r="J326" s="1">
        <f t="shared" si="33"/>
        <v>0.28009548702319775</v>
      </c>
      <c r="K326" s="6">
        <f t="shared" si="34"/>
        <v>-0.33689034623101771</v>
      </c>
      <c r="L326" s="1">
        <f t="shared" si="35"/>
        <v>-0.12232577744120673</v>
      </c>
    </row>
    <row r="327" spans="1:12" x14ac:dyDescent="0.25">
      <c r="A327" s="3">
        <v>41552</v>
      </c>
      <c r="B327" s="1">
        <f t="shared" si="30"/>
        <v>2850</v>
      </c>
      <c r="C327" s="1">
        <v>4951.2883881218731</v>
      </c>
      <c r="D327" s="1">
        <f t="shared" si="31"/>
        <v>2101.2883881218727</v>
      </c>
      <c r="E327" s="2">
        <v>57</v>
      </c>
      <c r="F327" s="1">
        <v>86.864708563541626</v>
      </c>
      <c r="G327" s="1">
        <v>36.864708563541626</v>
      </c>
      <c r="H327" s="1">
        <v>50</v>
      </c>
      <c r="I327" s="6">
        <f t="shared" si="32"/>
        <v>-1.0076657208511497</v>
      </c>
      <c r="J327" s="1">
        <f t="shared" si="33"/>
        <v>-0.68020680037082271</v>
      </c>
      <c r="K327" s="6">
        <f t="shared" si="34"/>
        <v>-0.6928110592910145</v>
      </c>
      <c r="L327" s="1">
        <f t="shared" si="35"/>
        <v>-0.41877251996866494</v>
      </c>
    </row>
    <row r="328" spans="1:12" x14ac:dyDescent="0.25">
      <c r="A328" s="3">
        <v>41548</v>
      </c>
      <c r="B328" s="1">
        <f t="shared" si="30"/>
        <v>175</v>
      </c>
      <c r="C328" s="1">
        <v>421.13175030135858</v>
      </c>
      <c r="D328" s="1">
        <f t="shared" si="31"/>
        <v>246.13175030135858</v>
      </c>
      <c r="E328" s="2">
        <v>5</v>
      </c>
      <c r="F328" s="1">
        <v>84.226350060271713</v>
      </c>
      <c r="G328" s="1">
        <v>49.226350060271713</v>
      </c>
      <c r="H328" s="1">
        <v>35</v>
      </c>
      <c r="I328" s="6">
        <f t="shared" si="32"/>
        <v>-0.51475325716406894</v>
      </c>
      <c r="J328" s="1">
        <f t="shared" si="33"/>
        <v>-0.29233052616227878</v>
      </c>
      <c r="K328" s="6">
        <f t="shared" si="34"/>
        <v>-0.74328414419594702</v>
      </c>
      <c r="L328" s="1">
        <f t="shared" si="35"/>
        <v>-0.46081160636164153</v>
      </c>
    </row>
    <row r="329" spans="1:12" x14ac:dyDescent="0.25">
      <c r="A329" s="3">
        <v>41539</v>
      </c>
      <c r="B329" s="1">
        <f t="shared" si="30"/>
        <v>2880</v>
      </c>
      <c r="C329" s="1">
        <v>8253.6309269013291</v>
      </c>
      <c r="D329" s="1">
        <f t="shared" si="31"/>
        <v>5373.63092690133</v>
      </c>
      <c r="E329" s="2">
        <v>120</v>
      </c>
      <c r="F329" s="1">
        <v>68.780257724177744</v>
      </c>
      <c r="G329" s="1">
        <v>44.780257724177751</v>
      </c>
      <c r="H329" s="1">
        <v>24</v>
      </c>
      <c r="I329" s="6">
        <f t="shared" si="32"/>
        <v>-0.69203831495708368</v>
      </c>
      <c r="J329" s="1">
        <f t="shared" si="33"/>
        <v>-0.43183738134550526</v>
      </c>
      <c r="K329" s="6">
        <f t="shared" si="34"/>
        <v>-1.0387754237028324</v>
      </c>
      <c r="L329" s="1">
        <f t="shared" si="35"/>
        <v>-0.70692660905978655</v>
      </c>
    </row>
    <row r="330" spans="1:12" x14ac:dyDescent="0.25">
      <c r="A330" s="3">
        <v>41535</v>
      </c>
      <c r="B330" s="1">
        <f t="shared" si="30"/>
        <v>189</v>
      </c>
      <c r="C330" s="1">
        <v>526.59928801193723</v>
      </c>
      <c r="D330" s="1">
        <f t="shared" si="31"/>
        <v>337.59928801193718</v>
      </c>
      <c r="E330" s="2">
        <v>7</v>
      </c>
      <c r="F330" s="1">
        <v>75.228469715991025</v>
      </c>
      <c r="G330" s="1">
        <v>48.228469715991025</v>
      </c>
      <c r="H330" s="1">
        <v>27</v>
      </c>
      <c r="I330" s="6">
        <f t="shared" si="32"/>
        <v>-0.55454309082769804</v>
      </c>
      <c r="J330" s="1">
        <f t="shared" si="33"/>
        <v>-0.32364142529714823</v>
      </c>
      <c r="K330" s="6">
        <f t="shared" si="34"/>
        <v>-0.91541798348216963</v>
      </c>
      <c r="L330" s="1">
        <f t="shared" si="35"/>
        <v>-0.60418206518218209</v>
      </c>
    </row>
    <row r="331" spans="1:12" x14ac:dyDescent="0.25">
      <c r="A331" s="3">
        <v>41499</v>
      </c>
      <c r="B331" s="1">
        <f t="shared" si="30"/>
        <v>8125</v>
      </c>
      <c r="C331" s="1">
        <v>13574.489785741507</v>
      </c>
      <c r="D331" s="1">
        <f t="shared" si="31"/>
        <v>5449.4897857415062</v>
      </c>
      <c r="E331" s="2">
        <v>65</v>
      </c>
      <c r="F331" s="1">
        <v>208.83830439602318</v>
      </c>
      <c r="G331" s="1">
        <v>83.838304396023176</v>
      </c>
      <c r="H331" s="1">
        <v>125</v>
      </c>
      <c r="I331" s="6">
        <f t="shared" si="32"/>
        <v>0.86537604760285014</v>
      </c>
      <c r="J331" s="1">
        <f t="shared" si="33"/>
        <v>0.79370290187224002</v>
      </c>
      <c r="K331" s="6">
        <f t="shared" si="34"/>
        <v>1.6406033159664404</v>
      </c>
      <c r="L331" s="1">
        <f t="shared" si="35"/>
        <v>1.5247308085246458</v>
      </c>
    </row>
    <row r="332" spans="1:12" x14ac:dyDescent="0.25">
      <c r="A332" s="3">
        <v>41489</v>
      </c>
      <c r="B332" s="1">
        <f t="shared" si="30"/>
        <v>1760</v>
      </c>
      <c r="C332" s="1">
        <v>3567.6727337927691</v>
      </c>
      <c r="D332" s="1">
        <f t="shared" si="31"/>
        <v>1807.6727337927693</v>
      </c>
      <c r="E332" s="2">
        <v>22</v>
      </c>
      <c r="F332" s="1">
        <v>162.16694244512587</v>
      </c>
      <c r="G332" s="1">
        <v>82.166942445125883</v>
      </c>
      <c r="H332" s="1">
        <v>80</v>
      </c>
      <c r="I332" s="6">
        <f t="shared" si="32"/>
        <v>0.79873157023731967</v>
      </c>
      <c r="J332" s="1">
        <f t="shared" si="33"/>
        <v>0.74125989529099834</v>
      </c>
      <c r="K332" s="6">
        <f t="shared" si="34"/>
        <v>0.74775740004677071</v>
      </c>
      <c r="L332" s="1">
        <f t="shared" si="35"/>
        <v>0.78107849035030541</v>
      </c>
    </row>
    <row r="333" spans="1:12" x14ac:dyDescent="0.25">
      <c r="A333" s="3">
        <v>41485</v>
      </c>
      <c r="B333" s="1">
        <f t="shared" si="30"/>
        <v>348</v>
      </c>
      <c r="C333" s="1">
        <v>887.175532830169</v>
      </c>
      <c r="D333" s="1">
        <f t="shared" si="31"/>
        <v>539.17553283016912</v>
      </c>
      <c r="E333" s="2">
        <v>6</v>
      </c>
      <c r="F333" s="1">
        <v>147.86258880502817</v>
      </c>
      <c r="G333" s="1">
        <v>89.862588805028182</v>
      </c>
      <c r="H333" s="1">
        <v>58</v>
      </c>
      <c r="I333" s="6">
        <f t="shared" si="32"/>
        <v>1.1055904941049435</v>
      </c>
      <c r="J333" s="1">
        <f t="shared" si="33"/>
        <v>0.98272933432100351</v>
      </c>
      <c r="K333" s="6">
        <f t="shared" si="34"/>
        <v>0.4741081386245562</v>
      </c>
      <c r="L333" s="1">
        <f t="shared" si="35"/>
        <v>0.5531557278726249</v>
      </c>
    </row>
    <row r="334" spans="1:12" x14ac:dyDescent="0.25">
      <c r="A334" s="3">
        <v>41472</v>
      </c>
      <c r="B334" s="1">
        <f t="shared" si="30"/>
        <v>663</v>
      </c>
      <c r="C334" s="1">
        <v>1267.5386515175912</v>
      </c>
      <c r="D334" s="1">
        <f t="shared" si="31"/>
        <v>604.53865151759135</v>
      </c>
      <c r="E334" s="2">
        <v>13</v>
      </c>
      <c r="F334" s="1">
        <v>97.502973193660864</v>
      </c>
      <c r="G334" s="1">
        <v>46.502973193660871</v>
      </c>
      <c r="H334" s="1">
        <v>51</v>
      </c>
      <c r="I334" s="6">
        <f t="shared" si="32"/>
        <v>-0.62334614923464393</v>
      </c>
      <c r="J334" s="1">
        <f t="shared" si="33"/>
        <v>-0.3777830344368614</v>
      </c>
      <c r="K334" s="6">
        <f t="shared" si="34"/>
        <v>-0.48929586859510593</v>
      </c>
      <c r="L334" s="1">
        <f t="shared" si="35"/>
        <v>-0.24926449999994055</v>
      </c>
    </row>
    <row r="335" spans="1:12" x14ac:dyDescent="0.25">
      <c r="A335" s="3">
        <v>41451</v>
      </c>
      <c r="B335" s="1">
        <f t="shared" si="30"/>
        <v>549</v>
      </c>
      <c r="C335" s="1">
        <v>993.05183295971665</v>
      </c>
      <c r="D335" s="1">
        <f t="shared" si="31"/>
        <v>444.05183295971659</v>
      </c>
      <c r="E335" s="2">
        <v>9</v>
      </c>
      <c r="F335" s="1">
        <v>110.33909255107963</v>
      </c>
      <c r="G335" s="1">
        <v>49.339092551079624</v>
      </c>
      <c r="H335" s="1">
        <v>61</v>
      </c>
      <c r="I335" s="6">
        <f t="shared" si="32"/>
        <v>-0.51025772322377094</v>
      </c>
      <c r="J335" s="1">
        <f t="shared" si="33"/>
        <v>-0.28879295897986768</v>
      </c>
      <c r="K335" s="6">
        <f t="shared" si="34"/>
        <v>-0.243734645063929</v>
      </c>
      <c r="L335" s="1">
        <f t="shared" si="35"/>
        <v>-4.4736294318909062E-2</v>
      </c>
    </row>
    <row r="336" spans="1:12" x14ac:dyDescent="0.25">
      <c r="A336" s="3">
        <v>41449</v>
      </c>
      <c r="B336" s="1">
        <f t="shared" si="30"/>
        <v>336</v>
      </c>
      <c r="C336" s="1">
        <v>727.93266824892726</v>
      </c>
      <c r="D336" s="1">
        <f t="shared" si="31"/>
        <v>391.93266824892726</v>
      </c>
      <c r="E336" s="2">
        <v>7</v>
      </c>
      <c r="F336" s="1">
        <v>103.99038117841818</v>
      </c>
      <c r="G336" s="1">
        <v>55.990381178418176</v>
      </c>
      <c r="H336" s="1">
        <v>48</v>
      </c>
      <c r="I336" s="6">
        <f t="shared" si="32"/>
        <v>-0.24504188883296293</v>
      </c>
      <c r="J336" s="1">
        <f t="shared" si="33"/>
        <v>-8.0092759080026762E-2</v>
      </c>
      <c r="K336" s="6">
        <f t="shared" si="34"/>
        <v>-0.36518858991339059</v>
      </c>
      <c r="L336" s="1">
        <f t="shared" si="35"/>
        <v>-0.14589541486625188</v>
      </c>
    </row>
    <row r="337" spans="1:12" x14ac:dyDescent="0.25">
      <c r="A337" s="3">
        <v>41448</v>
      </c>
      <c r="B337" s="1">
        <f t="shared" si="30"/>
        <v>4544</v>
      </c>
      <c r="C337" s="1">
        <v>7738.9008456158062</v>
      </c>
      <c r="D337" s="1">
        <f t="shared" si="31"/>
        <v>3194.9008456158062</v>
      </c>
      <c r="E337" s="2">
        <v>64</v>
      </c>
      <c r="F337" s="1">
        <v>120.92032571274697</v>
      </c>
      <c r="G337" s="1">
        <v>49.920325712746973</v>
      </c>
      <c r="H337" s="1">
        <v>71</v>
      </c>
      <c r="I337" s="6">
        <f t="shared" si="32"/>
        <v>-0.48708142663161785</v>
      </c>
      <c r="J337" s="1">
        <f t="shared" si="33"/>
        <v>-0.27055536866844998</v>
      </c>
      <c r="K337" s="6">
        <f t="shared" si="34"/>
        <v>-4.1310494173967177E-2</v>
      </c>
      <c r="L337" s="1">
        <f t="shared" si="35"/>
        <v>0.12386299742868989</v>
      </c>
    </row>
    <row r="338" spans="1:12" x14ac:dyDescent="0.25">
      <c r="A338" s="3">
        <v>41438</v>
      </c>
      <c r="B338" s="1">
        <f t="shared" si="30"/>
        <v>924</v>
      </c>
      <c r="C338" s="1">
        <v>1633.6014952389096</v>
      </c>
      <c r="D338" s="1">
        <f t="shared" si="31"/>
        <v>709.60149523890959</v>
      </c>
      <c r="E338" s="2">
        <v>14</v>
      </c>
      <c r="F338" s="1">
        <v>116.68582108849354</v>
      </c>
      <c r="G338" s="1">
        <v>50.68582108849354</v>
      </c>
      <c r="H338" s="1">
        <v>66</v>
      </c>
      <c r="I338" s="6">
        <f t="shared" si="32"/>
        <v>-0.45655779336656011</v>
      </c>
      <c r="J338" s="1">
        <f t="shared" si="33"/>
        <v>-0.24653610760615588</v>
      </c>
      <c r="K338" s="6">
        <f t="shared" si="34"/>
        <v>-0.12231863281978922</v>
      </c>
      <c r="L338" s="1">
        <f t="shared" si="35"/>
        <v>5.6391232120896334E-2</v>
      </c>
    </row>
    <row r="339" spans="1:12" x14ac:dyDescent="0.25">
      <c r="A339" s="3">
        <v>41436</v>
      </c>
      <c r="B339" s="1">
        <f t="shared" si="30"/>
        <v>459</v>
      </c>
      <c r="C339" s="1">
        <v>821.44679362768295</v>
      </c>
      <c r="D339" s="1">
        <f t="shared" si="31"/>
        <v>362.44679362768295</v>
      </c>
      <c r="E339" s="2">
        <v>17</v>
      </c>
      <c r="F339" s="1">
        <v>48.320399625157819</v>
      </c>
      <c r="G339" s="1">
        <v>21.320399625157819</v>
      </c>
      <c r="H339" s="1">
        <v>27</v>
      </c>
      <c r="I339" s="6">
        <f t="shared" si="32"/>
        <v>-1.6274849913872373</v>
      </c>
      <c r="J339" s="1">
        <f t="shared" si="33"/>
        <v>-1.1679469308188499</v>
      </c>
      <c r="K339" s="6">
        <f t="shared" si="34"/>
        <v>-1.4301824874869373</v>
      </c>
      <c r="L339" s="1">
        <f t="shared" si="35"/>
        <v>-1.0329299710542761</v>
      </c>
    </row>
    <row r="340" spans="1:12" x14ac:dyDescent="0.25">
      <c r="A340" s="3">
        <v>41432</v>
      </c>
      <c r="B340" s="1">
        <f t="shared" si="30"/>
        <v>98</v>
      </c>
      <c r="C340" s="1">
        <v>206.42070427201102</v>
      </c>
      <c r="D340" s="1">
        <f t="shared" si="31"/>
        <v>108.42070427201102</v>
      </c>
      <c r="E340" s="2">
        <v>2</v>
      </c>
      <c r="F340" s="1">
        <v>103.21035213600551</v>
      </c>
      <c r="G340" s="1">
        <v>54.210352136005511</v>
      </c>
      <c r="H340" s="1">
        <v>49</v>
      </c>
      <c r="I340" s="6">
        <f t="shared" si="32"/>
        <v>-0.31601939622648118</v>
      </c>
      <c r="J340" s="1">
        <f t="shared" si="33"/>
        <v>-0.13594545737552902</v>
      </c>
      <c r="K340" s="6">
        <f t="shared" si="34"/>
        <v>-0.38011092591784668</v>
      </c>
      <c r="L340" s="1">
        <f t="shared" si="35"/>
        <v>-0.15832424448223306</v>
      </c>
    </row>
    <row r="341" spans="1:12" x14ac:dyDescent="0.25">
      <c r="A341" s="3">
        <v>41415</v>
      </c>
      <c r="B341" s="1">
        <f t="shared" si="30"/>
        <v>2464</v>
      </c>
      <c r="C341" s="1">
        <v>5399.3142871177206</v>
      </c>
      <c r="D341" s="1">
        <f t="shared" si="31"/>
        <v>2935.3142871177206</v>
      </c>
      <c r="E341" s="2">
        <v>32</v>
      </c>
      <c r="F341" s="1">
        <v>168.72857147242877</v>
      </c>
      <c r="G341" s="1">
        <v>91.728571472428769</v>
      </c>
      <c r="H341" s="1">
        <v>77</v>
      </c>
      <c r="I341" s="6">
        <f t="shared" si="32"/>
        <v>1.1799953467314424</v>
      </c>
      <c r="J341" s="1">
        <f t="shared" si="33"/>
        <v>1.0412790346144891</v>
      </c>
      <c r="K341" s="6">
        <f t="shared" si="34"/>
        <v>0.87328456347026517</v>
      </c>
      <c r="L341" s="1">
        <f t="shared" si="35"/>
        <v>0.88563019900383932</v>
      </c>
    </row>
    <row r="342" spans="1:12" x14ac:dyDescent="0.25">
      <c r="A342" s="3">
        <v>41406</v>
      </c>
      <c r="B342" s="1">
        <f t="shared" si="30"/>
        <v>833</v>
      </c>
      <c r="C342" s="1">
        <v>1409.1210334127341</v>
      </c>
      <c r="D342" s="1">
        <f t="shared" si="31"/>
        <v>576.12103341273405</v>
      </c>
      <c r="E342" s="2">
        <v>17</v>
      </c>
      <c r="F342" s="1">
        <v>82.88947255369024</v>
      </c>
      <c r="G342" s="1">
        <v>33.88947255369024</v>
      </c>
      <c r="H342" s="1">
        <v>49</v>
      </c>
      <c r="I342" s="6">
        <f t="shared" si="32"/>
        <v>-1.126301333447931</v>
      </c>
      <c r="J342" s="1">
        <f t="shared" si="33"/>
        <v>-0.77356199585173957</v>
      </c>
      <c r="K342" s="6">
        <f t="shared" si="34"/>
        <v>-0.76885926289704565</v>
      </c>
      <c r="L342" s="1">
        <f t="shared" si="35"/>
        <v>-0.48211315007768751</v>
      </c>
    </row>
    <row r="343" spans="1:12" x14ac:dyDescent="0.25">
      <c r="A343" s="3">
        <v>41402</v>
      </c>
      <c r="B343" s="1">
        <f t="shared" si="30"/>
        <v>4720</v>
      </c>
      <c r="C343" s="1">
        <v>9224.22995646872</v>
      </c>
      <c r="D343" s="1">
        <f t="shared" si="31"/>
        <v>4504.22995646872</v>
      </c>
      <c r="E343" s="2">
        <v>59</v>
      </c>
      <c r="F343" s="1">
        <v>156.3428806181139</v>
      </c>
      <c r="G343" s="1">
        <v>76.342880618113895</v>
      </c>
      <c r="H343" s="1">
        <v>80</v>
      </c>
      <c r="I343" s="6">
        <f t="shared" si="32"/>
        <v>0.56650086976135661</v>
      </c>
      <c r="J343" s="1">
        <f t="shared" si="33"/>
        <v>0.55851592857596521</v>
      </c>
      <c r="K343" s="6">
        <f t="shared" si="34"/>
        <v>0.6363402568791432</v>
      </c>
      <c r="L343" s="1">
        <f t="shared" si="35"/>
        <v>0.68827903265706647</v>
      </c>
    </row>
    <row r="344" spans="1:12" x14ac:dyDescent="0.25">
      <c r="A344" s="3">
        <v>41397</v>
      </c>
      <c r="B344" s="1">
        <f t="shared" si="30"/>
        <v>2091</v>
      </c>
      <c r="C344" s="1">
        <v>4020.3727358279207</v>
      </c>
      <c r="D344" s="1">
        <f t="shared" si="31"/>
        <v>1929.3727358279207</v>
      </c>
      <c r="E344" s="2">
        <v>41</v>
      </c>
      <c r="F344" s="1">
        <v>98.057871605559043</v>
      </c>
      <c r="G344" s="1">
        <v>47.057871605559043</v>
      </c>
      <c r="H344" s="1">
        <v>51</v>
      </c>
      <c r="I344" s="6">
        <f t="shared" si="32"/>
        <v>-0.60121993376583849</v>
      </c>
      <c r="J344" s="1">
        <f t="shared" si="33"/>
        <v>-0.36037176032506696</v>
      </c>
      <c r="K344" s="6">
        <f t="shared" si="34"/>
        <v>-0.47868039134944834</v>
      </c>
      <c r="L344" s="1">
        <f t="shared" si="35"/>
        <v>-0.24042285764989535</v>
      </c>
    </row>
    <row r="345" spans="1:12" x14ac:dyDescent="0.25">
      <c r="A345" s="3">
        <v>41391</v>
      </c>
      <c r="B345" s="1">
        <f t="shared" si="30"/>
        <v>2067</v>
      </c>
      <c r="C345" s="1">
        <v>4775.9446524334553</v>
      </c>
      <c r="D345" s="1">
        <f t="shared" si="31"/>
        <v>2708.9446524334553</v>
      </c>
      <c r="E345" s="2">
        <v>39</v>
      </c>
      <c r="F345" s="1">
        <v>122.46011929316552</v>
      </c>
      <c r="G345" s="1">
        <v>69.460119293165519</v>
      </c>
      <c r="H345" s="1">
        <v>53</v>
      </c>
      <c r="I345" s="6">
        <f t="shared" si="32"/>
        <v>0.29205521118535976</v>
      </c>
      <c r="J345" s="1">
        <f t="shared" si="33"/>
        <v>0.34255271530094683</v>
      </c>
      <c r="K345" s="6">
        <f t="shared" si="34"/>
        <v>-1.185349201743181E-2</v>
      </c>
      <c r="L345" s="1">
        <f t="shared" si="35"/>
        <v>0.14839776602603538</v>
      </c>
    </row>
    <row r="346" spans="1:12" x14ac:dyDescent="0.25">
      <c r="A346" s="3">
        <v>41384</v>
      </c>
      <c r="B346" s="1">
        <f t="shared" si="30"/>
        <v>3290</v>
      </c>
      <c r="C346" s="1">
        <v>5649.0650113708825</v>
      </c>
      <c r="D346" s="1">
        <f t="shared" si="31"/>
        <v>2359.0650113708816</v>
      </c>
      <c r="E346" s="2">
        <v>35</v>
      </c>
      <c r="F346" s="1">
        <v>161.40185746773949</v>
      </c>
      <c r="G346" s="1">
        <v>67.401857467739475</v>
      </c>
      <c r="H346" s="1">
        <v>94</v>
      </c>
      <c r="I346" s="6">
        <f t="shared" si="32"/>
        <v>0.20998335142853158</v>
      </c>
      <c r="J346" s="1">
        <f t="shared" si="33"/>
        <v>0.27796979333195826</v>
      </c>
      <c r="K346" s="6">
        <f t="shared" si="34"/>
        <v>0.73312095129454424</v>
      </c>
      <c r="L346" s="1">
        <f t="shared" si="35"/>
        <v>0.76888777653243268</v>
      </c>
    </row>
    <row r="347" spans="1:12" x14ac:dyDescent="0.25">
      <c r="A347" s="3">
        <v>41368</v>
      </c>
      <c r="B347" s="1">
        <f t="shared" si="30"/>
        <v>510</v>
      </c>
      <c r="C347" s="1">
        <v>1055.8213944974159</v>
      </c>
      <c r="D347" s="1">
        <f t="shared" si="31"/>
        <v>545.82139449741601</v>
      </c>
      <c r="E347" s="2">
        <v>15</v>
      </c>
      <c r="F347" s="1">
        <v>70.388092966494398</v>
      </c>
      <c r="G347" s="1">
        <v>36.388092966494398</v>
      </c>
      <c r="H347" s="1">
        <v>34</v>
      </c>
      <c r="I347" s="6">
        <f t="shared" si="32"/>
        <v>-1.026670459682508</v>
      </c>
      <c r="J347" s="1">
        <f t="shared" si="33"/>
        <v>-0.69516176262735319</v>
      </c>
      <c r="K347" s="6">
        <f t="shared" si="34"/>
        <v>-1.0080167513700113</v>
      </c>
      <c r="L347" s="1">
        <f t="shared" si="35"/>
        <v>-0.68130767798061342</v>
      </c>
    </row>
    <row r="348" spans="1:12" x14ac:dyDescent="0.25">
      <c r="A348" s="3">
        <v>41367</v>
      </c>
      <c r="B348" s="1">
        <f t="shared" si="30"/>
        <v>5890</v>
      </c>
      <c r="C348" s="1">
        <v>14598.414280259109</v>
      </c>
      <c r="D348" s="1">
        <f t="shared" si="31"/>
        <v>8708.4142802591086</v>
      </c>
      <c r="E348" s="2">
        <v>95</v>
      </c>
      <c r="F348" s="1">
        <v>153.66751873956957</v>
      </c>
      <c r="G348" s="1">
        <v>91.667518739569559</v>
      </c>
      <c r="H348" s="1">
        <v>62</v>
      </c>
      <c r="I348" s="6">
        <f t="shared" si="32"/>
        <v>1.1775609084752914</v>
      </c>
      <c r="J348" s="1">
        <f t="shared" si="33"/>
        <v>1.039363358079302</v>
      </c>
      <c r="K348" s="6">
        <f t="shared" si="34"/>
        <v>0.58515927935852574</v>
      </c>
      <c r="L348" s="1">
        <f t="shared" si="35"/>
        <v>0.64565034174746905</v>
      </c>
    </row>
    <row r="349" spans="1:12" x14ac:dyDescent="0.25">
      <c r="A349" s="3">
        <v>41365</v>
      </c>
      <c r="B349" s="1">
        <f t="shared" si="30"/>
        <v>584</v>
      </c>
      <c r="C349" s="1">
        <v>1343.8580086243014</v>
      </c>
      <c r="D349" s="1">
        <f t="shared" si="31"/>
        <v>759.85800862430153</v>
      </c>
      <c r="E349" s="2">
        <v>8</v>
      </c>
      <c r="F349" s="1">
        <v>167.98225107803768</v>
      </c>
      <c r="G349" s="1">
        <v>94.982251078037692</v>
      </c>
      <c r="H349" s="1">
        <v>73</v>
      </c>
      <c r="I349" s="6">
        <f t="shared" si="32"/>
        <v>1.3097337177134301</v>
      </c>
      <c r="J349" s="1">
        <f t="shared" si="33"/>
        <v>1.1433710685264695</v>
      </c>
      <c r="K349" s="6">
        <f t="shared" si="34"/>
        <v>0.85900709034229639</v>
      </c>
      <c r="L349" s="1">
        <f t="shared" si="35"/>
        <v>0.87373847636729751</v>
      </c>
    </row>
    <row r="350" spans="1:12" x14ac:dyDescent="0.25">
      <c r="A350" s="3">
        <v>41364</v>
      </c>
      <c r="B350" s="1">
        <f t="shared" si="30"/>
        <v>156</v>
      </c>
      <c r="C350" s="1">
        <v>358.16836850461078</v>
      </c>
      <c r="D350" s="1">
        <f t="shared" si="31"/>
        <v>202.16836850461078</v>
      </c>
      <c r="E350" s="2">
        <v>6</v>
      </c>
      <c r="F350" s="1">
        <v>59.694728084101797</v>
      </c>
      <c r="G350" s="1">
        <v>33.694728084101797</v>
      </c>
      <c r="H350" s="1">
        <v>26</v>
      </c>
      <c r="I350" s="6">
        <f t="shared" si="32"/>
        <v>-1.1340666432831714</v>
      </c>
      <c r="J350" s="1">
        <f t="shared" si="33"/>
        <v>-0.7796725726150816</v>
      </c>
      <c r="K350" s="6">
        <f t="shared" si="34"/>
        <v>-1.21258603676451</v>
      </c>
      <c r="L350" s="1">
        <f t="shared" si="35"/>
        <v>-0.85169365455103685</v>
      </c>
    </row>
    <row r="351" spans="1:12" x14ac:dyDescent="0.25">
      <c r="A351" s="3">
        <v>41346</v>
      </c>
      <c r="B351" s="1">
        <f t="shared" si="30"/>
        <v>612</v>
      </c>
      <c r="C351" s="1">
        <v>1252.9129324058604</v>
      </c>
      <c r="D351" s="1">
        <f t="shared" si="31"/>
        <v>640.91293240586026</v>
      </c>
      <c r="E351" s="2">
        <v>12</v>
      </c>
      <c r="F351" s="1">
        <v>104.4094110338217</v>
      </c>
      <c r="G351" s="1">
        <v>53.409411033821691</v>
      </c>
      <c r="H351" s="1">
        <v>51</v>
      </c>
      <c r="I351" s="6">
        <f t="shared" si="32"/>
        <v>-0.34795640491987384</v>
      </c>
      <c r="J351" s="1">
        <f t="shared" si="33"/>
        <v>-0.16107691347363076</v>
      </c>
      <c r="K351" s="6">
        <f t="shared" si="34"/>
        <v>-0.35717234441708251</v>
      </c>
      <c r="L351" s="1">
        <f t="shared" si="35"/>
        <v>-0.13921867541984503</v>
      </c>
    </row>
    <row r="352" spans="1:12" x14ac:dyDescent="0.25">
      <c r="A352" s="3">
        <v>41320</v>
      </c>
      <c r="B352" s="1">
        <f t="shared" si="30"/>
        <v>1258</v>
      </c>
      <c r="C352" s="1">
        <v>2253.4262800000893</v>
      </c>
      <c r="D352" s="1">
        <f t="shared" si="31"/>
        <v>995.42628000008949</v>
      </c>
      <c r="E352" s="2">
        <v>17</v>
      </c>
      <c r="F352" s="1">
        <v>132.55448705882878</v>
      </c>
      <c r="G352" s="1">
        <v>58.554487058828791</v>
      </c>
      <c r="H352" s="1">
        <v>74</v>
      </c>
      <c r="I352" s="6">
        <f t="shared" si="32"/>
        <v>-0.14279982437881658</v>
      </c>
      <c r="J352" s="1">
        <f t="shared" si="33"/>
        <v>3.6223840820880836E-4</v>
      </c>
      <c r="K352" s="6">
        <f t="shared" si="34"/>
        <v>0.18125668640088469</v>
      </c>
      <c r="L352" s="1">
        <f t="shared" si="35"/>
        <v>0.30923944014168647</v>
      </c>
    </row>
    <row r="353" spans="1:12" x14ac:dyDescent="0.25">
      <c r="A353" s="3">
        <v>41318</v>
      </c>
      <c r="B353" s="1">
        <f t="shared" si="30"/>
        <v>2052</v>
      </c>
      <c r="C353" s="1">
        <v>3589.4201980433422</v>
      </c>
      <c r="D353" s="1">
        <f t="shared" si="31"/>
        <v>1537.4201980433418</v>
      </c>
      <c r="E353" s="2">
        <v>27</v>
      </c>
      <c r="F353" s="1">
        <v>132.94148881642008</v>
      </c>
      <c r="G353" s="1">
        <v>56.941488816420069</v>
      </c>
      <c r="H353" s="1">
        <v>76</v>
      </c>
      <c r="I353" s="6">
        <f t="shared" si="32"/>
        <v>-0.20711708659669645</v>
      </c>
      <c r="J353" s="1">
        <f t="shared" si="33"/>
        <v>-5.0249466253823385E-2</v>
      </c>
      <c r="K353" s="6">
        <f t="shared" si="34"/>
        <v>0.18866021876582087</v>
      </c>
      <c r="L353" s="1">
        <f t="shared" si="35"/>
        <v>0.31540585016574141</v>
      </c>
    </row>
    <row r="354" spans="1:12" x14ac:dyDescent="0.25">
      <c r="A354" s="3">
        <v>41305</v>
      </c>
      <c r="B354" s="1">
        <f t="shared" si="30"/>
        <v>120</v>
      </c>
      <c r="C354" s="1">
        <v>224.41469458697583</v>
      </c>
      <c r="D354" s="1">
        <f t="shared" si="31"/>
        <v>104.41469458697583</v>
      </c>
      <c r="E354" s="2">
        <v>3</v>
      </c>
      <c r="F354" s="1">
        <v>74.804898195658609</v>
      </c>
      <c r="G354" s="1">
        <v>34.804898195658609</v>
      </c>
      <c r="H354" s="1">
        <v>40</v>
      </c>
      <c r="I354" s="6">
        <f t="shared" si="32"/>
        <v>-1.0897993277374181</v>
      </c>
      <c r="J354" s="1">
        <f t="shared" si="33"/>
        <v>-0.74483831158896752</v>
      </c>
      <c r="K354" s="6">
        <f t="shared" si="34"/>
        <v>-0.92352111324355457</v>
      </c>
      <c r="L354" s="1">
        <f t="shared" si="35"/>
        <v>-0.61093117062588498</v>
      </c>
    </row>
    <row r="355" spans="1:12" x14ac:dyDescent="0.25">
      <c r="A355" s="3">
        <v>41305</v>
      </c>
      <c r="B355" s="1">
        <f t="shared" si="30"/>
        <v>800</v>
      </c>
      <c r="C355" s="1">
        <v>1361.4312529488971</v>
      </c>
      <c r="D355" s="1">
        <f t="shared" si="31"/>
        <v>561.43125294889694</v>
      </c>
      <c r="E355" s="2">
        <v>25</v>
      </c>
      <c r="F355" s="1">
        <v>54.45725011795588</v>
      </c>
      <c r="G355" s="1">
        <v>22.457250117955876</v>
      </c>
      <c r="H355" s="1">
        <v>32</v>
      </c>
      <c r="I355" s="6">
        <f t="shared" si="32"/>
        <v>-1.5821538128866157</v>
      </c>
      <c r="J355" s="1">
        <f t="shared" si="33"/>
        <v>-1.1322755085732443</v>
      </c>
      <c r="K355" s="6">
        <f t="shared" si="34"/>
        <v>-1.3127815445946116</v>
      </c>
      <c r="L355" s="1">
        <f t="shared" si="35"/>
        <v>-0.93514660017129125</v>
      </c>
    </row>
    <row r="356" spans="1:12" x14ac:dyDescent="0.25">
      <c r="A356" s="3">
        <v>41282</v>
      </c>
      <c r="B356" s="1">
        <f t="shared" si="30"/>
        <v>1254</v>
      </c>
      <c r="C356" s="1">
        <v>3166.4672273800261</v>
      </c>
      <c r="D356" s="1">
        <f t="shared" si="31"/>
        <v>1912.4672273800256</v>
      </c>
      <c r="E356" s="2">
        <v>33</v>
      </c>
      <c r="F356" s="1">
        <v>95.953552344849271</v>
      </c>
      <c r="G356" s="1">
        <v>57.953552344849264</v>
      </c>
      <c r="H356" s="1">
        <v>38</v>
      </c>
      <c r="I356" s="6">
        <f t="shared" si="32"/>
        <v>-0.16676170763364911</v>
      </c>
      <c r="J356" s="1">
        <f t="shared" si="33"/>
        <v>-1.8493535556973126E-2</v>
      </c>
      <c r="K356" s="6">
        <f t="shared" si="34"/>
        <v>-0.51893704509125538</v>
      </c>
      <c r="L356" s="1">
        <f t="shared" si="35"/>
        <v>-0.27395266760170561</v>
      </c>
    </row>
    <row r="357" spans="1:12" x14ac:dyDescent="0.25">
      <c r="A357" s="3">
        <v>41245</v>
      </c>
      <c r="B357" s="1">
        <f t="shared" si="30"/>
        <v>1464</v>
      </c>
      <c r="C357" s="1">
        <v>2884.0188665482879</v>
      </c>
      <c r="D357" s="1">
        <f t="shared" si="31"/>
        <v>1420.0188665482879</v>
      </c>
      <c r="E357" s="2">
        <v>8</v>
      </c>
      <c r="F357" s="1">
        <v>360.50235831853598</v>
      </c>
      <c r="G357" s="1">
        <v>177.50235831853598</v>
      </c>
      <c r="H357" s="1">
        <v>183</v>
      </c>
      <c r="I357" s="6">
        <f t="shared" si="32"/>
        <v>4.600169650060729</v>
      </c>
      <c r="J357" s="1">
        <f t="shared" si="33"/>
        <v>3.7326381777692546</v>
      </c>
      <c r="K357" s="6">
        <f t="shared" si="34"/>
        <v>4.5420106346344289</v>
      </c>
      <c r="L357" s="1">
        <f t="shared" si="35"/>
        <v>3.9413160669933331</v>
      </c>
    </row>
    <row r="358" spans="1:12" x14ac:dyDescent="0.25">
      <c r="A358" s="3">
        <v>41242</v>
      </c>
      <c r="B358" s="1">
        <f t="shared" si="30"/>
        <v>297</v>
      </c>
      <c r="C358" s="1">
        <v>553.69512750732326</v>
      </c>
      <c r="D358" s="1">
        <f t="shared" si="31"/>
        <v>256.69512750732321</v>
      </c>
      <c r="E358" s="2">
        <v>11</v>
      </c>
      <c r="F358" s="1">
        <v>50.33592068248393</v>
      </c>
      <c r="G358" s="1">
        <v>23.335920682483927</v>
      </c>
      <c r="H358" s="1">
        <v>27</v>
      </c>
      <c r="I358" s="6">
        <f t="shared" si="32"/>
        <v>-1.5471173921292749</v>
      </c>
      <c r="J358" s="1">
        <f t="shared" si="33"/>
        <v>-1.1047051033874919</v>
      </c>
      <c r="K358" s="6">
        <f t="shared" si="34"/>
        <v>-1.3916245866830781</v>
      </c>
      <c r="L358" s="1">
        <f t="shared" si="35"/>
        <v>-1.0008150542411201</v>
      </c>
    </row>
    <row r="359" spans="1:12" x14ac:dyDescent="0.25">
      <c r="A359" s="3">
        <v>41229</v>
      </c>
      <c r="B359" s="1">
        <f t="shared" si="30"/>
        <v>880</v>
      </c>
      <c r="C359" s="1">
        <v>1574.1618984174772</v>
      </c>
      <c r="D359" s="1">
        <f t="shared" si="31"/>
        <v>694.16189841747723</v>
      </c>
      <c r="E359" s="2">
        <v>16</v>
      </c>
      <c r="F359" s="1">
        <v>98.385118651092327</v>
      </c>
      <c r="G359" s="1">
        <v>43.385118651092327</v>
      </c>
      <c r="H359" s="1">
        <v>55</v>
      </c>
      <c r="I359" s="6">
        <f t="shared" si="32"/>
        <v>-0.74766858362994182</v>
      </c>
      <c r="J359" s="1">
        <f t="shared" si="33"/>
        <v>-0.47561322986969023</v>
      </c>
      <c r="K359" s="6">
        <f t="shared" si="34"/>
        <v>-0.47241999576878002</v>
      </c>
      <c r="L359" s="1">
        <f t="shared" si="35"/>
        <v>-0.23520856747592173</v>
      </c>
    </row>
    <row r="360" spans="1:12" x14ac:dyDescent="0.25">
      <c r="A360" s="3">
        <v>41228</v>
      </c>
      <c r="B360" s="1">
        <f t="shared" si="30"/>
        <v>1290</v>
      </c>
      <c r="C360" s="1">
        <v>2966.6321544554021</v>
      </c>
      <c r="D360" s="1">
        <f t="shared" si="31"/>
        <v>1676.6321544554021</v>
      </c>
      <c r="E360" s="2">
        <v>30</v>
      </c>
      <c r="F360" s="1">
        <v>98.887738481846739</v>
      </c>
      <c r="G360" s="1">
        <v>55.887738481846739</v>
      </c>
      <c r="H360" s="1">
        <v>43</v>
      </c>
      <c r="I360" s="6">
        <f t="shared" si="32"/>
        <v>-0.24913470000693971</v>
      </c>
      <c r="J360" s="1">
        <f t="shared" si="33"/>
        <v>-8.3313420893538992E-2</v>
      </c>
      <c r="K360" s="6">
        <f t="shared" si="34"/>
        <v>-0.46280463327686361</v>
      </c>
      <c r="L360" s="1">
        <f t="shared" si="35"/>
        <v>-0.22719992177378517</v>
      </c>
    </row>
    <row r="361" spans="1:12" x14ac:dyDescent="0.25">
      <c r="A361" s="3">
        <v>41226</v>
      </c>
      <c r="B361" s="1">
        <f t="shared" si="30"/>
        <v>624</v>
      </c>
      <c r="C361" s="1">
        <v>1193.6095730411196</v>
      </c>
      <c r="D361" s="1">
        <f t="shared" si="31"/>
        <v>569.60957304111957</v>
      </c>
      <c r="E361" s="2">
        <v>16</v>
      </c>
      <c r="F361" s="1">
        <v>74.600598315069973</v>
      </c>
      <c r="G361" s="1">
        <v>35.600598315069973</v>
      </c>
      <c r="H361" s="1">
        <v>39</v>
      </c>
      <c r="I361" s="6">
        <f t="shared" si="32"/>
        <v>-1.0580712998441233</v>
      </c>
      <c r="J361" s="1">
        <f t="shared" si="33"/>
        <v>-0.7198713039479343</v>
      </c>
      <c r="K361" s="6">
        <f t="shared" si="34"/>
        <v>-0.92742946959703632</v>
      </c>
      <c r="L361" s="1">
        <f t="shared" si="35"/>
        <v>-0.61418644481227636</v>
      </c>
    </row>
    <row r="362" spans="1:12" x14ac:dyDescent="0.25">
      <c r="A362" s="3">
        <v>41220</v>
      </c>
      <c r="B362" s="1">
        <f t="shared" si="30"/>
        <v>1248</v>
      </c>
      <c r="C362" s="1">
        <v>3552.3197202088813</v>
      </c>
      <c r="D362" s="1">
        <f t="shared" si="31"/>
        <v>2304.3197202088813</v>
      </c>
      <c r="E362" s="2">
        <v>52</v>
      </c>
      <c r="F362" s="1">
        <v>68.313840773247719</v>
      </c>
      <c r="G362" s="1">
        <v>44.313840773247719</v>
      </c>
      <c r="H362" s="1">
        <v>24</v>
      </c>
      <c r="I362" s="6">
        <f t="shared" si="32"/>
        <v>-0.71063638936727846</v>
      </c>
      <c r="J362" s="1">
        <f t="shared" si="33"/>
        <v>-0.44647233651730062</v>
      </c>
      <c r="K362" s="6">
        <f t="shared" si="34"/>
        <v>-1.0476982074474273</v>
      </c>
      <c r="L362" s="1">
        <f t="shared" si="35"/>
        <v>-0.71435840518263893</v>
      </c>
    </row>
    <row r="363" spans="1:12" x14ac:dyDescent="0.25">
      <c r="A363" s="3">
        <v>41217</v>
      </c>
      <c r="B363" s="1">
        <f t="shared" si="30"/>
        <v>559</v>
      </c>
      <c r="C363" s="1">
        <v>1006.8995692449448</v>
      </c>
      <c r="D363" s="1">
        <f t="shared" si="31"/>
        <v>447.89956924494487</v>
      </c>
      <c r="E363" s="2">
        <v>13</v>
      </c>
      <c r="F363" s="1">
        <v>77.453813018841913</v>
      </c>
      <c r="G363" s="1">
        <v>34.453813018841913</v>
      </c>
      <c r="H363" s="1">
        <v>43</v>
      </c>
      <c r="I363" s="6">
        <f t="shared" si="32"/>
        <v>-1.1037986222093139</v>
      </c>
      <c r="J363" s="1">
        <f t="shared" si="33"/>
        <v>-0.75585445457851541</v>
      </c>
      <c r="K363" s="6">
        <f t="shared" si="34"/>
        <v>-0.87284608079032189</v>
      </c>
      <c r="L363" s="1">
        <f t="shared" si="35"/>
        <v>-0.5687238819039675</v>
      </c>
    </row>
    <row r="364" spans="1:12" x14ac:dyDescent="0.25">
      <c r="A364" s="3">
        <v>41215</v>
      </c>
      <c r="B364" s="1">
        <f t="shared" si="30"/>
        <v>1148</v>
      </c>
      <c r="C364" s="1">
        <v>3104.9346899453521</v>
      </c>
      <c r="D364" s="1">
        <f t="shared" si="31"/>
        <v>1956.9346899453524</v>
      </c>
      <c r="E364" s="2">
        <v>28</v>
      </c>
      <c r="F364" s="1">
        <v>110.89052464090544</v>
      </c>
      <c r="G364" s="1">
        <v>69.89052464090544</v>
      </c>
      <c r="H364" s="1">
        <v>41</v>
      </c>
      <c r="I364" s="6">
        <f t="shared" si="32"/>
        <v>0.3092173461975018</v>
      </c>
      <c r="J364" s="1">
        <f t="shared" si="33"/>
        <v>0.35605771969093447</v>
      </c>
      <c r="K364" s="6">
        <f t="shared" si="34"/>
        <v>-0.23318548025005417</v>
      </c>
      <c r="L364" s="1">
        <f t="shared" si="35"/>
        <v>-3.5949883664209918E-2</v>
      </c>
    </row>
    <row r="365" spans="1:12" x14ac:dyDescent="0.25">
      <c r="A365" s="3">
        <v>41209</v>
      </c>
      <c r="B365" s="1">
        <f t="shared" si="30"/>
        <v>3408</v>
      </c>
      <c r="C365" s="1">
        <v>6967.8638909703186</v>
      </c>
      <c r="D365" s="1">
        <f t="shared" si="31"/>
        <v>3559.8638909703186</v>
      </c>
      <c r="E365" s="2">
        <v>71</v>
      </c>
      <c r="F365" s="1">
        <v>98.13892804183547</v>
      </c>
      <c r="G365" s="1">
        <v>50.13892804183547</v>
      </c>
      <c r="H365" s="1">
        <v>48</v>
      </c>
      <c r="I365" s="6">
        <f t="shared" si="32"/>
        <v>-0.47836480007136306</v>
      </c>
      <c r="J365" s="1">
        <f t="shared" si="33"/>
        <v>-0.26369619410311534</v>
      </c>
      <c r="K365" s="6">
        <f t="shared" si="34"/>
        <v>-0.47712974219195103</v>
      </c>
      <c r="L365" s="1">
        <f t="shared" si="35"/>
        <v>-0.2391313203083596</v>
      </c>
    </row>
    <row r="366" spans="1:12" x14ac:dyDescent="0.25">
      <c r="A366" s="3">
        <v>41190</v>
      </c>
      <c r="B366" s="1">
        <f t="shared" si="30"/>
        <v>5005</v>
      </c>
      <c r="C366" s="1">
        <v>8834.970522449541</v>
      </c>
      <c r="D366" s="1">
        <f t="shared" si="31"/>
        <v>3829.9705224495419</v>
      </c>
      <c r="E366" s="2">
        <v>35</v>
      </c>
      <c r="F366" s="1">
        <v>252.42772921284404</v>
      </c>
      <c r="G366" s="1">
        <v>109.42772921284406</v>
      </c>
      <c r="H366" s="1">
        <v>143</v>
      </c>
      <c r="I366" s="6">
        <f t="shared" si="32"/>
        <v>1.8857378202793187</v>
      </c>
      <c r="J366" s="1">
        <f t="shared" si="33"/>
        <v>1.5966327360462569</v>
      </c>
      <c r="K366" s="6">
        <f t="shared" si="34"/>
        <v>2.4744902714388801</v>
      </c>
      <c r="L366" s="1">
        <f t="shared" si="35"/>
        <v>2.2192761454920782</v>
      </c>
    </row>
    <row r="367" spans="1:12" x14ac:dyDescent="0.25">
      <c r="A367" s="3">
        <v>41183</v>
      </c>
      <c r="B367" s="1">
        <f t="shared" si="30"/>
        <v>405</v>
      </c>
      <c r="C367" s="1">
        <v>1111.0754213451037</v>
      </c>
      <c r="D367" s="1">
        <f t="shared" si="31"/>
        <v>706.07542134510379</v>
      </c>
      <c r="E367" s="2">
        <v>15</v>
      </c>
      <c r="F367" s="1">
        <v>74.07169475634025</v>
      </c>
      <c r="G367" s="1">
        <v>47.07169475634025</v>
      </c>
      <c r="H367" s="1">
        <v>27</v>
      </c>
      <c r="I367" s="6">
        <f t="shared" si="32"/>
        <v>-0.60066874456420338</v>
      </c>
      <c r="J367" s="1">
        <f t="shared" si="33"/>
        <v>-0.35993802567710326</v>
      </c>
      <c r="K367" s="6">
        <f t="shared" si="34"/>
        <v>-0.93754765262379358</v>
      </c>
      <c r="L367" s="1">
        <f t="shared" si="35"/>
        <v>-0.62261389027559544</v>
      </c>
    </row>
    <row r="368" spans="1:12" x14ac:dyDescent="0.25">
      <c r="A368" s="3">
        <v>41176</v>
      </c>
      <c r="B368" s="1">
        <f t="shared" si="30"/>
        <v>1116</v>
      </c>
      <c r="C368" s="1">
        <v>2003.8438569134441</v>
      </c>
      <c r="D368" s="1">
        <f t="shared" si="31"/>
        <v>887.84385691344426</v>
      </c>
      <c r="E368" s="2">
        <v>31</v>
      </c>
      <c r="F368" s="1">
        <v>64.640124416562713</v>
      </c>
      <c r="G368" s="1">
        <v>28.640124416562717</v>
      </c>
      <c r="H368" s="1">
        <v>36</v>
      </c>
      <c r="I368" s="6">
        <f t="shared" si="32"/>
        <v>-1.3356156970546702</v>
      </c>
      <c r="J368" s="1">
        <f t="shared" si="33"/>
        <v>-0.93827293638428733</v>
      </c>
      <c r="K368" s="6">
        <f t="shared" si="34"/>
        <v>-1.1179781930361152</v>
      </c>
      <c r="L368" s="1">
        <f t="shared" si="35"/>
        <v>-0.77289468033651354</v>
      </c>
    </row>
    <row r="369" spans="1:12" x14ac:dyDescent="0.25">
      <c r="A369" s="3">
        <v>41171</v>
      </c>
      <c r="B369" s="1">
        <f t="shared" si="30"/>
        <v>324</v>
      </c>
      <c r="C369" s="1">
        <v>726.03707398634663</v>
      </c>
      <c r="D369" s="1">
        <f t="shared" si="31"/>
        <v>402.03707398634663</v>
      </c>
      <c r="E369" s="2">
        <v>9</v>
      </c>
      <c r="F369" s="1">
        <v>80.670785998482955</v>
      </c>
      <c r="G369" s="1">
        <v>44.670785998482955</v>
      </c>
      <c r="H369" s="1">
        <v>36</v>
      </c>
      <c r="I369" s="6">
        <f t="shared" si="32"/>
        <v>-0.6964034292528325</v>
      </c>
      <c r="J369" s="1">
        <f t="shared" si="33"/>
        <v>-0.43527232039505698</v>
      </c>
      <c r="K369" s="6">
        <f t="shared" si="34"/>
        <v>-0.81130381875995039</v>
      </c>
      <c r="L369" s="1">
        <f t="shared" si="35"/>
        <v>-0.51746526604589138</v>
      </c>
    </row>
    <row r="370" spans="1:12" x14ac:dyDescent="0.25">
      <c r="A370" s="3">
        <v>41159</v>
      </c>
      <c r="B370" s="1">
        <f t="shared" si="30"/>
        <v>46</v>
      </c>
      <c r="C370" s="1">
        <v>132.29732750726538</v>
      </c>
      <c r="D370" s="1">
        <f t="shared" si="31"/>
        <v>86.297327507265379</v>
      </c>
      <c r="E370" s="2">
        <v>2</v>
      </c>
      <c r="F370" s="1">
        <v>66.14866375363269</v>
      </c>
      <c r="G370" s="1">
        <v>43.14866375363269</v>
      </c>
      <c r="H370" s="1">
        <v>23</v>
      </c>
      <c r="I370" s="6">
        <f t="shared" si="32"/>
        <v>-0.75709706981347458</v>
      </c>
      <c r="J370" s="1">
        <f t="shared" si="33"/>
        <v>-0.48303257176447567</v>
      </c>
      <c r="K370" s="6">
        <f t="shared" si="34"/>
        <v>-1.0891190997976501</v>
      </c>
      <c r="L370" s="1">
        <f t="shared" si="35"/>
        <v>-0.7488579107164296</v>
      </c>
    </row>
    <row r="371" spans="1:12" x14ac:dyDescent="0.25">
      <c r="A371" s="3">
        <v>41152</v>
      </c>
      <c r="B371" s="1">
        <f t="shared" si="30"/>
        <v>935</v>
      </c>
      <c r="C371" s="1">
        <v>2014.483750876273</v>
      </c>
      <c r="D371" s="1">
        <f t="shared" si="31"/>
        <v>1079.483750876273</v>
      </c>
      <c r="E371" s="2">
        <v>17</v>
      </c>
      <c r="F371" s="1">
        <v>118.49904416919253</v>
      </c>
      <c r="G371" s="1">
        <v>63.49904416919253</v>
      </c>
      <c r="H371" s="1">
        <v>55</v>
      </c>
      <c r="I371" s="6">
        <f t="shared" si="32"/>
        <v>5.436119406323766E-2</v>
      </c>
      <c r="J371" s="1">
        <f t="shared" si="33"/>
        <v>0.15550962640571461</v>
      </c>
      <c r="K371" s="6">
        <f t="shared" si="34"/>
        <v>-8.7630790970291861E-2</v>
      </c>
      <c r="L371" s="1">
        <f t="shared" si="35"/>
        <v>8.5282772692343023E-2</v>
      </c>
    </row>
    <row r="372" spans="1:12" x14ac:dyDescent="0.25">
      <c r="A372" s="3">
        <v>41148</v>
      </c>
      <c r="B372" s="1">
        <f t="shared" si="30"/>
        <v>1420</v>
      </c>
      <c r="C372" s="1">
        <v>2522.5676935711158</v>
      </c>
      <c r="D372" s="1">
        <f t="shared" si="31"/>
        <v>1102.567693571116</v>
      </c>
      <c r="E372" s="2">
        <v>20</v>
      </c>
      <c r="F372" s="1">
        <v>126.12838467855579</v>
      </c>
      <c r="G372" s="1">
        <v>55.128384678555797</v>
      </c>
      <c r="H372" s="1">
        <v>71</v>
      </c>
      <c r="I372" s="6">
        <f t="shared" si="32"/>
        <v>-0.27941344204045543</v>
      </c>
      <c r="J372" s="1">
        <f t="shared" si="33"/>
        <v>-0.10713997532844062</v>
      </c>
      <c r="K372" s="6">
        <f t="shared" si="34"/>
        <v>5.8322213831928496E-2</v>
      </c>
      <c r="L372" s="1">
        <f t="shared" si="35"/>
        <v>0.20684718647350783</v>
      </c>
    </row>
    <row r="373" spans="1:12" x14ac:dyDescent="0.25">
      <c r="A373" s="3">
        <v>41147</v>
      </c>
      <c r="B373" s="1">
        <f t="shared" si="30"/>
        <v>845</v>
      </c>
      <c r="C373" s="1">
        <v>1427.3217716418692</v>
      </c>
      <c r="D373" s="1">
        <f t="shared" si="31"/>
        <v>582.32177164186919</v>
      </c>
      <c r="E373" s="2">
        <v>13</v>
      </c>
      <c r="F373" s="1">
        <v>109.79398243398994</v>
      </c>
      <c r="G373" s="1">
        <v>44.793982433989939</v>
      </c>
      <c r="H373" s="1">
        <v>65</v>
      </c>
      <c r="I373" s="6">
        <f t="shared" si="32"/>
        <v>-0.6914910510254525</v>
      </c>
      <c r="J373" s="1">
        <f t="shared" si="33"/>
        <v>-0.4314067355200335</v>
      </c>
      <c r="K373" s="6">
        <f t="shared" si="34"/>
        <v>-0.254162867456112</v>
      </c>
      <c r="L373" s="1">
        <f t="shared" si="35"/>
        <v>-5.3421971901245861E-2</v>
      </c>
    </row>
    <row r="374" spans="1:12" x14ac:dyDescent="0.25">
      <c r="A374" s="3">
        <v>41140</v>
      </c>
      <c r="B374" s="1">
        <f t="shared" si="30"/>
        <v>245</v>
      </c>
      <c r="C374" s="1">
        <v>491.75525728059625</v>
      </c>
      <c r="D374" s="1">
        <f t="shared" si="31"/>
        <v>246.75525728059625</v>
      </c>
      <c r="E374" s="2">
        <v>5</v>
      </c>
      <c r="F374" s="1">
        <v>98.351051456119251</v>
      </c>
      <c r="G374" s="1">
        <v>49.351051456119251</v>
      </c>
      <c r="H374" s="1">
        <v>49</v>
      </c>
      <c r="I374" s="6">
        <f t="shared" si="32"/>
        <v>-0.50978086961596802</v>
      </c>
      <c r="J374" s="1">
        <f t="shared" si="33"/>
        <v>-0.2884177195319666</v>
      </c>
      <c r="K374" s="6">
        <f t="shared" si="34"/>
        <v>-0.47307171782331425</v>
      </c>
      <c r="L374" s="1">
        <f t="shared" si="35"/>
        <v>-0.23575138747209154</v>
      </c>
    </row>
    <row r="375" spans="1:12" x14ac:dyDescent="0.25">
      <c r="A375" s="3">
        <v>41138</v>
      </c>
      <c r="B375" s="1">
        <f t="shared" si="30"/>
        <v>1365</v>
      </c>
      <c r="C375" s="1">
        <v>2730.1504455224049</v>
      </c>
      <c r="D375" s="1">
        <f t="shared" si="31"/>
        <v>1365.1504455224049</v>
      </c>
      <c r="E375" s="2">
        <v>15</v>
      </c>
      <c r="F375" s="1">
        <v>182.01002970149366</v>
      </c>
      <c r="G375" s="1">
        <v>91.010029701493664</v>
      </c>
      <c r="H375" s="1">
        <v>91</v>
      </c>
      <c r="I375" s="6">
        <f t="shared" si="32"/>
        <v>1.1513439581057983</v>
      </c>
      <c r="J375" s="1">
        <f t="shared" si="33"/>
        <v>1.0187330559880063</v>
      </c>
      <c r="K375" s="6">
        <f t="shared" si="34"/>
        <v>1.1273653368094776</v>
      </c>
      <c r="L375" s="1">
        <f t="shared" si="35"/>
        <v>1.0972543468307465</v>
      </c>
    </row>
    <row r="376" spans="1:12" x14ac:dyDescent="0.25">
      <c r="A376" s="3">
        <v>41131</v>
      </c>
      <c r="B376" s="1">
        <f t="shared" si="30"/>
        <v>8316</v>
      </c>
      <c r="C376" s="1">
        <v>15088.471453331078</v>
      </c>
      <c r="D376" s="1">
        <f t="shared" si="31"/>
        <v>6772.4714533310789</v>
      </c>
      <c r="E376" s="2">
        <v>66</v>
      </c>
      <c r="F376" s="1">
        <v>228.61320383834968</v>
      </c>
      <c r="G376" s="1">
        <v>102.61320383834968</v>
      </c>
      <c r="H376" s="1">
        <v>126</v>
      </c>
      <c r="I376" s="6">
        <f t="shared" si="32"/>
        <v>1.6140130261175831</v>
      </c>
      <c r="J376" s="1">
        <f t="shared" si="33"/>
        <v>1.382810590058797</v>
      </c>
      <c r="K376" s="6">
        <f t="shared" si="34"/>
        <v>2.0189067865910837</v>
      </c>
      <c r="L376" s="1">
        <f t="shared" si="35"/>
        <v>1.8398201737637043</v>
      </c>
    </row>
    <row r="377" spans="1:12" x14ac:dyDescent="0.25">
      <c r="A377" s="3">
        <v>41121</v>
      </c>
      <c r="B377" s="1">
        <f t="shared" si="30"/>
        <v>1349</v>
      </c>
      <c r="C377" s="1">
        <v>2382.1534258255438</v>
      </c>
      <c r="D377" s="1">
        <f t="shared" si="31"/>
        <v>1033.1534258255435</v>
      </c>
      <c r="E377" s="2">
        <v>19</v>
      </c>
      <c r="F377" s="1">
        <v>125.37649609608124</v>
      </c>
      <c r="G377" s="1">
        <v>54.376496096081233</v>
      </c>
      <c r="H377" s="1">
        <v>71</v>
      </c>
      <c r="I377" s="6">
        <f t="shared" si="32"/>
        <v>-0.30939451321969641</v>
      </c>
      <c r="J377" s="1">
        <f t="shared" si="33"/>
        <v>-0.13073229048070598</v>
      </c>
      <c r="K377" s="6">
        <f t="shared" si="34"/>
        <v>4.3938218550296816E-2</v>
      </c>
      <c r="L377" s="1">
        <f t="shared" si="35"/>
        <v>0.19486674142126595</v>
      </c>
    </row>
    <row r="378" spans="1:12" x14ac:dyDescent="0.25">
      <c r="A378" s="3">
        <v>41115</v>
      </c>
      <c r="B378" s="1">
        <f t="shared" si="30"/>
        <v>308</v>
      </c>
      <c r="C378" s="1">
        <v>535.99796125001842</v>
      </c>
      <c r="D378" s="1">
        <f t="shared" si="31"/>
        <v>227.99796125001845</v>
      </c>
      <c r="E378" s="2">
        <v>4</v>
      </c>
      <c r="F378" s="1">
        <v>133.99949031250461</v>
      </c>
      <c r="G378" s="1">
        <v>56.999490312504612</v>
      </c>
      <c r="H378" s="1">
        <v>77</v>
      </c>
      <c r="I378" s="6">
        <f t="shared" si="32"/>
        <v>-0.2048043144345098</v>
      </c>
      <c r="J378" s="1">
        <f t="shared" si="33"/>
        <v>-4.8429529621156507E-2</v>
      </c>
      <c r="K378" s="6">
        <f t="shared" si="34"/>
        <v>0.20890030337723237</v>
      </c>
      <c r="L378" s="1">
        <f t="shared" si="35"/>
        <v>0.33226383828322881</v>
      </c>
    </row>
    <row r="379" spans="1:12" x14ac:dyDescent="0.25">
      <c r="A379" s="3">
        <v>41113</v>
      </c>
      <c r="B379" s="1">
        <f t="shared" si="30"/>
        <v>23</v>
      </c>
      <c r="C379" s="1">
        <v>58.984896735970452</v>
      </c>
      <c r="D379" s="1">
        <f t="shared" si="31"/>
        <v>35.984896735970452</v>
      </c>
      <c r="E379" s="2">
        <v>1</v>
      </c>
      <c r="F379" s="1">
        <v>58.984896735970452</v>
      </c>
      <c r="G379" s="1">
        <v>35.984896735970452</v>
      </c>
      <c r="H379" s="1">
        <v>23</v>
      </c>
      <c r="I379" s="6">
        <f t="shared" si="32"/>
        <v>-1.0427476487345828</v>
      </c>
      <c r="J379" s="1">
        <f t="shared" si="33"/>
        <v>-0.70781301543321451</v>
      </c>
      <c r="K379" s="6">
        <f t="shared" si="34"/>
        <v>-1.2261654566416846</v>
      </c>
      <c r="L379" s="1">
        <f t="shared" si="35"/>
        <v>-0.86300396788849765</v>
      </c>
    </row>
    <row r="380" spans="1:12" x14ac:dyDescent="0.25">
      <c r="A380" s="3">
        <v>41111</v>
      </c>
      <c r="B380" s="1">
        <f t="shared" si="30"/>
        <v>1300</v>
      </c>
      <c r="C380" s="1">
        <v>2469.0908961894334</v>
      </c>
      <c r="D380" s="1">
        <f t="shared" si="31"/>
        <v>1169.0908961894334</v>
      </c>
      <c r="E380" s="2">
        <v>20</v>
      </c>
      <c r="F380" s="1">
        <v>123.45454480947167</v>
      </c>
      <c r="G380" s="1">
        <v>58.45454480947167</v>
      </c>
      <c r="H380" s="1">
        <v>65</v>
      </c>
      <c r="I380" s="6">
        <f t="shared" si="32"/>
        <v>-0.14678495696578553</v>
      </c>
      <c r="J380" s="1">
        <f t="shared" si="33"/>
        <v>-2.7736903700942405E-3</v>
      </c>
      <c r="K380" s="6">
        <f t="shared" si="34"/>
        <v>7.1703530945745218E-3</v>
      </c>
      <c r="L380" s="1">
        <f t="shared" si="35"/>
        <v>0.16424274696382793</v>
      </c>
    </row>
    <row r="381" spans="1:12" x14ac:dyDescent="0.25">
      <c r="A381" s="3">
        <v>41107</v>
      </c>
      <c r="B381" s="1">
        <f t="shared" si="30"/>
        <v>1134</v>
      </c>
      <c r="C381" s="1">
        <v>2391.635723558129</v>
      </c>
      <c r="D381" s="1">
        <f t="shared" si="31"/>
        <v>1257.635723558129</v>
      </c>
      <c r="E381" s="2">
        <v>21</v>
      </c>
      <c r="F381" s="1">
        <v>113.88741540752996</v>
      </c>
      <c r="G381" s="1">
        <v>59.887415407529957</v>
      </c>
      <c r="H381" s="1">
        <v>54</v>
      </c>
      <c r="I381" s="6">
        <f t="shared" si="32"/>
        <v>-8.9650168125604654E-2</v>
      </c>
      <c r="J381" s="1">
        <f t="shared" si="33"/>
        <v>4.2186075624157486E-2</v>
      </c>
      <c r="K381" s="6">
        <f t="shared" si="34"/>
        <v>-0.17585349828961294</v>
      </c>
      <c r="L381" s="1">
        <f t="shared" si="35"/>
        <v>1.180198542116933E-2</v>
      </c>
    </row>
    <row r="382" spans="1:12" x14ac:dyDescent="0.25">
      <c r="A382" s="3">
        <v>41104</v>
      </c>
      <c r="B382" s="1">
        <f t="shared" si="30"/>
        <v>140</v>
      </c>
      <c r="C382" s="1">
        <v>238.11272791141252</v>
      </c>
      <c r="D382" s="1">
        <f t="shared" si="31"/>
        <v>98.11272791141252</v>
      </c>
      <c r="E382" s="2">
        <v>2</v>
      </c>
      <c r="F382" s="1">
        <v>119.05636395570626</v>
      </c>
      <c r="G382" s="1">
        <v>49.05636395570626</v>
      </c>
      <c r="H382" s="1">
        <v>70</v>
      </c>
      <c r="I382" s="6">
        <f t="shared" si="32"/>
        <v>-0.52153134319868577</v>
      </c>
      <c r="J382" s="1">
        <f t="shared" si="33"/>
        <v>-0.29766424959403437</v>
      </c>
      <c r="K382" s="6">
        <f t="shared" si="34"/>
        <v>-7.6968991647325249E-2</v>
      </c>
      <c r="L382" s="1">
        <f t="shared" si="35"/>
        <v>9.4162996750115469E-2</v>
      </c>
    </row>
    <row r="383" spans="1:12" x14ac:dyDescent="0.25">
      <c r="A383" s="3">
        <v>41097</v>
      </c>
      <c r="B383" s="1">
        <f t="shared" si="30"/>
        <v>992</v>
      </c>
      <c r="C383" s="1">
        <v>1829.4596214952578</v>
      </c>
      <c r="D383" s="1">
        <f t="shared" si="31"/>
        <v>837.45962149525781</v>
      </c>
      <c r="E383" s="2">
        <v>16</v>
      </c>
      <c r="F383" s="1">
        <v>114.34122634345361</v>
      </c>
      <c r="G383" s="1">
        <v>52.341226343453613</v>
      </c>
      <c r="H383" s="1">
        <v>62</v>
      </c>
      <c r="I383" s="6">
        <f t="shared" si="32"/>
        <v>-0.39054957893656306</v>
      </c>
      <c r="J383" s="1">
        <f t="shared" si="33"/>
        <v>-0.19459378079065937</v>
      </c>
      <c r="K383" s="6">
        <f t="shared" si="34"/>
        <v>-0.16717187376009074</v>
      </c>
      <c r="L383" s="1">
        <f t="shared" si="35"/>
        <v>1.9032919775893154E-2</v>
      </c>
    </row>
    <row r="384" spans="1:12" x14ac:dyDescent="0.25">
      <c r="A384" s="3">
        <v>41095</v>
      </c>
      <c r="B384" s="1">
        <f t="shared" si="30"/>
        <v>6604</v>
      </c>
      <c r="C384" s="1">
        <v>11658.448900173686</v>
      </c>
      <c r="D384" s="1">
        <f t="shared" si="31"/>
        <v>5054.4489001736856</v>
      </c>
      <c r="E384" s="2">
        <v>52</v>
      </c>
      <c r="F384" s="1">
        <v>224.20094038795548</v>
      </c>
      <c r="G384" s="1">
        <v>97.200940387955498</v>
      </c>
      <c r="H384" s="1">
        <v>127</v>
      </c>
      <c r="I384" s="6">
        <f t="shared" si="32"/>
        <v>1.3982025197084613</v>
      </c>
      <c r="J384" s="1">
        <f t="shared" si="33"/>
        <v>1.2129877892010568</v>
      </c>
      <c r="K384" s="6">
        <f t="shared" si="34"/>
        <v>1.9344980349075398</v>
      </c>
      <c r="L384" s="1">
        <f t="shared" si="35"/>
        <v>1.7695160342201941</v>
      </c>
    </row>
    <row r="385" spans="1:12" x14ac:dyDescent="0.25">
      <c r="A385" s="3">
        <v>41091</v>
      </c>
      <c r="B385" s="1">
        <f t="shared" si="30"/>
        <v>360</v>
      </c>
      <c r="C385" s="1">
        <v>860.13178822857344</v>
      </c>
      <c r="D385" s="1">
        <f t="shared" si="31"/>
        <v>500.13178822857344</v>
      </c>
      <c r="E385" s="2">
        <v>9</v>
      </c>
      <c r="F385" s="1">
        <v>95.570198692063713</v>
      </c>
      <c r="G385" s="1">
        <v>55.570198692063713</v>
      </c>
      <c r="H385" s="1">
        <v>40</v>
      </c>
      <c r="I385" s="6">
        <f t="shared" si="32"/>
        <v>-0.26179639385577297</v>
      </c>
      <c r="J385" s="1">
        <f t="shared" si="33"/>
        <v>-9.3276996572916576E-2</v>
      </c>
      <c r="K385" s="6">
        <f t="shared" si="34"/>
        <v>-0.52627078743206335</v>
      </c>
      <c r="L385" s="1">
        <f t="shared" si="35"/>
        <v>-0.28006094944003113</v>
      </c>
    </row>
    <row r="386" spans="1:12" x14ac:dyDescent="0.25">
      <c r="A386" s="3">
        <v>41087</v>
      </c>
      <c r="B386" s="1">
        <f t="shared" ref="B386:B449" si="36">+E386*H386</f>
        <v>7290</v>
      </c>
      <c r="C386" s="1">
        <v>12294.108336563362</v>
      </c>
      <c r="D386" s="1">
        <f t="shared" ref="D386:D449" si="37">+E386*G386</f>
        <v>5004.1083365633613</v>
      </c>
      <c r="E386" s="2">
        <v>45</v>
      </c>
      <c r="F386" s="1">
        <v>273.20240747918581</v>
      </c>
      <c r="G386" s="1">
        <v>111.20240747918581</v>
      </c>
      <c r="H386" s="1">
        <v>162</v>
      </c>
      <c r="I386" s="6">
        <f t="shared" si="32"/>
        <v>1.9565019689359371</v>
      </c>
      <c r="J386" s="1">
        <f t="shared" si="33"/>
        <v>1.6523175408555213</v>
      </c>
      <c r="K386" s="6">
        <f t="shared" si="34"/>
        <v>2.8719199985628334</v>
      </c>
      <c r="L386" s="1">
        <f t="shared" si="35"/>
        <v>2.5502957902229322</v>
      </c>
    </row>
    <row r="387" spans="1:12" x14ac:dyDescent="0.25">
      <c r="A387" s="3">
        <v>41080</v>
      </c>
      <c r="B387" s="1">
        <f t="shared" si="36"/>
        <v>4816</v>
      </c>
      <c r="C387" s="1">
        <v>8157.0353164480603</v>
      </c>
      <c r="D387" s="1">
        <f t="shared" si="37"/>
        <v>3341.0353164480603</v>
      </c>
      <c r="E387" s="2">
        <v>43</v>
      </c>
      <c r="F387" s="1">
        <v>189.69849573135025</v>
      </c>
      <c r="G387" s="1">
        <v>77.698495731350235</v>
      </c>
      <c r="H387" s="1">
        <v>112</v>
      </c>
      <c r="I387" s="6">
        <f t="shared" ref="I387:I450" si="38">(G387-AVERAGE($G$2:$G$501))/_xlfn.STDEV.S($G$2:$G$501)</f>
        <v>0.62055514608489493</v>
      </c>
      <c r="J387" s="1">
        <f t="shared" ref="J387:J450" si="39">(G387-MEDIAN($G$2:$G$502))/(PERCENTILE($G$2:$G$502,0.75)-PERCENTILE($G$2:$G$502,0.25))</f>
        <v>0.60105161766887361</v>
      </c>
      <c r="K387" s="6">
        <f t="shared" ref="K387:K450" si="40">(F387-AVERAGE($F$2:$F$501))/_xlfn.STDEV.S($F$2:$F$501)</f>
        <v>1.2744494416544743</v>
      </c>
      <c r="L387" s="1">
        <f t="shared" ref="L387:L450" si="41">(F387-MEDIAN($F$2:$F$502))/(PERCENTILE($F$2:$F$502,0.75)-PERCENTILE($F$2:$F$502,0.25))</f>
        <v>1.2197608550471322</v>
      </c>
    </row>
    <row r="388" spans="1:12" x14ac:dyDescent="0.25">
      <c r="A388" s="3">
        <v>41080</v>
      </c>
      <c r="B388" s="1">
        <f t="shared" si="36"/>
        <v>198</v>
      </c>
      <c r="C388" s="1">
        <v>439.8573078328385</v>
      </c>
      <c r="D388" s="1">
        <f t="shared" si="37"/>
        <v>241.85730783283847</v>
      </c>
      <c r="E388" s="2">
        <v>3</v>
      </c>
      <c r="F388" s="1">
        <v>146.61910261094616</v>
      </c>
      <c r="G388" s="1">
        <v>80.619102610946157</v>
      </c>
      <c r="H388" s="1">
        <v>66</v>
      </c>
      <c r="I388" s="6">
        <f t="shared" si="38"/>
        <v>0.73701245742690957</v>
      </c>
      <c r="J388" s="1">
        <f t="shared" si="39"/>
        <v>0.69269269261714528</v>
      </c>
      <c r="K388" s="6">
        <f t="shared" si="40"/>
        <v>0.45031964127886709</v>
      </c>
      <c r="L388" s="1">
        <f t="shared" si="41"/>
        <v>0.53334226299410337</v>
      </c>
    </row>
    <row r="389" spans="1:12" x14ac:dyDescent="0.25">
      <c r="A389" s="3">
        <v>41079</v>
      </c>
      <c r="B389" s="1">
        <f t="shared" si="36"/>
        <v>1330</v>
      </c>
      <c r="C389" s="1">
        <v>2336.1923461656493</v>
      </c>
      <c r="D389" s="1">
        <f t="shared" si="37"/>
        <v>1006.1923461656495</v>
      </c>
      <c r="E389" s="2">
        <v>14</v>
      </c>
      <c r="F389" s="1">
        <v>166.87088186897495</v>
      </c>
      <c r="G389" s="1">
        <v>71.870881868974962</v>
      </c>
      <c r="H389" s="1">
        <v>95</v>
      </c>
      <c r="I389" s="6">
        <f t="shared" si="38"/>
        <v>0.38818281049498016</v>
      </c>
      <c r="J389" s="1">
        <f t="shared" si="39"/>
        <v>0.41819619728946</v>
      </c>
      <c r="K389" s="6">
        <f t="shared" si="40"/>
        <v>0.83774605535397728</v>
      </c>
      <c r="L389" s="1">
        <f t="shared" si="41"/>
        <v>0.85603013758908464</v>
      </c>
    </row>
    <row r="390" spans="1:12" x14ac:dyDescent="0.25">
      <c r="A390" s="3">
        <v>41075</v>
      </c>
      <c r="B390" s="1">
        <f t="shared" si="36"/>
        <v>56</v>
      </c>
      <c r="C390" s="1">
        <v>93.798135092368568</v>
      </c>
      <c r="D390" s="1">
        <f t="shared" si="37"/>
        <v>37.798135092368561</v>
      </c>
      <c r="E390" s="2">
        <v>1</v>
      </c>
      <c r="F390" s="1">
        <v>93.798135092368568</v>
      </c>
      <c r="G390" s="1">
        <v>37.798135092368561</v>
      </c>
      <c r="H390" s="1">
        <v>56</v>
      </c>
      <c r="I390" s="6">
        <f t="shared" si="38"/>
        <v>-0.97044594141355067</v>
      </c>
      <c r="J390" s="1">
        <f t="shared" si="39"/>
        <v>-0.65091829492884101</v>
      </c>
      <c r="K390" s="6">
        <f t="shared" si="40"/>
        <v>-0.56017122833632327</v>
      </c>
      <c r="L390" s="1">
        <f t="shared" si="41"/>
        <v>-0.30829666292214702</v>
      </c>
    </row>
    <row r="391" spans="1:12" x14ac:dyDescent="0.25">
      <c r="A391" s="3">
        <v>41073</v>
      </c>
      <c r="B391" s="1">
        <f t="shared" si="36"/>
        <v>696</v>
      </c>
      <c r="C391" s="1">
        <v>1347.8620755020088</v>
      </c>
      <c r="D391" s="1">
        <f t="shared" si="37"/>
        <v>651.86207550200868</v>
      </c>
      <c r="E391" s="2">
        <v>12</v>
      </c>
      <c r="F391" s="1">
        <v>112.3218396251674</v>
      </c>
      <c r="G391" s="1">
        <v>54.321839625167392</v>
      </c>
      <c r="H391" s="1">
        <v>58</v>
      </c>
      <c r="I391" s="6">
        <f t="shared" si="38"/>
        <v>-0.31157390466554197</v>
      </c>
      <c r="J391" s="1">
        <f t="shared" si="39"/>
        <v>-0.13244726889235592</v>
      </c>
      <c r="K391" s="6">
        <f t="shared" si="40"/>
        <v>-0.20580372654341425</v>
      </c>
      <c r="L391" s="1">
        <f t="shared" si="41"/>
        <v>-1.31435917200424E-2</v>
      </c>
    </row>
    <row r="392" spans="1:12" x14ac:dyDescent="0.25">
      <c r="A392" s="3">
        <v>41071</v>
      </c>
      <c r="B392" s="1">
        <f t="shared" si="36"/>
        <v>296</v>
      </c>
      <c r="C392" s="1">
        <v>813.43941798473224</v>
      </c>
      <c r="D392" s="1">
        <f t="shared" si="37"/>
        <v>517.43941798473224</v>
      </c>
      <c r="E392" s="2">
        <v>8</v>
      </c>
      <c r="F392" s="1">
        <v>101.67992724809153</v>
      </c>
      <c r="G392" s="1">
        <v>64.679927248091531</v>
      </c>
      <c r="H392" s="1">
        <v>37</v>
      </c>
      <c r="I392" s="6">
        <f t="shared" si="38"/>
        <v>0.10144814347043914</v>
      </c>
      <c r="J392" s="1">
        <f t="shared" si="39"/>
        <v>0.19256267708999622</v>
      </c>
      <c r="K392" s="6">
        <f t="shared" si="40"/>
        <v>-0.4093887004176231</v>
      </c>
      <c r="L392" s="1">
        <f t="shared" si="41"/>
        <v>-0.18270973417259884</v>
      </c>
    </row>
    <row r="393" spans="1:12" x14ac:dyDescent="0.25">
      <c r="A393" s="3">
        <v>41064</v>
      </c>
      <c r="B393" s="1">
        <f t="shared" si="36"/>
        <v>1377</v>
      </c>
      <c r="C393" s="1">
        <v>4006.5975519674735</v>
      </c>
      <c r="D393" s="1">
        <f t="shared" si="37"/>
        <v>2629.5975519674735</v>
      </c>
      <c r="E393" s="2">
        <v>51</v>
      </c>
      <c r="F393" s="1">
        <v>78.560736313087716</v>
      </c>
      <c r="G393" s="1">
        <v>51.560736313087716</v>
      </c>
      <c r="H393" s="1">
        <v>27</v>
      </c>
      <c r="I393" s="6">
        <f t="shared" si="38"/>
        <v>-0.42167111436150023</v>
      </c>
      <c r="J393" s="1">
        <f t="shared" si="39"/>
        <v>-0.21908353525533275</v>
      </c>
      <c r="K393" s="6">
        <f t="shared" si="40"/>
        <v>-0.85167009832074003</v>
      </c>
      <c r="L393" s="1">
        <f t="shared" si="41"/>
        <v>-0.55108638345956562</v>
      </c>
    </row>
    <row r="394" spans="1:12" x14ac:dyDescent="0.25">
      <c r="A394" s="3">
        <v>41051</v>
      </c>
      <c r="B394" s="1">
        <f t="shared" si="36"/>
        <v>228</v>
      </c>
      <c r="C394" s="1">
        <v>505.65536129959304</v>
      </c>
      <c r="D394" s="1">
        <f t="shared" si="37"/>
        <v>277.65536129959304</v>
      </c>
      <c r="E394" s="2">
        <v>4</v>
      </c>
      <c r="F394" s="1">
        <v>126.41384032489826</v>
      </c>
      <c r="G394" s="1">
        <v>69.41384032489826</v>
      </c>
      <c r="H394" s="1">
        <v>57</v>
      </c>
      <c r="I394" s="6">
        <f t="shared" si="38"/>
        <v>0.29020986724203762</v>
      </c>
      <c r="J394" s="1">
        <f t="shared" si="39"/>
        <v>0.34110060121153013</v>
      </c>
      <c r="K394" s="6">
        <f t="shared" si="40"/>
        <v>6.3783119564253796E-2</v>
      </c>
      <c r="L394" s="1">
        <f t="shared" si="41"/>
        <v>0.21139558069782619</v>
      </c>
    </row>
    <row r="395" spans="1:12" x14ac:dyDescent="0.25">
      <c r="A395" s="3">
        <v>41050</v>
      </c>
      <c r="B395" s="1">
        <f t="shared" si="36"/>
        <v>6213</v>
      </c>
      <c r="C395" s="1">
        <v>10924.560491808963</v>
      </c>
      <c r="D395" s="1">
        <f t="shared" si="37"/>
        <v>4711.560491808963</v>
      </c>
      <c r="E395" s="2">
        <v>57</v>
      </c>
      <c r="F395" s="1">
        <v>191.65895599664847</v>
      </c>
      <c r="G395" s="1">
        <v>82.658955996648473</v>
      </c>
      <c r="H395" s="1">
        <v>109</v>
      </c>
      <c r="I395" s="6">
        <f t="shared" si="38"/>
        <v>0.81835029254960978</v>
      </c>
      <c r="J395" s="1">
        <f t="shared" si="39"/>
        <v>0.75669800545421395</v>
      </c>
      <c r="K395" s="6">
        <f t="shared" si="40"/>
        <v>1.3119540026534844</v>
      </c>
      <c r="L395" s="1">
        <f t="shared" si="41"/>
        <v>1.2509984440103932</v>
      </c>
    </row>
    <row r="396" spans="1:12" x14ac:dyDescent="0.25">
      <c r="A396" s="3">
        <v>41040</v>
      </c>
      <c r="B396" s="1">
        <f t="shared" si="36"/>
        <v>615</v>
      </c>
      <c r="C396" s="1">
        <v>1447.0887210619192</v>
      </c>
      <c r="D396" s="1">
        <f t="shared" si="37"/>
        <v>832.08872106191927</v>
      </c>
      <c r="E396" s="2">
        <v>15</v>
      </c>
      <c r="F396" s="1">
        <v>96.472581404127951</v>
      </c>
      <c r="G396" s="1">
        <v>55.472581404127951</v>
      </c>
      <c r="H396" s="1">
        <v>41</v>
      </c>
      <c r="I396" s="6">
        <f t="shared" si="38"/>
        <v>-0.26568882010900119</v>
      </c>
      <c r="J396" s="1">
        <f t="shared" si="39"/>
        <v>-9.6339974087098795E-2</v>
      </c>
      <c r="K396" s="6">
        <f t="shared" si="40"/>
        <v>-0.50900776605482712</v>
      </c>
      <c r="L396" s="1">
        <f t="shared" si="41"/>
        <v>-0.26568256047394445</v>
      </c>
    </row>
    <row r="397" spans="1:12" x14ac:dyDescent="0.25">
      <c r="A397" s="3">
        <v>41039</v>
      </c>
      <c r="B397" s="1">
        <f t="shared" si="36"/>
        <v>1813</v>
      </c>
      <c r="C397" s="1">
        <v>3229.2552603071399</v>
      </c>
      <c r="D397" s="1">
        <f t="shared" si="37"/>
        <v>1416.2552603071399</v>
      </c>
      <c r="E397" s="2">
        <v>49</v>
      </c>
      <c r="F397" s="1">
        <v>65.903168577696732</v>
      </c>
      <c r="G397" s="1">
        <v>28.903168577696732</v>
      </c>
      <c r="H397" s="1">
        <v>37</v>
      </c>
      <c r="I397" s="6">
        <f t="shared" si="38"/>
        <v>-1.3251269811703463</v>
      </c>
      <c r="J397" s="1">
        <f t="shared" si="39"/>
        <v>-0.93001929230312197</v>
      </c>
      <c r="K397" s="6">
        <f t="shared" si="40"/>
        <v>-1.0938155422422269</v>
      </c>
      <c r="L397" s="1">
        <f t="shared" si="41"/>
        <v>-0.75276958265086913</v>
      </c>
    </row>
    <row r="398" spans="1:12" x14ac:dyDescent="0.25">
      <c r="A398" s="3">
        <v>41037</v>
      </c>
      <c r="B398" s="1">
        <f t="shared" si="36"/>
        <v>418</v>
      </c>
      <c r="C398" s="1">
        <v>1179.7349899334779</v>
      </c>
      <c r="D398" s="1">
        <f t="shared" si="37"/>
        <v>761.73498993347789</v>
      </c>
      <c r="E398" s="2">
        <v>11</v>
      </c>
      <c r="F398" s="1">
        <v>107.24863544849799</v>
      </c>
      <c r="G398" s="1">
        <v>69.248635448497993</v>
      </c>
      <c r="H398" s="1">
        <v>38</v>
      </c>
      <c r="I398" s="6">
        <f t="shared" si="38"/>
        <v>0.28362242958975531</v>
      </c>
      <c r="J398" s="1">
        <f t="shared" si="39"/>
        <v>0.33591690032874943</v>
      </c>
      <c r="K398" s="6">
        <f t="shared" si="40"/>
        <v>-0.30285659666388443</v>
      </c>
      <c r="L398" s="1">
        <f t="shared" si="41"/>
        <v>-9.3979031031224028E-2</v>
      </c>
    </row>
    <row r="399" spans="1:12" x14ac:dyDescent="0.25">
      <c r="A399" s="3">
        <v>41024</v>
      </c>
      <c r="B399" s="1">
        <f t="shared" si="36"/>
        <v>470</v>
      </c>
      <c r="C399" s="1">
        <v>1278.9560201766008</v>
      </c>
      <c r="D399" s="1">
        <f t="shared" si="37"/>
        <v>808.95602017660076</v>
      </c>
      <c r="E399" s="2">
        <v>10</v>
      </c>
      <c r="F399" s="1">
        <v>127.89560201766008</v>
      </c>
      <c r="G399" s="1">
        <v>80.895602017660082</v>
      </c>
      <c r="H399" s="1">
        <v>47</v>
      </c>
      <c r="I399" s="6">
        <f t="shared" si="38"/>
        <v>0.74803769253079344</v>
      </c>
      <c r="J399" s="1">
        <f t="shared" si="39"/>
        <v>0.70136852743450662</v>
      </c>
      <c r="K399" s="6">
        <f t="shared" si="40"/>
        <v>9.2129943407545836E-2</v>
      </c>
      <c r="L399" s="1">
        <f t="shared" si="41"/>
        <v>0.23500568059085231</v>
      </c>
    </row>
    <row r="400" spans="1:12" x14ac:dyDescent="0.25">
      <c r="A400" s="3">
        <v>41007</v>
      </c>
      <c r="B400" s="1">
        <f t="shared" si="36"/>
        <v>1036</v>
      </c>
      <c r="C400" s="1">
        <v>1748.532317001788</v>
      </c>
      <c r="D400" s="1">
        <f t="shared" si="37"/>
        <v>712.53231700178799</v>
      </c>
      <c r="E400" s="2">
        <v>14</v>
      </c>
      <c r="F400" s="1">
        <v>124.89516550012772</v>
      </c>
      <c r="G400" s="1">
        <v>50.89516550012771</v>
      </c>
      <c r="H400" s="1">
        <v>74</v>
      </c>
      <c r="I400" s="6">
        <f t="shared" si="38"/>
        <v>-0.44821032028015678</v>
      </c>
      <c r="J400" s="1">
        <f t="shared" si="39"/>
        <v>-0.23996742249807207</v>
      </c>
      <c r="K400" s="6">
        <f t="shared" si="40"/>
        <v>3.4730129502961414E-2</v>
      </c>
      <c r="L400" s="1">
        <f t="shared" si="41"/>
        <v>0.18719731420665706</v>
      </c>
    </row>
    <row r="401" spans="1:12" x14ac:dyDescent="0.25">
      <c r="A401" s="3">
        <v>40996</v>
      </c>
      <c r="B401" s="1">
        <f t="shared" si="36"/>
        <v>1323</v>
      </c>
      <c r="C401" s="1">
        <v>2613.9513692192882</v>
      </c>
      <c r="D401" s="1">
        <f t="shared" si="37"/>
        <v>1290.9513692192884</v>
      </c>
      <c r="E401" s="2">
        <v>21</v>
      </c>
      <c r="F401" s="1">
        <v>124.47387472472801</v>
      </c>
      <c r="G401" s="1">
        <v>61.473874724728013</v>
      </c>
      <c r="H401" s="1">
        <v>63</v>
      </c>
      <c r="I401" s="6">
        <f t="shared" si="38"/>
        <v>-2.6391128394815725E-2</v>
      </c>
      <c r="J401" s="1">
        <f t="shared" si="39"/>
        <v>9.1965057590345831E-2</v>
      </c>
      <c r="K401" s="6">
        <f t="shared" si="40"/>
        <v>2.6670631504467045E-2</v>
      </c>
      <c r="L401" s="1">
        <f t="shared" si="41"/>
        <v>0.18048454970492522</v>
      </c>
    </row>
    <row r="402" spans="1:12" x14ac:dyDescent="0.25">
      <c r="A402" s="3">
        <v>40996</v>
      </c>
      <c r="B402" s="1">
        <f t="shared" si="36"/>
        <v>1904</v>
      </c>
      <c r="C402" s="1">
        <v>4185.2272305858596</v>
      </c>
      <c r="D402" s="1">
        <f t="shared" si="37"/>
        <v>2281.2272305858601</v>
      </c>
      <c r="E402" s="2">
        <v>28</v>
      </c>
      <c r="F402" s="1">
        <v>149.47240109235213</v>
      </c>
      <c r="G402" s="1">
        <v>81.472401092352143</v>
      </c>
      <c r="H402" s="1">
        <v>68</v>
      </c>
      <c r="I402" s="6">
        <f t="shared" si="38"/>
        <v>0.77103718277115507</v>
      </c>
      <c r="J402" s="1">
        <f t="shared" si="39"/>
        <v>0.71946698758785066</v>
      </c>
      <c r="K402" s="6">
        <f t="shared" si="40"/>
        <v>0.50490463279257924</v>
      </c>
      <c r="L402" s="1">
        <f t="shared" si="41"/>
        <v>0.57880616079878444</v>
      </c>
    </row>
    <row r="403" spans="1:12" x14ac:dyDescent="0.25">
      <c r="A403" s="3">
        <v>40989</v>
      </c>
      <c r="B403" s="1">
        <f t="shared" si="36"/>
        <v>282</v>
      </c>
      <c r="C403" s="1">
        <v>486.6785353398941</v>
      </c>
      <c r="D403" s="1">
        <f t="shared" si="37"/>
        <v>204.67853533989415</v>
      </c>
      <c r="E403" s="2">
        <v>6</v>
      </c>
      <c r="F403" s="1">
        <v>81.113089223315683</v>
      </c>
      <c r="G403" s="1">
        <v>34.11308922331569</v>
      </c>
      <c r="H403" s="1">
        <v>47</v>
      </c>
      <c r="I403" s="6">
        <f t="shared" si="38"/>
        <v>-1.1173847633002094</v>
      </c>
      <c r="J403" s="1">
        <f t="shared" si="39"/>
        <v>-0.76654548427532909</v>
      </c>
      <c r="K403" s="6">
        <f t="shared" si="40"/>
        <v>-0.80284234235595164</v>
      </c>
      <c r="L403" s="1">
        <f t="shared" si="41"/>
        <v>-0.51041769330034137</v>
      </c>
    </row>
    <row r="404" spans="1:12" x14ac:dyDescent="0.25">
      <c r="A404" s="3">
        <v>40988</v>
      </c>
      <c r="B404" s="1">
        <f t="shared" si="36"/>
        <v>407</v>
      </c>
      <c r="C404" s="1">
        <v>916.99645670966538</v>
      </c>
      <c r="D404" s="1">
        <f t="shared" si="37"/>
        <v>509.99645670966538</v>
      </c>
      <c r="E404" s="2">
        <v>11</v>
      </c>
      <c r="F404" s="1">
        <v>83.363314246333218</v>
      </c>
      <c r="G404" s="1">
        <v>46.363314246333218</v>
      </c>
      <c r="H404" s="1">
        <v>37</v>
      </c>
      <c r="I404" s="6">
        <f t="shared" si="38"/>
        <v>-0.62891495947893294</v>
      </c>
      <c r="J404" s="1">
        <f t="shared" si="39"/>
        <v>-0.38216517026919944</v>
      </c>
      <c r="K404" s="6">
        <f t="shared" si="40"/>
        <v>-0.75979444022240739</v>
      </c>
      <c r="L404" s="1">
        <f t="shared" si="41"/>
        <v>-0.47456304957810636</v>
      </c>
    </row>
    <row r="405" spans="1:12" x14ac:dyDescent="0.25">
      <c r="A405" s="3">
        <v>40986</v>
      </c>
      <c r="B405" s="1">
        <f t="shared" si="36"/>
        <v>1170</v>
      </c>
      <c r="C405" s="1">
        <v>2744.6756130094691</v>
      </c>
      <c r="D405" s="1">
        <f t="shared" si="37"/>
        <v>1574.6756130094691</v>
      </c>
      <c r="E405" s="2">
        <v>15</v>
      </c>
      <c r="F405" s="1">
        <v>182.97837420063127</v>
      </c>
      <c r="G405" s="1">
        <v>104.97837420063127</v>
      </c>
      <c r="H405" s="1">
        <v>78</v>
      </c>
      <c r="I405" s="6">
        <f t="shared" si="38"/>
        <v>1.7083226653851729</v>
      </c>
      <c r="J405" s="1">
        <f t="shared" si="39"/>
        <v>1.4570235065418486</v>
      </c>
      <c r="K405" s="6">
        <f t="shared" si="40"/>
        <v>1.1458902393432393</v>
      </c>
      <c r="L405" s="1">
        <f t="shared" si="41"/>
        <v>1.1126837579615523</v>
      </c>
    </row>
    <row r="406" spans="1:12" x14ac:dyDescent="0.25">
      <c r="A406" s="3">
        <v>40984</v>
      </c>
      <c r="B406" s="1">
        <f t="shared" si="36"/>
        <v>1326</v>
      </c>
      <c r="C406" s="1">
        <v>2829.9801501063434</v>
      </c>
      <c r="D406" s="1">
        <f t="shared" si="37"/>
        <v>1503.9801501063434</v>
      </c>
      <c r="E406" s="2">
        <v>13</v>
      </c>
      <c r="F406" s="1">
        <v>217.69078077741102</v>
      </c>
      <c r="G406" s="1">
        <v>115.69078077741104</v>
      </c>
      <c r="H406" s="1">
        <v>102</v>
      </c>
      <c r="I406" s="6">
        <f t="shared" si="38"/>
        <v>2.1354729527620515</v>
      </c>
      <c r="J406" s="1">
        <f t="shared" si="39"/>
        <v>1.7931510630566971</v>
      </c>
      <c r="K406" s="6">
        <f t="shared" si="40"/>
        <v>1.8099555065284625</v>
      </c>
      <c r="L406" s="1">
        <f t="shared" si="41"/>
        <v>1.665784429148119</v>
      </c>
    </row>
    <row r="407" spans="1:12" x14ac:dyDescent="0.25">
      <c r="A407" s="3">
        <v>40982</v>
      </c>
      <c r="B407" s="1">
        <f t="shared" si="36"/>
        <v>100</v>
      </c>
      <c r="C407" s="1">
        <v>206.09187363701926</v>
      </c>
      <c r="D407" s="1">
        <f t="shared" si="37"/>
        <v>106.09187363701926</v>
      </c>
      <c r="E407" s="2">
        <v>2</v>
      </c>
      <c r="F407" s="1">
        <v>103.04593681850963</v>
      </c>
      <c r="G407" s="1">
        <v>53.045936818509631</v>
      </c>
      <c r="H407" s="1">
        <v>50</v>
      </c>
      <c r="I407" s="6">
        <f t="shared" si="38"/>
        <v>-0.36244970429306694</v>
      </c>
      <c r="J407" s="1">
        <f t="shared" si="39"/>
        <v>-0.17248179238420333</v>
      </c>
      <c r="K407" s="6">
        <f t="shared" si="40"/>
        <v>-0.38325627112751248</v>
      </c>
      <c r="L407" s="1">
        <f t="shared" si="41"/>
        <v>-0.16094400587097973</v>
      </c>
    </row>
    <row r="408" spans="1:12" x14ac:dyDescent="0.25">
      <c r="A408" s="3">
        <v>40981</v>
      </c>
      <c r="B408" s="1">
        <f t="shared" si="36"/>
        <v>16380</v>
      </c>
      <c r="C408" s="1">
        <v>34939.927708330608</v>
      </c>
      <c r="D408" s="1">
        <f t="shared" si="37"/>
        <v>18559.927708330611</v>
      </c>
      <c r="E408" s="2">
        <v>180</v>
      </c>
      <c r="F408" s="1">
        <v>194.11070949072561</v>
      </c>
      <c r="G408" s="1">
        <v>103.11070949072561</v>
      </c>
      <c r="H408" s="1">
        <v>91</v>
      </c>
      <c r="I408" s="6">
        <f t="shared" si="38"/>
        <v>1.6338507424011155</v>
      </c>
      <c r="J408" s="1">
        <f t="shared" si="39"/>
        <v>1.3984210281136713</v>
      </c>
      <c r="K408" s="6">
        <f t="shared" si="40"/>
        <v>1.3588572427245933</v>
      </c>
      <c r="L408" s="1">
        <f t="shared" si="41"/>
        <v>1.2900642028237044</v>
      </c>
    </row>
    <row r="409" spans="1:12" x14ac:dyDescent="0.25">
      <c r="A409" s="3">
        <v>40979</v>
      </c>
      <c r="B409" s="1">
        <f t="shared" si="36"/>
        <v>2730</v>
      </c>
      <c r="C409" s="1">
        <v>5095.8072521658378</v>
      </c>
      <c r="D409" s="1">
        <f t="shared" si="37"/>
        <v>2365.8072521658373</v>
      </c>
      <c r="E409" s="2">
        <v>39</v>
      </c>
      <c r="F409" s="1">
        <v>130.66172441450865</v>
      </c>
      <c r="G409" s="1">
        <v>60.661724414508654</v>
      </c>
      <c r="H409" s="1">
        <v>70</v>
      </c>
      <c r="I409" s="6">
        <f t="shared" si="38"/>
        <v>-5.8775097012603555E-2</v>
      </c>
      <c r="J409" s="1">
        <f t="shared" si="39"/>
        <v>6.6481885593445117E-2</v>
      </c>
      <c r="K409" s="6">
        <f t="shared" si="40"/>
        <v>0.14504721390757017</v>
      </c>
      <c r="L409" s="1">
        <f t="shared" si="41"/>
        <v>0.27908053177978048</v>
      </c>
    </row>
    <row r="410" spans="1:12" x14ac:dyDescent="0.25">
      <c r="A410" s="3">
        <v>40976</v>
      </c>
      <c r="B410" s="1">
        <f t="shared" si="36"/>
        <v>560</v>
      </c>
      <c r="C410" s="1">
        <v>1665.2926883065361</v>
      </c>
      <c r="D410" s="1">
        <f t="shared" si="37"/>
        <v>1105.2926883065361</v>
      </c>
      <c r="E410" s="2">
        <v>28</v>
      </c>
      <c r="F410" s="1">
        <v>59.474738868090576</v>
      </c>
      <c r="G410" s="1">
        <v>39.474738868090576</v>
      </c>
      <c r="H410" s="1">
        <v>20</v>
      </c>
      <c r="I410" s="6">
        <f t="shared" si="38"/>
        <v>-0.90359244967163233</v>
      </c>
      <c r="J410" s="1">
        <f t="shared" si="39"/>
        <v>-0.59831081346911308</v>
      </c>
      <c r="K410" s="6">
        <f t="shared" si="40"/>
        <v>-1.2167945377563738</v>
      </c>
      <c r="L410" s="1">
        <f t="shared" si="41"/>
        <v>-0.85519891952770966</v>
      </c>
    </row>
    <row r="411" spans="1:12" x14ac:dyDescent="0.25">
      <c r="A411" s="3">
        <v>40968</v>
      </c>
      <c r="B411" s="1">
        <f t="shared" si="36"/>
        <v>846</v>
      </c>
      <c r="C411" s="1">
        <v>1668.7210717787204</v>
      </c>
      <c r="D411" s="1">
        <f t="shared" si="37"/>
        <v>822.72107177872067</v>
      </c>
      <c r="E411" s="2">
        <v>18</v>
      </c>
      <c r="F411" s="1">
        <v>92.706726209928917</v>
      </c>
      <c r="G411" s="1">
        <v>45.706726209928924</v>
      </c>
      <c r="H411" s="1">
        <v>47</v>
      </c>
      <c r="I411" s="6">
        <f t="shared" si="38"/>
        <v>-0.65509598298920968</v>
      </c>
      <c r="J411" s="1">
        <f t="shared" si="39"/>
        <v>-0.40276720126304183</v>
      </c>
      <c r="K411" s="6">
        <f t="shared" si="40"/>
        <v>-0.58105041254161638</v>
      </c>
      <c r="L411" s="1">
        <f t="shared" si="41"/>
        <v>-0.32568695777482826</v>
      </c>
    </row>
    <row r="412" spans="1:12" x14ac:dyDescent="0.25">
      <c r="A412" s="3">
        <v>40962</v>
      </c>
      <c r="B412" s="1">
        <f t="shared" si="36"/>
        <v>1380</v>
      </c>
      <c r="C412" s="1">
        <v>3929.5693978042805</v>
      </c>
      <c r="D412" s="1">
        <f t="shared" si="37"/>
        <v>2549.5693978042805</v>
      </c>
      <c r="E412" s="2">
        <v>60</v>
      </c>
      <c r="F412" s="1">
        <v>65.49282329673801</v>
      </c>
      <c r="G412" s="1">
        <v>42.49282329673801</v>
      </c>
      <c r="H412" s="1">
        <v>23</v>
      </c>
      <c r="I412" s="6">
        <f t="shared" si="38"/>
        <v>-0.78324828407406688</v>
      </c>
      <c r="J412" s="1">
        <f t="shared" si="39"/>
        <v>-0.50361114565070486</v>
      </c>
      <c r="K412" s="6">
        <f t="shared" si="40"/>
        <v>-1.1016656475939064</v>
      </c>
      <c r="L412" s="1">
        <f t="shared" si="41"/>
        <v>-0.75930794379314526</v>
      </c>
    </row>
    <row r="413" spans="1:12" x14ac:dyDescent="0.25">
      <c r="A413" s="3">
        <v>40958</v>
      </c>
      <c r="B413" s="1">
        <f t="shared" si="36"/>
        <v>1540</v>
      </c>
      <c r="C413" s="1">
        <v>2832.5032330315366</v>
      </c>
      <c r="D413" s="1">
        <f t="shared" si="37"/>
        <v>1292.5032330315364</v>
      </c>
      <c r="E413" s="2">
        <v>20</v>
      </c>
      <c r="F413" s="1">
        <v>141.62516165157683</v>
      </c>
      <c r="G413" s="1">
        <v>64.625161651576818</v>
      </c>
      <c r="H413" s="1">
        <v>77</v>
      </c>
      <c r="I413" s="6">
        <f t="shared" si="38"/>
        <v>9.9264400711801426E-2</v>
      </c>
      <c r="J413" s="1">
        <f t="shared" si="39"/>
        <v>0.19084427459979664</v>
      </c>
      <c r="K413" s="6">
        <f t="shared" si="40"/>
        <v>0.35478311516231709</v>
      </c>
      <c r="L413" s="1">
        <f t="shared" si="41"/>
        <v>0.4537697882253573</v>
      </c>
    </row>
    <row r="414" spans="1:12" x14ac:dyDescent="0.25">
      <c r="A414" s="3">
        <v>40924</v>
      </c>
      <c r="B414" s="1">
        <f t="shared" si="36"/>
        <v>2890</v>
      </c>
      <c r="C414" s="1">
        <v>5039.5504932188396</v>
      </c>
      <c r="D414" s="1">
        <f t="shared" si="37"/>
        <v>2149.5504932188396</v>
      </c>
      <c r="E414" s="2">
        <v>34</v>
      </c>
      <c r="F414" s="1">
        <v>148.22207332996587</v>
      </c>
      <c r="G414" s="1">
        <v>63.222073329965873</v>
      </c>
      <c r="H414" s="1">
        <v>85</v>
      </c>
      <c r="I414" s="6">
        <f t="shared" si="38"/>
        <v>4.3317160892658926E-2</v>
      </c>
      <c r="J414" s="1">
        <f t="shared" si="39"/>
        <v>0.14681899925785025</v>
      </c>
      <c r="K414" s="6">
        <f t="shared" si="40"/>
        <v>0.48098525290857114</v>
      </c>
      <c r="L414" s="1">
        <f t="shared" si="41"/>
        <v>0.55888368371413177</v>
      </c>
    </row>
    <row r="415" spans="1:12" x14ac:dyDescent="0.25">
      <c r="A415" s="3">
        <v>40913</v>
      </c>
      <c r="B415" s="1">
        <f t="shared" si="36"/>
        <v>1886</v>
      </c>
      <c r="C415" s="1">
        <v>3637.8420474358481</v>
      </c>
      <c r="D415" s="1">
        <f t="shared" si="37"/>
        <v>1751.8420474358486</v>
      </c>
      <c r="E415" s="2">
        <v>46</v>
      </c>
      <c r="F415" s="1">
        <v>79.08352277034453</v>
      </c>
      <c r="G415" s="1">
        <v>38.083522770344537</v>
      </c>
      <c r="H415" s="1">
        <v>41</v>
      </c>
      <c r="I415" s="6">
        <f t="shared" si="38"/>
        <v>-0.95906629223878015</v>
      </c>
      <c r="J415" s="1">
        <f t="shared" si="39"/>
        <v>-0.6419635691937815</v>
      </c>
      <c r="K415" s="6">
        <f t="shared" si="40"/>
        <v>-0.841668938428493</v>
      </c>
      <c r="L415" s="1">
        <f t="shared" si="41"/>
        <v>-0.54275640669012393</v>
      </c>
    </row>
    <row r="416" spans="1:12" x14ac:dyDescent="0.25">
      <c r="A416" s="3">
        <v>40904</v>
      </c>
      <c r="B416" s="1">
        <f t="shared" si="36"/>
        <v>2340</v>
      </c>
      <c r="C416" s="1">
        <v>4777.0288432806292</v>
      </c>
      <c r="D416" s="1">
        <f t="shared" si="37"/>
        <v>2437.0288432806287</v>
      </c>
      <c r="E416" s="2">
        <v>26</v>
      </c>
      <c r="F416" s="1">
        <v>183.73187858771649</v>
      </c>
      <c r="G416" s="1">
        <v>93.731878587716494</v>
      </c>
      <c r="H416" s="1">
        <v>90</v>
      </c>
      <c r="I416" s="6">
        <f t="shared" si="38"/>
        <v>1.2598759229461411</v>
      </c>
      <c r="J416" s="1">
        <f t="shared" si="39"/>
        <v>1.104137620197869</v>
      </c>
      <c r="K416" s="6">
        <f t="shared" si="40"/>
        <v>1.1603051457551072</v>
      </c>
      <c r="L416" s="1">
        <f t="shared" si="41"/>
        <v>1.1246899489272242</v>
      </c>
    </row>
    <row r="417" spans="1:12" x14ac:dyDescent="0.25">
      <c r="A417" s="3">
        <v>40903</v>
      </c>
      <c r="B417" s="1">
        <f t="shared" si="36"/>
        <v>511</v>
      </c>
      <c r="C417" s="1">
        <v>999.28417559687614</v>
      </c>
      <c r="D417" s="1">
        <f t="shared" si="37"/>
        <v>488.28417559687608</v>
      </c>
      <c r="E417" s="2">
        <v>7</v>
      </c>
      <c r="F417" s="1">
        <v>142.75488222812515</v>
      </c>
      <c r="G417" s="1">
        <v>69.754882228125155</v>
      </c>
      <c r="H417" s="1">
        <v>73</v>
      </c>
      <c r="I417" s="6">
        <f t="shared" si="38"/>
        <v>0.3038086926718615</v>
      </c>
      <c r="J417" s="1">
        <f t="shared" si="39"/>
        <v>0.35180161230359508</v>
      </c>
      <c r="K417" s="6">
        <f t="shared" si="40"/>
        <v>0.37639522076066662</v>
      </c>
      <c r="L417" s="1">
        <f t="shared" si="41"/>
        <v>0.47177053409009762</v>
      </c>
    </row>
    <row r="418" spans="1:12" x14ac:dyDescent="0.25">
      <c r="A418" s="3">
        <v>40903</v>
      </c>
      <c r="B418" s="1">
        <f t="shared" si="36"/>
        <v>1394</v>
      </c>
      <c r="C418" s="1">
        <v>2653.5564567678948</v>
      </c>
      <c r="D418" s="1">
        <f t="shared" si="37"/>
        <v>1259.5564567678948</v>
      </c>
      <c r="E418" s="2">
        <v>34</v>
      </c>
      <c r="F418" s="1">
        <v>78.045778140232201</v>
      </c>
      <c r="G418" s="1">
        <v>37.045778140232201</v>
      </c>
      <c r="H418" s="1">
        <v>41</v>
      </c>
      <c r="I418" s="6">
        <f t="shared" si="38"/>
        <v>-1.0004456885302855</v>
      </c>
      <c r="J418" s="1">
        <f t="shared" si="39"/>
        <v>-0.67452530630728458</v>
      </c>
      <c r="K418" s="6">
        <f t="shared" si="40"/>
        <v>-0.8615214993145065</v>
      </c>
      <c r="L418" s="1">
        <f t="shared" si="41"/>
        <v>-0.55929162588231141</v>
      </c>
    </row>
    <row r="419" spans="1:12" x14ac:dyDescent="0.25">
      <c r="A419" s="3">
        <v>40898</v>
      </c>
      <c r="B419" s="1">
        <f t="shared" si="36"/>
        <v>1380</v>
      </c>
      <c r="C419" s="1">
        <v>2386.5684879247269</v>
      </c>
      <c r="D419" s="1">
        <f t="shared" si="37"/>
        <v>1006.568487924727</v>
      </c>
      <c r="E419" s="2">
        <v>23</v>
      </c>
      <c r="F419" s="1">
        <v>103.76384730107509</v>
      </c>
      <c r="G419" s="1">
        <v>43.763847301075089</v>
      </c>
      <c r="H419" s="1">
        <v>60</v>
      </c>
      <c r="I419" s="6">
        <f t="shared" si="38"/>
        <v>-0.7325670235352516</v>
      </c>
      <c r="J419" s="1">
        <f t="shared" si="39"/>
        <v>-0.46372970633196242</v>
      </c>
      <c r="K419" s="6">
        <f t="shared" si="40"/>
        <v>-0.369522293468389</v>
      </c>
      <c r="L419" s="1">
        <f t="shared" si="41"/>
        <v>-0.14950496119165047</v>
      </c>
    </row>
    <row r="420" spans="1:12" x14ac:dyDescent="0.25">
      <c r="A420" s="3">
        <v>40898</v>
      </c>
      <c r="B420" s="1">
        <f t="shared" si="36"/>
        <v>1980</v>
      </c>
      <c r="C420" s="1">
        <v>4052.9053219022499</v>
      </c>
      <c r="D420" s="1">
        <f t="shared" si="37"/>
        <v>2072.9053219022499</v>
      </c>
      <c r="E420" s="2">
        <v>30</v>
      </c>
      <c r="F420" s="1">
        <v>135.09684406340833</v>
      </c>
      <c r="G420" s="1">
        <v>69.096844063408327</v>
      </c>
      <c r="H420" s="1">
        <v>66</v>
      </c>
      <c r="I420" s="6">
        <f t="shared" si="38"/>
        <v>0.27756984623253583</v>
      </c>
      <c r="J420" s="1">
        <f t="shared" si="39"/>
        <v>0.33115408004140262</v>
      </c>
      <c r="K420" s="6">
        <f t="shared" si="40"/>
        <v>0.22989321581557787</v>
      </c>
      <c r="L420" s="1">
        <f t="shared" si="41"/>
        <v>0.34974885750283979</v>
      </c>
    </row>
    <row r="421" spans="1:12" x14ac:dyDescent="0.25">
      <c r="A421" s="3">
        <v>40892</v>
      </c>
      <c r="B421" s="1">
        <f t="shared" si="36"/>
        <v>1653</v>
      </c>
      <c r="C421" s="1">
        <v>2881.6136271834175</v>
      </c>
      <c r="D421" s="1">
        <f t="shared" si="37"/>
        <v>1228.6136271834175</v>
      </c>
      <c r="E421" s="2">
        <v>29</v>
      </c>
      <c r="F421" s="1">
        <v>99.365987144255769</v>
      </c>
      <c r="G421" s="1">
        <v>42.365987144255776</v>
      </c>
      <c r="H421" s="1">
        <v>57</v>
      </c>
      <c r="I421" s="6">
        <f t="shared" si="38"/>
        <v>-0.78830579366299536</v>
      </c>
      <c r="J421" s="1">
        <f t="shared" si="39"/>
        <v>-0.50759093541185996</v>
      </c>
      <c r="K421" s="6">
        <f t="shared" si="40"/>
        <v>-0.45365550312130498</v>
      </c>
      <c r="L421" s="1">
        <f t="shared" si="41"/>
        <v>-0.21957960148318748</v>
      </c>
    </row>
    <row r="422" spans="1:12" x14ac:dyDescent="0.25">
      <c r="A422" s="3">
        <v>40857</v>
      </c>
      <c r="B422" s="1">
        <f t="shared" si="36"/>
        <v>240</v>
      </c>
      <c r="C422" s="1">
        <v>458.36908671125639</v>
      </c>
      <c r="D422" s="1">
        <f t="shared" si="37"/>
        <v>218.36908671125636</v>
      </c>
      <c r="E422" s="2">
        <v>3</v>
      </c>
      <c r="F422" s="1">
        <v>152.78969557041879</v>
      </c>
      <c r="G422" s="1">
        <v>72.789695570418786</v>
      </c>
      <c r="H422" s="1">
        <v>80</v>
      </c>
      <c r="I422" s="6">
        <f t="shared" si="38"/>
        <v>0.42481991288691745</v>
      </c>
      <c r="J422" s="1">
        <f t="shared" si="39"/>
        <v>0.44702619007820604</v>
      </c>
      <c r="K422" s="6">
        <f t="shared" si="40"/>
        <v>0.56836609401500537</v>
      </c>
      <c r="L422" s="1">
        <f t="shared" si="41"/>
        <v>0.63166327971630465</v>
      </c>
    </row>
    <row r="423" spans="1:12" x14ac:dyDescent="0.25">
      <c r="A423" s="3">
        <v>40838</v>
      </c>
      <c r="B423" s="1">
        <f t="shared" si="36"/>
        <v>2964</v>
      </c>
      <c r="C423" s="1">
        <v>5748.1970867085693</v>
      </c>
      <c r="D423" s="1">
        <f t="shared" si="37"/>
        <v>2784.1970867085688</v>
      </c>
      <c r="E423" s="2">
        <v>38</v>
      </c>
      <c r="F423" s="1">
        <v>151.2683443870676</v>
      </c>
      <c r="G423" s="1">
        <v>73.2683443870676</v>
      </c>
      <c r="H423" s="1">
        <v>78</v>
      </c>
      <c r="I423" s="6">
        <f t="shared" si="38"/>
        <v>0.44390572503554526</v>
      </c>
      <c r="J423" s="1">
        <f t="shared" si="39"/>
        <v>0.46204494949661989</v>
      </c>
      <c r="K423" s="6">
        <f t="shared" si="40"/>
        <v>0.53926190390879514</v>
      </c>
      <c r="L423" s="1">
        <f t="shared" si="41"/>
        <v>0.60742236865297039</v>
      </c>
    </row>
    <row r="424" spans="1:12" x14ac:dyDescent="0.25">
      <c r="A424" s="3">
        <v>40838</v>
      </c>
      <c r="B424" s="1">
        <f t="shared" si="36"/>
        <v>420</v>
      </c>
      <c r="C424" s="1">
        <v>805.67923352712171</v>
      </c>
      <c r="D424" s="1">
        <f t="shared" si="37"/>
        <v>385.67923352712171</v>
      </c>
      <c r="E424" s="2">
        <v>6</v>
      </c>
      <c r="F424" s="1">
        <v>134.27987225452028</v>
      </c>
      <c r="G424" s="1">
        <v>64.279872254520285</v>
      </c>
      <c r="H424" s="1">
        <v>70</v>
      </c>
      <c r="I424" s="6">
        <f t="shared" si="38"/>
        <v>8.5496209211248439E-2</v>
      </c>
      <c r="J424" s="1">
        <f t="shared" si="39"/>
        <v>0.18000998815900077</v>
      </c>
      <c r="K424" s="6">
        <f t="shared" si="40"/>
        <v>0.21426414667132146</v>
      </c>
      <c r="L424" s="1">
        <f t="shared" si="41"/>
        <v>0.33673138909894218</v>
      </c>
    </row>
    <row r="425" spans="1:12" x14ac:dyDescent="0.25">
      <c r="A425" s="3">
        <v>40822</v>
      </c>
      <c r="B425" s="1">
        <f t="shared" si="36"/>
        <v>585</v>
      </c>
      <c r="C425" s="1">
        <v>996.59915066713552</v>
      </c>
      <c r="D425" s="1">
        <f t="shared" si="37"/>
        <v>411.59915066713552</v>
      </c>
      <c r="E425" s="2">
        <v>9</v>
      </c>
      <c r="F425" s="1">
        <v>110.73323896301505</v>
      </c>
      <c r="G425" s="1">
        <v>45.733238963015054</v>
      </c>
      <c r="H425" s="1">
        <v>65</v>
      </c>
      <c r="I425" s="6">
        <f t="shared" si="38"/>
        <v>-0.65403880409866599</v>
      </c>
      <c r="J425" s="1">
        <f t="shared" si="39"/>
        <v>-0.40193529978063919</v>
      </c>
      <c r="K425" s="6">
        <f t="shared" si="40"/>
        <v>-0.23619443197691475</v>
      </c>
      <c r="L425" s="1">
        <f t="shared" si="41"/>
        <v>-3.845604277526965E-2</v>
      </c>
    </row>
    <row r="426" spans="1:12" x14ac:dyDescent="0.25">
      <c r="A426" s="3">
        <v>40817</v>
      </c>
      <c r="B426" s="1">
        <f t="shared" si="36"/>
        <v>5375</v>
      </c>
      <c r="C426" s="1">
        <v>9298.4795972802331</v>
      </c>
      <c r="D426" s="1">
        <f t="shared" si="37"/>
        <v>3923.4795972802331</v>
      </c>
      <c r="E426" s="2">
        <v>43</v>
      </c>
      <c r="F426" s="1">
        <v>216.24371156465656</v>
      </c>
      <c r="G426" s="1">
        <v>91.243711564656579</v>
      </c>
      <c r="H426" s="1">
        <v>125</v>
      </c>
      <c r="I426" s="6">
        <f t="shared" si="38"/>
        <v>1.1606618713393351</v>
      </c>
      <c r="J426" s="1">
        <f t="shared" si="39"/>
        <v>1.0260653872530505</v>
      </c>
      <c r="K426" s="6">
        <f t="shared" si="40"/>
        <v>1.7822723667473646</v>
      </c>
      <c r="L426" s="1">
        <f t="shared" si="41"/>
        <v>1.6427271124202347</v>
      </c>
    </row>
    <row r="427" spans="1:12" x14ac:dyDescent="0.25">
      <c r="A427" s="3">
        <v>40792</v>
      </c>
      <c r="B427" s="1">
        <f t="shared" si="36"/>
        <v>360</v>
      </c>
      <c r="C427" s="1">
        <v>886.78258143004041</v>
      </c>
      <c r="D427" s="1">
        <f t="shared" si="37"/>
        <v>526.78258143004041</v>
      </c>
      <c r="E427" s="2">
        <v>9</v>
      </c>
      <c r="F427" s="1">
        <v>98.531397936671155</v>
      </c>
      <c r="G427" s="1">
        <v>58.531397936671155</v>
      </c>
      <c r="H427" s="1">
        <v>40</v>
      </c>
      <c r="I427" s="6">
        <f t="shared" si="38"/>
        <v>-0.14372048819924063</v>
      </c>
      <c r="J427" s="1">
        <f t="shared" si="39"/>
        <v>-3.6223840820903133E-4</v>
      </c>
      <c r="K427" s="6">
        <f t="shared" si="40"/>
        <v>-0.46962160169469852</v>
      </c>
      <c r="L427" s="1">
        <f t="shared" si="41"/>
        <v>-0.23287778205903098</v>
      </c>
    </row>
    <row r="428" spans="1:12" x14ac:dyDescent="0.25">
      <c r="A428" s="3">
        <v>40783</v>
      </c>
      <c r="B428" s="1">
        <f t="shared" si="36"/>
        <v>874</v>
      </c>
      <c r="C428" s="1">
        <v>1747.48476905098</v>
      </c>
      <c r="D428" s="1">
        <f t="shared" si="37"/>
        <v>873.48476905098005</v>
      </c>
      <c r="E428" s="2">
        <v>19</v>
      </c>
      <c r="F428" s="1">
        <v>91.972882581630529</v>
      </c>
      <c r="G428" s="1">
        <v>45.972882581630529</v>
      </c>
      <c r="H428" s="1">
        <v>46</v>
      </c>
      <c r="I428" s="6">
        <f t="shared" si="38"/>
        <v>-0.64448316972034436</v>
      </c>
      <c r="J428" s="1">
        <f t="shared" si="39"/>
        <v>-0.3944159040797518</v>
      </c>
      <c r="K428" s="6">
        <f t="shared" si="40"/>
        <v>-0.59508919904926605</v>
      </c>
      <c r="L428" s="1">
        <f t="shared" si="41"/>
        <v>-0.33737987807005598</v>
      </c>
    </row>
    <row r="429" spans="1:12" x14ac:dyDescent="0.25">
      <c r="A429" s="3">
        <v>40777</v>
      </c>
      <c r="B429" s="1">
        <f t="shared" si="36"/>
        <v>1050</v>
      </c>
      <c r="C429" s="1">
        <v>2318.6793677703999</v>
      </c>
      <c r="D429" s="1">
        <f t="shared" si="37"/>
        <v>1268.6793677703999</v>
      </c>
      <c r="E429" s="2">
        <v>21</v>
      </c>
      <c r="F429" s="1">
        <v>110.4133032271619</v>
      </c>
      <c r="G429" s="1">
        <v>60.413303227161904</v>
      </c>
      <c r="H429" s="1">
        <v>50</v>
      </c>
      <c r="I429" s="6">
        <f t="shared" si="38"/>
        <v>-6.8680731269959022E-2</v>
      </c>
      <c r="J429" s="1">
        <f t="shared" si="39"/>
        <v>5.8687072533382789E-2</v>
      </c>
      <c r="K429" s="6">
        <f t="shared" si="40"/>
        <v>-0.24231495863764888</v>
      </c>
      <c r="L429" s="1">
        <f t="shared" si="41"/>
        <v>-4.3553835976254958E-2</v>
      </c>
    </row>
    <row r="430" spans="1:12" x14ac:dyDescent="0.25">
      <c r="A430" s="3">
        <v>40749</v>
      </c>
      <c r="B430" s="1">
        <f t="shared" si="36"/>
        <v>159</v>
      </c>
      <c r="C430" s="1">
        <v>319.33864290833856</v>
      </c>
      <c r="D430" s="1">
        <f t="shared" si="37"/>
        <v>160.33864290833856</v>
      </c>
      <c r="E430" s="2">
        <v>3</v>
      </c>
      <c r="F430" s="1">
        <v>106.44621430277951</v>
      </c>
      <c r="G430" s="1">
        <v>53.446214302779516</v>
      </c>
      <c r="H430" s="1">
        <v>53</v>
      </c>
      <c r="I430" s="6">
        <f t="shared" si="38"/>
        <v>-0.3464888983610937</v>
      </c>
      <c r="J430" s="1">
        <f t="shared" si="39"/>
        <v>-0.15992212227168298</v>
      </c>
      <c r="K430" s="6">
        <f t="shared" si="40"/>
        <v>-0.31820730452529394</v>
      </c>
      <c r="L430" s="1">
        <f t="shared" si="41"/>
        <v>-0.10676465202496037</v>
      </c>
    </row>
    <row r="431" spans="1:12" x14ac:dyDescent="0.25">
      <c r="A431" s="3">
        <v>40740</v>
      </c>
      <c r="B431" s="1">
        <f t="shared" si="36"/>
        <v>2400</v>
      </c>
      <c r="C431" s="1">
        <v>4183.9352062754933</v>
      </c>
      <c r="D431" s="1">
        <f t="shared" si="37"/>
        <v>1783.9352062754936</v>
      </c>
      <c r="E431" s="2">
        <v>32</v>
      </c>
      <c r="F431" s="1">
        <v>130.74797519610917</v>
      </c>
      <c r="G431" s="1">
        <v>55.747975196109174</v>
      </c>
      <c r="H431" s="1">
        <v>75</v>
      </c>
      <c r="I431" s="6">
        <f t="shared" si="38"/>
        <v>-0.25470767067787592</v>
      </c>
      <c r="J431" s="1">
        <f t="shared" si="39"/>
        <v>-8.7698830594780605E-2</v>
      </c>
      <c r="K431" s="6">
        <f t="shared" si="40"/>
        <v>0.14669723342441901</v>
      </c>
      <c r="L431" s="1">
        <f t="shared" si="41"/>
        <v>0.28045483479988631</v>
      </c>
    </row>
    <row r="432" spans="1:12" x14ac:dyDescent="0.25">
      <c r="A432" s="3">
        <v>40733</v>
      </c>
      <c r="B432" s="1">
        <f t="shared" si="36"/>
        <v>3157</v>
      </c>
      <c r="C432" s="1">
        <v>5669.6087781202723</v>
      </c>
      <c r="D432" s="1">
        <f t="shared" si="37"/>
        <v>2512.6087781202723</v>
      </c>
      <c r="E432" s="2">
        <v>41</v>
      </c>
      <c r="F432" s="1">
        <v>138.28314092976274</v>
      </c>
      <c r="G432" s="1">
        <v>61.283140929762737</v>
      </c>
      <c r="H432" s="1">
        <v>77</v>
      </c>
      <c r="I432" s="6">
        <f t="shared" si="38"/>
        <v>-3.3996515172096842E-2</v>
      </c>
      <c r="J432" s="1">
        <f t="shared" si="39"/>
        <v>8.598032540276726E-2</v>
      </c>
      <c r="K432" s="6">
        <f t="shared" si="40"/>
        <v>0.29084862883792018</v>
      </c>
      <c r="L432" s="1">
        <f t="shared" si="41"/>
        <v>0.40051868619455505</v>
      </c>
    </row>
    <row r="433" spans="1:12" x14ac:dyDescent="0.25">
      <c r="A433" s="3">
        <v>40720</v>
      </c>
      <c r="B433" s="1">
        <f t="shared" si="36"/>
        <v>240</v>
      </c>
      <c r="C433" s="1">
        <v>682.47289906258391</v>
      </c>
      <c r="D433" s="1">
        <f t="shared" si="37"/>
        <v>442.47289906258391</v>
      </c>
      <c r="E433" s="2">
        <v>24</v>
      </c>
      <c r="F433" s="1">
        <v>28.436370794274328</v>
      </c>
      <c r="G433" s="1">
        <v>18.436370794274328</v>
      </c>
      <c r="H433" s="1">
        <v>10</v>
      </c>
      <c r="I433" s="6">
        <f t="shared" si="38"/>
        <v>-1.7424837766821668</v>
      </c>
      <c r="J433" s="1">
        <f t="shared" si="39"/>
        <v>-1.2584402813928022</v>
      </c>
      <c r="K433" s="6">
        <f t="shared" si="40"/>
        <v>-1.8105736565374897</v>
      </c>
      <c r="L433" s="1">
        <f t="shared" si="41"/>
        <v>-1.3497581825448481</v>
      </c>
    </row>
    <row r="434" spans="1:12" x14ac:dyDescent="0.25">
      <c r="A434" s="3">
        <v>40702</v>
      </c>
      <c r="B434" s="1">
        <f t="shared" si="36"/>
        <v>231</v>
      </c>
      <c r="C434" s="1">
        <v>674.94298258804611</v>
      </c>
      <c r="D434" s="1">
        <f t="shared" si="37"/>
        <v>443.94298258804611</v>
      </c>
      <c r="E434" s="2">
        <v>7</v>
      </c>
      <c r="F434" s="1">
        <v>96.420426084006579</v>
      </c>
      <c r="G434" s="1">
        <v>63.420426084006586</v>
      </c>
      <c r="H434" s="1">
        <v>33</v>
      </c>
      <c r="I434" s="6">
        <f t="shared" si="38"/>
        <v>5.122634873791293E-2</v>
      </c>
      <c r="J434" s="1">
        <f t="shared" si="39"/>
        <v>0.15304279463621215</v>
      </c>
      <c r="K434" s="6">
        <f t="shared" si="40"/>
        <v>-0.51000552276509503</v>
      </c>
      <c r="L434" s="1">
        <f t="shared" si="41"/>
        <v>-0.26651359310492251</v>
      </c>
    </row>
    <row r="435" spans="1:12" x14ac:dyDescent="0.25">
      <c r="A435" s="3">
        <v>40689</v>
      </c>
      <c r="B435" s="1">
        <f t="shared" si="36"/>
        <v>1416</v>
      </c>
      <c r="C435" s="1">
        <v>2497.7708434652341</v>
      </c>
      <c r="D435" s="1">
        <f t="shared" si="37"/>
        <v>1081.7708434652341</v>
      </c>
      <c r="E435" s="2">
        <v>24</v>
      </c>
      <c r="F435" s="1">
        <v>104.07378514438476</v>
      </c>
      <c r="G435" s="1">
        <v>45.073785144384757</v>
      </c>
      <c r="H435" s="1">
        <v>59</v>
      </c>
      <c r="I435" s="6">
        <f t="shared" si="38"/>
        <v>-0.68033409882266327</v>
      </c>
      <c r="J435" s="1">
        <f t="shared" si="39"/>
        <v>-0.42262725159388159</v>
      </c>
      <c r="K435" s="6">
        <f t="shared" si="40"/>
        <v>-0.36359303136802151</v>
      </c>
      <c r="L435" s="1">
        <f t="shared" si="41"/>
        <v>-0.14456647244753187</v>
      </c>
    </row>
    <row r="436" spans="1:12" x14ac:dyDescent="0.25">
      <c r="A436" s="3">
        <v>40673</v>
      </c>
      <c r="B436" s="1">
        <f t="shared" si="36"/>
        <v>1105</v>
      </c>
      <c r="C436" s="1">
        <v>2083.2998993658457</v>
      </c>
      <c r="D436" s="1">
        <f t="shared" si="37"/>
        <v>978.29989936584559</v>
      </c>
      <c r="E436" s="2">
        <v>17</v>
      </c>
      <c r="F436" s="1">
        <v>122.54705290387326</v>
      </c>
      <c r="G436" s="1">
        <v>57.547052903873272</v>
      </c>
      <c r="H436" s="1">
        <v>65</v>
      </c>
      <c r="I436" s="6">
        <f t="shared" si="38"/>
        <v>-0.18297061006718909</v>
      </c>
      <c r="J436" s="1">
        <f t="shared" si="39"/>
        <v>-3.1248434546345294E-2</v>
      </c>
      <c r="K436" s="6">
        <f t="shared" si="40"/>
        <v>-1.0190409646743268E-2</v>
      </c>
      <c r="L436" s="1">
        <f t="shared" si="41"/>
        <v>0.14978294911107362</v>
      </c>
    </row>
    <row r="437" spans="1:12" x14ac:dyDescent="0.25">
      <c r="A437" s="3">
        <v>40664</v>
      </c>
      <c r="B437" s="1">
        <f t="shared" si="36"/>
        <v>3528</v>
      </c>
      <c r="C437" s="1">
        <v>6089.3539903120918</v>
      </c>
      <c r="D437" s="1">
        <f t="shared" si="37"/>
        <v>2561.3539903120923</v>
      </c>
      <c r="E437" s="2">
        <v>42</v>
      </c>
      <c r="F437" s="1">
        <v>144.98461881695457</v>
      </c>
      <c r="G437" s="1">
        <v>60.984618816954573</v>
      </c>
      <c r="H437" s="1">
        <v>84</v>
      </c>
      <c r="I437" s="6">
        <f t="shared" si="38"/>
        <v>-4.5899891445245367E-2</v>
      </c>
      <c r="J437" s="1">
        <f t="shared" si="39"/>
        <v>7.661347514137419E-2</v>
      </c>
      <c r="K437" s="6">
        <f t="shared" si="40"/>
        <v>0.41905116915590557</v>
      </c>
      <c r="L437" s="1">
        <f t="shared" si="41"/>
        <v>0.50729871912454483</v>
      </c>
    </row>
    <row r="438" spans="1:12" x14ac:dyDescent="0.25">
      <c r="A438" s="3">
        <v>40663</v>
      </c>
      <c r="B438" s="1">
        <f t="shared" si="36"/>
        <v>3315</v>
      </c>
      <c r="C438" s="1">
        <v>5566.3468796291199</v>
      </c>
      <c r="D438" s="1">
        <f t="shared" si="37"/>
        <v>2251.3468796291204</v>
      </c>
      <c r="E438" s="2">
        <v>51</v>
      </c>
      <c r="F438" s="1">
        <v>109.14405646331608</v>
      </c>
      <c r="G438" s="1">
        <v>44.144056463316083</v>
      </c>
      <c r="H438" s="1">
        <v>65</v>
      </c>
      <c r="I438" s="6">
        <f t="shared" si="38"/>
        <v>-0.71740642897131901</v>
      </c>
      <c r="J438" s="1">
        <f t="shared" si="39"/>
        <v>-0.45179972815641034</v>
      </c>
      <c r="K438" s="6">
        <f t="shared" si="40"/>
        <v>-0.26659626824644672</v>
      </c>
      <c r="L438" s="1">
        <f t="shared" si="41"/>
        <v>-6.3777764715730767E-2</v>
      </c>
    </row>
    <row r="439" spans="1:12" x14ac:dyDescent="0.25">
      <c r="A439" s="3">
        <v>40659</v>
      </c>
      <c r="B439" s="1">
        <f t="shared" si="36"/>
        <v>3528</v>
      </c>
      <c r="C439" s="1">
        <v>7606.0419167996461</v>
      </c>
      <c r="D439" s="1">
        <f t="shared" si="37"/>
        <v>4078.0419167996461</v>
      </c>
      <c r="E439" s="2">
        <v>98</v>
      </c>
      <c r="F439" s="1">
        <v>77.612672620404553</v>
      </c>
      <c r="G439" s="1">
        <v>41.612672620404553</v>
      </c>
      <c r="H439" s="1">
        <v>36</v>
      </c>
      <c r="I439" s="6">
        <f t="shared" si="38"/>
        <v>-0.81834372333285255</v>
      </c>
      <c r="J439" s="1">
        <f t="shared" si="39"/>
        <v>-0.5312279929091096</v>
      </c>
      <c r="K439" s="6">
        <f t="shared" si="40"/>
        <v>-0.86980701913600267</v>
      </c>
      <c r="L439" s="1">
        <f t="shared" si="41"/>
        <v>-0.566192644202128</v>
      </c>
    </row>
    <row r="440" spans="1:12" x14ac:dyDescent="0.25">
      <c r="A440" s="3">
        <v>40657</v>
      </c>
      <c r="B440" s="1">
        <f t="shared" si="36"/>
        <v>33348</v>
      </c>
      <c r="C440" s="1">
        <v>60333.222814898872</v>
      </c>
      <c r="D440" s="1">
        <f t="shared" si="37"/>
        <v>26985.222814898869</v>
      </c>
      <c r="E440" s="2">
        <v>397</v>
      </c>
      <c r="F440" s="1">
        <v>151.97285343803242</v>
      </c>
      <c r="G440" s="1">
        <v>67.972853438032416</v>
      </c>
      <c r="H440" s="1">
        <v>84</v>
      </c>
      <c r="I440" s="6">
        <f t="shared" si="38"/>
        <v>0.23275144663230679</v>
      </c>
      <c r="J440" s="1">
        <f t="shared" si="39"/>
        <v>0.29588616710836196</v>
      </c>
      <c r="K440" s="6">
        <f t="shared" si="40"/>
        <v>0.5527395056454697</v>
      </c>
      <c r="L440" s="1">
        <f t="shared" si="41"/>
        <v>0.61864787755232475</v>
      </c>
    </row>
    <row r="441" spans="1:12" x14ac:dyDescent="0.25">
      <c r="A441" s="3">
        <v>40655</v>
      </c>
      <c r="B441" s="1">
        <f t="shared" si="36"/>
        <v>1911</v>
      </c>
      <c r="C441" s="1">
        <v>5725.7120434651843</v>
      </c>
      <c r="D441" s="1">
        <f t="shared" si="37"/>
        <v>3814.7120434651843</v>
      </c>
      <c r="E441" s="2">
        <v>49</v>
      </c>
      <c r="F441" s="1">
        <v>116.85126619316702</v>
      </c>
      <c r="G441" s="1">
        <v>77.851266193167021</v>
      </c>
      <c r="H441" s="1">
        <v>39</v>
      </c>
      <c r="I441" s="6">
        <f t="shared" si="38"/>
        <v>0.62664676949369902</v>
      </c>
      <c r="J441" s="1">
        <f t="shared" si="39"/>
        <v>0.60584515884657952</v>
      </c>
      <c r="K441" s="6">
        <f t="shared" si="40"/>
        <v>-0.11915358727918486</v>
      </c>
      <c r="L441" s="1">
        <f t="shared" si="41"/>
        <v>5.9027401936349186E-2</v>
      </c>
    </row>
    <row r="442" spans="1:12" x14ac:dyDescent="0.25">
      <c r="A442" s="3">
        <v>40642</v>
      </c>
      <c r="B442" s="1">
        <f t="shared" si="36"/>
        <v>945</v>
      </c>
      <c r="C442" s="1">
        <v>1813.6865731132893</v>
      </c>
      <c r="D442" s="1">
        <f t="shared" si="37"/>
        <v>868.68657311328911</v>
      </c>
      <c r="E442" s="2">
        <v>27</v>
      </c>
      <c r="F442" s="1">
        <v>67.173576781973679</v>
      </c>
      <c r="G442" s="1">
        <v>32.173576781973672</v>
      </c>
      <c r="H442" s="1">
        <v>35</v>
      </c>
      <c r="I442" s="6">
        <f t="shared" si="38"/>
        <v>-1.1947215681304193</v>
      </c>
      <c r="J442" s="1">
        <f t="shared" si="39"/>
        <v>-0.82740235831813769</v>
      </c>
      <c r="K442" s="6">
        <f t="shared" si="40"/>
        <v>-1.069512013711543</v>
      </c>
      <c r="L442" s="1">
        <f t="shared" si="41"/>
        <v>-0.73252714774759342</v>
      </c>
    </row>
    <row r="443" spans="1:12" x14ac:dyDescent="0.25">
      <c r="A443" s="3">
        <v>40636</v>
      </c>
      <c r="B443" s="1">
        <f t="shared" si="36"/>
        <v>11088</v>
      </c>
      <c r="C443" s="1">
        <v>20361.007449716686</v>
      </c>
      <c r="D443" s="1">
        <f t="shared" si="37"/>
        <v>9273.0074497166879</v>
      </c>
      <c r="E443" s="2">
        <v>132</v>
      </c>
      <c r="F443" s="1">
        <v>154.25005643724762</v>
      </c>
      <c r="G443" s="1">
        <v>70.250056437247636</v>
      </c>
      <c r="H443" s="1">
        <v>84</v>
      </c>
      <c r="I443" s="6">
        <f t="shared" si="38"/>
        <v>0.32355344416278831</v>
      </c>
      <c r="J443" s="1">
        <f t="shared" si="39"/>
        <v>0.36733889571125544</v>
      </c>
      <c r="K443" s="6">
        <f t="shared" si="40"/>
        <v>0.59630350962093603</v>
      </c>
      <c r="L443" s="1">
        <f t="shared" si="41"/>
        <v>0.6549323830506133</v>
      </c>
    </row>
    <row r="444" spans="1:12" x14ac:dyDescent="0.25">
      <c r="A444" s="3">
        <v>40622</v>
      </c>
      <c r="B444" s="1">
        <f t="shared" si="36"/>
        <v>759</v>
      </c>
      <c r="C444" s="1">
        <v>1771.5482909589184</v>
      </c>
      <c r="D444" s="1">
        <f t="shared" si="37"/>
        <v>1012.5482909589183</v>
      </c>
      <c r="E444" s="2">
        <v>11</v>
      </c>
      <c r="F444" s="1">
        <v>161.04984463262895</v>
      </c>
      <c r="G444" s="1">
        <v>92.049844632628933</v>
      </c>
      <c r="H444" s="1">
        <v>69</v>
      </c>
      <c r="I444" s="6">
        <f t="shared" si="38"/>
        <v>1.1928059063122785</v>
      </c>
      <c r="J444" s="1">
        <f t="shared" si="39"/>
        <v>1.0513597537822958</v>
      </c>
      <c r="K444" s="6">
        <f t="shared" si="40"/>
        <v>0.72638677408089403</v>
      </c>
      <c r="L444" s="1">
        <f t="shared" si="41"/>
        <v>0.7632788731296889</v>
      </c>
    </row>
    <row r="445" spans="1:12" x14ac:dyDescent="0.25">
      <c r="A445" s="3">
        <v>40594</v>
      </c>
      <c r="B445" s="1">
        <f t="shared" si="36"/>
        <v>1411</v>
      </c>
      <c r="C445" s="1">
        <v>2433.4032311735659</v>
      </c>
      <c r="D445" s="1">
        <f t="shared" si="37"/>
        <v>1022.4032311735657</v>
      </c>
      <c r="E445" s="2">
        <v>17</v>
      </c>
      <c r="F445" s="1">
        <v>143.14136653962152</v>
      </c>
      <c r="G445" s="1">
        <v>60.141366539621515</v>
      </c>
      <c r="H445" s="1">
        <v>83</v>
      </c>
      <c r="I445" s="6">
        <f t="shared" si="38"/>
        <v>-7.95240308962986E-2</v>
      </c>
      <c r="J445" s="1">
        <f t="shared" si="39"/>
        <v>5.0154404019117901E-2</v>
      </c>
      <c r="K445" s="6">
        <f t="shared" si="40"/>
        <v>0.3837888541294463</v>
      </c>
      <c r="L445" s="1">
        <f t="shared" si="41"/>
        <v>0.47792869922966791</v>
      </c>
    </row>
    <row r="446" spans="1:12" x14ac:dyDescent="0.25">
      <c r="A446" s="3">
        <v>40583</v>
      </c>
      <c r="B446" s="1">
        <f t="shared" si="36"/>
        <v>336</v>
      </c>
      <c r="C446" s="1">
        <v>820.43618552439227</v>
      </c>
      <c r="D446" s="1">
        <f t="shared" si="37"/>
        <v>484.43618552439227</v>
      </c>
      <c r="E446" s="2">
        <v>12</v>
      </c>
      <c r="F446" s="1">
        <v>68.369682127032689</v>
      </c>
      <c r="G446" s="1">
        <v>40.369682127032689</v>
      </c>
      <c r="H446" s="1">
        <v>28</v>
      </c>
      <c r="I446" s="6">
        <f t="shared" si="38"/>
        <v>-0.86790716574376647</v>
      </c>
      <c r="J446" s="1">
        <f t="shared" si="39"/>
        <v>-0.57022981330434197</v>
      </c>
      <c r="K446" s="6">
        <f t="shared" si="40"/>
        <v>-1.0466299351154824</v>
      </c>
      <c r="L446" s="1">
        <f t="shared" si="41"/>
        <v>-0.71346864001495702</v>
      </c>
    </row>
    <row r="447" spans="1:12" x14ac:dyDescent="0.25">
      <c r="A447" s="3">
        <v>40570</v>
      </c>
      <c r="B447" s="1">
        <f t="shared" si="36"/>
        <v>7738</v>
      </c>
      <c r="C447" s="1">
        <v>15041.733490758397</v>
      </c>
      <c r="D447" s="1">
        <f t="shared" si="37"/>
        <v>7303.7334907583963</v>
      </c>
      <c r="E447" s="2">
        <v>146</v>
      </c>
      <c r="F447" s="1">
        <v>103.02557185450956</v>
      </c>
      <c r="G447" s="1">
        <v>50.025571854509565</v>
      </c>
      <c r="H447" s="1">
        <v>53</v>
      </c>
      <c r="I447" s="6">
        <f t="shared" si="38"/>
        <v>-0.48288480476360124</v>
      </c>
      <c r="J447" s="1">
        <f t="shared" si="39"/>
        <v>-0.26725301749182861</v>
      </c>
      <c r="K447" s="6">
        <f t="shared" si="40"/>
        <v>-0.38364586282090335</v>
      </c>
      <c r="L447" s="1">
        <f t="shared" si="41"/>
        <v>-0.16126849720903239</v>
      </c>
    </row>
    <row r="448" spans="1:12" x14ac:dyDescent="0.25">
      <c r="A448" s="3">
        <v>40555</v>
      </c>
      <c r="B448" s="1">
        <f t="shared" si="36"/>
        <v>682</v>
      </c>
      <c r="C448" s="1">
        <v>1865.8036396427635</v>
      </c>
      <c r="D448" s="1">
        <f t="shared" si="37"/>
        <v>1183.8036396427635</v>
      </c>
      <c r="E448" s="2">
        <v>31</v>
      </c>
      <c r="F448" s="1">
        <v>60.187214182024633</v>
      </c>
      <c r="G448" s="1">
        <v>38.187214182024633</v>
      </c>
      <c r="H448" s="1">
        <v>22</v>
      </c>
      <c r="I448" s="6">
        <f t="shared" si="38"/>
        <v>-0.95493166422777154</v>
      </c>
      <c r="J448" s="1">
        <f t="shared" si="39"/>
        <v>-0.63871000141796963</v>
      </c>
      <c r="K448" s="6">
        <f t="shared" si="40"/>
        <v>-1.2031645375239213</v>
      </c>
      <c r="L448" s="1">
        <f t="shared" si="41"/>
        <v>-0.8438464777582475</v>
      </c>
    </row>
    <row r="449" spans="1:12" x14ac:dyDescent="0.25">
      <c r="A449" s="3">
        <v>40547</v>
      </c>
      <c r="B449" s="1">
        <f t="shared" si="36"/>
        <v>418</v>
      </c>
      <c r="C449" s="1">
        <v>782.6477371441747</v>
      </c>
      <c r="D449" s="1">
        <f t="shared" si="37"/>
        <v>364.6477371441747</v>
      </c>
      <c r="E449" s="2">
        <v>11</v>
      </c>
      <c r="F449" s="1">
        <v>71.149794285834062</v>
      </c>
      <c r="G449" s="1">
        <v>33.149794285834062</v>
      </c>
      <c r="H449" s="1">
        <v>38</v>
      </c>
      <c r="I449" s="6">
        <f t="shared" si="38"/>
        <v>-1.155795526224936</v>
      </c>
      <c r="J449" s="1">
        <f t="shared" si="39"/>
        <v>-0.79677118297506577</v>
      </c>
      <c r="K449" s="6">
        <f t="shared" si="40"/>
        <v>-0.99344503364644132</v>
      </c>
      <c r="L449" s="1">
        <f t="shared" si="41"/>
        <v>-0.66917087870573166</v>
      </c>
    </row>
    <row r="450" spans="1:12" x14ac:dyDescent="0.25">
      <c r="A450" s="3">
        <v>40546</v>
      </c>
      <c r="B450" s="1">
        <f t="shared" ref="B450:B501" si="42">+E450*H450</f>
        <v>1400</v>
      </c>
      <c r="C450" s="1">
        <v>2709.1673592439283</v>
      </c>
      <c r="D450" s="1">
        <f t="shared" ref="D450:D501" si="43">+E450*G450</f>
        <v>1309.1673592439281</v>
      </c>
      <c r="E450" s="2">
        <v>20</v>
      </c>
      <c r="F450" s="1">
        <v>135.45836796219641</v>
      </c>
      <c r="G450" s="1">
        <v>65.458367962196405</v>
      </c>
      <c r="H450" s="1">
        <v>70</v>
      </c>
      <c r="I450" s="6">
        <f t="shared" si="38"/>
        <v>0.13248796373421734</v>
      </c>
      <c r="J450" s="1">
        <f t="shared" si="39"/>
        <v>0.2169881293213286</v>
      </c>
      <c r="K450" s="6">
        <f t="shared" si="40"/>
        <v>0.2368093443159609</v>
      </c>
      <c r="L450" s="1">
        <f t="shared" si="41"/>
        <v>0.35550930832688121</v>
      </c>
    </row>
    <row r="451" spans="1:12" x14ac:dyDescent="0.25">
      <c r="A451" s="3">
        <v>40524</v>
      </c>
      <c r="B451" s="1">
        <f t="shared" si="42"/>
        <v>2256</v>
      </c>
      <c r="C451" s="1">
        <v>4813.9413667131639</v>
      </c>
      <c r="D451" s="1">
        <f t="shared" si="43"/>
        <v>2557.9413667131635</v>
      </c>
      <c r="E451" s="2">
        <v>24</v>
      </c>
      <c r="F451" s="1">
        <v>200.58089027971516</v>
      </c>
      <c r="G451" s="1">
        <v>106.58089027971515</v>
      </c>
      <c r="H451" s="1">
        <v>94</v>
      </c>
      <c r="I451" s="6">
        <f t="shared" ref="I451:I501" si="44">(G451-AVERAGE($G$2:$G$501))/_xlfn.STDEV.S($G$2:$G$501)</f>
        <v>1.77222195811651</v>
      </c>
      <c r="J451" s="1">
        <f t="shared" ref="J451:J501" si="45">(G451-MEDIAN($G$2:$G$502))/(PERCENTILE($G$2:$G$502,0.75)-PERCENTILE($G$2:$G$502,0.25))</f>
        <v>1.5073063080839222</v>
      </c>
      <c r="K451" s="6">
        <f t="shared" ref="K451:K501" si="46">(F451-AVERAGE($F$2:$F$501))/_xlfn.STDEV.S($F$2:$F$501)</f>
        <v>1.4826349567495032</v>
      </c>
      <c r="L451" s="1">
        <f t="shared" ref="L451:L501" si="47">(F451-MEDIAN($F$2:$F$502))/(PERCENTILE($F$2:$F$502,0.75)-PERCENTILE($F$2:$F$502,0.25))</f>
        <v>1.3931587932023051</v>
      </c>
    </row>
    <row r="452" spans="1:12" x14ac:dyDescent="0.25">
      <c r="A452" s="3">
        <v>40523</v>
      </c>
      <c r="B452" s="1">
        <f t="shared" si="42"/>
        <v>329</v>
      </c>
      <c r="C452" s="1">
        <v>620.23770514896228</v>
      </c>
      <c r="D452" s="1">
        <f t="shared" si="43"/>
        <v>291.23770514896228</v>
      </c>
      <c r="E452" s="2">
        <v>7</v>
      </c>
      <c r="F452" s="1">
        <v>88.60538644985175</v>
      </c>
      <c r="G452" s="1">
        <v>41.60538644985175</v>
      </c>
      <c r="H452" s="1">
        <v>47</v>
      </c>
      <c r="I452" s="6">
        <f t="shared" si="44"/>
        <v>-0.81863425467361151</v>
      </c>
      <c r="J452" s="1">
        <f t="shared" si="45"/>
        <v>-0.53145661405849465</v>
      </c>
      <c r="K452" s="6">
        <f t="shared" si="46"/>
        <v>-0.65951104239074065</v>
      </c>
      <c r="L452" s="1">
        <f t="shared" si="47"/>
        <v>-0.39103690028155941</v>
      </c>
    </row>
    <row r="453" spans="1:12" x14ac:dyDescent="0.25">
      <c r="A453" s="3">
        <v>40511</v>
      </c>
      <c r="B453" s="1">
        <f t="shared" si="42"/>
        <v>1200</v>
      </c>
      <c r="C453" s="1">
        <v>2008.1172764618063</v>
      </c>
      <c r="D453" s="1">
        <f t="shared" si="43"/>
        <v>808.11727646180634</v>
      </c>
      <c r="E453" s="2">
        <v>10</v>
      </c>
      <c r="F453" s="1">
        <v>200.81172764618063</v>
      </c>
      <c r="G453" s="1">
        <v>80.811727646180628</v>
      </c>
      <c r="H453" s="1">
        <v>120</v>
      </c>
      <c r="I453" s="6">
        <f t="shared" si="44"/>
        <v>0.74469325618736137</v>
      </c>
      <c r="J453" s="1">
        <f t="shared" si="45"/>
        <v>0.69873676702310505</v>
      </c>
      <c r="K453" s="6">
        <f t="shared" si="46"/>
        <v>1.4870509881502407</v>
      </c>
      <c r="L453" s="1">
        <f t="shared" si="47"/>
        <v>1.3968369104784606</v>
      </c>
    </row>
    <row r="454" spans="1:12" x14ac:dyDescent="0.25">
      <c r="A454" s="3">
        <v>40508</v>
      </c>
      <c r="B454" s="1">
        <f t="shared" si="42"/>
        <v>2952</v>
      </c>
      <c r="C454" s="1">
        <v>5714.6416107598088</v>
      </c>
      <c r="D454" s="1">
        <f t="shared" si="43"/>
        <v>2762.6416107598084</v>
      </c>
      <c r="E454" s="2">
        <v>41</v>
      </c>
      <c r="F454" s="1">
        <v>139.38150270145874</v>
      </c>
      <c r="G454" s="1">
        <v>67.381502701458743</v>
      </c>
      <c r="H454" s="1">
        <v>72</v>
      </c>
      <c r="I454" s="6">
        <f t="shared" si="44"/>
        <v>0.2091717182811163</v>
      </c>
      <c r="J454" s="1">
        <f t="shared" si="45"/>
        <v>0.2773311135167052</v>
      </c>
      <c r="K454" s="6">
        <f t="shared" si="46"/>
        <v>0.31186082520563763</v>
      </c>
      <c r="L454" s="1">
        <f t="shared" si="47"/>
        <v>0.41801976701956206</v>
      </c>
    </row>
    <row r="455" spans="1:12" x14ac:dyDescent="0.25">
      <c r="A455" s="3">
        <v>40483</v>
      </c>
      <c r="B455" s="1">
        <f t="shared" si="42"/>
        <v>10120</v>
      </c>
      <c r="C455" s="1">
        <v>17122.693416919028</v>
      </c>
      <c r="D455" s="1">
        <f t="shared" si="43"/>
        <v>7002.693416919029</v>
      </c>
      <c r="E455" s="2">
        <v>110</v>
      </c>
      <c r="F455" s="1">
        <v>155.66084924471843</v>
      </c>
      <c r="G455" s="1">
        <v>63.660849244718442</v>
      </c>
      <c r="H455" s="1">
        <v>92</v>
      </c>
      <c r="I455" s="6">
        <f t="shared" si="44"/>
        <v>6.0813066853404603E-2</v>
      </c>
      <c r="J455" s="1">
        <f t="shared" si="45"/>
        <v>0.16058665034785241</v>
      </c>
      <c r="K455" s="6">
        <f t="shared" si="46"/>
        <v>0.62329266407681838</v>
      </c>
      <c r="L455" s="1">
        <f t="shared" si="47"/>
        <v>0.67741167865898122</v>
      </c>
    </row>
    <row r="456" spans="1:12" x14ac:dyDescent="0.25">
      <c r="A456" s="3">
        <v>40465</v>
      </c>
      <c r="B456" s="1">
        <f t="shared" si="42"/>
        <v>744</v>
      </c>
      <c r="C456" s="1">
        <v>1518.5955767122027</v>
      </c>
      <c r="D456" s="1">
        <f t="shared" si="43"/>
        <v>774.59557671220261</v>
      </c>
      <c r="E456" s="2">
        <v>24</v>
      </c>
      <c r="F456" s="1">
        <v>63.274815696341776</v>
      </c>
      <c r="G456" s="1">
        <v>32.274815696341776</v>
      </c>
      <c r="H456" s="1">
        <v>31</v>
      </c>
      <c r="I456" s="6">
        <f t="shared" si="44"/>
        <v>-1.1906847318643468</v>
      </c>
      <c r="J456" s="1">
        <f t="shared" si="45"/>
        <v>-0.82422574355217759</v>
      </c>
      <c r="K456" s="6">
        <f t="shared" si="46"/>
        <v>-1.1440972147201467</v>
      </c>
      <c r="L456" s="1">
        <f t="shared" si="47"/>
        <v>-0.79464924142869142</v>
      </c>
    </row>
    <row r="457" spans="1:12" x14ac:dyDescent="0.25">
      <c r="A457" s="3">
        <v>40458</v>
      </c>
      <c r="B457" s="1">
        <f t="shared" si="42"/>
        <v>2584</v>
      </c>
      <c r="C457" s="1">
        <v>4791.9945462407004</v>
      </c>
      <c r="D457" s="1">
        <f t="shared" si="43"/>
        <v>2207.9945462406999</v>
      </c>
      <c r="E457" s="2">
        <v>34</v>
      </c>
      <c r="F457" s="1">
        <v>140.94101606590294</v>
      </c>
      <c r="G457" s="1">
        <v>64.941016065902943</v>
      </c>
      <c r="H457" s="1">
        <v>76</v>
      </c>
      <c r="I457" s="6">
        <f t="shared" si="44"/>
        <v>0.11185889130377606</v>
      </c>
      <c r="J457" s="1">
        <f t="shared" si="45"/>
        <v>0.20075496756509145</v>
      </c>
      <c r="K457" s="6">
        <f t="shared" si="46"/>
        <v>0.34169507644799668</v>
      </c>
      <c r="L457" s="1">
        <f t="shared" si="47"/>
        <v>0.44286874678391835</v>
      </c>
    </row>
    <row r="458" spans="1:12" x14ac:dyDescent="0.25">
      <c r="A458" s="3">
        <v>40455</v>
      </c>
      <c r="B458" s="1">
        <f t="shared" si="42"/>
        <v>3348</v>
      </c>
      <c r="C458" s="1">
        <v>5858.9756242709436</v>
      </c>
      <c r="D458" s="1">
        <f t="shared" si="43"/>
        <v>2510.9756242709441</v>
      </c>
      <c r="E458" s="2">
        <v>36</v>
      </c>
      <c r="F458" s="1">
        <v>162.74932289641509</v>
      </c>
      <c r="G458" s="1">
        <v>69.749322896415109</v>
      </c>
      <c r="H458" s="1">
        <v>93</v>
      </c>
      <c r="I458" s="6">
        <f t="shared" si="44"/>
        <v>0.30358701791366882</v>
      </c>
      <c r="J458" s="1">
        <f t="shared" si="45"/>
        <v>0.35162717488188594</v>
      </c>
      <c r="K458" s="6">
        <f t="shared" si="46"/>
        <v>0.75889862210907311</v>
      </c>
      <c r="L458" s="1">
        <f t="shared" si="47"/>
        <v>0.79035802612036288</v>
      </c>
    </row>
    <row r="459" spans="1:12" x14ac:dyDescent="0.25">
      <c r="A459" s="3">
        <v>40447</v>
      </c>
      <c r="B459" s="1">
        <f t="shared" si="42"/>
        <v>105</v>
      </c>
      <c r="C459" s="1">
        <v>256.35409088773622</v>
      </c>
      <c r="D459" s="1">
        <f t="shared" si="43"/>
        <v>151.35409088773619</v>
      </c>
      <c r="E459" s="2">
        <v>3</v>
      </c>
      <c r="F459" s="1">
        <v>85.451363629245407</v>
      </c>
      <c r="G459" s="1">
        <v>50.4513636292454</v>
      </c>
      <c r="H459" s="1">
        <v>35</v>
      </c>
      <c r="I459" s="6">
        <f t="shared" si="44"/>
        <v>-0.46590663299262308</v>
      </c>
      <c r="J459" s="1">
        <f t="shared" si="45"/>
        <v>-0.25389277506634927</v>
      </c>
      <c r="K459" s="6">
        <f t="shared" si="46"/>
        <v>-0.71984903717774884</v>
      </c>
      <c r="L459" s="1">
        <f t="shared" si="47"/>
        <v>-0.44129248066480092</v>
      </c>
    </row>
    <row r="460" spans="1:12" x14ac:dyDescent="0.25">
      <c r="A460" s="3">
        <v>40446</v>
      </c>
      <c r="B460" s="1">
        <f t="shared" si="42"/>
        <v>1449</v>
      </c>
      <c r="C460" s="1">
        <v>4086.7190900843243</v>
      </c>
      <c r="D460" s="1">
        <f t="shared" si="43"/>
        <v>2637.7190900843243</v>
      </c>
      <c r="E460" s="2">
        <v>23</v>
      </c>
      <c r="F460" s="1">
        <v>177.68343869931846</v>
      </c>
      <c r="G460" s="1">
        <v>114.68343869931844</v>
      </c>
      <c r="H460" s="1">
        <v>63</v>
      </c>
      <c r="I460" s="6">
        <f t="shared" si="44"/>
        <v>2.0953058385790664</v>
      </c>
      <c r="J460" s="1">
        <f t="shared" si="45"/>
        <v>1.7615432792354788</v>
      </c>
      <c r="K460" s="6">
        <f t="shared" si="46"/>
        <v>1.0445955408431387</v>
      </c>
      <c r="L460" s="1">
        <f t="shared" si="47"/>
        <v>1.0283152952567871</v>
      </c>
    </row>
    <row r="461" spans="1:12" x14ac:dyDescent="0.25">
      <c r="A461" s="3">
        <v>40444</v>
      </c>
      <c r="B461" s="1">
        <f t="shared" si="42"/>
        <v>4130</v>
      </c>
      <c r="C461" s="1">
        <v>8263.5451526523029</v>
      </c>
      <c r="D461" s="1">
        <f t="shared" si="43"/>
        <v>4133.5451526523038</v>
      </c>
      <c r="E461" s="2">
        <v>35</v>
      </c>
      <c r="F461" s="1">
        <v>236.1012900757801</v>
      </c>
      <c r="G461" s="1">
        <v>118.1012900757801</v>
      </c>
      <c r="H461" s="1">
        <v>118</v>
      </c>
      <c r="I461" s="6">
        <f t="shared" si="44"/>
        <v>2.2315904527974642</v>
      </c>
      <c r="J461" s="1">
        <f t="shared" si="45"/>
        <v>1.8687865978555154</v>
      </c>
      <c r="K461" s="6">
        <f t="shared" si="46"/>
        <v>2.1621575282809884</v>
      </c>
      <c r="L461" s="1">
        <f t="shared" si="47"/>
        <v>1.959133869708835</v>
      </c>
    </row>
    <row r="462" spans="1:12" x14ac:dyDescent="0.25">
      <c r="A462" s="3">
        <v>40444</v>
      </c>
      <c r="B462" s="1">
        <f t="shared" si="42"/>
        <v>144</v>
      </c>
      <c r="C462" s="1">
        <v>345.29450063896036</v>
      </c>
      <c r="D462" s="1">
        <f t="shared" si="43"/>
        <v>201.29450063896039</v>
      </c>
      <c r="E462" s="2">
        <v>4</v>
      </c>
      <c r="F462" s="1">
        <v>86.323625159740089</v>
      </c>
      <c r="G462" s="1">
        <v>50.323625159740097</v>
      </c>
      <c r="H462" s="1">
        <v>36</v>
      </c>
      <c r="I462" s="6">
        <f t="shared" si="44"/>
        <v>-0.47100012188955731</v>
      </c>
      <c r="J462" s="1">
        <f t="shared" si="45"/>
        <v>-0.25790087719727778</v>
      </c>
      <c r="K462" s="6">
        <f t="shared" si="46"/>
        <v>-0.70316224869415189</v>
      </c>
      <c r="L462" s="1">
        <f t="shared" si="47"/>
        <v>-0.4273940366920469</v>
      </c>
    </row>
    <row r="463" spans="1:12" x14ac:dyDescent="0.25">
      <c r="A463" s="3">
        <v>40441</v>
      </c>
      <c r="B463" s="1">
        <f t="shared" si="42"/>
        <v>1770</v>
      </c>
      <c r="C463" s="1">
        <v>4623.846363739548</v>
      </c>
      <c r="D463" s="1">
        <f t="shared" si="43"/>
        <v>2853.846363739548</v>
      </c>
      <c r="E463" s="2">
        <v>30</v>
      </c>
      <c r="F463" s="1">
        <v>154.12821212465161</v>
      </c>
      <c r="G463" s="1">
        <v>95.128212124651597</v>
      </c>
      <c r="H463" s="1">
        <v>59</v>
      </c>
      <c r="I463" s="6">
        <f t="shared" si="44"/>
        <v>1.3155538200928623</v>
      </c>
      <c r="J463" s="1">
        <f t="shared" si="45"/>
        <v>1.1479509479021299</v>
      </c>
      <c r="K463" s="6">
        <f t="shared" si="46"/>
        <v>0.59397256849704416</v>
      </c>
      <c r="L463" s="1">
        <f t="shared" si="47"/>
        <v>0.65299093969582733</v>
      </c>
    </row>
    <row r="464" spans="1:12" x14ac:dyDescent="0.25">
      <c r="A464" s="3">
        <v>40439</v>
      </c>
      <c r="B464" s="1">
        <f t="shared" si="42"/>
        <v>1020</v>
      </c>
      <c r="C464" s="1">
        <v>1794.2259205206624</v>
      </c>
      <c r="D464" s="1">
        <f t="shared" si="43"/>
        <v>774.22592052066261</v>
      </c>
      <c r="E464" s="2">
        <v>10</v>
      </c>
      <c r="F464" s="1">
        <v>179.42259205206625</v>
      </c>
      <c r="G464" s="1">
        <v>77.422592052066264</v>
      </c>
      <c r="H464" s="1">
        <v>102</v>
      </c>
      <c r="I464" s="6">
        <f t="shared" si="44"/>
        <v>0.60955366522718146</v>
      </c>
      <c r="J464" s="1">
        <f t="shared" si="45"/>
        <v>0.5923944752343997</v>
      </c>
      <c r="K464" s="6">
        <f t="shared" si="46"/>
        <v>1.0778663926728442</v>
      </c>
      <c r="L464" s="1">
        <f t="shared" si="47"/>
        <v>1.0560266233254274</v>
      </c>
    </row>
    <row r="465" spans="1:12" x14ac:dyDescent="0.25">
      <c r="A465" s="3">
        <v>40431</v>
      </c>
      <c r="B465" s="1">
        <f t="shared" si="42"/>
        <v>460</v>
      </c>
      <c r="C465" s="1">
        <v>780.72550095270969</v>
      </c>
      <c r="D465" s="1">
        <f t="shared" si="43"/>
        <v>320.72550095270969</v>
      </c>
      <c r="E465" s="2">
        <v>23</v>
      </c>
      <c r="F465" s="1">
        <v>33.944586997943901</v>
      </c>
      <c r="G465" s="1">
        <v>13.944586997943901</v>
      </c>
      <c r="H465" s="1">
        <v>20</v>
      </c>
      <c r="I465" s="6">
        <f t="shared" si="44"/>
        <v>-1.9215907519155613</v>
      </c>
      <c r="J465" s="1">
        <f t="shared" si="45"/>
        <v>-1.3993808161860024</v>
      </c>
      <c r="K465" s="6">
        <f t="shared" si="46"/>
        <v>-1.7051987941835023</v>
      </c>
      <c r="L465" s="1">
        <f t="shared" si="47"/>
        <v>-1.2619913470028743</v>
      </c>
    </row>
    <row r="466" spans="1:12" x14ac:dyDescent="0.25">
      <c r="A466" s="3">
        <v>40423</v>
      </c>
      <c r="B466" s="1">
        <f t="shared" si="42"/>
        <v>664</v>
      </c>
      <c r="C466" s="1">
        <v>1209.3993858695258</v>
      </c>
      <c r="D466" s="1">
        <f t="shared" si="43"/>
        <v>545.39938586952564</v>
      </c>
      <c r="E466" s="2">
        <v>8</v>
      </c>
      <c r="F466" s="1">
        <v>151.17492323369072</v>
      </c>
      <c r="G466" s="1">
        <v>68.174923233690706</v>
      </c>
      <c r="H466" s="1">
        <v>83</v>
      </c>
      <c r="I466" s="6">
        <f t="shared" si="44"/>
        <v>0.24080884910923669</v>
      </c>
      <c r="J466" s="1">
        <f t="shared" si="45"/>
        <v>0.30222659361974002</v>
      </c>
      <c r="K466" s="6">
        <f t="shared" si="46"/>
        <v>0.53747471168284711</v>
      </c>
      <c r="L466" s="1">
        <f t="shared" si="47"/>
        <v>0.60593381433676397</v>
      </c>
    </row>
    <row r="467" spans="1:12" x14ac:dyDescent="0.25">
      <c r="A467" s="3">
        <v>40423</v>
      </c>
      <c r="B467" s="1">
        <f t="shared" si="42"/>
        <v>12183</v>
      </c>
      <c r="C467" s="1">
        <v>22023.725259081082</v>
      </c>
      <c r="D467" s="1">
        <f t="shared" si="43"/>
        <v>9840.7252590810804</v>
      </c>
      <c r="E467" s="2">
        <v>93</v>
      </c>
      <c r="F467" s="1">
        <v>236.81425009764604</v>
      </c>
      <c r="G467" s="1">
        <v>105.81425009764602</v>
      </c>
      <c r="H467" s="1">
        <v>131</v>
      </c>
      <c r="I467" s="6">
        <f t="shared" si="44"/>
        <v>1.7416526764393829</v>
      </c>
      <c r="J467" s="1">
        <f t="shared" si="45"/>
        <v>1.4832511259660628</v>
      </c>
      <c r="K467" s="6">
        <f t="shared" si="46"/>
        <v>2.1757968012125715</v>
      </c>
      <c r="L467" s="1">
        <f t="shared" si="47"/>
        <v>1.9704940347193194</v>
      </c>
    </row>
    <row r="468" spans="1:12" x14ac:dyDescent="0.25">
      <c r="A468" s="3">
        <v>40420</v>
      </c>
      <c r="B468" s="1">
        <f t="shared" si="42"/>
        <v>637</v>
      </c>
      <c r="C468" s="1">
        <v>1318.2541184066208</v>
      </c>
      <c r="D468" s="1">
        <f t="shared" si="43"/>
        <v>681.25411840662071</v>
      </c>
      <c r="E468" s="2">
        <v>13</v>
      </c>
      <c r="F468" s="1">
        <v>101.40416295435544</v>
      </c>
      <c r="G468" s="1">
        <v>52.404162954355442</v>
      </c>
      <c r="H468" s="1">
        <v>49</v>
      </c>
      <c r="I468" s="6">
        <f t="shared" si="44"/>
        <v>-0.38804002226126699</v>
      </c>
      <c r="J468" s="1">
        <f t="shared" si="45"/>
        <v>-0.19261899304468147</v>
      </c>
      <c r="K468" s="6">
        <f t="shared" si="46"/>
        <v>-0.41466420584807911</v>
      </c>
      <c r="L468" s="1">
        <f t="shared" si="47"/>
        <v>-0.18710370828722417</v>
      </c>
    </row>
    <row r="469" spans="1:12" x14ac:dyDescent="0.25">
      <c r="A469" s="3">
        <v>40415</v>
      </c>
      <c r="B469" s="1">
        <f t="shared" si="42"/>
        <v>452</v>
      </c>
      <c r="C469" s="1">
        <v>763.94097526845667</v>
      </c>
      <c r="D469" s="1">
        <f t="shared" si="43"/>
        <v>311.94097526845673</v>
      </c>
      <c r="E469" s="2">
        <v>4</v>
      </c>
      <c r="F469" s="1">
        <v>190.98524381711417</v>
      </c>
      <c r="G469" s="1">
        <v>77.985243817114181</v>
      </c>
      <c r="H469" s="1">
        <v>113</v>
      </c>
      <c r="I469" s="6">
        <f t="shared" si="44"/>
        <v>0.63198904064079586</v>
      </c>
      <c r="J469" s="1">
        <f t="shared" si="45"/>
        <v>0.61004902947473871</v>
      </c>
      <c r="K469" s="6">
        <f t="shared" si="46"/>
        <v>1.2990655600870258</v>
      </c>
      <c r="L469" s="1">
        <f t="shared" si="47"/>
        <v>1.2402636464139554</v>
      </c>
    </row>
    <row r="470" spans="1:12" x14ac:dyDescent="0.25">
      <c r="A470" s="3">
        <v>40408</v>
      </c>
      <c r="B470" s="1">
        <f t="shared" si="42"/>
        <v>1404</v>
      </c>
      <c r="C470" s="1">
        <v>2586.6375304478952</v>
      </c>
      <c r="D470" s="1">
        <f t="shared" si="43"/>
        <v>1182.6375304478954</v>
      </c>
      <c r="E470" s="2">
        <v>26</v>
      </c>
      <c r="F470" s="1">
        <v>99.486058863380592</v>
      </c>
      <c r="G470" s="1">
        <v>45.486058863380592</v>
      </c>
      <c r="H470" s="1">
        <v>54</v>
      </c>
      <c r="I470" s="6">
        <f t="shared" si="44"/>
        <v>-0.66389495078577621</v>
      </c>
      <c r="J470" s="1">
        <f t="shared" si="45"/>
        <v>-0.40969117072464556</v>
      </c>
      <c r="K470" s="6">
        <f t="shared" si="46"/>
        <v>-0.45135847257501743</v>
      </c>
      <c r="L470" s="1">
        <f t="shared" si="47"/>
        <v>-0.2176664022847519</v>
      </c>
    </row>
    <row r="471" spans="1:12" x14ac:dyDescent="0.25">
      <c r="A471" s="3">
        <v>40407</v>
      </c>
      <c r="B471" s="1">
        <f t="shared" si="42"/>
        <v>252</v>
      </c>
      <c r="C471" s="1">
        <v>443.26545180105126</v>
      </c>
      <c r="D471" s="1">
        <f t="shared" si="43"/>
        <v>191.26545180105128</v>
      </c>
      <c r="E471" s="2">
        <v>6</v>
      </c>
      <c r="F471" s="1">
        <v>73.877575300175209</v>
      </c>
      <c r="G471" s="1">
        <v>31.877575300175213</v>
      </c>
      <c r="H471" s="1">
        <v>42</v>
      </c>
      <c r="I471" s="6">
        <f t="shared" si="44"/>
        <v>-1.2065244358714793</v>
      </c>
      <c r="J471" s="1">
        <f t="shared" si="45"/>
        <v>-0.83669011771081747</v>
      </c>
      <c r="K471" s="6">
        <f t="shared" si="46"/>
        <v>-0.94126125249302073</v>
      </c>
      <c r="L471" s="1">
        <f t="shared" si="47"/>
        <v>-0.6257069515779794</v>
      </c>
    </row>
    <row r="472" spans="1:12" x14ac:dyDescent="0.25">
      <c r="A472" s="3">
        <v>40400</v>
      </c>
      <c r="B472" s="1">
        <f t="shared" si="42"/>
        <v>3540</v>
      </c>
      <c r="C472" s="1">
        <v>7015.145952615484</v>
      </c>
      <c r="D472" s="1">
        <f t="shared" si="43"/>
        <v>3475.145952615484</v>
      </c>
      <c r="E472" s="2">
        <v>60</v>
      </c>
      <c r="F472" s="1">
        <v>116.91909921025807</v>
      </c>
      <c r="G472" s="1">
        <v>57.919099210258068</v>
      </c>
      <c r="H472" s="1">
        <v>59</v>
      </c>
      <c r="I472" s="6">
        <f t="shared" si="44"/>
        <v>-0.16813550410376848</v>
      </c>
      <c r="J472" s="1">
        <f t="shared" si="45"/>
        <v>-1.9574585633014691E-2</v>
      </c>
      <c r="K472" s="6">
        <f t="shared" si="46"/>
        <v>-0.11785590857981521</v>
      </c>
      <c r="L472" s="1">
        <f t="shared" si="47"/>
        <v>6.0108239912785119E-2</v>
      </c>
    </row>
    <row r="473" spans="1:12" x14ac:dyDescent="0.25">
      <c r="A473" s="3">
        <v>40397</v>
      </c>
      <c r="B473" s="1">
        <f t="shared" si="42"/>
        <v>430</v>
      </c>
      <c r="C473" s="1">
        <v>982.11493250313515</v>
      </c>
      <c r="D473" s="1">
        <f t="shared" si="43"/>
        <v>552.11493250313515</v>
      </c>
      <c r="E473" s="2">
        <v>10</v>
      </c>
      <c r="F473" s="1">
        <v>98.211493250313509</v>
      </c>
      <c r="G473" s="1">
        <v>55.211493250313517</v>
      </c>
      <c r="H473" s="1">
        <v>43</v>
      </c>
      <c r="I473" s="6">
        <f t="shared" si="44"/>
        <v>-0.27609954146588783</v>
      </c>
      <c r="J473" s="1">
        <f t="shared" si="45"/>
        <v>-0.10453224372768964</v>
      </c>
      <c r="K473" s="6">
        <f t="shared" si="46"/>
        <v>-0.47574153436344069</v>
      </c>
      <c r="L473" s="1">
        <f t="shared" si="47"/>
        <v>-0.23797508052345095</v>
      </c>
    </row>
    <row r="474" spans="1:12" x14ac:dyDescent="0.25">
      <c r="A474" s="3">
        <v>40390</v>
      </c>
      <c r="B474" s="1">
        <f t="shared" si="42"/>
        <v>272</v>
      </c>
      <c r="C474" s="1">
        <v>618.98949915300557</v>
      </c>
      <c r="D474" s="1">
        <f t="shared" si="43"/>
        <v>346.98949915300557</v>
      </c>
      <c r="E474" s="2">
        <v>16</v>
      </c>
      <c r="F474" s="1">
        <v>38.686843697062848</v>
      </c>
      <c r="G474" s="1">
        <v>21.686843697062848</v>
      </c>
      <c r="H474" s="1">
        <v>17</v>
      </c>
      <c r="I474" s="6">
        <f t="shared" si="44"/>
        <v>-1.6128732709022182</v>
      </c>
      <c r="J474" s="1">
        <f t="shared" si="45"/>
        <v>-1.156448865504957</v>
      </c>
      <c r="K474" s="6">
        <f t="shared" si="46"/>
        <v>-1.6144771107129035</v>
      </c>
      <c r="L474" s="1">
        <f t="shared" si="47"/>
        <v>-1.1864291598229093</v>
      </c>
    </row>
    <row r="475" spans="1:12" x14ac:dyDescent="0.25">
      <c r="A475" s="3">
        <v>40375</v>
      </c>
      <c r="B475" s="1">
        <f t="shared" si="42"/>
        <v>2583</v>
      </c>
      <c r="C475" s="1">
        <v>4951.9254660378883</v>
      </c>
      <c r="D475" s="1">
        <f t="shared" si="43"/>
        <v>2368.9254660378888</v>
      </c>
      <c r="E475" s="2">
        <v>41</v>
      </c>
      <c r="F475" s="1">
        <v>120.77866990336314</v>
      </c>
      <c r="G475" s="1">
        <v>57.778669903363138</v>
      </c>
      <c r="H475" s="1">
        <v>63</v>
      </c>
      <c r="I475" s="6">
        <f t="shared" si="44"/>
        <v>-0.17373503193781539</v>
      </c>
      <c r="J475" s="1">
        <f t="shared" si="45"/>
        <v>-2.3980893352139362E-2</v>
      </c>
      <c r="K475" s="6">
        <f t="shared" si="46"/>
        <v>-4.40204388935517E-2</v>
      </c>
      <c r="L475" s="1">
        <f t="shared" si="47"/>
        <v>0.12160588157374695</v>
      </c>
    </row>
    <row r="476" spans="1:12" x14ac:dyDescent="0.25">
      <c r="A476" s="3">
        <v>40372</v>
      </c>
      <c r="B476" s="1">
        <f t="shared" si="42"/>
        <v>2288</v>
      </c>
      <c r="C476" s="1">
        <v>6748.486470351565</v>
      </c>
      <c r="D476" s="1">
        <f t="shared" si="43"/>
        <v>4460.4864703515659</v>
      </c>
      <c r="E476" s="2">
        <v>44</v>
      </c>
      <c r="F476" s="1">
        <v>153.37469250799012</v>
      </c>
      <c r="G476" s="1">
        <v>101.37469250799013</v>
      </c>
      <c r="H476" s="1">
        <v>52</v>
      </c>
      <c r="I476" s="6">
        <f t="shared" si="44"/>
        <v>1.5646281874362988</v>
      </c>
      <c r="J476" s="1">
        <f t="shared" si="45"/>
        <v>1.3439493141908632</v>
      </c>
      <c r="K476" s="6">
        <f t="shared" si="46"/>
        <v>0.57955737073595481</v>
      </c>
      <c r="L476" s="1">
        <f t="shared" si="47"/>
        <v>0.64098450606507729</v>
      </c>
    </row>
    <row r="477" spans="1:12" x14ac:dyDescent="0.25">
      <c r="A477" s="3">
        <v>40363</v>
      </c>
      <c r="B477" s="1">
        <f t="shared" si="42"/>
        <v>3225</v>
      </c>
      <c r="C477" s="1">
        <v>6468.3480676119561</v>
      </c>
      <c r="D477" s="1">
        <f t="shared" si="43"/>
        <v>3243.3480676119561</v>
      </c>
      <c r="E477" s="2">
        <v>43</v>
      </c>
      <c r="F477" s="1">
        <v>150.42669924678967</v>
      </c>
      <c r="G477" s="1">
        <v>75.426699246789681</v>
      </c>
      <c r="H477" s="1">
        <v>75</v>
      </c>
      <c r="I477" s="6">
        <f t="shared" si="44"/>
        <v>0.52996872983130905</v>
      </c>
      <c r="J477" s="1">
        <f t="shared" si="45"/>
        <v>0.52976853148452618</v>
      </c>
      <c r="K477" s="6">
        <f t="shared" si="46"/>
        <v>0.52316082190177349</v>
      </c>
      <c r="L477" s="1">
        <f t="shared" si="47"/>
        <v>0.5940117602309074</v>
      </c>
    </row>
    <row r="478" spans="1:12" x14ac:dyDescent="0.25">
      <c r="A478" s="3">
        <v>40359</v>
      </c>
      <c r="B478" s="1">
        <f t="shared" si="42"/>
        <v>184</v>
      </c>
      <c r="C478" s="1">
        <v>414.06691433863864</v>
      </c>
      <c r="D478" s="1">
        <f t="shared" si="43"/>
        <v>230.06691433863864</v>
      </c>
      <c r="E478" s="2">
        <v>4</v>
      </c>
      <c r="F478" s="1">
        <v>103.51672858465966</v>
      </c>
      <c r="G478" s="1">
        <v>57.51672858465966</v>
      </c>
      <c r="H478" s="1">
        <v>46</v>
      </c>
      <c r="I478" s="6">
        <f t="shared" si="44"/>
        <v>-0.18417977269313721</v>
      </c>
      <c r="J478" s="1">
        <f t="shared" si="45"/>
        <v>-3.2199933095918815E-2</v>
      </c>
      <c r="K478" s="6">
        <f t="shared" si="46"/>
        <v>-0.37424979503414491</v>
      </c>
      <c r="L478" s="1">
        <f t="shared" si="47"/>
        <v>-0.15344250230133449</v>
      </c>
    </row>
    <row r="479" spans="1:12" x14ac:dyDescent="0.25">
      <c r="A479" s="3">
        <v>40356</v>
      </c>
      <c r="B479" s="1">
        <f t="shared" si="42"/>
        <v>42</v>
      </c>
      <c r="C479" s="1">
        <v>89.96623369755919</v>
      </c>
      <c r="D479" s="1">
        <f t="shared" si="43"/>
        <v>47.96623369755919</v>
      </c>
      <c r="E479" s="2">
        <v>1</v>
      </c>
      <c r="F479" s="1">
        <v>89.96623369755919</v>
      </c>
      <c r="G479" s="1">
        <v>47.96623369755919</v>
      </c>
      <c r="H479" s="1">
        <v>42</v>
      </c>
      <c r="I479" s="6">
        <f t="shared" si="44"/>
        <v>-0.56499958254418403</v>
      </c>
      <c r="J479" s="1">
        <f t="shared" si="45"/>
        <v>-0.33186971195467091</v>
      </c>
      <c r="K479" s="6">
        <f t="shared" si="46"/>
        <v>-0.63347737085176925</v>
      </c>
      <c r="L479" s="1">
        <f t="shared" si="47"/>
        <v>-0.36935342741647514</v>
      </c>
    </row>
    <row r="480" spans="1:12" x14ac:dyDescent="0.25">
      <c r="A480" s="3">
        <v>40354</v>
      </c>
      <c r="B480" s="1">
        <f t="shared" si="42"/>
        <v>1666</v>
      </c>
      <c r="C480" s="1">
        <v>2903.1536950699506</v>
      </c>
      <c r="D480" s="1">
        <f t="shared" si="43"/>
        <v>1237.1536950699508</v>
      </c>
      <c r="E480" s="2">
        <v>17</v>
      </c>
      <c r="F480" s="1">
        <v>170.77374676882062</v>
      </c>
      <c r="G480" s="1">
        <v>72.773746768820629</v>
      </c>
      <c r="H480" s="1">
        <v>98</v>
      </c>
      <c r="I480" s="6">
        <f t="shared" si="44"/>
        <v>0.42418396473305103</v>
      </c>
      <c r="J480" s="1">
        <f t="shared" si="45"/>
        <v>0.44652575801636207</v>
      </c>
      <c r="K480" s="6">
        <f t="shared" si="46"/>
        <v>0.91240976432993615</v>
      </c>
      <c r="L480" s="1">
        <f t="shared" si="47"/>
        <v>0.91821762064014856</v>
      </c>
    </row>
    <row r="481" spans="1:12" x14ac:dyDescent="0.25">
      <c r="A481" s="3">
        <v>40351</v>
      </c>
      <c r="B481" s="1">
        <f t="shared" si="42"/>
        <v>1232</v>
      </c>
      <c r="C481" s="1">
        <v>2630.0389078944636</v>
      </c>
      <c r="D481" s="1">
        <f t="shared" si="43"/>
        <v>1398.0389078944638</v>
      </c>
      <c r="E481" s="2">
        <v>28</v>
      </c>
      <c r="F481" s="1">
        <v>93.929960996230847</v>
      </c>
      <c r="G481" s="1">
        <v>49.929960996230854</v>
      </c>
      <c r="H481" s="1">
        <v>44</v>
      </c>
      <c r="I481" s="6">
        <f t="shared" si="44"/>
        <v>-0.48669722593128045</v>
      </c>
      <c r="J481" s="1">
        <f t="shared" si="45"/>
        <v>-0.27025303844315918</v>
      </c>
      <c r="K481" s="6">
        <f t="shared" si="46"/>
        <v>-0.55764933450344811</v>
      </c>
      <c r="L481" s="1">
        <f t="shared" si="47"/>
        <v>-0.30619617485184492</v>
      </c>
    </row>
    <row r="482" spans="1:12" x14ac:dyDescent="0.25">
      <c r="A482" s="3">
        <v>40347</v>
      </c>
      <c r="B482" s="1">
        <f t="shared" si="42"/>
        <v>2000</v>
      </c>
      <c r="C482" s="1">
        <v>3378.3484606553116</v>
      </c>
      <c r="D482" s="1">
        <f t="shared" si="43"/>
        <v>1378.3484606553116</v>
      </c>
      <c r="E482" s="2">
        <v>25</v>
      </c>
      <c r="F482" s="1">
        <v>135.13393842621247</v>
      </c>
      <c r="G482" s="1">
        <v>55.13393842621246</v>
      </c>
      <c r="H482" s="1">
        <v>80</v>
      </c>
      <c r="I482" s="6">
        <f t="shared" si="44"/>
        <v>-0.27919198994278166</v>
      </c>
      <c r="J482" s="1">
        <f t="shared" si="45"/>
        <v>-0.10696571311985525</v>
      </c>
      <c r="K482" s="6">
        <f t="shared" si="46"/>
        <v>0.23060284906708153</v>
      </c>
      <c r="L482" s="1">
        <f t="shared" si="47"/>
        <v>0.35033991179689533</v>
      </c>
    </row>
    <row r="483" spans="1:12" x14ac:dyDescent="0.25">
      <c r="A483" s="3">
        <v>40347</v>
      </c>
      <c r="B483" s="1">
        <f t="shared" si="42"/>
        <v>1702</v>
      </c>
      <c r="C483" s="1">
        <v>4183.6563792061716</v>
      </c>
      <c r="D483" s="1">
        <f t="shared" si="43"/>
        <v>2481.6563792061716</v>
      </c>
      <c r="E483" s="2">
        <v>46</v>
      </c>
      <c r="F483" s="1">
        <v>90.949051721873303</v>
      </c>
      <c r="G483" s="1">
        <v>53.949051721873296</v>
      </c>
      <c r="H483" s="1">
        <v>37</v>
      </c>
      <c r="I483" s="6">
        <f t="shared" si="44"/>
        <v>-0.32643858132632686</v>
      </c>
      <c r="J483" s="1">
        <f t="shared" si="45"/>
        <v>-0.14414438719480607</v>
      </c>
      <c r="K483" s="6">
        <f t="shared" si="46"/>
        <v>-0.61467558272258815</v>
      </c>
      <c r="L483" s="1">
        <f t="shared" si="47"/>
        <v>-0.35369339797714433</v>
      </c>
    </row>
    <row r="484" spans="1:12" x14ac:dyDescent="0.25">
      <c r="A484" s="3">
        <v>40339</v>
      </c>
      <c r="B484" s="1">
        <f t="shared" si="42"/>
        <v>465</v>
      </c>
      <c r="C484" s="1">
        <v>848.0697168269046</v>
      </c>
      <c r="D484" s="1">
        <f t="shared" si="43"/>
        <v>383.06971682690465</v>
      </c>
      <c r="E484" s="2">
        <v>15</v>
      </c>
      <c r="F484" s="1">
        <v>56.537981121793642</v>
      </c>
      <c r="G484" s="1">
        <v>25.537981121793642</v>
      </c>
      <c r="H484" s="1">
        <v>31</v>
      </c>
      <c r="I484" s="6">
        <f t="shared" si="44"/>
        <v>-1.459311655600261</v>
      </c>
      <c r="J484" s="1">
        <f t="shared" si="45"/>
        <v>-1.0356101535778397</v>
      </c>
      <c r="K484" s="6">
        <f t="shared" si="46"/>
        <v>-1.2729761457108479</v>
      </c>
      <c r="L484" s="1">
        <f t="shared" si="47"/>
        <v>-0.90199264087331477</v>
      </c>
    </row>
    <row r="485" spans="1:12" x14ac:dyDescent="0.25">
      <c r="A485" s="3">
        <v>40338</v>
      </c>
      <c r="B485" s="1">
        <f t="shared" si="42"/>
        <v>426</v>
      </c>
      <c r="C485" s="1">
        <v>964.86638084696472</v>
      </c>
      <c r="D485" s="1">
        <f t="shared" si="43"/>
        <v>538.86638084696483</v>
      </c>
      <c r="E485" s="2">
        <v>6</v>
      </c>
      <c r="F485" s="1">
        <v>160.81106347449412</v>
      </c>
      <c r="G485" s="1">
        <v>89.811063474494134</v>
      </c>
      <c r="H485" s="1">
        <v>71</v>
      </c>
      <c r="I485" s="6">
        <f t="shared" si="44"/>
        <v>1.1035359548576642</v>
      </c>
      <c r="J485" s="1">
        <f t="shared" si="45"/>
        <v>0.98111260297992742</v>
      </c>
      <c r="K485" s="6">
        <f t="shared" si="46"/>
        <v>0.72181877407130468</v>
      </c>
      <c r="L485" s="1">
        <f t="shared" si="47"/>
        <v>0.75947418103670605</v>
      </c>
    </row>
    <row r="486" spans="1:12" x14ac:dyDescent="0.25">
      <c r="A486" s="3">
        <v>40335</v>
      </c>
      <c r="B486" s="1">
        <f t="shared" si="42"/>
        <v>4292</v>
      </c>
      <c r="C486" s="1">
        <v>8658.1721704878455</v>
      </c>
      <c r="D486" s="1">
        <f t="shared" si="43"/>
        <v>4366.1721704878446</v>
      </c>
      <c r="E486" s="2">
        <v>74</v>
      </c>
      <c r="F486" s="1">
        <v>117.00232662821412</v>
      </c>
      <c r="G486" s="1">
        <v>59.002326628214121</v>
      </c>
      <c r="H486" s="1">
        <v>58</v>
      </c>
      <c r="I486" s="6">
        <f t="shared" si="44"/>
        <v>-0.12494251104865114</v>
      </c>
      <c r="J486" s="1">
        <f t="shared" si="45"/>
        <v>1.4414283491565214E-2</v>
      </c>
      <c r="K486" s="6">
        <f t="shared" si="46"/>
        <v>-0.11626372748399072</v>
      </c>
      <c r="L486" s="1">
        <f t="shared" si="47"/>
        <v>6.1434369250167646E-2</v>
      </c>
    </row>
    <row r="487" spans="1:12" x14ac:dyDescent="0.25">
      <c r="A487" s="3">
        <v>40334</v>
      </c>
      <c r="B487" s="1">
        <f t="shared" si="42"/>
        <v>123</v>
      </c>
      <c r="C487" s="1">
        <v>337.21854017724979</v>
      </c>
      <c r="D487" s="1">
        <f t="shared" si="43"/>
        <v>214.21854017724976</v>
      </c>
      <c r="E487" s="2">
        <v>3</v>
      </c>
      <c r="F487" s="1">
        <v>112.40618005908325</v>
      </c>
      <c r="G487" s="1">
        <v>71.406180059083255</v>
      </c>
      <c r="H487" s="1">
        <v>41</v>
      </c>
      <c r="I487" s="6">
        <f t="shared" si="44"/>
        <v>0.36965312622496166</v>
      </c>
      <c r="J487" s="1">
        <f t="shared" si="45"/>
        <v>0.40361505879855314</v>
      </c>
      <c r="K487" s="6">
        <f t="shared" si="46"/>
        <v>-0.20419025290945664</v>
      </c>
      <c r="L487" s="1">
        <f t="shared" si="47"/>
        <v>-1.1799727804878689E-2</v>
      </c>
    </row>
    <row r="488" spans="1:12" x14ac:dyDescent="0.25">
      <c r="A488" s="3">
        <v>40326</v>
      </c>
      <c r="B488" s="1">
        <f t="shared" si="42"/>
        <v>756</v>
      </c>
      <c r="C488" s="1">
        <v>1295.925097787381</v>
      </c>
      <c r="D488" s="1">
        <f t="shared" si="43"/>
        <v>539.92509778738099</v>
      </c>
      <c r="E488" s="2">
        <v>14</v>
      </c>
      <c r="F488" s="1">
        <v>92.566078413384361</v>
      </c>
      <c r="G488" s="1">
        <v>38.566078413384361</v>
      </c>
      <c r="H488" s="1">
        <v>54</v>
      </c>
      <c r="I488" s="6">
        <f t="shared" si="44"/>
        <v>-0.93982469791331935</v>
      </c>
      <c r="J488" s="1">
        <f t="shared" si="45"/>
        <v>-0.62682222368800011</v>
      </c>
      <c r="K488" s="6">
        <f t="shared" si="46"/>
        <v>-0.58374107348397386</v>
      </c>
      <c r="L488" s="1">
        <f t="shared" si="47"/>
        <v>-0.32792801215109679</v>
      </c>
    </row>
    <row r="489" spans="1:12" x14ac:dyDescent="0.25">
      <c r="A489" s="3">
        <v>40316</v>
      </c>
      <c r="B489" s="1">
        <f t="shared" si="42"/>
        <v>828</v>
      </c>
      <c r="C489" s="1">
        <v>1683.8166036367622</v>
      </c>
      <c r="D489" s="1">
        <f t="shared" si="43"/>
        <v>855.81660363676235</v>
      </c>
      <c r="E489" s="2">
        <v>9</v>
      </c>
      <c r="F489" s="1">
        <v>187.09073373741802</v>
      </c>
      <c r="G489" s="1">
        <v>95.090733737418034</v>
      </c>
      <c r="H489" s="1">
        <v>92</v>
      </c>
      <c r="I489" s="6">
        <f t="shared" si="44"/>
        <v>1.3140593936292571</v>
      </c>
      <c r="J489" s="1">
        <f t="shared" si="45"/>
        <v>1.1467749732383004</v>
      </c>
      <c r="K489" s="6">
        <f t="shared" si="46"/>
        <v>1.2245616828952046</v>
      </c>
      <c r="L489" s="1">
        <f t="shared" si="47"/>
        <v>1.1782092874268228</v>
      </c>
    </row>
    <row r="490" spans="1:12" x14ac:dyDescent="0.25">
      <c r="A490" s="3">
        <v>40311</v>
      </c>
      <c r="B490" s="1">
        <f t="shared" si="42"/>
        <v>350</v>
      </c>
      <c r="C490" s="1">
        <v>628.09242336854265</v>
      </c>
      <c r="D490" s="1">
        <f t="shared" si="43"/>
        <v>278.0924233685426</v>
      </c>
      <c r="E490" s="2">
        <v>5</v>
      </c>
      <c r="F490" s="1">
        <v>125.61848467370852</v>
      </c>
      <c r="G490" s="1">
        <v>55.618484673708522</v>
      </c>
      <c r="H490" s="1">
        <v>70</v>
      </c>
      <c r="I490" s="6">
        <f t="shared" si="44"/>
        <v>-0.25987102155142422</v>
      </c>
      <c r="J490" s="1">
        <f t="shared" si="45"/>
        <v>-9.1761907605011697E-2</v>
      </c>
      <c r="K490" s="6">
        <f t="shared" si="46"/>
        <v>4.8567578059047441E-2</v>
      </c>
      <c r="L490" s="1">
        <f t="shared" si="47"/>
        <v>0.19872253990671768</v>
      </c>
    </row>
    <row r="491" spans="1:12" x14ac:dyDescent="0.25">
      <c r="A491" s="3">
        <v>40295</v>
      </c>
      <c r="B491" s="1">
        <f t="shared" si="42"/>
        <v>777</v>
      </c>
      <c r="C491" s="1">
        <v>1585.3966300054008</v>
      </c>
      <c r="D491" s="1">
        <f t="shared" si="43"/>
        <v>808.39663000540065</v>
      </c>
      <c r="E491" s="2">
        <v>21</v>
      </c>
      <c r="F491" s="1">
        <v>75.495077619304794</v>
      </c>
      <c r="G491" s="1">
        <v>38.495077619304794</v>
      </c>
      <c r="H491" s="1">
        <v>37</v>
      </c>
      <c r="I491" s="6">
        <f t="shared" si="44"/>
        <v>-0.94265580867985921</v>
      </c>
      <c r="J491" s="1">
        <f t="shared" si="45"/>
        <v>-0.62905004460326563</v>
      </c>
      <c r="K491" s="6">
        <f t="shared" si="46"/>
        <v>-0.91031764426609862</v>
      </c>
      <c r="L491" s="1">
        <f t="shared" si="47"/>
        <v>-0.59993398719483992</v>
      </c>
    </row>
    <row r="492" spans="1:12" x14ac:dyDescent="0.25">
      <c r="A492" s="3">
        <v>40257</v>
      </c>
      <c r="B492" s="1">
        <f t="shared" si="42"/>
        <v>1904</v>
      </c>
      <c r="C492" s="1">
        <v>5047.5108712241881</v>
      </c>
      <c r="D492" s="1">
        <f t="shared" si="43"/>
        <v>3143.5108712241881</v>
      </c>
      <c r="E492" s="2">
        <v>28</v>
      </c>
      <c r="F492" s="1">
        <v>180.26824540086386</v>
      </c>
      <c r="G492" s="1">
        <v>112.26824540086386</v>
      </c>
      <c r="H492" s="1">
        <v>68</v>
      </c>
      <c r="I492" s="6">
        <f t="shared" si="44"/>
        <v>1.9990015670681445</v>
      </c>
      <c r="J492" s="1">
        <f t="shared" si="45"/>
        <v>1.6857607726528532</v>
      </c>
      <c r="K492" s="6">
        <f t="shared" si="46"/>
        <v>1.0940441536636658</v>
      </c>
      <c r="L492" s="1">
        <f t="shared" si="47"/>
        <v>1.0695010977550974</v>
      </c>
    </row>
    <row r="493" spans="1:12" x14ac:dyDescent="0.25">
      <c r="A493" s="3">
        <v>40249</v>
      </c>
      <c r="B493" s="1">
        <f t="shared" si="42"/>
        <v>360</v>
      </c>
      <c r="C493" s="1">
        <v>799.92518184745131</v>
      </c>
      <c r="D493" s="1">
        <f t="shared" si="43"/>
        <v>439.92518184745143</v>
      </c>
      <c r="E493" s="2">
        <v>6</v>
      </c>
      <c r="F493" s="1">
        <v>133.32086364124189</v>
      </c>
      <c r="G493" s="1">
        <v>73.3208636412419</v>
      </c>
      <c r="H493" s="1">
        <v>60</v>
      </c>
      <c r="I493" s="6">
        <f t="shared" si="44"/>
        <v>0.44599989634547277</v>
      </c>
      <c r="J493" s="1">
        <f t="shared" si="45"/>
        <v>0.46369286758571243</v>
      </c>
      <c r="K493" s="6">
        <f t="shared" si="46"/>
        <v>0.19591784418719302</v>
      </c>
      <c r="L493" s="1">
        <f t="shared" si="47"/>
        <v>0.32145073414046971</v>
      </c>
    </row>
    <row r="494" spans="1:12" x14ac:dyDescent="0.25">
      <c r="A494" s="3">
        <v>40228</v>
      </c>
      <c r="B494" s="1">
        <f t="shared" si="42"/>
        <v>11323</v>
      </c>
      <c r="C494" s="1">
        <v>19040.104774431122</v>
      </c>
      <c r="D494" s="1">
        <f t="shared" si="43"/>
        <v>7717.1047744311245</v>
      </c>
      <c r="E494" s="2">
        <v>169</v>
      </c>
      <c r="F494" s="1">
        <v>112.66334186053919</v>
      </c>
      <c r="G494" s="1">
        <v>45.663341860539198</v>
      </c>
      <c r="H494" s="1">
        <v>67</v>
      </c>
      <c r="I494" s="6">
        <f t="shared" si="44"/>
        <v>-0.65682590587597256</v>
      </c>
      <c r="J494" s="1">
        <f t="shared" si="45"/>
        <v>-0.40412848971366544</v>
      </c>
      <c r="K494" s="6">
        <f t="shared" si="46"/>
        <v>-0.19927062222882547</v>
      </c>
      <c r="L494" s="1">
        <f t="shared" si="47"/>
        <v>-7.7021621499531265E-3</v>
      </c>
    </row>
    <row r="495" spans="1:12" x14ac:dyDescent="0.25">
      <c r="A495" s="3">
        <v>40225</v>
      </c>
      <c r="B495" s="1">
        <f t="shared" si="42"/>
        <v>1258</v>
      </c>
      <c r="C495" s="1">
        <v>3325.3489993857329</v>
      </c>
      <c r="D495" s="1">
        <f t="shared" si="43"/>
        <v>2067.3489993857329</v>
      </c>
      <c r="E495" s="2">
        <v>34</v>
      </c>
      <c r="F495" s="1">
        <v>97.804382334874504</v>
      </c>
      <c r="G495" s="1">
        <v>60.804382334874497</v>
      </c>
      <c r="H495" s="1">
        <v>37</v>
      </c>
      <c r="I495" s="6">
        <f t="shared" si="44"/>
        <v>-5.3086704657057324E-2</v>
      </c>
      <c r="J495" s="1">
        <f t="shared" si="45"/>
        <v>7.0958121427697293E-2</v>
      </c>
      <c r="K495" s="6">
        <f t="shared" si="46"/>
        <v>-0.48352976472531567</v>
      </c>
      <c r="L495" s="1">
        <f t="shared" si="47"/>
        <v>-0.24446190592055025</v>
      </c>
    </row>
    <row r="496" spans="1:12" x14ac:dyDescent="0.25">
      <c r="A496" s="3">
        <v>40221</v>
      </c>
      <c r="B496" s="1">
        <f t="shared" si="42"/>
        <v>252</v>
      </c>
      <c r="C496" s="1">
        <v>535.68804192708023</v>
      </c>
      <c r="D496" s="1">
        <f t="shared" si="43"/>
        <v>283.68804192708018</v>
      </c>
      <c r="E496" s="2">
        <v>9</v>
      </c>
      <c r="F496" s="1">
        <v>59.520893547453355</v>
      </c>
      <c r="G496" s="1">
        <v>31.520893547453355</v>
      </c>
      <c r="H496" s="1">
        <v>28</v>
      </c>
      <c r="I496" s="6">
        <f t="shared" si="44"/>
        <v>-1.2207468901897722</v>
      </c>
      <c r="J496" s="1">
        <f t="shared" si="45"/>
        <v>-0.84788186674839661</v>
      </c>
      <c r="K496" s="6">
        <f t="shared" si="46"/>
        <v>-1.215911576230353</v>
      </c>
      <c r="L496" s="1">
        <f t="shared" si="47"/>
        <v>-0.85446349992845227</v>
      </c>
    </row>
    <row r="497" spans="1:12" x14ac:dyDescent="0.25">
      <c r="A497" s="3">
        <v>40216</v>
      </c>
      <c r="B497" s="1">
        <f t="shared" si="42"/>
        <v>2016</v>
      </c>
      <c r="C497" s="1">
        <v>3700.2418689745678</v>
      </c>
      <c r="D497" s="1">
        <f t="shared" si="43"/>
        <v>1684.241868974568</v>
      </c>
      <c r="E497" s="2">
        <v>18</v>
      </c>
      <c r="F497" s="1">
        <v>205.56899272080932</v>
      </c>
      <c r="G497" s="1">
        <v>93.568992720809334</v>
      </c>
      <c r="H497" s="1">
        <v>112</v>
      </c>
      <c r="I497" s="6">
        <f t="shared" si="44"/>
        <v>1.2533809542983081</v>
      </c>
      <c r="J497" s="1">
        <f t="shared" si="45"/>
        <v>1.0990266838231253</v>
      </c>
      <c r="K497" s="6">
        <f t="shared" si="46"/>
        <v>1.5780597891639818</v>
      </c>
      <c r="L497" s="1">
        <f t="shared" si="47"/>
        <v>1.472638238167151</v>
      </c>
    </row>
    <row r="498" spans="1:12" x14ac:dyDescent="0.25">
      <c r="A498" s="3">
        <v>40204</v>
      </c>
      <c r="B498" s="1">
        <f t="shared" si="42"/>
        <v>1582</v>
      </c>
      <c r="C498" s="1">
        <v>3006.2860367528538</v>
      </c>
      <c r="D498" s="1">
        <f t="shared" si="43"/>
        <v>1424.2860367528538</v>
      </c>
      <c r="E498" s="2">
        <v>14</v>
      </c>
      <c r="F498" s="1">
        <v>214.73471691091811</v>
      </c>
      <c r="G498" s="1">
        <v>101.73471691091812</v>
      </c>
      <c r="H498" s="1">
        <v>113</v>
      </c>
      <c r="I498" s="6">
        <f t="shared" si="44"/>
        <v>1.5789839277707558</v>
      </c>
      <c r="J498" s="1">
        <f t="shared" si="45"/>
        <v>1.355245946929226</v>
      </c>
      <c r="K498" s="6">
        <f t="shared" si="46"/>
        <v>1.7534045630789719</v>
      </c>
      <c r="L498" s="1">
        <f t="shared" si="47"/>
        <v>1.618683087873749</v>
      </c>
    </row>
    <row r="499" spans="1:12" x14ac:dyDescent="0.25">
      <c r="A499" s="3">
        <v>40197</v>
      </c>
      <c r="B499" s="1">
        <f t="shared" si="42"/>
        <v>1692</v>
      </c>
      <c r="C499" s="1">
        <v>4483.5223940189335</v>
      </c>
      <c r="D499" s="1">
        <f t="shared" si="43"/>
        <v>2791.5223940189335</v>
      </c>
      <c r="E499" s="2">
        <v>47</v>
      </c>
      <c r="F499" s="1">
        <v>95.394093489764543</v>
      </c>
      <c r="G499" s="1">
        <v>59.394093489764543</v>
      </c>
      <c r="H499" s="1">
        <v>36</v>
      </c>
      <c r="I499" s="6">
        <f t="shared" si="44"/>
        <v>-0.10932106069605395</v>
      </c>
      <c r="J499" s="1">
        <f t="shared" si="45"/>
        <v>2.6706912318954217E-2</v>
      </c>
      <c r="K499" s="6">
        <f t="shared" si="46"/>
        <v>-0.5296397658392169</v>
      </c>
      <c r="L499" s="1">
        <f t="shared" si="47"/>
        <v>-0.2828669751581176</v>
      </c>
    </row>
    <row r="500" spans="1:12" x14ac:dyDescent="0.25">
      <c r="A500" s="3">
        <v>40188</v>
      </c>
      <c r="B500" s="1">
        <f t="shared" si="42"/>
        <v>2848</v>
      </c>
      <c r="C500" s="1">
        <v>5164.7602452415567</v>
      </c>
      <c r="D500" s="1">
        <f t="shared" si="43"/>
        <v>2316.7602452415567</v>
      </c>
      <c r="E500" s="2">
        <v>32</v>
      </c>
      <c r="F500" s="1">
        <v>161.39875766379865</v>
      </c>
      <c r="G500" s="1">
        <v>72.398757663798648</v>
      </c>
      <c r="H500" s="1">
        <v>89</v>
      </c>
      <c r="I500" s="6">
        <f t="shared" si="44"/>
        <v>0.40923151657630003</v>
      </c>
      <c r="J500" s="1">
        <f t="shared" si="45"/>
        <v>0.43475957170824137</v>
      </c>
      <c r="K500" s="6">
        <f t="shared" si="46"/>
        <v>0.73306165053336991</v>
      </c>
      <c r="L500" s="1">
        <f t="shared" si="47"/>
        <v>0.76883838486503464</v>
      </c>
    </row>
    <row r="501" spans="1:12" x14ac:dyDescent="0.25">
      <c r="A501" s="3">
        <v>40186</v>
      </c>
      <c r="B501" s="1">
        <f t="shared" si="42"/>
        <v>2401</v>
      </c>
      <c r="C501" s="1">
        <v>4524.0295816469734</v>
      </c>
      <c r="D501" s="1">
        <f t="shared" si="43"/>
        <v>2123.0295816469725</v>
      </c>
      <c r="E501" s="2">
        <v>49</v>
      </c>
      <c r="F501" s="1">
        <v>92.327134319325978</v>
      </c>
      <c r="G501" s="1">
        <v>43.327134319325971</v>
      </c>
      <c r="H501" s="1">
        <v>49</v>
      </c>
      <c r="I501" s="6">
        <f t="shared" si="44"/>
        <v>-0.7499806713760363</v>
      </c>
      <c r="J501" s="1">
        <f t="shared" si="45"/>
        <v>-0.47743262793053481</v>
      </c>
      <c r="K501" s="6">
        <f t="shared" si="46"/>
        <v>-0.58831219053724537</v>
      </c>
      <c r="L501" s="1">
        <f t="shared" si="47"/>
        <v>-0.33173530043309579</v>
      </c>
    </row>
    <row r="502" spans="1:12" x14ac:dyDescent="0.25">
      <c r="A502" s="3"/>
      <c r="B502" s="1"/>
      <c r="C502" s="1"/>
      <c r="D502" s="1"/>
      <c r="E502" s="2"/>
      <c r="F502" s="1"/>
      <c r="G502" s="1"/>
      <c r="H502" s="1"/>
    </row>
    <row r="503" spans="1:12" x14ac:dyDescent="0.25">
      <c r="A503" s="3"/>
      <c r="B503" s="1"/>
      <c r="C503" s="1"/>
      <c r="D503" s="1"/>
      <c r="E503" s="2"/>
      <c r="F503" s="1"/>
      <c r="G503" s="1"/>
      <c r="H503" s="1"/>
    </row>
    <row r="504" spans="1:12" x14ac:dyDescent="0.25">
      <c r="A504" s="3"/>
      <c r="B504" s="1"/>
      <c r="C504" s="1"/>
      <c r="D504" s="1"/>
      <c r="E504" s="2"/>
      <c r="F504" s="1"/>
      <c r="G504" s="1"/>
      <c r="H504" s="1"/>
    </row>
    <row r="505" spans="1:12" x14ac:dyDescent="0.25">
      <c r="A505" s="3"/>
      <c r="B505" s="1"/>
      <c r="C505" s="1"/>
      <c r="D505" s="1"/>
      <c r="E505" s="2"/>
      <c r="F505" s="1"/>
      <c r="G505" s="1"/>
      <c r="H505" s="1"/>
    </row>
    <row r="506" spans="1:12" x14ac:dyDescent="0.25">
      <c r="A506" s="3"/>
      <c r="B506" s="1"/>
      <c r="C506" s="1"/>
      <c r="D506" s="1"/>
      <c r="E506" s="2"/>
      <c r="F506" s="1"/>
      <c r="G506" s="1"/>
      <c r="H506" s="1"/>
    </row>
    <row r="507" spans="1:12" x14ac:dyDescent="0.25">
      <c r="A507" s="3"/>
      <c r="B507" s="1"/>
      <c r="C507" s="1"/>
      <c r="D507" s="1"/>
      <c r="E507" s="2"/>
      <c r="F507" s="1"/>
      <c r="G507" s="1"/>
      <c r="H507" s="1"/>
    </row>
    <row r="508" spans="1:12" x14ac:dyDescent="0.25">
      <c r="A508" s="3"/>
      <c r="B508" s="1"/>
      <c r="C508" s="1"/>
      <c r="D508" s="1"/>
      <c r="E508" s="2"/>
      <c r="F508" s="1"/>
      <c r="G508" s="1"/>
      <c r="H508" s="1"/>
    </row>
    <row r="509" spans="1:12" x14ac:dyDescent="0.25">
      <c r="A509" s="3"/>
      <c r="B509" s="1"/>
      <c r="C509" s="1"/>
      <c r="D509" s="1"/>
      <c r="E509" s="2"/>
      <c r="F509" s="1"/>
      <c r="G509" s="1"/>
      <c r="H509" s="1"/>
    </row>
    <row r="510" spans="1:12" x14ac:dyDescent="0.25">
      <c r="A510" s="3"/>
      <c r="B510" s="1"/>
      <c r="C510" s="1"/>
      <c r="D510" s="1"/>
      <c r="E510" s="2"/>
      <c r="F510" s="1"/>
      <c r="G510" s="1"/>
      <c r="H510" s="1"/>
    </row>
    <row r="511" spans="1:12" x14ac:dyDescent="0.25">
      <c r="A511" s="3"/>
      <c r="B511" s="1"/>
      <c r="C511" s="1"/>
      <c r="D511" s="1"/>
      <c r="E511" s="2"/>
      <c r="F511" s="1"/>
      <c r="G511" s="1"/>
      <c r="H511" s="1"/>
    </row>
    <row r="512" spans="1:12" x14ac:dyDescent="0.25">
      <c r="A512" s="3"/>
      <c r="B512" s="1"/>
      <c r="C512" s="1"/>
      <c r="D512" s="1"/>
      <c r="E512" s="2"/>
      <c r="F512" s="1"/>
      <c r="G512" s="1"/>
      <c r="H512" s="1"/>
    </row>
    <row r="513" spans="1:8" x14ac:dyDescent="0.25">
      <c r="A513" s="3"/>
      <c r="B513" s="1"/>
      <c r="C513" s="1"/>
      <c r="D513" s="1"/>
      <c r="E513" s="2"/>
      <c r="F513" s="1"/>
      <c r="G513" s="1"/>
      <c r="H513" s="1"/>
    </row>
    <row r="514" spans="1:8" x14ac:dyDescent="0.25">
      <c r="A514" s="3"/>
      <c r="B514" s="1"/>
      <c r="C514" s="1"/>
      <c r="D514" s="1"/>
      <c r="E514" s="2"/>
      <c r="F514" s="1"/>
      <c r="G514" s="1"/>
      <c r="H514" s="1"/>
    </row>
    <row r="515" spans="1:8" x14ac:dyDescent="0.25">
      <c r="A515" s="3"/>
      <c r="B515" s="1"/>
      <c r="C515" s="1"/>
      <c r="D515" s="1"/>
      <c r="E515" s="2"/>
      <c r="F515" s="1"/>
      <c r="G515" s="1"/>
      <c r="H515" s="1"/>
    </row>
    <row r="516" spans="1:8" x14ac:dyDescent="0.25">
      <c r="A516" s="3"/>
      <c r="B516" s="1"/>
      <c r="C516" s="1"/>
      <c r="D516" s="1"/>
      <c r="E516" s="2"/>
      <c r="F516" s="1"/>
      <c r="G516" s="1"/>
      <c r="H516" s="1"/>
    </row>
    <row r="517" spans="1:8" x14ac:dyDescent="0.25">
      <c r="A517" s="3"/>
      <c r="B517" s="1"/>
      <c r="C517" s="1"/>
      <c r="D517" s="1"/>
      <c r="E517" s="2"/>
      <c r="F517" s="1"/>
      <c r="G517" s="1"/>
      <c r="H517" s="1"/>
    </row>
    <row r="518" spans="1:8" x14ac:dyDescent="0.25">
      <c r="A518" s="3"/>
      <c r="B518" s="1"/>
      <c r="C518" s="1"/>
      <c r="D518" s="1"/>
      <c r="E518" s="2"/>
      <c r="F518" s="1"/>
      <c r="G518" s="1"/>
      <c r="H518" s="1"/>
    </row>
    <row r="519" spans="1:8" x14ac:dyDescent="0.25">
      <c r="A519" s="3"/>
      <c r="B519" s="1"/>
      <c r="C519" s="1"/>
      <c r="D519" s="1"/>
      <c r="E519" s="2"/>
      <c r="F519" s="1"/>
      <c r="G519" s="1"/>
      <c r="H519" s="1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F5A8-3A39-426C-BA83-54CD5BF6D99A}">
  <dimension ref="A1:AZ523"/>
  <sheetViews>
    <sheetView topLeftCell="H1" workbookViewId="0">
      <selection activeCell="T36" sqref="T36"/>
    </sheetView>
  </sheetViews>
  <sheetFormatPr defaultRowHeight="15" x14ac:dyDescent="0.25"/>
  <cols>
    <col min="1" max="1" width="15.140625" bestFit="1" customWidth="1"/>
    <col min="2" max="2" width="11.7109375" customWidth="1"/>
    <col min="3" max="9" width="9.140625" customWidth="1"/>
    <col min="10" max="10" width="17.85546875" customWidth="1"/>
    <col min="11" max="12" width="9.140625" customWidth="1"/>
    <col min="13" max="13" width="13" bestFit="1" customWidth="1"/>
    <col min="14" max="18" width="11" bestFit="1" customWidth="1"/>
    <col min="19" max="19" width="12" bestFit="1" customWidth="1"/>
    <col min="20" max="27" width="11" bestFit="1" customWidth="1"/>
    <col min="28" max="28" width="12" bestFit="1" customWidth="1"/>
    <col min="29" max="44" width="11" bestFit="1" customWidth="1"/>
    <col min="45" max="45" width="12" bestFit="1" customWidth="1"/>
    <col min="46" max="52" width="11" bestFit="1" customWidth="1"/>
  </cols>
  <sheetData>
    <row r="1" spans="1:52" x14ac:dyDescent="0.25">
      <c r="N1" t="s">
        <v>61</v>
      </c>
    </row>
    <row r="2" spans="1:52" x14ac:dyDescent="0.25">
      <c r="M2" t="s">
        <v>62</v>
      </c>
      <c r="N2" s="8">
        <f>+SUMPRODUCT($C6:$C505,N6:N505)</f>
        <v>21945.698546856365</v>
      </c>
      <c r="O2" s="8">
        <f>+SUMPRODUCT($C6:$C505,O6:O505)</f>
        <v>31839.620881028452</v>
      </c>
      <c r="P2" s="8">
        <f t="shared" ref="P2:AZ2" si="0">+SUMPRODUCT($C6:$C505,P6:P505)</f>
        <v>37087.645508107526</v>
      </c>
      <c r="Q2" s="8">
        <f t="shared" si="0"/>
        <v>59835.209950624347</v>
      </c>
      <c r="R2" s="8">
        <f t="shared" si="0"/>
        <v>16354.298532457677</v>
      </c>
      <c r="S2" s="8">
        <f t="shared" si="0"/>
        <v>104130.29699413558</v>
      </c>
      <c r="T2" s="8">
        <f t="shared" si="0"/>
        <v>41180.626983785602</v>
      </c>
      <c r="U2" s="8">
        <f t="shared" si="0"/>
        <v>34457.918847469911</v>
      </c>
      <c r="V2" s="8">
        <f t="shared" si="0"/>
        <v>38568.454399417038</v>
      </c>
      <c r="W2" s="8">
        <f t="shared" si="0"/>
        <v>27844.700428998854</v>
      </c>
      <c r="X2" s="8">
        <f t="shared" si="0"/>
        <v>51495.770272457448</v>
      </c>
      <c r="Y2" s="8">
        <f t="shared" si="0"/>
        <v>76231.337303123262</v>
      </c>
      <c r="Z2" s="8">
        <f t="shared" si="0"/>
        <v>57146.066262670349</v>
      </c>
      <c r="AA2" s="8">
        <f t="shared" si="0"/>
        <v>88285.346138468056</v>
      </c>
      <c r="AB2" s="8">
        <f t="shared" si="0"/>
        <v>134962.09805229347</v>
      </c>
      <c r="AC2" s="8">
        <f t="shared" si="0"/>
        <v>74827.142645370608</v>
      </c>
      <c r="AD2" s="8">
        <f t="shared" si="0"/>
        <v>10446.928241094947</v>
      </c>
      <c r="AE2" s="8">
        <f t="shared" si="0"/>
        <v>52815.185445468123</v>
      </c>
      <c r="AF2" s="8">
        <f t="shared" si="0"/>
        <v>31102.001366009943</v>
      </c>
      <c r="AG2" s="8">
        <f t="shared" si="0"/>
        <v>35893.242259601262</v>
      </c>
      <c r="AH2" s="8">
        <f t="shared" si="0"/>
        <v>59222.08067059239</v>
      </c>
      <c r="AI2" s="8">
        <f t="shared" si="0"/>
        <v>50129.960749999926</v>
      </c>
      <c r="AJ2" s="8">
        <f t="shared" si="0"/>
        <v>40380.483344165419</v>
      </c>
      <c r="AK2" s="8">
        <f t="shared" si="0"/>
        <v>86288.900302623399</v>
      </c>
      <c r="AL2" s="8">
        <f t="shared" si="0"/>
        <v>26388.218554603383</v>
      </c>
      <c r="AM2" s="8">
        <f t="shared" si="0"/>
        <v>71109.987610808268</v>
      </c>
      <c r="AN2" s="8">
        <f t="shared" si="0"/>
        <v>34535.489657227336</v>
      </c>
      <c r="AO2" s="8">
        <f t="shared" si="0"/>
        <v>37318.061950738811</v>
      </c>
      <c r="AP2" s="8">
        <f t="shared" si="0"/>
        <v>48084.23189517665</v>
      </c>
      <c r="AQ2" s="8">
        <f t="shared" si="0"/>
        <v>30578.723909810062</v>
      </c>
      <c r="AR2" s="8">
        <f t="shared" si="0"/>
        <v>59634.274320740726</v>
      </c>
      <c r="AS2" s="8">
        <f t="shared" si="0"/>
        <v>125139.00363357393</v>
      </c>
      <c r="AT2" s="8">
        <f t="shared" si="0"/>
        <v>35981.494419839626</v>
      </c>
      <c r="AU2" s="8">
        <f t="shared" si="0"/>
        <v>42864.036208606456</v>
      </c>
      <c r="AV2" s="8">
        <f t="shared" si="0"/>
        <v>53843.709563787495</v>
      </c>
      <c r="AW2" s="8">
        <f t="shared" si="0"/>
        <v>32645.99695833672</v>
      </c>
      <c r="AX2" s="8">
        <f t="shared" si="0"/>
        <v>33399.198411164849</v>
      </c>
      <c r="AY2" s="8">
        <f t="shared" si="0"/>
        <v>17731.14210585253</v>
      </c>
      <c r="AZ2" s="8">
        <f t="shared" si="0"/>
        <v>33527.361239074635</v>
      </c>
    </row>
    <row r="3" spans="1:52" x14ac:dyDescent="0.25">
      <c r="M3" t="s">
        <v>63</v>
      </c>
      <c r="N3" s="8">
        <f>+N2/SUM(N6:N505)</f>
        <v>2194.5698546856365</v>
      </c>
      <c r="O3" s="8">
        <f t="shared" ref="O3:R3" si="1">+O2/SUM(O6:O505)</f>
        <v>2894.5109891844045</v>
      </c>
      <c r="P3" s="8">
        <f t="shared" si="1"/>
        <v>3090.637125675627</v>
      </c>
      <c r="Q3" s="8">
        <f t="shared" si="1"/>
        <v>4273.9435679017388</v>
      </c>
      <c r="R3" s="8">
        <f t="shared" si="1"/>
        <v>1817.1442813841863</v>
      </c>
      <c r="S3" s="8">
        <f t="shared" ref="S3" si="2">+S2/SUM(S6:S505)</f>
        <v>5480.5419470597672</v>
      </c>
      <c r="T3" s="8">
        <f t="shared" ref="T3" si="3">+T2/SUM(T6:T505)</f>
        <v>3431.7189153154668</v>
      </c>
      <c r="U3" s="8">
        <f t="shared" ref="U3" si="4">+U2/SUM(U6:U505)</f>
        <v>3132.5380770427191</v>
      </c>
      <c r="V3" s="8">
        <f t="shared" ref="V3" si="5">+V2/SUM(V6:V505)</f>
        <v>3214.0378666180864</v>
      </c>
      <c r="W3" s="8">
        <f t="shared" ref="W3" si="6">+W2/SUM(W6:W505)</f>
        <v>2531.3364026362597</v>
      </c>
      <c r="X3" s="8">
        <f t="shared" ref="X3" si="7">+X2/SUM(X6:X505)</f>
        <v>3678.2693051755318</v>
      </c>
      <c r="Y3" s="8">
        <f t="shared" ref="Y3" si="8">+Y2/SUM(Y6:Y505)</f>
        <v>4012.1756475328034</v>
      </c>
      <c r="Z3" s="8">
        <f t="shared" ref="Z3" si="9">+Z2/SUM(Z6:Z505)</f>
        <v>3361.5333095688438</v>
      </c>
      <c r="AA3" s="8">
        <f t="shared" ref="AA3" si="10">+AA2/SUM(AA6:AA505)</f>
        <v>4904.7414521371138</v>
      </c>
      <c r="AB3" s="8">
        <f t="shared" ref="AB3" si="11">+AB2/SUM(AB6:AB505)</f>
        <v>12269.281641117588</v>
      </c>
      <c r="AC3" s="8">
        <f t="shared" ref="AC3" si="12">+AC2/SUM(AC6:AC505)</f>
        <v>7482.7142645370604</v>
      </c>
      <c r="AD3" s="8">
        <f t="shared" ref="AD3" si="13">+AD2/SUM(AD6:AD505)</f>
        <v>1160.7698045661052</v>
      </c>
      <c r="AE3" s="8">
        <f t="shared" ref="AE3" si="14">+AE2/SUM(AE6:AE505)</f>
        <v>4801.3804950425565</v>
      </c>
      <c r="AF3" s="8">
        <f t="shared" ref="AF3" si="15">+AF2/SUM(AF6:AF505)</f>
        <v>4443.1430522871351</v>
      </c>
      <c r="AG3" s="8">
        <f t="shared" ref="AG3" si="16">+AG2/SUM(AG6:AG505)</f>
        <v>2392.8828173067509</v>
      </c>
      <c r="AH3" s="8">
        <f t="shared" ref="AH3" si="17">+AH2/SUM(AH6:AH505)</f>
        <v>5383.8255155083989</v>
      </c>
      <c r="AI3" s="8">
        <f t="shared" ref="AI3" si="18">+AI2/SUM(AI6:AI505)</f>
        <v>3133.1225468749954</v>
      </c>
      <c r="AJ3" s="8">
        <f t="shared" ref="AJ3" si="19">+AJ2/SUM(AJ6:AJ505)</f>
        <v>3365.0402786804516</v>
      </c>
      <c r="AK3" s="8">
        <f t="shared" ref="AK3" si="20">+AK2/SUM(AK6:AK505)</f>
        <v>4541.5210685591264</v>
      </c>
      <c r="AL3" s="8">
        <f t="shared" ref="AL3" si="21">+AL2/SUM(AL6:AL505)</f>
        <v>2199.0182128836154</v>
      </c>
      <c r="AM3" s="8">
        <f t="shared" ref="AM3" si="22">+AM2/SUM(AM6:AM505)</f>
        <v>5079.2848293434481</v>
      </c>
      <c r="AN3" s="8">
        <f t="shared" ref="AN3" si="23">+AN2/SUM(AN6:AN505)</f>
        <v>2656.5761274790257</v>
      </c>
      <c r="AO3" s="8">
        <f t="shared" ref="AO3" si="24">+AO2/SUM(AO6:AO505)</f>
        <v>4664.7577438423514</v>
      </c>
      <c r="AP3" s="8">
        <f t="shared" ref="AP3" si="25">+AP2/SUM(AP6:AP505)</f>
        <v>3005.2644934485406</v>
      </c>
      <c r="AQ3" s="8">
        <f t="shared" ref="AQ3" si="26">+AQ2/SUM(AQ6:AQ505)</f>
        <v>3057.872390981006</v>
      </c>
      <c r="AR3" s="8">
        <f t="shared" ref="AR3" si="27">+AR2/SUM(AR6:AR505)</f>
        <v>3138.6460168810909</v>
      </c>
      <c r="AS3" s="8">
        <f t="shared" ref="AS3" si="28">+AS2/SUM(AS6:AS505)</f>
        <v>7361.1178607984666</v>
      </c>
      <c r="AT3" s="8">
        <f t="shared" ref="AT3" si="29">+AT2/SUM(AT6:AT505)</f>
        <v>2998.4578683199688</v>
      </c>
      <c r="AU3" s="8">
        <f t="shared" ref="AU3" si="30">+AU2/SUM(AU6:AU505)</f>
        <v>2679.0022630379035</v>
      </c>
      <c r="AV3" s="8">
        <f t="shared" ref="AV3" si="31">+AV2/SUM(AV6:AV505)</f>
        <v>3365.2318477367185</v>
      </c>
      <c r="AW3" s="8">
        <f t="shared" ref="AW3" si="32">+AW2/SUM(AW6:AW505)</f>
        <v>2720.4997465280599</v>
      </c>
      <c r="AX3" s="8">
        <f t="shared" ref="AX3" si="33">+AX2/SUM(AX6:AX505)</f>
        <v>2569.169108551142</v>
      </c>
      <c r="AY3" s="8">
        <f t="shared" ref="AY3" si="34">+AY2/SUM(AY6:AY505)</f>
        <v>2955.1903509754216</v>
      </c>
      <c r="AZ3" s="8">
        <f t="shared" ref="AZ3" si="35">+AZ2/SUM(AZ6:AZ505)</f>
        <v>5587.8935398457725</v>
      </c>
    </row>
    <row r="4" spans="1:52" x14ac:dyDescent="0.25">
      <c r="M4" t="s">
        <v>64</v>
      </c>
      <c r="N4" s="2">
        <f>+SUM(N6:N505)</f>
        <v>10</v>
      </c>
      <c r="O4" s="2">
        <f t="shared" ref="O4:AZ4" si="36">+SUM(O6:O505)</f>
        <v>11</v>
      </c>
      <c r="P4" s="2">
        <f t="shared" si="36"/>
        <v>12</v>
      </c>
      <c r="Q4" s="2">
        <f t="shared" si="36"/>
        <v>14</v>
      </c>
      <c r="R4" s="2">
        <f t="shared" si="36"/>
        <v>9</v>
      </c>
      <c r="S4" s="2">
        <f t="shared" si="36"/>
        <v>19</v>
      </c>
      <c r="T4" s="2">
        <f t="shared" si="36"/>
        <v>12</v>
      </c>
      <c r="U4" s="2">
        <f t="shared" si="36"/>
        <v>11</v>
      </c>
      <c r="V4" s="2">
        <f t="shared" si="36"/>
        <v>12</v>
      </c>
      <c r="W4" s="2">
        <f t="shared" si="36"/>
        <v>11</v>
      </c>
      <c r="X4" s="2">
        <f t="shared" si="36"/>
        <v>14</v>
      </c>
      <c r="Y4" s="2">
        <f t="shared" si="36"/>
        <v>19</v>
      </c>
      <c r="Z4" s="2">
        <f t="shared" si="36"/>
        <v>17</v>
      </c>
      <c r="AA4" s="2">
        <f t="shared" si="36"/>
        <v>18</v>
      </c>
      <c r="AB4" s="2">
        <f t="shared" si="36"/>
        <v>11</v>
      </c>
      <c r="AC4" s="2">
        <f t="shared" si="36"/>
        <v>10</v>
      </c>
      <c r="AD4" s="2">
        <f t="shared" si="36"/>
        <v>9</v>
      </c>
      <c r="AE4" s="2">
        <f t="shared" si="36"/>
        <v>11</v>
      </c>
      <c r="AF4" s="2">
        <f t="shared" si="36"/>
        <v>7</v>
      </c>
      <c r="AG4" s="2">
        <f t="shared" si="36"/>
        <v>15</v>
      </c>
      <c r="AH4" s="2">
        <f t="shared" si="36"/>
        <v>11</v>
      </c>
      <c r="AI4" s="2">
        <f t="shared" si="36"/>
        <v>16</v>
      </c>
      <c r="AJ4" s="2">
        <f t="shared" si="36"/>
        <v>12</v>
      </c>
      <c r="AK4" s="2">
        <f t="shared" si="36"/>
        <v>19</v>
      </c>
      <c r="AL4" s="2">
        <f t="shared" si="36"/>
        <v>12</v>
      </c>
      <c r="AM4" s="2">
        <f t="shared" si="36"/>
        <v>14</v>
      </c>
      <c r="AN4" s="2">
        <f t="shared" si="36"/>
        <v>13</v>
      </c>
      <c r="AO4" s="2">
        <f t="shared" si="36"/>
        <v>8</v>
      </c>
      <c r="AP4" s="2">
        <f t="shared" si="36"/>
        <v>16</v>
      </c>
      <c r="AQ4" s="2">
        <f t="shared" si="36"/>
        <v>10</v>
      </c>
      <c r="AR4" s="2">
        <f t="shared" si="36"/>
        <v>19</v>
      </c>
      <c r="AS4" s="2">
        <f t="shared" si="36"/>
        <v>17</v>
      </c>
      <c r="AT4" s="2">
        <f t="shared" si="36"/>
        <v>12</v>
      </c>
      <c r="AU4" s="2">
        <f t="shared" si="36"/>
        <v>16</v>
      </c>
      <c r="AV4" s="2">
        <f t="shared" si="36"/>
        <v>16</v>
      </c>
      <c r="AW4" s="2">
        <f t="shared" si="36"/>
        <v>12</v>
      </c>
      <c r="AX4" s="2">
        <f t="shared" si="36"/>
        <v>13</v>
      </c>
      <c r="AY4" s="2">
        <f t="shared" si="36"/>
        <v>6</v>
      </c>
      <c r="AZ4" s="2">
        <f t="shared" si="36"/>
        <v>6</v>
      </c>
    </row>
    <row r="5" spans="1:52" x14ac:dyDescent="0.25">
      <c r="A5" t="s">
        <v>3</v>
      </c>
      <c r="B5" t="s">
        <v>4</v>
      </c>
      <c r="C5" t="s">
        <v>5</v>
      </c>
      <c r="D5" t="s">
        <v>6</v>
      </c>
      <c r="E5" t="s">
        <v>50</v>
      </c>
      <c r="F5" t="s">
        <v>51</v>
      </c>
      <c r="G5" t="s">
        <v>7</v>
      </c>
      <c r="H5" t="s">
        <v>8</v>
      </c>
      <c r="I5" t="s">
        <v>9</v>
      </c>
      <c r="J5" t="s">
        <v>10</v>
      </c>
      <c r="K5" t="s">
        <v>52</v>
      </c>
      <c r="N5" t="s">
        <v>26</v>
      </c>
      <c r="O5" t="s">
        <v>46</v>
      </c>
      <c r="P5" t="s">
        <v>11</v>
      </c>
      <c r="Q5" t="s">
        <v>41</v>
      </c>
      <c r="R5" t="s">
        <v>13</v>
      </c>
      <c r="S5" t="s">
        <v>25</v>
      </c>
      <c r="T5" t="s">
        <v>21</v>
      </c>
      <c r="U5" t="s">
        <v>18</v>
      </c>
      <c r="V5" t="s">
        <v>24</v>
      </c>
      <c r="W5" t="s">
        <v>31</v>
      </c>
      <c r="X5" t="s">
        <v>40</v>
      </c>
      <c r="Y5" t="s">
        <v>39</v>
      </c>
      <c r="Z5" t="s">
        <v>42</v>
      </c>
      <c r="AA5" t="s">
        <v>49</v>
      </c>
      <c r="AB5" t="s">
        <v>38</v>
      </c>
      <c r="AC5" t="s">
        <v>27</v>
      </c>
      <c r="AD5" t="s">
        <v>37</v>
      </c>
      <c r="AE5" t="s">
        <v>20</v>
      </c>
      <c r="AF5" t="s">
        <v>34</v>
      </c>
      <c r="AG5" t="s">
        <v>17</v>
      </c>
      <c r="AH5" t="s">
        <v>32</v>
      </c>
      <c r="AI5" t="s">
        <v>48</v>
      </c>
      <c r="AJ5" t="s">
        <v>45</v>
      </c>
      <c r="AK5" t="s">
        <v>12</v>
      </c>
      <c r="AL5" t="s">
        <v>35</v>
      </c>
      <c r="AM5" t="s">
        <v>23</v>
      </c>
      <c r="AN5" t="s">
        <v>16</v>
      </c>
      <c r="AO5" t="s">
        <v>36</v>
      </c>
      <c r="AP5" t="s">
        <v>14</v>
      </c>
      <c r="AQ5" t="s">
        <v>33</v>
      </c>
      <c r="AR5" t="s">
        <v>15</v>
      </c>
      <c r="AS5" t="s">
        <v>29</v>
      </c>
      <c r="AT5" t="s">
        <v>28</v>
      </c>
      <c r="AU5" t="s">
        <v>44</v>
      </c>
      <c r="AV5" t="s">
        <v>30</v>
      </c>
      <c r="AW5" t="s">
        <v>19</v>
      </c>
      <c r="AX5" t="s">
        <v>22</v>
      </c>
      <c r="AY5" t="s">
        <v>43</v>
      </c>
      <c r="AZ5" t="s">
        <v>47</v>
      </c>
    </row>
    <row r="6" spans="1:52" x14ac:dyDescent="0.25">
      <c r="A6" t="s">
        <v>26</v>
      </c>
      <c r="B6" s="3">
        <v>44196</v>
      </c>
      <c r="C6" s="1">
        <v>1564.407037995232</v>
      </c>
      <c r="D6" s="1">
        <v>173.82300422169246</v>
      </c>
      <c r="E6" s="1">
        <f>+G6*H6</f>
        <v>943.40703799523214</v>
      </c>
      <c r="F6" s="1">
        <f>+G6*I6</f>
        <v>621</v>
      </c>
      <c r="G6" s="2">
        <v>9</v>
      </c>
      <c r="H6" s="1">
        <v>104.82300422169246</v>
      </c>
      <c r="I6" s="1">
        <v>69</v>
      </c>
      <c r="J6" s="1">
        <f>+C6</f>
        <v>1564.407037995232</v>
      </c>
      <c r="K6" s="1">
        <f>+E6</f>
        <v>943.40703799523214</v>
      </c>
      <c r="N6">
        <f>+IF(N$5=$A6,1,0)</f>
        <v>1</v>
      </c>
      <c r="O6">
        <f>+IF(O$5=$A6,1,0)</f>
        <v>0</v>
      </c>
      <c r="P6">
        <f>+IF(P$5=$A6,1,0)</f>
        <v>0</v>
      </c>
      <c r="Q6">
        <f t="shared" ref="Q6:AZ13" si="37">+IF(Q$5=$A6,1,0)</f>
        <v>0</v>
      </c>
      <c r="R6">
        <f t="shared" si="37"/>
        <v>0</v>
      </c>
      <c r="S6">
        <f t="shared" si="37"/>
        <v>0</v>
      </c>
      <c r="T6">
        <f t="shared" si="37"/>
        <v>0</v>
      </c>
      <c r="U6">
        <f t="shared" si="37"/>
        <v>0</v>
      </c>
      <c r="V6">
        <f t="shared" si="37"/>
        <v>0</v>
      </c>
      <c r="W6">
        <f t="shared" si="37"/>
        <v>0</v>
      </c>
      <c r="X6">
        <f t="shared" si="37"/>
        <v>0</v>
      </c>
      <c r="Y6">
        <f t="shared" si="37"/>
        <v>0</v>
      </c>
      <c r="Z6">
        <f t="shared" si="37"/>
        <v>0</v>
      </c>
      <c r="AA6">
        <f t="shared" si="37"/>
        <v>0</v>
      </c>
      <c r="AB6">
        <f t="shared" si="37"/>
        <v>0</v>
      </c>
      <c r="AC6">
        <f t="shared" si="37"/>
        <v>0</v>
      </c>
      <c r="AD6">
        <f t="shared" si="37"/>
        <v>0</v>
      </c>
      <c r="AE6">
        <f t="shared" si="37"/>
        <v>0</v>
      </c>
      <c r="AF6">
        <f t="shared" si="37"/>
        <v>0</v>
      </c>
      <c r="AG6">
        <f t="shared" si="37"/>
        <v>0</v>
      </c>
      <c r="AH6">
        <f t="shared" si="37"/>
        <v>0</v>
      </c>
      <c r="AI6">
        <f t="shared" si="37"/>
        <v>0</v>
      </c>
      <c r="AJ6">
        <f t="shared" si="37"/>
        <v>0</v>
      </c>
      <c r="AK6">
        <f t="shared" si="37"/>
        <v>0</v>
      </c>
      <c r="AL6">
        <f t="shared" si="37"/>
        <v>0</v>
      </c>
      <c r="AM6">
        <f t="shared" si="37"/>
        <v>0</v>
      </c>
      <c r="AN6">
        <f t="shared" si="37"/>
        <v>0</v>
      </c>
      <c r="AO6">
        <f t="shared" si="37"/>
        <v>0</v>
      </c>
      <c r="AP6">
        <f t="shared" si="37"/>
        <v>0</v>
      </c>
      <c r="AQ6">
        <f t="shared" si="37"/>
        <v>0</v>
      </c>
      <c r="AR6">
        <f t="shared" si="37"/>
        <v>0</v>
      </c>
      <c r="AS6">
        <f t="shared" si="37"/>
        <v>0</v>
      </c>
      <c r="AT6">
        <f t="shared" si="37"/>
        <v>0</v>
      </c>
      <c r="AU6">
        <f t="shared" si="37"/>
        <v>0</v>
      </c>
      <c r="AV6">
        <f t="shared" si="37"/>
        <v>0</v>
      </c>
      <c r="AW6">
        <f t="shared" si="37"/>
        <v>0</v>
      </c>
      <c r="AX6">
        <f t="shared" si="37"/>
        <v>0</v>
      </c>
      <c r="AY6">
        <f t="shared" si="37"/>
        <v>0</v>
      </c>
      <c r="AZ6">
        <f t="shared" si="37"/>
        <v>0</v>
      </c>
    </row>
    <row r="7" spans="1:52" x14ac:dyDescent="0.25">
      <c r="A7" t="s">
        <v>46</v>
      </c>
      <c r="B7" s="3">
        <v>44190</v>
      </c>
      <c r="C7" s="1">
        <v>10830.484273708065</v>
      </c>
      <c r="D7" s="1">
        <v>135.38105342135083</v>
      </c>
      <c r="E7" s="1">
        <f t="shared" ref="E7:E70" si="38">+G7*H7</f>
        <v>6910.4842737080662</v>
      </c>
      <c r="F7" s="1">
        <f t="shared" ref="F7:F70" si="39">+G7*I7</f>
        <v>3920</v>
      </c>
      <c r="G7" s="2">
        <v>80</v>
      </c>
      <c r="H7" s="1">
        <v>86.381053421350828</v>
      </c>
      <c r="I7" s="1">
        <v>49</v>
      </c>
      <c r="J7" s="1">
        <f>+J6+C7</f>
        <v>12394.891311703297</v>
      </c>
      <c r="K7" s="1">
        <f>+K6+E7</f>
        <v>7853.891311703298</v>
      </c>
      <c r="N7">
        <f t="shared" ref="N7:AC70" si="40">+IF(N$5=$A7,1,0)</f>
        <v>0</v>
      </c>
      <c r="O7">
        <f t="shared" si="40"/>
        <v>1</v>
      </c>
      <c r="P7">
        <f t="shared" si="40"/>
        <v>0</v>
      </c>
      <c r="Q7">
        <f t="shared" si="37"/>
        <v>0</v>
      </c>
      <c r="R7">
        <f t="shared" si="37"/>
        <v>0</v>
      </c>
      <c r="S7">
        <f t="shared" si="37"/>
        <v>0</v>
      </c>
      <c r="T7">
        <f t="shared" si="37"/>
        <v>0</v>
      </c>
      <c r="U7">
        <f t="shared" si="37"/>
        <v>0</v>
      </c>
      <c r="V7">
        <f t="shared" si="37"/>
        <v>0</v>
      </c>
      <c r="W7">
        <f t="shared" si="37"/>
        <v>0</v>
      </c>
      <c r="X7">
        <f t="shared" si="37"/>
        <v>0</v>
      </c>
      <c r="Y7">
        <f t="shared" si="37"/>
        <v>0</v>
      </c>
      <c r="Z7">
        <f t="shared" si="37"/>
        <v>0</v>
      </c>
      <c r="AA7">
        <f t="shared" si="37"/>
        <v>0</v>
      </c>
      <c r="AB7">
        <f t="shared" si="37"/>
        <v>0</v>
      </c>
      <c r="AC7">
        <f t="shared" si="37"/>
        <v>0</v>
      </c>
      <c r="AD7">
        <f t="shared" si="37"/>
        <v>0</v>
      </c>
      <c r="AE7">
        <f t="shared" si="37"/>
        <v>0</v>
      </c>
      <c r="AF7">
        <f t="shared" si="37"/>
        <v>0</v>
      </c>
      <c r="AG7">
        <f t="shared" si="37"/>
        <v>0</v>
      </c>
      <c r="AH7">
        <f t="shared" si="37"/>
        <v>0</v>
      </c>
      <c r="AI7">
        <f t="shared" si="37"/>
        <v>0</v>
      </c>
      <c r="AJ7">
        <f t="shared" si="37"/>
        <v>0</v>
      </c>
      <c r="AK7">
        <f t="shared" si="37"/>
        <v>0</v>
      </c>
      <c r="AL7">
        <f t="shared" si="37"/>
        <v>0</v>
      </c>
      <c r="AM7">
        <f t="shared" si="37"/>
        <v>0</v>
      </c>
      <c r="AN7">
        <f t="shared" si="37"/>
        <v>0</v>
      </c>
      <c r="AO7">
        <f t="shared" si="37"/>
        <v>0</v>
      </c>
      <c r="AP7">
        <f t="shared" si="37"/>
        <v>0</v>
      </c>
      <c r="AQ7">
        <f t="shared" si="37"/>
        <v>0</v>
      </c>
      <c r="AR7">
        <f t="shared" si="37"/>
        <v>0</v>
      </c>
      <c r="AS7">
        <f t="shared" si="37"/>
        <v>0</v>
      </c>
      <c r="AT7">
        <f t="shared" si="37"/>
        <v>0</v>
      </c>
      <c r="AU7">
        <f t="shared" si="37"/>
        <v>0</v>
      </c>
      <c r="AV7">
        <f t="shared" si="37"/>
        <v>0</v>
      </c>
      <c r="AW7">
        <f t="shared" si="37"/>
        <v>0</v>
      </c>
      <c r="AX7">
        <f t="shared" si="37"/>
        <v>0</v>
      </c>
      <c r="AY7">
        <f t="shared" si="37"/>
        <v>0</v>
      </c>
      <c r="AZ7">
        <f t="shared" si="37"/>
        <v>0</v>
      </c>
    </row>
    <row r="8" spans="1:52" x14ac:dyDescent="0.25">
      <c r="A8" t="s">
        <v>11</v>
      </c>
      <c r="B8" s="3">
        <v>44181</v>
      </c>
      <c r="C8" s="1">
        <v>2313.6293014759617</v>
      </c>
      <c r="D8" s="1">
        <v>192.80244178966348</v>
      </c>
      <c r="E8" s="1">
        <f t="shared" si="38"/>
        <v>1233.6293014759617</v>
      </c>
      <c r="F8" s="1">
        <f t="shared" si="39"/>
        <v>1080</v>
      </c>
      <c r="G8" s="2">
        <v>12</v>
      </c>
      <c r="H8" s="1">
        <v>102.80244178966348</v>
      </c>
      <c r="I8" s="1">
        <v>90</v>
      </c>
      <c r="J8" s="1">
        <f t="shared" ref="J8:J71" si="41">+J7+C8</f>
        <v>14708.520613179258</v>
      </c>
      <c r="K8" s="1">
        <f t="shared" ref="K8:K71" si="42">+K7+E8</f>
        <v>9087.5206131792602</v>
      </c>
      <c r="N8">
        <f t="shared" si="40"/>
        <v>0</v>
      </c>
      <c r="O8">
        <f t="shared" si="40"/>
        <v>0</v>
      </c>
      <c r="P8">
        <f t="shared" si="40"/>
        <v>1</v>
      </c>
      <c r="Q8">
        <f t="shared" si="37"/>
        <v>0</v>
      </c>
      <c r="R8">
        <f t="shared" si="37"/>
        <v>0</v>
      </c>
      <c r="S8">
        <f t="shared" si="37"/>
        <v>0</v>
      </c>
      <c r="T8">
        <f t="shared" si="37"/>
        <v>0</v>
      </c>
      <c r="U8">
        <f t="shared" si="37"/>
        <v>0</v>
      </c>
      <c r="V8">
        <f t="shared" si="37"/>
        <v>0</v>
      </c>
      <c r="W8">
        <f t="shared" si="37"/>
        <v>0</v>
      </c>
      <c r="X8">
        <f t="shared" si="37"/>
        <v>0</v>
      </c>
      <c r="Y8">
        <f t="shared" si="37"/>
        <v>0</v>
      </c>
      <c r="Z8">
        <f t="shared" si="37"/>
        <v>0</v>
      </c>
      <c r="AA8">
        <f t="shared" si="37"/>
        <v>0</v>
      </c>
      <c r="AB8">
        <f t="shared" si="37"/>
        <v>0</v>
      </c>
      <c r="AC8">
        <f t="shared" si="37"/>
        <v>0</v>
      </c>
      <c r="AD8">
        <f t="shared" si="37"/>
        <v>0</v>
      </c>
      <c r="AE8">
        <f t="shared" si="37"/>
        <v>0</v>
      </c>
      <c r="AF8">
        <f t="shared" si="37"/>
        <v>0</v>
      </c>
      <c r="AG8">
        <f t="shared" si="37"/>
        <v>0</v>
      </c>
      <c r="AH8">
        <f t="shared" si="37"/>
        <v>0</v>
      </c>
      <c r="AI8">
        <f t="shared" si="37"/>
        <v>0</v>
      </c>
      <c r="AJ8">
        <f t="shared" si="37"/>
        <v>0</v>
      </c>
      <c r="AK8">
        <f t="shared" si="37"/>
        <v>0</v>
      </c>
      <c r="AL8">
        <f t="shared" si="37"/>
        <v>0</v>
      </c>
      <c r="AM8">
        <f t="shared" si="37"/>
        <v>0</v>
      </c>
      <c r="AN8">
        <f t="shared" si="37"/>
        <v>0</v>
      </c>
      <c r="AO8">
        <f t="shared" si="37"/>
        <v>0</v>
      </c>
      <c r="AP8">
        <f t="shared" si="37"/>
        <v>0</v>
      </c>
      <c r="AQ8">
        <f t="shared" si="37"/>
        <v>0</v>
      </c>
      <c r="AR8">
        <f t="shared" si="37"/>
        <v>0</v>
      </c>
      <c r="AS8">
        <f t="shared" si="37"/>
        <v>0</v>
      </c>
      <c r="AT8">
        <f t="shared" si="37"/>
        <v>0</v>
      </c>
      <c r="AU8">
        <f t="shared" si="37"/>
        <v>0</v>
      </c>
      <c r="AV8">
        <f t="shared" si="37"/>
        <v>0</v>
      </c>
      <c r="AW8">
        <f t="shared" si="37"/>
        <v>0</v>
      </c>
      <c r="AX8">
        <f t="shared" si="37"/>
        <v>0</v>
      </c>
      <c r="AY8">
        <f t="shared" si="37"/>
        <v>0</v>
      </c>
      <c r="AZ8">
        <f t="shared" si="37"/>
        <v>0</v>
      </c>
    </row>
    <row r="9" spans="1:52" x14ac:dyDescent="0.25">
      <c r="A9" t="s">
        <v>41</v>
      </c>
      <c r="B9" s="3">
        <v>44163</v>
      </c>
      <c r="C9" s="1">
        <v>1881.9656178577998</v>
      </c>
      <c r="D9" s="1">
        <v>85.543891720809086</v>
      </c>
      <c r="E9" s="1">
        <f t="shared" si="38"/>
        <v>803.96561785779988</v>
      </c>
      <c r="F9" s="1">
        <f t="shared" si="39"/>
        <v>1078</v>
      </c>
      <c r="G9" s="2">
        <v>22</v>
      </c>
      <c r="H9" s="1">
        <v>36.543891720809086</v>
      </c>
      <c r="I9" s="1">
        <v>49</v>
      </c>
      <c r="J9" s="1">
        <f t="shared" si="41"/>
        <v>16590.486231037059</v>
      </c>
      <c r="K9" s="1">
        <f t="shared" si="42"/>
        <v>9891.4862310370609</v>
      </c>
      <c r="N9">
        <f t="shared" si="40"/>
        <v>0</v>
      </c>
      <c r="O9">
        <f t="shared" si="40"/>
        <v>0</v>
      </c>
      <c r="P9">
        <f t="shared" si="40"/>
        <v>0</v>
      </c>
      <c r="Q9">
        <f t="shared" si="37"/>
        <v>1</v>
      </c>
      <c r="R9">
        <f t="shared" si="37"/>
        <v>0</v>
      </c>
      <c r="S9">
        <f t="shared" si="37"/>
        <v>0</v>
      </c>
      <c r="T9">
        <f t="shared" si="37"/>
        <v>0</v>
      </c>
      <c r="U9">
        <f t="shared" si="37"/>
        <v>0</v>
      </c>
      <c r="V9">
        <f t="shared" si="37"/>
        <v>0</v>
      </c>
      <c r="W9">
        <f t="shared" si="37"/>
        <v>0</v>
      </c>
      <c r="X9">
        <f t="shared" si="37"/>
        <v>0</v>
      </c>
      <c r="Y9">
        <f t="shared" si="37"/>
        <v>0</v>
      </c>
      <c r="Z9">
        <f t="shared" si="37"/>
        <v>0</v>
      </c>
      <c r="AA9">
        <f t="shared" si="37"/>
        <v>0</v>
      </c>
      <c r="AB9">
        <f t="shared" si="37"/>
        <v>0</v>
      </c>
      <c r="AC9">
        <f t="shared" si="37"/>
        <v>0</v>
      </c>
      <c r="AD9">
        <f t="shared" si="37"/>
        <v>0</v>
      </c>
      <c r="AE9">
        <f t="shared" si="37"/>
        <v>0</v>
      </c>
      <c r="AF9">
        <f t="shared" si="37"/>
        <v>0</v>
      </c>
      <c r="AG9">
        <f t="shared" si="37"/>
        <v>0</v>
      </c>
      <c r="AH9">
        <f t="shared" si="37"/>
        <v>0</v>
      </c>
      <c r="AI9">
        <f t="shared" si="37"/>
        <v>0</v>
      </c>
      <c r="AJ9">
        <f t="shared" si="37"/>
        <v>0</v>
      </c>
      <c r="AK9">
        <f t="shared" si="37"/>
        <v>0</v>
      </c>
      <c r="AL9">
        <f t="shared" si="37"/>
        <v>0</v>
      </c>
      <c r="AM9">
        <f t="shared" si="37"/>
        <v>0</v>
      </c>
      <c r="AN9">
        <f t="shared" si="37"/>
        <v>0</v>
      </c>
      <c r="AO9">
        <f t="shared" si="37"/>
        <v>0</v>
      </c>
      <c r="AP9">
        <f t="shared" si="37"/>
        <v>0</v>
      </c>
      <c r="AQ9">
        <f t="shared" si="37"/>
        <v>0</v>
      </c>
      <c r="AR9">
        <f t="shared" si="37"/>
        <v>0</v>
      </c>
      <c r="AS9">
        <f t="shared" si="37"/>
        <v>0</v>
      </c>
      <c r="AT9">
        <f t="shared" si="37"/>
        <v>0</v>
      </c>
      <c r="AU9">
        <f t="shared" si="37"/>
        <v>0</v>
      </c>
      <c r="AV9">
        <f t="shared" si="37"/>
        <v>0</v>
      </c>
      <c r="AW9">
        <f t="shared" si="37"/>
        <v>0</v>
      </c>
      <c r="AX9">
        <f t="shared" si="37"/>
        <v>0</v>
      </c>
      <c r="AY9">
        <f t="shared" si="37"/>
        <v>0</v>
      </c>
      <c r="AZ9">
        <f t="shared" si="37"/>
        <v>0</v>
      </c>
    </row>
    <row r="10" spans="1:52" x14ac:dyDescent="0.25">
      <c r="A10" t="s">
        <v>13</v>
      </c>
      <c r="B10" s="3">
        <v>44160</v>
      </c>
      <c r="C10" s="1">
        <v>1572.4451189061003</v>
      </c>
      <c r="D10" s="1">
        <v>112.31750849329288</v>
      </c>
      <c r="E10" s="1">
        <f t="shared" si="38"/>
        <v>872.44511890610033</v>
      </c>
      <c r="F10" s="1">
        <f t="shared" si="39"/>
        <v>700</v>
      </c>
      <c r="G10" s="2">
        <v>14</v>
      </c>
      <c r="H10" s="1">
        <v>62.317508493292877</v>
      </c>
      <c r="I10" s="1">
        <v>50</v>
      </c>
      <c r="J10" s="1">
        <f t="shared" si="41"/>
        <v>18162.931349943159</v>
      </c>
      <c r="K10" s="1">
        <f t="shared" si="42"/>
        <v>10763.931349943161</v>
      </c>
      <c r="N10">
        <f t="shared" si="40"/>
        <v>0</v>
      </c>
      <c r="O10">
        <f t="shared" si="40"/>
        <v>0</v>
      </c>
      <c r="P10">
        <f t="shared" si="40"/>
        <v>0</v>
      </c>
      <c r="Q10">
        <f t="shared" si="37"/>
        <v>0</v>
      </c>
      <c r="R10">
        <f t="shared" si="37"/>
        <v>1</v>
      </c>
      <c r="S10">
        <f t="shared" si="37"/>
        <v>0</v>
      </c>
      <c r="T10">
        <f t="shared" si="37"/>
        <v>0</v>
      </c>
      <c r="U10">
        <f t="shared" si="37"/>
        <v>0</v>
      </c>
      <c r="V10">
        <f t="shared" si="37"/>
        <v>0</v>
      </c>
      <c r="W10">
        <f t="shared" si="37"/>
        <v>0</v>
      </c>
      <c r="X10">
        <f t="shared" si="37"/>
        <v>0</v>
      </c>
      <c r="Y10">
        <f t="shared" si="37"/>
        <v>0</v>
      </c>
      <c r="Z10">
        <f t="shared" si="37"/>
        <v>0</v>
      </c>
      <c r="AA10">
        <f t="shared" si="37"/>
        <v>0</v>
      </c>
      <c r="AB10">
        <f t="shared" si="37"/>
        <v>0</v>
      </c>
      <c r="AC10">
        <f t="shared" si="37"/>
        <v>0</v>
      </c>
      <c r="AD10">
        <f t="shared" si="37"/>
        <v>0</v>
      </c>
      <c r="AE10">
        <f t="shared" si="37"/>
        <v>0</v>
      </c>
      <c r="AF10">
        <f t="shared" si="37"/>
        <v>0</v>
      </c>
      <c r="AG10">
        <f t="shared" si="37"/>
        <v>0</v>
      </c>
      <c r="AH10">
        <f t="shared" si="37"/>
        <v>0</v>
      </c>
      <c r="AI10">
        <f t="shared" si="37"/>
        <v>0</v>
      </c>
      <c r="AJ10">
        <f t="shared" si="37"/>
        <v>0</v>
      </c>
      <c r="AK10">
        <f t="shared" si="37"/>
        <v>0</v>
      </c>
      <c r="AL10">
        <f t="shared" si="37"/>
        <v>0</v>
      </c>
      <c r="AM10">
        <f t="shared" si="37"/>
        <v>0</v>
      </c>
      <c r="AN10">
        <f t="shared" si="37"/>
        <v>0</v>
      </c>
      <c r="AO10">
        <f t="shared" si="37"/>
        <v>0</v>
      </c>
      <c r="AP10">
        <f t="shared" si="37"/>
        <v>0</v>
      </c>
      <c r="AQ10">
        <f t="shared" si="37"/>
        <v>0</v>
      </c>
      <c r="AR10">
        <f t="shared" si="37"/>
        <v>0</v>
      </c>
      <c r="AS10">
        <f t="shared" si="37"/>
        <v>0</v>
      </c>
      <c r="AT10">
        <f t="shared" si="37"/>
        <v>0</v>
      </c>
      <c r="AU10">
        <f t="shared" si="37"/>
        <v>0</v>
      </c>
      <c r="AV10">
        <f t="shared" si="37"/>
        <v>0</v>
      </c>
      <c r="AW10">
        <f t="shared" si="37"/>
        <v>0</v>
      </c>
      <c r="AX10">
        <f t="shared" si="37"/>
        <v>0</v>
      </c>
      <c r="AY10">
        <f t="shared" si="37"/>
        <v>0</v>
      </c>
      <c r="AZ10">
        <f t="shared" si="37"/>
        <v>0</v>
      </c>
    </row>
    <row r="11" spans="1:52" x14ac:dyDescent="0.25">
      <c r="A11" t="s">
        <v>25</v>
      </c>
      <c r="B11" s="3">
        <v>44159</v>
      </c>
      <c r="C11" s="1">
        <v>5581.0923255227844</v>
      </c>
      <c r="D11" s="1">
        <v>139.5273081380696</v>
      </c>
      <c r="E11" s="1">
        <f t="shared" si="38"/>
        <v>2381.092325522784</v>
      </c>
      <c r="F11" s="1">
        <f t="shared" si="39"/>
        <v>3200</v>
      </c>
      <c r="G11" s="2">
        <v>40</v>
      </c>
      <c r="H11" s="1">
        <v>59.5273081380696</v>
      </c>
      <c r="I11" s="1">
        <v>80</v>
      </c>
      <c r="J11" s="1">
        <f t="shared" si="41"/>
        <v>23744.023675465942</v>
      </c>
      <c r="K11" s="1">
        <f t="shared" si="42"/>
        <v>13145.023675465945</v>
      </c>
      <c r="N11">
        <f t="shared" si="40"/>
        <v>0</v>
      </c>
      <c r="O11">
        <f t="shared" si="40"/>
        <v>0</v>
      </c>
      <c r="P11">
        <f t="shared" si="40"/>
        <v>0</v>
      </c>
      <c r="Q11">
        <f t="shared" si="37"/>
        <v>0</v>
      </c>
      <c r="R11">
        <f t="shared" si="37"/>
        <v>0</v>
      </c>
      <c r="S11">
        <f t="shared" si="37"/>
        <v>1</v>
      </c>
      <c r="T11">
        <f t="shared" si="37"/>
        <v>0</v>
      </c>
      <c r="U11">
        <f t="shared" si="37"/>
        <v>0</v>
      </c>
      <c r="V11">
        <f t="shared" si="37"/>
        <v>0</v>
      </c>
      <c r="W11">
        <f t="shared" si="37"/>
        <v>0</v>
      </c>
      <c r="X11">
        <f t="shared" si="37"/>
        <v>0</v>
      </c>
      <c r="Y11">
        <f t="shared" si="37"/>
        <v>0</v>
      </c>
      <c r="Z11">
        <f t="shared" si="37"/>
        <v>0</v>
      </c>
      <c r="AA11">
        <f t="shared" si="37"/>
        <v>0</v>
      </c>
      <c r="AB11">
        <f t="shared" si="37"/>
        <v>0</v>
      </c>
      <c r="AC11">
        <f t="shared" si="37"/>
        <v>0</v>
      </c>
      <c r="AD11">
        <f t="shared" si="37"/>
        <v>0</v>
      </c>
      <c r="AE11">
        <f t="shared" si="37"/>
        <v>0</v>
      </c>
      <c r="AF11">
        <f t="shared" si="37"/>
        <v>0</v>
      </c>
      <c r="AG11">
        <f t="shared" si="37"/>
        <v>0</v>
      </c>
      <c r="AH11">
        <f t="shared" si="37"/>
        <v>0</v>
      </c>
      <c r="AI11">
        <f t="shared" si="37"/>
        <v>0</v>
      </c>
      <c r="AJ11">
        <f t="shared" si="37"/>
        <v>0</v>
      </c>
      <c r="AK11">
        <f t="shared" si="37"/>
        <v>0</v>
      </c>
      <c r="AL11">
        <f t="shared" si="37"/>
        <v>0</v>
      </c>
      <c r="AM11">
        <f t="shared" si="37"/>
        <v>0</v>
      </c>
      <c r="AN11">
        <f t="shared" si="37"/>
        <v>0</v>
      </c>
      <c r="AO11">
        <f t="shared" si="37"/>
        <v>0</v>
      </c>
      <c r="AP11">
        <f t="shared" si="37"/>
        <v>0</v>
      </c>
      <c r="AQ11">
        <f t="shared" si="37"/>
        <v>0</v>
      </c>
      <c r="AR11">
        <f t="shared" si="37"/>
        <v>0</v>
      </c>
      <c r="AS11">
        <f t="shared" si="37"/>
        <v>0</v>
      </c>
      <c r="AT11">
        <f t="shared" si="37"/>
        <v>0</v>
      </c>
      <c r="AU11">
        <f t="shared" si="37"/>
        <v>0</v>
      </c>
      <c r="AV11">
        <f t="shared" si="37"/>
        <v>0</v>
      </c>
      <c r="AW11">
        <f t="shared" si="37"/>
        <v>0</v>
      </c>
      <c r="AX11">
        <f t="shared" si="37"/>
        <v>0</v>
      </c>
      <c r="AY11">
        <f t="shared" si="37"/>
        <v>0</v>
      </c>
      <c r="AZ11">
        <f t="shared" si="37"/>
        <v>0</v>
      </c>
    </row>
    <row r="12" spans="1:52" x14ac:dyDescent="0.25">
      <c r="A12" t="s">
        <v>21</v>
      </c>
      <c r="B12" s="3">
        <v>44152</v>
      </c>
      <c r="C12" s="1">
        <v>1554.6592951170171</v>
      </c>
      <c r="D12" s="1">
        <v>119.58917654746286</v>
      </c>
      <c r="E12" s="1">
        <f t="shared" si="38"/>
        <v>735.65929511701711</v>
      </c>
      <c r="F12" s="1">
        <f t="shared" si="39"/>
        <v>819</v>
      </c>
      <c r="G12" s="2">
        <v>13</v>
      </c>
      <c r="H12" s="1">
        <v>56.589176547462856</v>
      </c>
      <c r="I12" s="1">
        <v>63</v>
      </c>
      <c r="J12" s="1">
        <f t="shared" si="41"/>
        <v>25298.682970582959</v>
      </c>
      <c r="K12" s="1">
        <f t="shared" si="42"/>
        <v>13880.682970582962</v>
      </c>
      <c r="N12">
        <f t="shared" si="40"/>
        <v>0</v>
      </c>
      <c r="O12">
        <f t="shared" si="40"/>
        <v>0</v>
      </c>
      <c r="P12">
        <f t="shared" si="40"/>
        <v>0</v>
      </c>
      <c r="Q12">
        <f t="shared" si="37"/>
        <v>0</v>
      </c>
      <c r="R12">
        <f t="shared" si="37"/>
        <v>0</v>
      </c>
      <c r="S12">
        <f t="shared" si="37"/>
        <v>0</v>
      </c>
      <c r="T12">
        <f t="shared" si="37"/>
        <v>1</v>
      </c>
      <c r="U12">
        <f t="shared" si="37"/>
        <v>0</v>
      </c>
      <c r="V12">
        <f t="shared" si="37"/>
        <v>0</v>
      </c>
      <c r="W12">
        <f t="shared" si="37"/>
        <v>0</v>
      </c>
      <c r="X12">
        <f t="shared" si="37"/>
        <v>0</v>
      </c>
      <c r="Y12">
        <f t="shared" si="37"/>
        <v>0</v>
      </c>
      <c r="Z12">
        <f t="shared" si="37"/>
        <v>0</v>
      </c>
      <c r="AA12">
        <f t="shared" si="37"/>
        <v>0</v>
      </c>
      <c r="AB12">
        <f t="shared" si="37"/>
        <v>0</v>
      </c>
      <c r="AC12">
        <f t="shared" si="37"/>
        <v>0</v>
      </c>
      <c r="AD12">
        <f t="shared" si="37"/>
        <v>0</v>
      </c>
      <c r="AE12">
        <f t="shared" si="37"/>
        <v>0</v>
      </c>
      <c r="AF12">
        <f t="shared" si="37"/>
        <v>0</v>
      </c>
      <c r="AG12">
        <f t="shared" si="37"/>
        <v>0</v>
      </c>
      <c r="AH12">
        <f t="shared" si="37"/>
        <v>0</v>
      </c>
      <c r="AI12">
        <f t="shared" si="37"/>
        <v>0</v>
      </c>
      <c r="AJ12">
        <f t="shared" si="37"/>
        <v>0</v>
      </c>
      <c r="AK12">
        <f t="shared" si="37"/>
        <v>0</v>
      </c>
      <c r="AL12">
        <f t="shared" si="37"/>
        <v>0</v>
      </c>
      <c r="AM12">
        <f t="shared" si="37"/>
        <v>0</v>
      </c>
      <c r="AN12">
        <f t="shared" si="37"/>
        <v>0</v>
      </c>
      <c r="AO12">
        <f t="shared" si="37"/>
        <v>0</v>
      </c>
      <c r="AP12">
        <f t="shared" si="37"/>
        <v>0</v>
      </c>
      <c r="AQ12">
        <f t="shared" si="37"/>
        <v>0</v>
      </c>
      <c r="AR12">
        <f t="shared" si="37"/>
        <v>0</v>
      </c>
      <c r="AS12">
        <f t="shared" si="37"/>
        <v>0</v>
      </c>
      <c r="AT12">
        <f t="shared" si="37"/>
        <v>0</v>
      </c>
      <c r="AU12">
        <f t="shared" si="37"/>
        <v>0</v>
      </c>
      <c r="AV12">
        <f t="shared" si="37"/>
        <v>0</v>
      </c>
      <c r="AW12">
        <f t="shared" si="37"/>
        <v>0</v>
      </c>
      <c r="AX12">
        <f t="shared" si="37"/>
        <v>0</v>
      </c>
      <c r="AY12">
        <f t="shared" si="37"/>
        <v>0</v>
      </c>
      <c r="AZ12">
        <f t="shared" si="37"/>
        <v>0</v>
      </c>
    </row>
    <row r="13" spans="1:52" x14ac:dyDescent="0.25">
      <c r="A13" t="s">
        <v>18</v>
      </c>
      <c r="B13" s="3">
        <v>44144</v>
      </c>
      <c r="C13" s="1">
        <v>2018.6707854889869</v>
      </c>
      <c r="D13" s="1">
        <v>100.93353927444934</v>
      </c>
      <c r="E13" s="1">
        <f t="shared" si="38"/>
        <v>1218.6707854889869</v>
      </c>
      <c r="F13" s="1">
        <f t="shared" si="39"/>
        <v>800</v>
      </c>
      <c r="G13" s="2">
        <v>20</v>
      </c>
      <c r="H13" s="1">
        <v>60.933539274449345</v>
      </c>
      <c r="I13" s="1">
        <v>40</v>
      </c>
      <c r="J13" s="1">
        <f t="shared" si="41"/>
        <v>27317.353756071945</v>
      </c>
      <c r="K13" s="1">
        <f t="shared" si="42"/>
        <v>15099.353756071949</v>
      </c>
      <c r="N13">
        <f t="shared" si="40"/>
        <v>0</v>
      </c>
      <c r="O13">
        <f t="shared" si="40"/>
        <v>0</v>
      </c>
      <c r="P13">
        <f t="shared" si="40"/>
        <v>0</v>
      </c>
      <c r="Q13">
        <f t="shared" si="37"/>
        <v>0</v>
      </c>
      <c r="R13">
        <f t="shared" si="37"/>
        <v>0</v>
      </c>
      <c r="S13">
        <f t="shared" si="37"/>
        <v>0</v>
      </c>
      <c r="T13">
        <f t="shared" ref="T13:AI13" si="43">+IF(T$5=$A13,1,0)</f>
        <v>0</v>
      </c>
      <c r="U13">
        <f t="shared" si="43"/>
        <v>1</v>
      </c>
      <c r="V13">
        <f t="shared" si="43"/>
        <v>0</v>
      </c>
      <c r="W13">
        <f t="shared" si="43"/>
        <v>0</v>
      </c>
      <c r="X13">
        <f t="shared" si="43"/>
        <v>0</v>
      </c>
      <c r="Y13">
        <f t="shared" si="43"/>
        <v>0</v>
      </c>
      <c r="Z13">
        <f t="shared" si="43"/>
        <v>0</v>
      </c>
      <c r="AA13">
        <f t="shared" si="43"/>
        <v>0</v>
      </c>
      <c r="AB13">
        <f t="shared" si="43"/>
        <v>0</v>
      </c>
      <c r="AC13">
        <f t="shared" si="43"/>
        <v>0</v>
      </c>
      <c r="AD13">
        <f t="shared" si="43"/>
        <v>0</v>
      </c>
      <c r="AE13">
        <f t="shared" si="43"/>
        <v>0</v>
      </c>
      <c r="AF13">
        <f t="shared" si="43"/>
        <v>0</v>
      </c>
      <c r="AG13">
        <f t="shared" si="43"/>
        <v>0</v>
      </c>
      <c r="AH13">
        <f t="shared" si="43"/>
        <v>0</v>
      </c>
      <c r="AI13">
        <f t="shared" si="43"/>
        <v>0</v>
      </c>
      <c r="AJ13">
        <f t="shared" ref="AJ13:AY13" si="44">+IF(AJ$5=$A13,1,0)</f>
        <v>0</v>
      </c>
      <c r="AK13">
        <f t="shared" si="44"/>
        <v>0</v>
      </c>
      <c r="AL13">
        <f t="shared" si="44"/>
        <v>0</v>
      </c>
      <c r="AM13">
        <f t="shared" si="44"/>
        <v>0</v>
      </c>
      <c r="AN13">
        <f t="shared" si="44"/>
        <v>0</v>
      </c>
      <c r="AO13">
        <f t="shared" si="44"/>
        <v>0</v>
      </c>
      <c r="AP13">
        <f t="shared" si="44"/>
        <v>0</v>
      </c>
      <c r="AQ13">
        <f t="shared" si="44"/>
        <v>0</v>
      </c>
      <c r="AR13">
        <f t="shared" si="44"/>
        <v>0</v>
      </c>
      <c r="AS13">
        <f t="shared" si="44"/>
        <v>0</v>
      </c>
      <c r="AT13">
        <f t="shared" si="44"/>
        <v>0</v>
      </c>
      <c r="AU13">
        <f t="shared" si="44"/>
        <v>0</v>
      </c>
      <c r="AV13">
        <f t="shared" si="44"/>
        <v>0</v>
      </c>
      <c r="AW13">
        <f t="shared" si="44"/>
        <v>0</v>
      </c>
      <c r="AX13">
        <f t="shared" si="44"/>
        <v>0</v>
      </c>
      <c r="AY13">
        <f t="shared" si="44"/>
        <v>0</v>
      </c>
      <c r="AZ13">
        <f t="shared" ref="Q13:AZ21" si="45">+IF(AZ$5=$A13,1,0)</f>
        <v>0</v>
      </c>
    </row>
    <row r="14" spans="1:52" x14ac:dyDescent="0.25">
      <c r="A14" t="s">
        <v>24</v>
      </c>
      <c r="B14" s="3">
        <v>44139</v>
      </c>
      <c r="C14" s="1">
        <v>2652.9646937188641</v>
      </c>
      <c r="D14" s="1">
        <v>221.08039114323867</v>
      </c>
      <c r="E14" s="1">
        <f t="shared" si="38"/>
        <v>1272.9646937188643</v>
      </c>
      <c r="F14" s="1">
        <f t="shared" si="39"/>
        <v>1380</v>
      </c>
      <c r="G14" s="2">
        <v>12</v>
      </c>
      <c r="H14" s="1">
        <v>106.08039114323869</v>
      </c>
      <c r="I14" s="1">
        <v>115</v>
      </c>
      <c r="J14" s="1">
        <f t="shared" si="41"/>
        <v>29970.318449790808</v>
      </c>
      <c r="K14" s="1">
        <f t="shared" si="42"/>
        <v>16372.318449790813</v>
      </c>
      <c r="N14">
        <f t="shared" si="40"/>
        <v>0</v>
      </c>
      <c r="O14">
        <f t="shared" si="40"/>
        <v>0</v>
      </c>
      <c r="P14">
        <f t="shared" si="40"/>
        <v>0</v>
      </c>
      <c r="Q14">
        <f t="shared" si="45"/>
        <v>0</v>
      </c>
      <c r="R14">
        <f t="shared" si="45"/>
        <v>0</v>
      </c>
      <c r="S14">
        <f t="shared" si="45"/>
        <v>0</v>
      </c>
      <c r="T14">
        <f t="shared" si="45"/>
        <v>0</v>
      </c>
      <c r="U14">
        <f t="shared" si="45"/>
        <v>0</v>
      </c>
      <c r="V14">
        <f t="shared" si="45"/>
        <v>1</v>
      </c>
      <c r="W14">
        <f t="shared" si="45"/>
        <v>0</v>
      </c>
      <c r="X14">
        <f t="shared" si="45"/>
        <v>0</v>
      </c>
      <c r="Y14">
        <f t="shared" si="45"/>
        <v>0</v>
      </c>
      <c r="Z14">
        <f t="shared" si="45"/>
        <v>0</v>
      </c>
      <c r="AA14">
        <f t="shared" si="45"/>
        <v>0</v>
      </c>
      <c r="AB14">
        <f t="shared" si="45"/>
        <v>0</v>
      </c>
      <c r="AC14">
        <f t="shared" si="45"/>
        <v>0</v>
      </c>
      <c r="AD14">
        <f t="shared" si="45"/>
        <v>0</v>
      </c>
      <c r="AE14">
        <f t="shared" si="45"/>
        <v>0</v>
      </c>
      <c r="AF14">
        <f t="shared" si="45"/>
        <v>0</v>
      </c>
      <c r="AG14">
        <f t="shared" si="45"/>
        <v>0</v>
      </c>
      <c r="AH14">
        <f t="shared" si="45"/>
        <v>0</v>
      </c>
      <c r="AI14">
        <f t="shared" si="45"/>
        <v>0</v>
      </c>
      <c r="AJ14">
        <f t="shared" si="45"/>
        <v>0</v>
      </c>
      <c r="AK14">
        <f t="shared" si="45"/>
        <v>0</v>
      </c>
      <c r="AL14">
        <f t="shared" si="45"/>
        <v>0</v>
      </c>
      <c r="AM14">
        <f t="shared" si="45"/>
        <v>0</v>
      </c>
      <c r="AN14">
        <f t="shared" si="45"/>
        <v>0</v>
      </c>
      <c r="AO14">
        <f t="shared" si="45"/>
        <v>0</v>
      </c>
      <c r="AP14">
        <f t="shared" si="45"/>
        <v>0</v>
      </c>
      <c r="AQ14">
        <f t="shared" si="45"/>
        <v>0</v>
      </c>
      <c r="AR14">
        <f t="shared" si="45"/>
        <v>0</v>
      </c>
      <c r="AS14">
        <f t="shared" si="45"/>
        <v>0</v>
      </c>
      <c r="AT14">
        <f t="shared" si="45"/>
        <v>0</v>
      </c>
      <c r="AU14">
        <f t="shared" si="45"/>
        <v>0</v>
      </c>
      <c r="AV14">
        <f t="shared" si="45"/>
        <v>0</v>
      </c>
      <c r="AW14">
        <f t="shared" si="45"/>
        <v>0</v>
      </c>
      <c r="AX14">
        <f t="shared" si="45"/>
        <v>0</v>
      </c>
      <c r="AY14">
        <f t="shared" si="45"/>
        <v>0</v>
      </c>
      <c r="AZ14">
        <f t="shared" si="45"/>
        <v>0</v>
      </c>
    </row>
    <row r="15" spans="1:52" x14ac:dyDescent="0.25">
      <c r="A15" t="s">
        <v>31</v>
      </c>
      <c r="B15" s="3">
        <v>44139</v>
      </c>
      <c r="C15" s="1">
        <v>245.94220497104135</v>
      </c>
      <c r="D15" s="1">
        <v>81.980734990347116</v>
      </c>
      <c r="E15" s="1">
        <f t="shared" si="38"/>
        <v>116.94220497104135</v>
      </c>
      <c r="F15" s="1">
        <f t="shared" si="39"/>
        <v>129</v>
      </c>
      <c r="G15" s="2">
        <v>3</v>
      </c>
      <c r="H15" s="1">
        <v>38.980734990347116</v>
      </c>
      <c r="I15" s="1">
        <v>43</v>
      </c>
      <c r="J15" s="1">
        <f t="shared" si="41"/>
        <v>30216.260654761849</v>
      </c>
      <c r="K15" s="1">
        <f t="shared" si="42"/>
        <v>16489.260654761856</v>
      </c>
      <c r="N15">
        <f t="shared" si="40"/>
        <v>0</v>
      </c>
      <c r="O15">
        <f t="shared" si="40"/>
        <v>0</v>
      </c>
      <c r="P15">
        <f t="shared" si="40"/>
        <v>0</v>
      </c>
      <c r="Q15">
        <f t="shared" si="45"/>
        <v>0</v>
      </c>
      <c r="R15">
        <f t="shared" si="45"/>
        <v>0</v>
      </c>
      <c r="S15">
        <f t="shared" si="45"/>
        <v>0</v>
      </c>
      <c r="T15">
        <f t="shared" si="45"/>
        <v>0</v>
      </c>
      <c r="U15">
        <f t="shared" si="45"/>
        <v>0</v>
      </c>
      <c r="V15">
        <f t="shared" si="45"/>
        <v>0</v>
      </c>
      <c r="W15">
        <f t="shared" si="45"/>
        <v>1</v>
      </c>
      <c r="X15">
        <f t="shared" si="45"/>
        <v>0</v>
      </c>
      <c r="Y15">
        <f t="shared" si="45"/>
        <v>0</v>
      </c>
      <c r="Z15">
        <f t="shared" si="45"/>
        <v>0</v>
      </c>
      <c r="AA15">
        <f t="shared" si="45"/>
        <v>0</v>
      </c>
      <c r="AB15">
        <f t="shared" si="45"/>
        <v>0</v>
      </c>
      <c r="AC15">
        <f t="shared" si="45"/>
        <v>0</v>
      </c>
      <c r="AD15">
        <f t="shared" si="45"/>
        <v>0</v>
      </c>
      <c r="AE15">
        <f t="shared" si="45"/>
        <v>0</v>
      </c>
      <c r="AF15">
        <f t="shared" si="45"/>
        <v>0</v>
      </c>
      <c r="AG15">
        <f t="shared" si="45"/>
        <v>0</v>
      </c>
      <c r="AH15">
        <f t="shared" si="45"/>
        <v>0</v>
      </c>
      <c r="AI15">
        <f t="shared" si="45"/>
        <v>0</v>
      </c>
      <c r="AJ15">
        <f t="shared" si="45"/>
        <v>0</v>
      </c>
      <c r="AK15">
        <f t="shared" si="45"/>
        <v>0</v>
      </c>
      <c r="AL15">
        <f t="shared" si="45"/>
        <v>0</v>
      </c>
      <c r="AM15">
        <f t="shared" si="45"/>
        <v>0</v>
      </c>
      <c r="AN15">
        <f t="shared" si="45"/>
        <v>0</v>
      </c>
      <c r="AO15">
        <f t="shared" si="45"/>
        <v>0</v>
      </c>
      <c r="AP15">
        <f t="shared" si="45"/>
        <v>0</v>
      </c>
      <c r="AQ15">
        <f t="shared" si="45"/>
        <v>0</v>
      </c>
      <c r="AR15">
        <f t="shared" si="45"/>
        <v>0</v>
      </c>
      <c r="AS15">
        <f t="shared" si="45"/>
        <v>0</v>
      </c>
      <c r="AT15">
        <f t="shared" si="45"/>
        <v>0</v>
      </c>
      <c r="AU15">
        <f t="shared" si="45"/>
        <v>0</v>
      </c>
      <c r="AV15">
        <f t="shared" si="45"/>
        <v>0</v>
      </c>
      <c r="AW15">
        <f t="shared" si="45"/>
        <v>0</v>
      </c>
      <c r="AX15">
        <f t="shared" si="45"/>
        <v>0</v>
      </c>
      <c r="AY15">
        <f t="shared" si="45"/>
        <v>0</v>
      </c>
      <c r="AZ15">
        <f t="shared" si="45"/>
        <v>0</v>
      </c>
    </row>
    <row r="16" spans="1:52" x14ac:dyDescent="0.25">
      <c r="A16" t="s">
        <v>40</v>
      </c>
      <c r="B16" s="3">
        <v>44130</v>
      </c>
      <c r="C16" s="1">
        <v>650.94089966994284</v>
      </c>
      <c r="D16" s="1">
        <v>130.18817993398858</v>
      </c>
      <c r="E16" s="1">
        <f t="shared" si="38"/>
        <v>410.94089966994289</v>
      </c>
      <c r="F16" s="1">
        <f t="shared" si="39"/>
        <v>240</v>
      </c>
      <c r="G16" s="2">
        <v>5</v>
      </c>
      <c r="H16" s="1">
        <v>82.188179933988579</v>
      </c>
      <c r="I16" s="1">
        <v>48</v>
      </c>
      <c r="J16" s="1">
        <f t="shared" si="41"/>
        <v>30867.201554431791</v>
      </c>
      <c r="K16" s="1">
        <f t="shared" si="42"/>
        <v>16900.201554431798</v>
      </c>
      <c r="N16">
        <f t="shared" si="40"/>
        <v>0</v>
      </c>
      <c r="O16">
        <f t="shared" si="40"/>
        <v>0</v>
      </c>
      <c r="P16">
        <f t="shared" si="40"/>
        <v>0</v>
      </c>
      <c r="Q16">
        <f t="shared" si="45"/>
        <v>0</v>
      </c>
      <c r="R16">
        <f t="shared" si="45"/>
        <v>0</v>
      </c>
      <c r="S16">
        <f t="shared" si="45"/>
        <v>0</v>
      </c>
      <c r="T16">
        <f t="shared" si="45"/>
        <v>0</v>
      </c>
      <c r="U16">
        <f t="shared" si="45"/>
        <v>0</v>
      </c>
      <c r="V16">
        <f t="shared" si="45"/>
        <v>0</v>
      </c>
      <c r="W16">
        <f t="shared" si="45"/>
        <v>0</v>
      </c>
      <c r="X16">
        <f t="shared" si="45"/>
        <v>1</v>
      </c>
      <c r="Y16">
        <f t="shared" si="45"/>
        <v>0</v>
      </c>
      <c r="Z16">
        <f t="shared" si="45"/>
        <v>0</v>
      </c>
      <c r="AA16">
        <f t="shared" si="45"/>
        <v>0</v>
      </c>
      <c r="AB16">
        <f t="shared" si="45"/>
        <v>0</v>
      </c>
      <c r="AC16">
        <f t="shared" si="45"/>
        <v>0</v>
      </c>
      <c r="AD16">
        <f t="shared" si="45"/>
        <v>0</v>
      </c>
      <c r="AE16">
        <f t="shared" si="45"/>
        <v>0</v>
      </c>
      <c r="AF16">
        <f t="shared" si="45"/>
        <v>0</v>
      </c>
      <c r="AG16">
        <f t="shared" si="45"/>
        <v>0</v>
      </c>
      <c r="AH16">
        <f t="shared" si="45"/>
        <v>0</v>
      </c>
      <c r="AI16">
        <f t="shared" si="45"/>
        <v>0</v>
      </c>
      <c r="AJ16">
        <f t="shared" si="45"/>
        <v>0</v>
      </c>
      <c r="AK16">
        <f t="shared" si="45"/>
        <v>0</v>
      </c>
      <c r="AL16">
        <f t="shared" si="45"/>
        <v>0</v>
      </c>
      <c r="AM16">
        <f t="shared" si="45"/>
        <v>0</v>
      </c>
      <c r="AN16">
        <f t="shared" si="45"/>
        <v>0</v>
      </c>
      <c r="AO16">
        <f t="shared" si="45"/>
        <v>0</v>
      </c>
      <c r="AP16">
        <f t="shared" si="45"/>
        <v>0</v>
      </c>
      <c r="AQ16">
        <f t="shared" si="45"/>
        <v>0</v>
      </c>
      <c r="AR16">
        <f t="shared" si="45"/>
        <v>0</v>
      </c>
      <c r="AS16">
        <f t="shared" si="45"/>
        <v>0</v>
      </c>
      <c r="AT16">
        <f t="shared" si="45"/>
        <v>0</v>
      </c>
      <c r="AU16">
        <f t="shared" si="45"/>
        <v>0</v>
      </c>
      <c r="AV16">
        <f t="shared" si="45"/>
        <v>0</v>
      </c>
      <c r="AW16">
        <f t="shared" si="45"/>
        <v>0</v>
      </c>
      <c r="AX16">
        <f t="shared" si="45"/>
        <v>0</v>
      </c>
      <c r="AY16">
        <f t="shared" si="45"/>
        <v>0</v>
      </c>
      <c r="AZ16">
        <f t="shared" si="45"/>
        <v>0</v>
      </c>
    </row>
    <row r="17" spans="1:52" x14ac:dyDescent="0.25">
      <c r="A17" t="s">
        <v>39</v>
      </c>
      <c r="B17" s="3">
        <v>44126</v>
      </c>
      <c r="C17" s="1">
        <v>1302.9937884562232</v>
      </c>
      <c r="D17" s="1">
        <v>118.45398076874756</v>
      </c>
      <c r="E17" s="1">
        <f t="shared" si="38"/>
        <v>631.993788456223</v>
      </c>
      <c r="F17" s="1">
        <f t="shared" si="39"/>
        <v>671</v>
      </c>
      <c r="G17" s="2">
        <v>11</v>
      </c>
      <c r="H17" s="1">
        <v>57.453980768747549</v>
      </c>
      <c r="I17" s="1">
        <v>61</v>
      </c>
      <c r="J17" s="1">
        <f t="shared" si="41"/>
        <v>32170.195342888015</v>
      </c>
      <c r="K17" s="1">
        <f t="shared" si="42"/>
        <v>17532.195342888022</v>
      </c>
      <c r="N17">
        <f t="shared" si="40"/>
        <v>0</v>
      </c>
      <c r="O17">
        <f t="shared" si="40"/>
        <v>0</v>
      </c>
      <c r="P17">
        <f t="shared" si="40"/>
        <v>0</v>
      </c>
      <c r="Q17">
        <f t="shared" si="45"/>
        <v>0</v>
      </c>
      <c r="R17">
        <f t="shared" si="45"/>
        <v>0</v>
      </c>
      <c r="S17">
        <f t="shared" si="45"/>
        <v>0</v>
      </c>
      <c r="T17">
        <f t="shared" si="45"/>
        <v>0</v>
      </c>
      <c r="U17">
        <f t="shared" si="45"/>
        <v>0</v>
      </c>
      <c r="V17">
        <f t="shared" si="45"/>
        <v>0</v>
      </c>
      <c r="W17">
        <f t="shared" si="45"/>
        <v>0</v>
      </c>
      <c r="X17">
        <f t="shared" si="45"/>
        <v>0</v>
      </c>
      <c r="Y17">
        <f t="shared" si="45"/>
        <v>1</v>
      </c>
      <c r="Z17">
        <f t="shared" si="45"/>
        <v>0</v>
      </c>
      <c r="AA17">
        <f t="shared" si="45"/>
        <v>0</v>
      </c>
      <c r="AB17">
        <f t="shared" si="45"/>
        <v>0</v>
      </c>
      <c r="AC17">
        <f t="shared" si="45"/>
        <v>0</v>
      </c>
      <c r="AD17">
        <f t="shared" si="45"/>
        <v>0</v>
      </c>
      <c r="AE17">
        <f t="shared" si="45"/>
        <v>0</v>
      </c>
      <c r="AF17">
        <f t="shared" si="45"/>
        <v>0</v>
      </c>
      <c r="AG17">
        <f t="shared" si="45"/>
        <v>0</v>
      </c>
      <c r="AH17">
        <f t="shared" si="45"/>
        <v>0</v>
      </c>
      <c r="AI17">
        <f t="shared" si="45"/>
        <v>0</v>
      </c>
      <c r="AJ17">
        <f t="shared" si="45"/>
        <v>0</v>
      </c>
      <c r="AK17">
        <f t="shared" si="45"/>
        <v>0</v>
      </c>
      <c r="AL17">
        <f t="shared" si="45"/>
        <v>0</v>
      </c>
      <c r="AM17">
        <f t="shared" si="45"/>
        <v>0</v>
      </c>
      <c r="AN17">
        <f t="shared" si="45"/>
        <v>0</v>
      </c>
      <c r="AO17">
        <f t="shared" si="45"/>
        <v>0</v>
      </c>
      <c r="AP17">
        <f t="shared" si="45"/>
        <v>0</v>
      </c>
      <c r="AQ17">
        <f t="shared" si="45"/>
        <v>0</v>
      </c>
      <c r="AR17">
        <f t="shared" si="45"/>
        <v>0</v>
      </c>
      <c r="AS17">
        <f t="shared" si="45"/>
        <v>0</v>
      </c>
      <c r="AT17">
        <f t="shared" si="45"/>
        <v>0</v>
      </c>
      <c r="AU17">
        <f t="shared" si="45"/>
        <v>0</v>
      </c>
      <c r="AV17">
        <f t="shared" si="45"/>
        <v>0</v>
      </c>
      <c r="AW17">
        <f t="shared" si="45"/>
        <v>0</v>
      </c>
      <c r="AX17">
        <f t="shared" si="45"/>
        <v>0</v>
      </c>
      <c r="AY17">
        <f t="shared" si="45"/>
        <v>0</v>
      </c>
      <c r="AZ17">
        <f t="shared" si="45"/>
        <v>0</v>
      </c>
    </row>
    <row r="18" spans="1:52" x14ac:dyDescent="0.25">
      <c r="A18" t="s">
        <v>39</v>
      </c>
      <c r="B18" s="3">
        <v>44126</v>
      </c>
      <c r="C18" s="1">
        <v>6935.9695605930874</v>
      </c>
      <c r="D18" s="1">
        <v>121.68367650163312</v>
      </c>
      <c r="E18" s="1">
        <f t="shared" si="38"/>
        <v>3857.9695605930874</v>
      </c>
      <c r="F18" s="1">
        <f t="shared" si="39"/>
        <v>3078</v>
      </c>
      <c r="G18" s="2">
        <v>57</v>
      </c>
      <c r="H18" s="1">
        <v>67.683676501633116</v>
      </c>
      <c r="I18" s="1">
        <v>54</v>
      </c>
      <c r="J18" s="1">
        <f t="shared" si="41"/>
        <v>39106.164903481105</v>
      </c>
      <c r="K18" s="1">
        <f t="shared" si="42"/>
        <v>21390.164903481109</v>
      </c>
      <c r="N18">
        <f t="shared" si="40"/>
        <v>0</v>
      </c>
      <c r="O18">
        <f t="shared" si="40"/>
        <v>0</v>
      </c>
      <c r="P18">
        <f t="shared" si="40"/>
        <v>0</v>
      </c>
      <c r="Q18">
        <f t="shared" si="45"/>
        <v>0</v>
      </c>
      <c r="R18">
        <f t="shared" si="45"/>
        <v>0</v>
      </c>
      <c r="S18">
        <f t="shared" si="45"/>
        <v>0</v>
      </c>
      <c r="T18">
        <f t="shared" si="45"/>
        <v>0</v>
      </c>
      <c r="U18">
        <f t="shared" si="45"/>
        <v>0</v>
      </c>
      <c r="V18">
        <f t="shared" si="45"/>
        <v>0</v>
      </c>
      <c r="W18">
        <f t="shared" si="45"/>
        <v>0</v>
      </c>
      <c r="X18">
        <f t="shared" si="45"/>
        <v>0</v>
      </c>
      <c r="Y18">
        <f t="shared" si="45"/>
        <v>1</v>
      </c>
      <c r="Z18">
        <f t="shared" si="45"/>
        <v>0</v>
      </c>
      <c r="AA18">
        <f t="shared" si="45"/>
        <v>0</v>
      </c>
      <c r="AB18">
        <f t="shared" si="45"/>
        <v>0</v>
      </c>
      <c r="AC18">
        <f t="shared" si="45"/>
        <v>0</v>
      </c>
      <c r="AD18">
        <f t="shared" si="45"/>
        <v>0</v>
      </c>
      <c r="AE18">
        <f t="shared" si="45"/>
        <v>0</v>
      </c>
      <c r="AF18">
        <f t="shared" si="45"/>
        <v>0</v>
      </c>
      <c r="AG18">
        <f t="shared" si="45"/>
        <v>0</v>
      </c>
      <c r="AH18">
        <f t="shared" si="45"/>
        <v>0</v>
      </c>
      <c r="AI18">
        <f t="shared" si="45"/>
        <v>0</v>
      </c>
      <c r="AJ18">
        <f t="shared" si="45"/>
        <v>0</v>
      </c>
      <c r="AK18">
        <f t="shared" si="45"/>
        <v>0</v>
      </c>
      <c r="AL18">
        <f t="shared" si="45"/>
        <v>0</v>
      </c>
      <c r="AM18">
        <f t="shared" si="45"/>
        <v>0</v>
      </c>
      <c r="AN18">
        <f t="shared" si="45"/>
        <v>0</v>
      </c>
      <c r="AO18">
        <f t="shared" si="45"/>
        <v>0</v>
      </c>
      <c r="AP18">
        <f t="shared" si="45"/>
        <v>0</v>
      </c>
      <c r="AQ18">
        <f t="shared" si="45"/>
        <v>0</v>
      </c>
      <c r="AR18">
        <f t="shared" si="45"/>
        <v>0</v>
      </c>
      <c r="AS18">
        <f t="shared" si="45"/>
        <v>0</v>
      </c>
      <c r="AT18">
        <f t="shared" si="45"/>
        <v>0</v>
      </c>
      <c r="AU18">
        <f t="shared" si="45"/>
        <v>0</v>
      </c>
      <c r="AV18">
        <f t="shared" si="45"/>
        <v>0</v>
      </c>
      <c r="AW18">
        <f t="shared" si="45"/>
        <v>0</v>
      </c>
      <c r="AX18">
        <f t="shared" si="45"/>
        <v>0</v>
      </c>
      <c r="AY18">
        <f t="shared" si="45"/>
        <v>0</v>
      </c>
      <c r="AZ18">
        <f t="shared" si="45"/>
        <v>0</v>
      </c>
    </row>
    <row r="19" spans="1:52" x14ac:dyDescent="0.25">
      <c r="A19" t="s">
        <v>42</v>
      </c>
      <c r="B19" s="3">
        <v>44125</v>
      </c>
      <c r="C19" s="1">
        <v>1476.2507396312167</v>
      </c>
      <c r="D19" s="1">
        <v>164.02785995902408</v>
      </c>
      <c r="E19" s="1">
        <f t="shared" si="38"/>
        <v>630.25073963121679</v>
      </c>
      <c r="F19" s="1">
        <f t="shared" si="39"/>
        <v>846</v>
      </c>
      <c r="G19" s="2">
        <v>9</v>
      </c>
      <c r="H19" s="1">
        <v>70.027859959024084</v>
      </c>
      <c r="I19" s="1">
        <v>94</v>
      </c>
      <c r="J19" s="1">
        <f t="shared" si="41"/>
        <v>40582.415643112319</v>
      </c>
      <c r="K19" s="1">
        <f t="shared" si="42"/>
        <v>22020.415643112327</v>
      </c>
      <c r="N19">
        <f t="shared" si="40"/>
        <v>0</v>
      </c>
      <c r="O19">
        <f t="shared" si="40"/>
        <v>0</v>
      </c>
      <c r="P19">
        <f t="shared" si="40"/>
        <v>0</v>
      </c>
      <c r="Q19">
        <f t="shared" si="45"/>
        <v>0</v>
      </c>
      <c r="R19">
        <f t="shared" si="45"/>
        <v>0</v>
      </c>
      <c r="S19">
        <f t="shared" si="45"/>
        <v>0</v>
      </c>
      <c r="T19">
        <f t="shared" si="45"/>
        <v>0</v>
      </c>
      <c r="U19">
        <f t="shared" si="45"/>
        <v>0</v>
      </c>
      <c r="V19">
        <f t="shared" si="45"/>
        <v>0</v>
      </c>
      <c r="W19">
        <f t="shared" si="45"/>
        <v>0</v>
      </c>
      <c r="X19">
        <f t="shared" si="45"/>
        <v>0</v>
      </c>
      <c r="Y19">
        <f t="shared" si="45"/>
        <v>0</v>
      </c>
      <c r="Z19">
        <f t="shared" si="45"/>
        <v>1</v>
      </c>
      <c r="AA19">
        <f t="shared" si="45"/>
        <v>0</v>
      </c>
      <c r="AB19">
        <f t="shared" si="45"/>
        <v>0</v>
      </c>
      <c r="AC19">
        <f t="shared" si="45"/>
        <v>0</v>
      </c>
      <c r="AD19">
        <f t="shared" si="45"/>
        <v>0</v>
      </c>
      <c r="AE19">
        <f t="shared" si="45"/>
        <v>0</v>
      </c>
      <c r="AF19">
        <f t="shared" si="45"/>
        <v>0</v>
      </c>
      <c r="AG19">
        <f t="shared" si="45"/>
        <v>0</v>
      </c>
      <c r="AH19">
        <f t="shared" si="45"/>
        <v>0</v>
      </c>
      <c r="AI19">
        <f t="shared" si="45"/>
        <v>0</v>
      </c>
      <c r="AJ19">
        <f t="shared" si="45"/>
        <v>0</v>
      </c>
      <c r="AK19">
        <f t="shared" si="45"/>
        <v>0</v>
      </c>
      <c r="AL19">
        <f t="shared" si="45"/>
        <v>0</v>
      </c>
      <c r="AM19">
        <f t="shared" si="45"/>
        <v>0</v>
      </c>
      <c r="AN19">
        <f t="shared" si="45"/>
        <v>0</v>
      </c>
      <c r="AO19">
        <f t="shared" si="45"/>
        <v>0</v>
      </c>
      <c r="AP19">
        <f t="shared" si="45"/>
        <v>0</v>
      </c>
      <c r="AQ19">
        <f t="shared" si="45"/>
        <v>0</v>
      </c>
      <c r="AR19">
        <f t="shared" si="45"/>
        <v>0</v>
      </c>
      <c r="AS19">
        <f t="shared" si="45"/>
        <v>0</v>
      </c>
      <c r="AT19">
        <f t="shared" si="45"/>
        <v>0</v>
      </c>
      <c r="AU19">
        <f t="shared" si="45"/>
        <v>0</v>
      </c>
      <c r="AV19">
        <f t="shared" si="45"/>
        <v>0</v>
      </c>
      <c r="AW19">
        <f t="shared" si="45"/>
        <v>0</v>
      </c>
      <c r="AX19">
        <f t="shared" si="45"/>
        <v>0</v>
      </c>
      <c r="AY19">
        <f t="shared" si="45"/>
        <v>0</v>
      </c>
      <c r="AZ19">
        <f t="shared" si="45"/>
        <v>0</v>
      </c>
    </row>
    <row r="20" spans="1:52" x14ac:dyDescent="0.25">
      <c r="A20" t="s">
        <v>49</v>
      </c>
      <c r="B20" s="3">
        <v>44114</v>
      </c>
      <c r="C20" s="1">
        <v>2455.6378398413908</v>
      </c>
      <c r="D20" s="1">
        <v>68.212162217816413</v>
      </c>
      <c r="E20" s="1">
        <f t="shared" si="38"/>
        <v>1303.6378398413908</v>
      </c>
      <c r="F20" s="1">
        <f t="shared" si="39"/>
        <v>1152</v>
      </c>
      <c r="G20" s="2">
        <v>36</v>
      </c>
      <c r="H20" s="1">
        <v>36.212162217816413</v>
      </c>
      <c r="I20" s="1">
        <v>32</v>
      </c>
      <c r="J20" s="1">
        <f t="shared" si="41"/>
        <v>43038.053482953706</v>
      </c>
      <c r="K20" s="1">
        <f t="shared" si="42"/>
        <v>23324.053482953717</v>
      </c>
      <c r="N20">
        <f t="shared" si="40"/>
        <v>0</v>
      </c>
      <c r="O20">
        <f t="shared" si="40"/>
        <v>0</v>
      </c>
      <c r="P20">
        <f t="shared" si="40"/>
        <v>0</v>
      </c>
      <c r="Q20">
        <f t="shared" si="45"/>
        <v>0</v>
      </c>
      <c r="R20">
        <f t="shared" si="45"/>
        <v>0</v>
      </c>
      <c r="S20">
        <f t="shared" si="45"/>
        <v>0</v>
      </c>
      <c r="T20">
        <f t="shared" si="45"/>
        <v>0</v>
      </c>
      <c r="U20">
        <f t="shared" si="45"/>
        <v>0</v>
      </c>
      <c r="V20">
        <f t="shared" si="45"/>
        <v>0</v>
      </c>
      <c r="W20">
        <f t="shared" si="45"/>
        <v>0</v>
      </c>
      <c r="X20">
        <f t="shared" si="45"/>
        <v>0</v>
      </c>
      <c r="Y20">
        <f t="shared" si="45"/>
        <v>0</v>
      </c>
      <c r="Z20">
        <f t="shared" si="45"/>
        <v>0</v>
      </c>
      <c r="AA20">
        <f t="shared" si="45"/>
        <v>1</v>
      </c>
      <c r="AB20">
        <f t="shared" si="45"/>
        <v>0</v>
      </c>
      <c r="AC20">
        <f t="shared" si="45"/>
        <v>0</v>
      </c>
      <c r="AD20">
        <f t="shared" si="45"/>
        <v>0</v>
      </c>
      <c r="AE20">
        <f t="shared" si="45"/>
        <v>0</v>
      </c>
      <c r="AF20">
        <f t="shared" si="45"/>
        <v>0</v>
      </c>
      <c r="AG20">
        <f t="shared" si="45"/>
        <v>0</v>
      </c>
      <c r="AH20">
        <f t="shared" si="45"/>
        <v>0</v>
      </c>
      <c r="AI20">
        <f t="shared" si="45"/>
        <v>0</v>
      </c>
      <c r="AJ20">
        <f t="shared" si="45"/>
        <v>0</v>
      </c>
      <c r="AK20">
        <f t="shared" si="45"/>
        <v>0</v>
      </c>
      <c r="AL20">
        <f t="shared" si="45"/>
        <v>0</v>
      </c>
      <c r="AM20">
        <f t="shared" si="45"/>
        <v>0</v>
      </c>
      <c r="AN20">
        <f t="shared" si="45"/>
        <v>0</v>
      </c>
      <c r="AO20">
        <f t="shared" si="45"/>
        <v>0</v>
      </c>
      <c r="AP20">
        <f t="shared" si="45"/>
        <v>0</v>
      </c>
      <c r="AQ20">
        <f t="shared" si="45"/>
        <v>0</v>
      </c>
      <c r="AR20">
        <f t="shared" si="45"/>
        <v>0</v>
      </c>
      <c r="AS20">
        <f t="shared" si="45"/>
        <v>0</v>
      </c>
      <c r="AT20">
        <f t="shared" si="45"/>
        <v>0</v>
      </c>
      <c r="AU20">
        <f t="shared" si="45"/>
        <v>0</v>
      </c>
      <c r="AV20">
        <f t="shared" si="45"/>
        <v>0</v>
      </c>
      <c r="AW20">
        <f t="shared" si="45"/>
        <v>0</v>
      </c>
      <c r="AX20">
        <f t="shared" si="45"/>
        <v>0</v>
      </c>
      <c r="AY20">
        <f t="shared" si="45"/>
        <v>0</v>
      </c>
      <c r="AZ20">
        <f t="shared" si="45"/>
        <v>0</v>
      </c>
    </row>
    <row r="21" spans="1:52" x14ac:dyDescent="0.25">
      <c r="A21" t="s">
        <v>38</v>
      </c>
      <c r="B21" s="3">
        <v>44110</v>
      </c>
      <c r="C21" s="1">
        <v>711.39008698257203</v>
      </c>
      <c r="D21" s="1">
        <v>54.722314383274771</v>
      </c>
      <c r="E21" s="1">
        <f t="shared" si="38"/>
        <v>399.39008698257203</v>
      </c>
      <c r="F21" s="1">
        <f t="shared" si="39"/>
        <v>312</v>
      </c>
      <c r="G21" s="2">
        <v>13</v>
      </c>
      <c r="H21" s="1">
        <v>30.722314383274771</v>
      </c>
      <c r="I21" s="1">
        <v>24</v>
      </c>
      <c r="J21" s="1">
        <f t="shared" si="41"/>
        <v>43749.44356993628</v>
      </c>
      <c r="K21" s="1">
        <f t="shared" si="42"/>
        <v>23723.443569936288</v>
      </c>
      <c r="N21">
        <f t="shared" si="40"/>
        <v>0</v>
      </c>
      <c r="O21">
        <f t="shared" si="40"/>
        <v>0</v>
      </c>
      <c r="P21">
        <f t="shared" si="40"/>
        <v>0</v>
      </c>
      <c r="Q21">
        <f t="shared" si="45"/>
        <v>0</v>
      </c>
      <c r="R21">
        <f t="shared" si="45"/>
        <v>0</v>
      </c>
      <c r="S21">
        <f t="shared" ref="S21:AH25" si="46">+IF(S$5=$A21,1,0)</f>
        <v>0</v>
      </c>
      <c r="T21">
        <f t="shared" si="46"/>
        <v>0</v>
      </c>
      <c r="U21">
        <f t="shared" si="46"/>
        <v>0</v>
      </c>
      <c r="V21">
        <f t="shared" si="46"/>
        <v>0</v>
      </c>
      <c r="W21">
        <f t="shared" si="46"/>
        <v>0</v>
      </c>
      <c r="X21">
        <f t="shared" si="46"/>
        <v>0</v>
      </c>
      <c r="Y21">
        <f t="shared" si="46"/>
        <v>0</v>
      </c>
      <c r="Z21">
        <f t="shared" si="46"/>
        <v>0</v>
      </c>
      <c r="AA21">
        <f t="shared" si="46"/>
        <v>0</v>
      </c>
      <c r="AB21">
        <f t="shared" si="46"/>
        <v>1</v>
      </c>
      <c r="AC21">
        <f t="shared" si="46"/>
        <v>0</v>
      </c>
      <c r="AD21">
        <f t="shared" si="46"/>
        <v>0</v>
      </c>
      <c r="AE21">
        <f t="shared" si="46"/>
        <v>0</v>
      </c>
      <c r="AF21">
        <f t="shared" si="46"/>
        <v>0</v>
      </c>
      <c r="AG21">
        <f t="shared" si="46"/>
        <v>0</v>
      </c>
      <c r="AH21">
        <f t="shared" si="46"/>
        <v>0</v>
      </c>
      <c r="AI21">
        <f t="shared" ref="AI21:AX62" si="47">+IF(AI$5=$A21,1,0)</f>
        <v>0</v>
      </c>
      <c r="AJ21">
        <f t="shared" si="47"/>
        <v>0</v>
      </c>
      <c r="AK21">
        <f t="shared" si="47"/>
        <v>0</v>
      </c>
      <c r="AL21">
        <f t="shared" si="47"/>
        <v>0</v>
      </c>
      <c r="AM21">
        <f t="shared" si="47"/>
        <v>0</v>
      </c>
      <c r="AN21">
        <f t="shared" si="47"/>
        <v>0</v>
      </c>
      <c r="AO21">
        <f t="shared" si="47"/>
        <v>0</v>
      </c>
      <c r="AP21">
        <f t="shared" si="47"/>
        <v>0</v>
      </c>
      <c r="AQ21">
        <f t="shared" si="47"/>
        <v>0</v>
      </c>
      <c r="AR21">
        <f t="shared" si="47"/>
        <v>0</v>
      </c>
      <c r="AS21">
        <f t="shared" si="47"/>
        <v>0</v>
      </c>
      <c r="AT21">
        <f t="shared" si="47"/>
        <v>0</v>
      </c>
      <c r="AU21">
        <f t="shared" si="47"/>
        <v>0</v>
      </c>
      <c r="AV21">
        <f t="shared" si="47"/>
        <v>0</v>
      </c>
      <c r="AW21">
        <f t="shared" si="47"/>
        <v>0</v>
      </c>
      <c r="AX21">
        <f t="shared" si="47"/>
        <v>0</v>
      </c>
      <c r="AY21">
        <f t="shared" ref="AY21:AZ62" si="48">+IF(AY$5=$A21,1,0)</f>
        <v>0</v>
      </c>
      <c r="AZ21">
        <f t="shared" si="48"/>
        <v>0</v>
      </c>
    </row>
    <row r="22" spans="1:52" x14ac:dyDescent="0.25">
      <c r="A22" t="s">
        <v>27</v>
      </c>
      <c r="B22" s="3">
        <v>44107</v>
      </c>
      <c r="C22" s="1">
        <v>3489.7514686045552</v>
      </c>
      <c r="D22" s="1">
        <v>87.243786715113885</v>
      </c>
      <c r="E22" s="1">
        <f t="shared" si="38"/>
        <v>1809.7514686045552</v>
      </c>
      <c r="F22" s="1">
        <f t="shared" si="39"/>
        <v>1680</v>
      </c>
      <c r="G22" s="2">
        <v>40</v>
      </c>
      <c r="H22" s="1">
        <v>45.243786715113878</v>
      </c>
      <c r="I22" s="1">
        <v>42</v>
      </c>
      <c r="J22" s="1">
        <f t="shared" si="41"/>
        <v>47239.195038540835</v>
      </c>
      <c r="K22" s="1">
        <f t="shared" si="42"/>
        <v>25533.195038540842</v>
      </c>
      <c r="N22">
        <f t="shared" si="40"/>
        <v>0</v>
      </c>
      <c r="O22">
        <f t="shared" si="40"/>
        <v>0</v>
      </c>
      <c r="P22">
        <f t="shared" si="40"/>
        <v>0</v>
      </c>
      <c r="Q22">
        <f t="shared" si="40"/>
        <v>0</v>
      </c>
      <c r="R22">
        <f t="shared" si="40"/>
        <v>0</v>
      </c>
      <c r="S22">
        <f t="shared" si="40"/>
        <v>0</v>
      </c>
      <c r="T22">
        <f t="shared" si="40"/>
        <v>0</v>
      </c>
      <c r="U22">
        <f t="shared" si="40"/>
        <v>0</v>
      </c>
      <c r="V22">
        <f t="shared" si="40"/>
        <v>0</v>
      </c>
      <c r="W22">
        <f t="shared" si="40"/>
        <v>0</v>
      </c>
      <c r="X22">
        <f t="shared" si="40"/>
        <v>0</v>
      </c>
      <c r="Y22">
        <f t="shared" si="40"/>
        <v>0</v>
      </c>
      <c r="Z22">
        <f t="shared" si="40"/>
        <v>0</v>
      </c>
      <c r="AA22">
        <f t="shared" si="40"/>
        <v>0</v>
      </c>
      <c r="AB22">
        <f t="shared" si="40"/>
        <v>0</v>
      </c>
      <c r="AC22">
        <f t="shared" si="40"/>
        <v>1</v>
      </c>
      <c r="AD22">
        <f t="shared" si="46"/>
        <v>0</v>
      </c>
      <c r="AE22">
        <f t="shared" si="46"/>
        <v>0</v>
      </c>
      <c r="AF22">
        <f t="shared" si="46"/>
        <v>0</v>
      </c>
      <c r="AG22">
        <f t="shared" si="46"/>
        <v>0</v>
      </c>
      <c r="AH22">
        <f t="shared" si="46"/>
        <v>0</v>
      </c>
      <c r="AI22">
        <f t="shared" si="47"/>
        <v>0</v>
      </c>
      <c r="AJ22">
        <f t="shared" si="47"/>
        <v>0</v>
      </c>
      <c r="AK22">
        <f t="shared" si="47"/>
        <v>0</v>
      </c>
      <c r="AL22">
        <f t="shared" si="47"/>
        <v>0</v>
      </c>
      <c r="AM22">
        <f t="shared" si="47"/>
        <v>0</v>
      </c>
      <c r="AN22">
        <f t="shared" si="47"/>
        <v>0</v>
      </c>
      <c r="AO22">
        <f t="shared" si="47"/>
        <v>0</v>
      </c>
      <c r="AP22">
        <f t="shared" si="47"/>
        <v>0</v>
      </c>
      <c r="AQ22">
        <f t="shared" si="47"/>
        <v>0</v>
      </c>
      <c r="AR22">
        <f t="shared" si="47"/>
        <v>0</v>
      </c>
      <c r="AS22">
        <f t="shared" si="47"/>
        <v>0</v>
      </c>
      <c r="AT22">
        <f t="shared" si="47"/>
        <v>0</v>
      </c>
      <c r="AU22">
        <f t="shared" si="47"/>
        <v>0</v>
      </c>
      <c r="AV22">
        <f t="shared" si="47"/>
        <v>0</v>
      </c>
      <c r="AW22">
        <f t="shared" si="47"/>
        <v>0</v>
      </c>
      <c r="AX22">
        <f t="shared" si="47"/>
        <v>0</v>
      </c>
      <c r="AY22">
        <f t="shared" si="48"/>
        <v>0</v>
      </c>
      <c r="AZ22">
        <f t="shared" si="48"/>
        <v>0</v>
      </c>
    </row>
    <row r="23" spans="1:52" x14ac:dyDescent="0.25">
      <c r="A23" t="s">
        <v>37</v>
      </c>
      <c r="B23" s="3">
        <v>44098</v>
      </c>
      <c r="C23" s="1">
        <v>1154.9985014446413</v>
      </c>
      <c r="D23" s="1">
        <v>128.33316682718237</v>
      </c>
      <c r="E23" s="1">
        <f t="shared" si="38"/>
        <v>560.99850144464142</v>
      </c>
      <c r="F23" s="1">
        <f t="shared" si="39"/>
        <v>594</v>
      </c>
      <c r="G23" s="2">
        <v>9</v>
      </c>
      <c r="H23" s="1">
        <v>62.333166827182374</v>
      </c>
      <c r="I23" s="1">
        <v>66</v>
      </c>
      <c r="J23" s="1">
        <f t="shared" si="41"/>
        <v>48394.193539985477</v>
      </c>
      <c r="K23" s="1">
        <f t="shared" si="42"/>
        <v>26094.193539985485</v>
      </c>
      <c r="N23">
        <f t="shared" si="40"/>
        <v>0</v>
      </c>
      <c r="O23">
        <f t="shared" si="40"/>
        <v>0</v>
      </c>
      <c r="P23">
        <f t="shared" si="40"/>
        <v>0</v>
      </c>
      <c r="Q23">
        <f t="shared" si="40"/>
        <v>0</v>
      </c>
      <c r="R23">
        <f t="shared" si="40"/>
        <v>0</v>
      </c>
      <c r="S23">
        <f t="shared" si="40"/>
        <v>0</v>
      </c>
      <c r="T23">
        <f t="shared" si="40"/>
        <v>0</v>
      </c>
      <c r="U23">
        <f t="shared" si="40"/>
        <v>0</v>
      </c>
      <c r="V23">
        <f t="shared" si="40"/>
        <v>0</v>
      </c>
      <c r="W23">
        <f t="shared" si="40"/>
        <v>0</v>
      </c>
      <c r="X23">
        <f t="shared" si="40"/>
        <v>0</v>
      </c>
      <c r="Y23">
        <f t="shared" si="40"/>
        <v>0</v>
      </c>
      <c r="Z23">
        <f t="shared" si="40"/>
        <v>0</v>
      </c>
      <c r="AA23">
        <f t="shared" si="40"/>
        <v>0</v>
      </c>
      <c r="AB23">
        <f t="shared" si="40"/>
        <v>0</v>
      </c>
      <c r="AC23">
        <f t="shared" si="40"/>
        <v>0</v>
      </c>
      <c r="AD23">
        <f t="shared" si="46"/>
        <v>1</v>
      </c>
      <c r="AE23">
        <f t="shared" si="46"/>
        <v>0</v>
      </c>
      <c r="AF23">
        <f t="shared" si="46"/>
        <v>0</v>
      </c>
      <c r="AG23">
        <f t="shared" si="46"/>
        <v>0</v>
      </c>
      <c r="AH23">
        <f t="shared" si="46"/>
        <v>0</v>
      </c>
      <c r="AI23">
        <f t="shared" si="47"/>
        <v>0</v>
      </c>
      <c r="AJ23">
        <f t="shared" si="47"/>
        <v>0</v>
      </c>
      <c r="AK23">
        <f t="shared" si="47"/>
        <v>0</v>
      </c>
      <c r="AL23">
        <f t="shared" si="47"/>
        <v>0</v>
      </c>
      <c r="AM23">
        <f t="shared" si="47"/>
        <v>0</v>
      </c>
      <c r="AN23">
        <f t="shared" si="47"/>
        <v>0</v>
      </c>
      <c r="AO23">
        <f t="shared" si="47"/>
        <v>0</v>
      </c>
      <c r="AP23">
        <f t="shared" si="47"/>
        <v>0</v>
      </c>
      <c r="AQ23">
        <f t="shared" si="47"/>
        <v>0</v>
      </c>
      <c r="AR23">
        <f t="shared" si="47"/>
        <v>0</v>
      </c>
      <c r="AS23">
        <f t="shared" si="47"/>
        <v>0</v>
      </c>
      <c r="AT23">
        <f t="shared" si="47"/>
        <v>0</v>
      </c>
      <c r="AU23">
        <f t="shared" si="47"/>
        <v>0</v>
      </c>
      <c r="AV23">
        <f t="shared" si="47"/>
        <v>0</v>
      </c>
      <c r="AW23">
        <f t="shared" si="47"/>
        <v>0</v>
      </c>
      <c r="AX23">
        <f t="shared" si="47"/>
        <v>0</v>
      </c>
      <c r="AY23">
        <f t="shared" si="48"/>
        <v>0</v>
      </c>
      <c r="AZ23">
        <f t="shared" si="48"/>
        <v>0</v>
      </c>
    </row>
    <row r="24" spans="1:52" x14ac:dyDescent="0.25">
      <c r="A24" t="s">
        <v>20</v>
      </c>
      <c r="B24" s="3">
        <v>44097</v>
      </c>
      <c r="C24" s="1">
        <v>2906.9300956130601</v>
      </c>
      <c r="D24" s="1">
        <v>72.673252390326496</v>
      </c>
      <c r="E24" s="1">
        <f t="shared" si="38"/>
        <v>1586.9300956130601</v>
      </c>
      <c r="F24" s="1">
        <f t="shared" si="39"/>
        <v>1320</v>
      </c>
      <c r="G24" s="2">
        <v>40</v>
      </c>
      <c r="H24" s="1">
        <v>39.673252390326503</v>
      </c>
      <c r="I24" s="1">
        <v>33</v>
      </c>
      <c r="J24" s="1">
        <f t="shared" si="41"/>
        <v>51301.123635598538</v>
      </c>
      <c r="K24" s="1">
        <f t="shared" si="42"/>
        <v>27681.123635598546</v>
      </c>
      <c r="N24">
        <f t="shared" si="40"/>
        <v>0</v>
      </c>
      <c r="O24">
        <f t="shared" si="40"/>
        <v>0</v>
      </c>
      <c r="P24">
        <f t="shared" si="40"/>
        <v>0</v>
      </c>
      <c r="Q24">
        <f t="shared" si="40"/>
        <v>0</v>
      </c>
      <c r="R24">
        <f t="shared" si="40"/>
        <v>0</v>
      </c>
      <c r="S24">
        <f t="shared" si="40"/>
        <v>0</v>
      </c>
      <c r="T24">
        <f t="shared" si="40"/>
        <v>0</v>
      </c>
      <c r="U24">
        <f t="shared" si="40"/>
        <v>0</v>
      </c>
      <c r="V24">
        <f t="shared" si="40"/>
        <v>0</v>
      </c>
      <c r="W24">
        <f t="shared" si="40"/>
        <v>0</v>
      </c>
      <c r="X24">
        <f t="shared" si="40"/>
        <v>0</v>
      </c>
      <c r="Y24">
        <f t="shared" si="40"/>
        <v>0</v>
      </c>
      <c r="Z24">
        <f t="shared" si="40"/>
        <v>0</v>
      </c>
      <c r="AA24">
        <f t="shared" si="40"/>
        <v>0</v>
      </c>
      <c r="AB24">
        <f t="shared" si="40"/>
        <v>0</v>
      </c>
      <c r="AC24">
        <f t="shared" si="40"/>
        <v>0</v>
      </c>
      <c r="AD24">
        <f t="shared" si="46"/>
        <v>0</v>
      </c>
      <c r="AE24">
        <f t="shared" si="46"/>
        <v>1</v>
      </c>
      <c r="AF24">
        <f t="shared" si="46"/>
        <v>0</v>
      </c>
      <c r="AG24">
        <f t="shared" si="46"/>
        <v>0</v>
      </c>
      <c r="AH24">
        <f t="shared" si="46"/>
        <v>0</v>
      </c>
      <c r="AI24">
        <f t="shared" si="47"/>
        <v>0</v>
      </c>
      <c r="AJ24">
        <f t="shared" si="47"/>
        <v>0</v>
      </c>
      <c r="AK24">
        <f t="shared" si="47"/>
        <v>0</v>
      </c>
      <c r="AL24">
        <f t="shared" si="47"/>
        <v>0</v>
      </c>
      <c r="AM24">
        <f t="shared" si="47"/>
        <v>0</v>
      </c>
      <c r="AN24">
        <f t="shared" si="47"/>
        <v>0</v>
      </c>
      <c r="AO24">
        <f t="shared" si="47"/>
        <v>0</v>
      </c>
      <c r="AP24">
        <f t="shared" si="47"/>
        <v>0</v>
      </c>
      <c r="AQ24">
        <f t="shared" si="47"/>
        <v>0</v>
      </c>
      <c r="AR24">
        <f t="shared" si="47"/>
        <v>0</v>
      </c>
      <c r="AS24">
        <f t="shared" si="47"/>
        <v>0</v>
      </c>
      <c r="AT24">
        <f t="shared" si="47"/>
        <v>0</v>
      </c>
      <c r="AU24">
        <f t="shared" si="47"/>
        <v>0</v>
      </c>
      <c r="AV24">
        <f t="shared" si="47"/>
        <v>0</v>
      </c>
      <c r="AW24">
        <f t="shared" si="47"/>
        <v>0</v>
      </c>
      <c r="AX24">
        <f t="shared" si="47"/>
        <v>0</v>
      </c>
      <c r="AY24">
        <f t="shared" si="48"/>
        <v>0</v>
      </c>
      <c r="AZ24">
        <f t="shared" si="48"/>
        <v>0</v>
      </c>
    </row>
    <row r="25" spans="1:52" x14ac:dyDescent="0.25">
      <c r="A25" t="s">
        <v>34</v>
      </c>
      <c r="B25" s="3">
        <v>44092</v>
      </c>
      <c r="C25" s="1">
        <v>544.20837094262833</v>
      </c>
      <c r="D25" s="1">
        <v>108.84167418852567</v>
      </c>
      <c r="E25" s="1">
        <f t="shared" si="38"/>
        <v>309.20837094262833</v>
      </c>
      <c r="F25" s="1">
        <f t="shared" si="39"/>
        <v>235</v>
      </c>
      <c r="G25" s="2">
        <v>5</v>
      </c>
      <c r="H25" s="1">
        <v>61.841674188525673</v>
      </c>
      <c r="I25" s="1">
        <v>47</v>
      </c>
      <c r="J25" s="1">
        <f t="shared" si="41"/>
        <v>51845.332006541168</v>
      </c>
      <c r="K25" s="1">
        <f t="shared" si="42"/>
        <v>27990.332006541175</v>
      </c>
      <c r="N25">
        <f t="shared" si="40"/>
        <v>0</v>
      </c>
      <c r="O25">
        <f t="shared" si="40"/>
        <v>0</v>
      </c>
      <c r="P25">
        <f t="shared" si="40"/>
        <v>0</v>
      </c>
      <c r="Q25">
        <f t="shared" si="40"/>
        <v>0</v>
      </c>
      <c r="R25">
        <f t="shared" si="40"/>
        <v>0</v>
      </c>
      <c r="S25">
        <f t="shared" si="40"/>
        <v>0</v>
      </c>
      <c r="T25">
        <f t="shared" si="40"/>
        <v>0</v>
      </c>
      <c r="U25">
        <f t="shared" si="40"/>
        <v>0</v>
      </c>
      <c r="V25">
        <f t="shared" si="40"/>
        <v>0</v>
      </c>
      <c r="W25">
        <f t="shared" si="40"/>
        <v>0</v>
      </c>
      <c r="X25">
        <f t="shared" si="40"/>
        <v>0</v>
      </c>
      <c r="Y25">
        <f t="shared" si="40"/>
        <v>0</v>
      </c>
      <c r="Z25">
        <f t="shared" si="40"/>
        <v>0</v>
      </c>
      <c r="AA25">
        <f t="shared" si="40"/>
        <v>0</v>
      </c>
      <c r="AB25">
        <f t="shared" si="40"/>
        <v>0</v>
      </c>
      <c r="AC25">
        <f t="shared" si="40"/>
        <v>0</v>
      </c>
      <c r="AD25">
        <f t="shared" si="46"/>
        <v>0</v>
      </c>
      <c r="AE25">
        <f t="shared" si="46"/>
        <v>0</v>
      </c>
      <c r="AF25">
        <f t="shared" si="46"/>
        <v>1</v>
      </c>
      <c r="AG25">
        <f t="shared" si="46"/>
        <v>0</v>
      </c>
      <c r="AH25">
        <f t="shared" si="46"/>
        <v>0</v>
      </c>
      <c r="AI25">
        <f t="shared" si="47"/>
        <v>0</v>
      </c>
      <c r="AJ25">
        <f t="shared" si="47"/>
        <v>0</v>
      </c>
      <c r="AK25">
        <f t="shared" si="47"/>
        <v>0</v>
      </c>
      <c r="AL25">
        <f t="shared" si="47"/>
        <v>0</v>
      </c>
      <c r="AM25">
        <f t="shared" si="47"/>
        <v>0</v>
      </c>
      <c r="AN25">
        <f t="shared" si="47"/>
        <v>0</v>
      </c>
      <c r="AO25">
        <f t="shared" si="47"/>
        <v>0</v>
      </c>
      <c r="AP25">
        <f t="shared" si="47"/>
        <v>0</v>
      </c>
      <c r="AQ25">
        <f t="shared" si="47"/>
        <v>0</v>
      </c>
      <c r="AR25">
        <f t="shared" si="47"/>
        <v>0</v>
      </c>
      <c r="AS25">
        <f t="shared" si="47"/>
        <v>0</v>
      </c>
      <c r="AT25">
        <f t="shared" si="47"/>
        <v>0</v>
      </c>
      <c r="AU25">
        <f t="shared" si="47"/>
        <v>0</v>
      </c>
      <c r="AV25">
        <f t="shared" si="47"/>
        <v>0</v>
      </c>
      <c r="AW25">
        <f t="shared" si="47"/>
        <v>0</v>
      </c>
      <c r="AX25">
        <f t="shared" si="47"/>
        <v>0</v>
      </c>
      <c r="AY25">
        <f t="shared" si="48"/>
        <v>0</v>
      </c>
      <c r="AZ25">
        <f t="shared" si="48"/>
        <v>0</v>
      </c>
    </row>
    <row r="26" spans="1:52" x14ac:dyDescent="0.25">
      <c r="A26" t="s">
        <v>17</v>
      </c>
      <c r="B26" s="3">
        <v>44075</v>
      </c>
      <c r="C26" s="1">
        <v>3951.0826788260824</v>
      </c>
      <c r="D26" s="1">
        <v>106.78601834665088</v>
      </c>
      <c r="E26" s="1">
        <f t="shared" si="38"/>
        <v>2138.0826788260824</v>
      </c>
      <c r="F26" s="1">
        <f t="shared" si="39"/>
        <v>1813</v>
      </c>
      <c r="G26" s="2">
        <v>37</v>
      </c>
      <c r="H26" s="1">
        <v>57.786018346650877</v>
      </c>
      <c r="I26" s="1">
        <v>49</v>
      </c>
      <c r="J26" s="1">
        <f t="shared" si="41"/>
        <v>55796.41468536725</v>
      </c>
      <c r="K26" s="1">
        <f t="shared" si="42"/>
        <v>30128.414685367257</v>
      </c>
      <c r="N26">
        <f t="shared" si="40"/>
        <v>0</v>
      </c>
      <c r="O26">
        <f t="shared" si="40"/>
        <v>0</v>
      </c>
      <c r="P26">
        <f t="shared" si="40"/>
        <v>0</v>
      </c>
      <c r="Q26">
        <f t="shared" si="40"/>
        <v>0</v>
      </c>
      <c r="R26">
        <f t="shared" si="40"/>
        <v>0</v>
      </c>
      <c r="S26">
        <f t="shared" si="40"/>
        <v>0</v>
      </c>
      <c r="T26">
        <f t="shared" si="40"/>
        <v>0</v>
      </c>
      <c r="U26">
        <f t="shared" si="40"/>
        <v>0</v>
      </c>
      <c r="V26">
        <f t="shared" si="40"/>
        <v>0</v>
      </c>
      <c r="W26">
        <f t="shared" si="40"/>
        <v>0</v>
      </c>
      <c r="X26">
        <f t="shared" si="40"/>
        <v>0</v>
      </c>
      <c r="Y26">
        <f t="shared" si="40"/>
        <v>0</v>
      </c>
      <c r="Z26">
        <f t="shared" si="40"/>
        <v>0</v>
      </c>
      <c r="AA26">
        <f t="shared" si="40"/>
        <v>0</v>
      </c>
      <c r="AB26">
        <f t="shared" ref="AB26:AQ41" si="49">+IF(AB$5=$A26,1,0)</f>
        <v>0</v>
      </c>
      <c r="AC26">
        <f t="shared" si="49"/>
        <v>0</v>
      </c>
      <c r="AD26">
        <f t="shared" si="49"/>
        <v>0</v>
      </c>
      <c r="AE26">
        <f t="shared" si="49"/>
        <v>0</v>
      </c>
      <c r="AF26">
        <f t="shared" si="49"/>
        <v>0</v>
      </c>
      <c r="AG26">
        <f t="shared" si="49"/>
        <v>1</v>
      </c>
      <c r="AH26">
        <f t="shared" si="49"/>
        <v>0</v>
      </c>
      <c r="AI26">
        <f t="shared" si="49"/>
        <v>0</v>
      </c>
      <c r="AJ26">
        <f t="shared" si="49"/>
        <v>0</v>
      </c>
      <c r="AK26">
        <f t="shared" si="49"/>
        <v>0</v>
      </c>
      <c r="AL26">
        <f t="shared" si="49"/>
        <v>0</v>
      </c>
      <c r="AM26">
        <f t="shared" si="49"/>
        <v>0</v>
      </c>
      <c r="AN26">
        <f t="shared" si="49"/>
        <v>0</v>
      </c>
      <c r="AO26">
        <f t="shared" si="49"/>
        <v>0</v>
      </c>
      <c r="AP26">
        <f t="shared" si="49"/>
        <v>0</v>
      </c>
      <c r="AQ26">
        <f t="shared" si="49"/>
        <v>0</v>
      </c>
      <c r="AR26">
        <f t="shared" si="47"/>
        <v>0</v>
      </c>
      <c r="AS26">
        <f t="shared" si="47"/>
        <v>0</v>
      </c>
      <c r="AT26">
        <f t="shared" si="47"/>
        <v>0</v>
      </c>
      <c r="AU26">
        <f t="shared" si="47"/>
        <v>0</v>
      </c>
      <c r="AV26">
        <f t="shared" si="47"/>
        <v>0</v>
      </c>
      <c r="AW26">
        <f t="shared" si="47"/>
        <v>0</v>
      </c>
      <c r="AX26">
        <f t="shared" si="47"/>
        <v>0</v>
      </c>
      <c r="AY26">
        <f t="shared" si="48"/>
        <v>0</v>
      </c>
      <c r="AZ26">
        <f t="shared" si="48"/>
        <v>0</v>
      </c>
    </row>
    <row r="27" spans="1:52" x14ac:dyDescent="0.25">
      <c r="A27" t="s">
        <v>32</v>
      </c>
      <c r="B27" s="3">
        <v>44073</v>
      </c>
      <c r="C27" s="1">
        <v>310.91565049488042</v>
      </c>
      <c r="D27" s="1">
        <v>103.63855016496015</v>
      </c>
      <c r="E27" s="1">
        <f t="shared" si="38"/>
        <v>199.91565049488045</v>
      </c>
      <c r="F27" s="1">
        <f t="shared" si="39"/>
        <v>111</v>
      </c>
      <c r="G27" s="2">
        <v>3</v>
      </c>
      <c r="H27" s="1">
        <v>66.638550164960151</v>
      </c>
      <c r="I27" s="1">
        <v>37</v>
      </c>
      <c r="J27" s="1">
        <f t="shared" si="41"/>
        <v>56107.330335862127</v>
      </c>
      <c r="K27" s="1">
        <f t="shared" si="42"/>
        <v>30328.330335862138</v>
      </c>
      <c r="N27">
        <f t="shared" si="40"/>
        <v>0</v>
      </c>
      <c r="O27">
        <f t="shared" si="40"/>
        <v>0</v>
      </c>
      <c r="P27">
        <f t="shared" si="40"/>
        <v>0</v>
      </c>
      <c r="Q27">
        <f t="shared" ref="Q27:AF42" si="50">+IF(Q$5=$A27,1,0)</f>
        <v>0</v>
      </c>
      <c r="R27">
        <f t="shared" si="50"/>
        <v>0</v>
      </c>
      <c r="S27">
        <f t="shared" si="50"/>
        <v>0</v>
      </c>
      <c r="T27">
        <f t="shared" si="50"/>
        <v>0</v>
      </c>
      <c r="U27">
        <f t="shared" si="50"/>
        <v>0</v>
      </c>
      <c r="V27">
        <f t="shared" si="50"/>
        <v>0</v>
      </c>
      <c r="W27">
        <f t="shared" si="50"/>
        <v>0</v>
      </c>
      <c r="X27">
        <f t="shared" si="50"/>
        <v>0</v>
      </c>
      <c r="Y27">
        <f t="shared" si="50"/>
        <v>0</v>
      </c>
      <c r="Z27">
        <f t="shared" si="50"/>
        <v>0</v>
      </c>
      <c r="AA27">
        <f t="shared" si="50"/>
        <v>0</v>
      </c>
      <c r="AB27">
        <f t="shared" si="50"/>
        <v>0</v>
      </c>
      <c r="AC27">
        <f t="shared" si="50"/>
        <v>0</v>
      </c>
      <c r="AD27">
        <f t="shared" si="50"/>
        <v>0</v>
      </c>
      <c r="AE27">
        <f t="shared" si="50"/>
        <v>0</v>
      </c>
      <c r="AF27">
        <f t="shared" si="50"/>
        <v>0</v>
      </c>
      <c r="AG27">
        <f t="shared" si="49"/>
        <v>0</v>
      </c>
      <c r="AH27">
        <f t="shared" si="49"/>
        <v>1</v>
      </c>
      <c r="AI27">
        <f t="shared" si="49"/>
        <v>0</v>
      </c>
      <c r="AJ27">
        <f t="shared" si="49"/>
        <v>0</v>
      </c>
      <c r="AK27">
        <f t="shared" si="49"/>
        <v>0</v>
      </c>
      <c r="AL27">
        <f t="shared" si="49"/>
        <v>0</v>
      </c>
      <c r="AM27">
        <f t="shared" si="49"/>
        <v>0</v>
      </c>
      <c r="AN27">
        <f t="shared" si="49"/>
        <v>0</v>
      </c>
      <c r="AO27">
        <f t="shared" si="49"/>
        <v>0</v>
      </c>
      <c r="AP27">
        <f t="shared" si="49"/>
        <v>0</v>
      </c>
      <c r="AQ27">
        <f t="shared" si="49"/>
        <v>0</v>
      </c>
      <c r="AR27">
        <f t="shared" si="47"/>
        <v>0</v>
      </c>
      <c r="AS27">
        <f t="shared" si="47"/>
        <v>0</v>
      </c>
      <c r="AT27">
        <f t="shared" si="47"/>
        <v>0</v>
      </c>
      <c r="AU27">
        <f t="shared" si="47"/>
        <v>0</v>
      </c>
      <c r="AV27">
        <f t="shared" si="47"/>
        <v>0</v>
      </c>
      <c r="AW27">
        <f t="shared" si="47"/>
        <v>0</v>
      </c>
      <c r="AX27">
        <f t="shared" si="47"/>
        <v>0</v>
      </c>
      <c r="AY27">
        <f t="shared" si="48"/>
        <v>0</v>
      </c>
      <c r="AZ27">
        <f t="shared" si="48"/>
        <v>0</v>
      </c>
    </row>
    <row r="28" spans="1:52" x14ac:dyDescent="0.25">
      <c r="A28" t="s">
        <v>48</v>
      </c>
      <c r="B28" s="3">
        <v>44063</v>
      </c>
      <c r="C28" s="1">
        <v>1445.2493671282691</v>
      </c>
      <c r="D28" s="1">
        <v>80.291631507126056</v>
      </c>
      <c r="E28" s="1">
        <f t="shared" si="38"/>
        <v>797.24936712826889</v>
      </c>
      <c r="F28" s="1">
        <f t="shared" si="39"/>
        <v>648</v>
      </c>
      <c r="G28" s="2">
        <v>18</v>
      </c>
      <c r="H28" s="1">
        <v>44.291631507126048</v>
      </c>
      <c r="I28" s="1">
        <v>36</v>
      </c>
      <c r="J28" s="1">
        <f t="shared" si="41"/>
        <v>57552.579702990399</v>
      </c>
      <c r="K28" s="1">
        <f t="shared" si="42"/>
        <v>31125.579702990406</v>
      </c>
      <c r="N28">
        <f t="shared" si="40"/>
        <v>0</v>
      </c>
      <c r="O28">
        <f t="shared" si="40"/>
        <v>0</v>
      </c>
      <c r="P28">
        <f t="shared" si="40"/>
        <v>0</v>
      </c>
      <c r="Q28">
        <f t="shared" si="50"/>
        <v>0</v>
      </c>
      <c r="R28">
        <f t="shared" si="50"/>
        <v>0</v>
      </c>
      <c r="S28">
        <f t="shared" si="50"/>
        <v>0</v>
      </c>
      <c r="T28">
        <f t="shared" si="50"/>
        <v>0</v>
      </c>
      <c r="U28">
        <f t="shared" si="50"/>
        <v>0</v>
      </c>
      <c r="V28">
        <f t="shared" si="50"/>
        <v>0</v>
      </c>
      <c r="W28">
        <f t="shared" si="50"/>
        <v>0</v>
      </c>
      <c r="X28">
        <f t="shared" si="50"/>
        <v>0</v>
      </c>
      <c r="Y28">
        <f t="shared" si="50"/>
        <v>0</v>
      </c>
      <c r="Z28">
        <f t="shared" si="50"/>
        <v>0</v>
      </c>
      <c r="AA28">
        <f t="shared" si="50"/>
        <v>0</v>
      </c>
      <c r="AB28">
        <f t="shared" si="50"/>
        <v>0</v>
      </c>
      <c r="AC28">
        <f t="shared" si="50"/>
        <v>0</v>
      </c>
      <c r="AD28">
        <f t="shared" si="50"/>
        <v>0</v>
      </c>
      <c r="AE28">
        <f t="shared" si="50"/>
        <v>0</v>
      </c>
      <c r="AF28">
        <f t="shared" si="50"/>
        <v>0</v>
      </c>
      <c r="AG28">
        <f t="shared" si="49"/>
        <v>0</v>
      </c>
      <c r="AH28">
        <f t="shared" si="49"/>
        <v>0</v>
      </c>
      <c r="AI28">
        <f t="shared" si="49"/>
        <v>1</v>
      </c>
      <c r="AJ28">
        <f t="shared" si="49"/>
        <v>0</v>
      </c>
      <c r="AK28">
        <f t="shared" si="49"/>
        <v>0</v>
      </c>
      <c r="AL28">
        <f t="shared" si="49"/>
        <v>0</v>
      </c>
      <c r="AM28">
        <f t="shared" si="49"/>
        <v>0</v>
      </c>
      <c r="AN28">
        <f t="shared" si="49"/>
        <v>0</v>
      </c>
      <c r="AO28">
        <f t="shared" si="49"/>
        <v>0</v>
      </c>
      <c r="AP28">
        <f t="shared" si="49"/>
        <v>0</v>
      </c>
      <c r="AQ28">
        <f t="shared" si="49"/>
        <v>0</v>
      </c>
      <c r="AR28">
        <f t="shared" si="47"/>
        <v>0</v>
      </c>
      <c r="AS28">
        <f t="shared" si="47"/>
        <v>0</v>
      </c>
      <c r="AT28">
        <f t="shared" si="47"/>
        <v>0</v>
      </c>
      <c r="AU28">
        <f t="shared" si="47"/>
        <v>0</v>
      </c>
      <c r="AV28">
        <f t="shared" si="47"/>
        <v>0</v>
      </c>
      <c r="AW28">
        <f t="shared" si="47"/>
        <v>0</v>
      </c>
      <c r="AX28">
        <f t="shared" si="47"/>
        <v>0</v>
      </c>
      <c r="AY28">
        <f t="shared" si="48"/>
        <v>0</v>
      </c>
      <c r="AZ28">
        <f t="shared" si="48"/>
        <v>0</v>
      </c>
    </row>
    <row r="29" spans="1:52" x14ac:dyDescent="0.25">
      <c r="A29" t="s">
        <v>45</v>
      </c>
      <c r="B29" s="3">
        <v>44057</v>
      </c>
      <c r="C29" s="1">
        <v>1244.599770314348</v>
      </c>
      <c r="D29" s="1">
        <v>103.71664752619566</v>
      </c>
      <c r="E29" s="1">
        <f t="shared" si="38"/>
        <v>620.59977031434801</v>
      </c>
      <c r="F29" s="1">
        <f t="shared" si="39"/>
        <v>624</v>
      </c>
      <c r="G29" s="2">
        <v>12</v>
      </c>
      <c r="H29" s="1">
        <v>51.716647526195665</v>
      </c>
      <c r="I29" s="1">
        <v>52</v>
      </c>
      <c r="J29" s="1">
        <f t="shared" si="41"/>
        <v>58797.17947330475</v>
      </c>
      <c r="K29" s="1">
        <f t="shared" si="42"/>
        <v>31746.179473304754</v>
      </c>
      <c r="N29">
        <f t="shared" si="40"/>
        <v>0</v>
      </c>
      <c r="O29">
        <f t="shared" si="40"/>
        <v>0</v>
      </c>
      <c r="P29">
        <f t="shared" si="40"/>
        <v>0</v>
      </c>
      <c r="Q29">
        <f t="shared" si="50"/>
        <v>0</v>
      </c>
      <c r="R29">
        <f t="shared" si="50"/>
        <v>0</v>
      </c>
      <c r="S29">
        <f t="shared" si="50"/>
        <v>0</v>
      </c>
      <c r="T29">
        <f t="shared" si="50"/>
        <v>0</v>
      </c>
      <c r="U29">
        <f t="shared" si="50"/>
        <v>0</v>
      </c>
      <c r="V29">
        <f t="shared" si="50"/>
        <v>0</v>
      </c>
      <c r="W29">
        <f t="shared" si="50"/>
        <v>0</v>
      </c>
      <c r="X29">
        <f t="shared" si="50"/>
        <v>0</v>
      </c>
      <c r="Y29">
        <f t="shared" si="50"/>
        <v>0</v>
      </c>
      <c r="Z29">
        <f t="shared" si="50"/>
        <v>0</v>
      </c>
      <c r="AA29">
        <f t="shared" si="50"/>
        <v>0</v>
      </c>
      <c r="AB29">
        <f t="shared" si="50"/>
        <v>0</v>
      </c>
      <c r="AC29">
        <f t="shared" si="50"/>
        <v>0</v>
      </c>
      <c r="AD29">
        <f t="shared" si="50"/>
        <v>0</v>
      </c>
      <c r="AE29">
        <f t="shared" si="50"/>
        <v>0</v>
      </c>
      <c r="AF29">
        <f t="shared" si="50"/>
        <v>0</v>
      </c>
      <c r="AG29">
        <f t="shared" si="49"/>
        <v>0</v>
      </c>
      <c r="AH29">
        <f t="shared" si="49"/>
        <v>0</v>
      </c>
      <c r="AI29">
        <f t="shared" si="49"/>
        <v>0</v>
      </c>
      <c r="AJ29">
        <f t="shared" si="49"/>
        <v>1</v>
      </c>
      <c r="AK29">
        <f t="shared" si="49"/>
        <v>0</v>
      </c>
      <c r="AL29">
        <f t="shared" si="49"/>
        <v>0</v>
      </c>
      <c r="AM29">
        <f t="shared" si="49"/>
        <v>0</v>
      </c>
      <c r="AN29">
        <f t="shared" si="49"/>
        <v>0</v>
      </c>
      <c r="AO29">
        <f t="shared" si="49"/>
        <v>0</v>
      </c>
      <c r="AP29">
        <f t="shared" si="49"/>
        <v>0</v>
      </c>
      <c r="AQ29">
        <f t="shared" si="49"/>
        <v>0</v>
      </c>
      <c r="AR29">
        <f t="shared" si="47"/>
        <v>0</v>
      </c>
      <c r="AS29">
        <f t="shared" si="47"/>
        <v>0</v>
      </c>
      <c r="AT29">
        <f t="shared" si="47"/>
        <v>0</v>
      </c>
      <c r="AU29">
        <f t="shared" si="47"/>
        <v>0</v>
      </c>
      <c r="AV29">
        <f t="shared" si="47"/>
        <v>0</v>
      </c>
      <c r="AW29">
        <f t="shared" si="47"/>
        <v>0</v>
      </c>
      <c r="AX29">
        <f t="shared" si="47"/>
        <v>0</v>
      </c>
      <c r="AY29">
        <f t="shared" si="48"/>
        <v>0</v>
      </c>
      <c r="AZ29">
        <f t="shared" si="48"/>
        <v>0</v>
      </c>
    </row>
    <row r="30" spans="1:52" x14ac:dyDescent="0.25">
      <c r="A30" t="s">
        <v>12</v>
      </c>
      <c r="B30" s="3">
        <v>44053</v>
      </c>
      <c r="C30" s="1">
        <v>2588.6296693978238</v>
      </c>
      <c r="D30" s="1">
        <v>99.562679592223986</v>
      </c>
      <c r="E30" s="1">
        <f t="shared" si="38"/>
        <v>1288.6296693978234</v>
      </c>
      <c r="F30" s="1">
        <f t="shared" si="39"/>
        <v>1300</v>
      </c>
      <c r="G30" s="2">
        <v>26</v>
      </c>
      <c r="H30" s="1">
        <v>49.562679592223979</v>
      </c>
      <c r="I30" s="1">
        <v>50</v>
      </c>
      <c r="J30" s="1">
        <f t="shared" si="41"/>
        <v>61385.809142702572</v>
      </c>
      <c r="K30" s="1">
        <f t="shared" si="42"/>
        <v>33034.809142702579</v>
      </c>
      <c r="N30">
        <f t="shared" si="40"/>
        <v>0</v>
      </c>
      <c r="O30">
        <f t="shared" si="40"/>
        <v>0</v>
      </c>
      <c r="P30">
        <f t="shared" si="40"/>
        <v>0</v>
      </c>
      <c r="Q30">
        <f t="shared" si="50"/>
        <v>0</v>
      </c>
      <c r="R30">
        <f t="shared" si="50"/>
        <v>0</v>
      </c>
      <c r="S30">
        <f t="shared" si="50"/>
        <v>0</v>
      </c>
      <c r="T30">
        <f t="shared" si="50"/>
        <v>0</v>
      </c>
      <c r="U30">
        <f t="shared" si="50"/>
        <v>0</v>
      </c>
      <c r="V30">
        <f t="shared" si="50"/>
        <v>0</v>
      </c>
      <c r="W30">
        <f t="shared" si="50"/>
        <v>0</v>
      </c>
      <c r="X30">
        <f t="shared" si="50"/>
        <v>0</v>
      </c>
      <c r="Y30">
        <f t="shared" si="50"/>
        <v>0</v>
      </c>
      <c r="Z30">
        <f t="shared" si="50"/>
        <v>0</v>
      </c>
      <c r="AA30">
        <f t="shared" si="50"/>
        <v>0</v>
      </c>
      <c r="AB30">
        <f t="shared" si="50"/>
        <v>0</v>
      </c>
      <c r="AC30">
        <f t="shared" si="50"/>
        <v>0</v>
      </c>
      <c r="AD30">
        <f t="shared" si="50"/>
        <v>0</v>
      </c>
      <c r="AE30">
        <f t="shared" si="50"/>
        <v>0</v>
      </c>
      <c r="AF30">
        <f t="shared" si="50"/>
        <v>0</v>
      </c>
      <c r="AG30">
        <f t="shared" si="49"/>
        <v>0</v>
      </c>
      <c r="AH30">
        <f t="shared" si="49"/>
        <v>0</v>
      </c>
      <c r="AI30">
        <f t="shared" si="49"/>
        <v>0</v>
      </c>
      <c r="AJ30">
        <f t="shared" si="49"/>
        <v>0</v>
      </c>
      <c r="AK30">
        <f t="shared" si="49"/>
        <v>1</v>
      </c>
      <c r="AL30">
        <f t="shared" si="49"/>
        <v>0</v>
      </c>
      <c r="AM30">
        <f t="shared" si="49"/>
        <v>0</v>
      </c>
      <c r="AN30">
        <f t="shared" si="49"/>
        <v>0</v>
      </c>
      <c r="AO30">
        <f t="shared" si="49"/>
        <v>0</v>
      </c>
      <c r="AP30">
        <f t="shared" si="49"/>
        <v>0</v>
      </c>
      <c r="AQ30">
        <f t="shared" si="49"/>
        <v>0</v>
      </c>
      <c r="AR30">
        <f t="shared" si="47"/>
        <v>0</v>
      </c>
      <c r="AS30">
        <f t="shared" si="47"/>
        <v>0</v>
      </c>
      <c r="AT30">
        <f t="shared" si="47"/>
        <v>0</v>
      </c>
      <c r="AU30">
        <f t="shared" si="47"/>
        <v>0</v>
      </c>
      <c r="AV30">
        <f t="shared" si="47"/>
        <v>0</v>
      </c>
      <c r="AW30">
        <f t="shared" si="47"/>
        <v>0</v>
      </c>
      <c r="AX30">
        <f t="shared" si="47"/>
        <v>0</v>
      </c>
      <c r="AY30">
        <f t="shared" si="48"/>
        <v>0</v>
      </c>
      <c r="AZ30">
        <f t="shared" si="48"/>
        <v>0</v>
      </c>
    </row>
    <row r="31" spans="1:52" x14ac:dyDescent="0.25">
      <c r="A31" t="s">
        <v>41</v>
      </c>
      <c r="B31" s="3">
        <v>44047</v>
      </c>
      <c r="C31" s="1">
        <v>1199.5466961887139</v>
      </c>
      <c r="D31" s="1">
        <v>63.134036641511258</v>
      </c>
      <c r="E31" s="1">
        <f t="shared" si="38"/>
        <v>667.5466961887139</v>
      </c>
      <c r="F31" s="1">
        <f t="shared" si="39"/>
        <v>532</v>
      </c>
      <c r="G31" s="2">
        <v>19</v>
      </c>
      <c r="H31" s="1">
        <v>35.134036641511258</v>
      </c>
      <c r="I31" s="1">
        <v>28</v>
      </c>
      <c r="J31" s="1">
        <f t="shared" si="41"/>
        <v>62585.355838891286</v>
      </c>
      <c r="K31" s="1">
        <f t="shared" si="42"/>
        <v>33702.355838891293</v>
      </c>
      <c r="N31">
        <f t="shared" si="40"/>
        <v>0</v>
      </c>
      <c r="O31">
        <f t="shared" si="40"/>
        <v>0</v>
      </c>
      <c r="P31">
        <f t="shared" si="40"/>
        <v>0</v>
      </c>
      <c r="Q31">
        <f t="shared" si="50"/>
        <v>1</v>
      </c>
      <c r="R31">
        <f t="shared" si="50"/>
        <v>0</v>
      </c>
      <c r="S31">
        <f t="shared" si="50"/>
        <v>0</v>
      </c>
      <c r="T31">
        <f t="shared" si="50"/>
        <v>0</v>
      </c>
      <c r="U31">
        <f t="shared" si="50"/>
        <v>0</v>
      </c>
      <c r="V31">
        <f t="shared" si="50"/>
        <v>0</v>
      </c>
      <c r="W31">
        <f t="shared" si="50"/>
        <v>0</v>
      </c>
      <c r="X31">
        <f t="shared" si="50"/>
        <v>0</v>
      </c>
      <c r="Y31">
        <f t="shared" si="50"/>
        <v>0</v>
      </c>
      <c r="Z31">
        <f t="shared" si="50"/>
        <v>0</v>
      </c>
      <c r="AA31">
        <f t="shared" si="50"/>
        <v>0</v>
      </c>
      <c r="AB31">
        <f t="shared" si="50"/>
        <v>0</v>
      </c>
      <c r="AC31">
        <f t="shared" si="50"/>
        <v>0</v>
      </c>
      <c r="AD31">
        <f t="shared" si="50"/>
        <v>0</v>
      </c>
      <c r="AE31">
        <f t="shared" si="50"/>
        <v>0</v>
      </c>
      <c r="AF31">
        <f t="shared" si="50"/>
        <v>0</v>
      </c>
      <c r="AG31">
        <f t="shared" si="49"/>
        <v>0</v>
      </c>
      <c r="AH31">
        <f t="shared" si="49"/>
        <v>0</v>
      </c>
      <c r="AI31">
        <f t="shared" si="49"/>
        <v>0</v>
      </c>
      <c r="AJ31">
        <f t="shared" si="49"/>
        <v>0</v>
      </c>
      <c r="AK31">
        <f t="shared" si="49"/>
        <v>0</v>
      </c>
      <c r="AL31">
        <f t="shared" si="49"/>
        <v>0</v>
      </c>
      <c r="AM31">
        <f t="shared" si="49"/>
        <v>0</v>
      </c>
      <c r="AN31">
        <f t="shared" si="49"/>
        <v>0</v>
      </c>
      <c r="AO31">
        <f t="shared" si="49"/>
        <v>0</v>
      </c>
      <c r="AP31">
        <f t="shared" si="49"/>
        <v>0</v>
      </c>
      <c r="AQ31">
        <f t="shared" si="49"/>
        <v>0</v>
      </c>
      <c r="AR31">
        <f t="shared" si="47"/>
        <v>0</v>
      </c>
      <c r="AS31">
        <f t="shared" si="47"/>
        <v>0</v>
      </c>
      <c r="AT31">
        <f t="shared" si="47"/>
        <v>0</v>
      </c>
      <c r="AU31">
        <f t="shared" si="47"/>
        <v>0</v>
      </c>
      <c r="AV31">
        <f t="shared" si="47"/>
        <v>0</v>
      </c>
      <c r="AW31">
        <f t="shared" si="47"/>
        <v>0</v>
      </c>
      <c r="AX31">
        <f t="shared" si="47"/>
        <v>0</v>
      </c>
      <c r="AY31">
        <f t="shared" si="48"/>
        <v>0</v>
      </c>
      <c r="AZ31">
        <f t="shared" si="48"/>
        <v>0</v>
      </c>
    </row>
    <row r="32" spans="1:52" x14ac:dyDescent="0.25">
      <c r="A32" t="s">
        <v>35</v>
      </c>
      <c r="B32" s="3">
        <v>44047</v>
      </c>
      <c r="C32" s="1">
        <v>1913.0348643206573</v>
      </c>
      <c r="D32" s="1">
        <v>112.5314626070975</v>
      </c>
      <c r="E32" s="1">
        <f t="shared" si="38"/>
        <v>1182.0348643206573</v>
      </c>
      <c r="F32" s="1">
        <f t="shared" si="39"/>
        <v>731</v>
      </c>
      <c r="G32" s="2">
        <v>17</v>
      </c>
      <c r="H32" s="1">
        <v>69.531462607097495</v>
      </c>
      <c r="I32" s="1">
        <v>43</v>
      </c>
      <c r="J32" s="1">
        <f t="shared" si="41"/>
        <v>64498.390703211946</v>
      </c>
      <c r="K32" s="1">
        <f t="shared" si="42"/>
        <v>34884.390703211953</v>
      </c>
      <c r="N32">
        <f t="shared" si="40"/>
        <v>0</v>
      </c>
      <c r="O32">
        <f t="shared" si="40"/>
        <v>0</v>
      </c>
      <c r="P32">
        <f t="shared" si="40"/>
        <v>0</v>
      </c>
      <c r="Q32">
        <f t="shared" si="50"/>
        <v>0</v>
      </c>
      <c r="R32">
        <f t="shared" si="50"/>
        <v>0</v>
      </c>
      <c r="S32">
        <f t="shared" si="50"/>
        <v>0</v>
      </c>
      <c r="T32">
        <f t="shared" si="50"/>
        <v>0</v>
      </c>
      <c r="U32">
        <f t="shared" si="50"/>
        <v>0</v>
      </c>
      <c r="V32">
        <f t="shared" si="50"/>
        <v>0</v>
      </c>
      <c r="W32">
        <f t="shared" si="50"/>
        <v>0</v>
      </c>
      <c r="X32">
        <f t="shared" si="50"/>
        <v>0</v>
      </c>
      <c r="Y32">
        <f t="shared" si="50"/>
        <v>0</v>
      </c>
      <c r="Z32">
        <f t="shared" si="50"/>
        <v>0</v>
      </c>
      <c r="AA32">
        <f t="shared" si="50"/>
        <v>0</v>
      </c>
      <c r="AB32">
        <f t="shared" si="50"/>
        <v>0</v>
      </c>
      <c r="AC32">
        <f t="shared" si="50"/>
        <v>0</v>
      </c>
      <c r="AD32">
        <f t="shared" si="50"/>
        <v>0</v>
      </c>
      <c r="AE32">
        <f t="shared" si="50"/>
        <v>0</v>
      </c>
      <c r="AF32">
        <f t="shared" si="50"/>
        <v>0</v>
      </c>
      <c r="AG32">
        <f t="shared" si="49"/>
        <v>0</v>
      </c>
      <c r="AH32">
        <f t="shared" si="49"/>
        <v>0</v>
      </c>
      <c r="AI32">
        <f t="shared" si="49"/>
        <v>0</v>
      </c>
      <c r="AJ32">
        <f t="shared" si="49"/>
        <v>0</v>
      </c>
      <c r="AK32">
        <f t="shared" si="49"/>
        <v>0</v>
      </c>
      <c r="AL32">
        <f t="shared" si="49"/>
        <v>1</v>
      </c>
      <c r="AM32">
        <f t="shared" si="49"/>
        <v>0</v>
      </c>
      <c r="AN32">
        <f t="shared" si="49"/>
        <v>0</v>
      </c>
      <c r="AO32">
        <f t="shared" si="49"/>
        <v>0</v>
      </c>
      <c r="AP32">
        <f t="shared" si="49"/>
        <v>0</v>
      </c>
      <c r="AQ32">
        <f t="shared" si="49"/>
        <v>0</v>
      </c>
      <c r="AR32">
        <f t="shared" si="47"/>
        <v>0</v>
      </c>
      <c r="AS32">
        <f t="shared" si="47"/>
        <v>0</v>
      </c>
      <c r="AT32">
        <f t="shared" si="47"/>
        <v>0</v>
      </c>
      <c r="AU32">
        <f t="shared" si="47"/>
        <v>0</v>
      </c>
      <c r="AV32">
        <f t="shared" si="47"/>
        <v>0</v>
      </c>
      <c r="AW32">
        <f t="shared" si="47"/>
        <v>0</v>
      </c>
      <c r="AX32">
        <f t="shared" si="47"/>
        <v>0</v>
      </c>
      <c r="AY32">
        <f t="shared" si="48"/>
        <v>0</v>
      </c>
      <c r="AZ32">
        <f t="shared" si="48"/>
        <v>0</v>
      </c>
    </row>
    <row r="33" spans="1:52" x14ac:dyDescent="0.25">
      <c r="A33" t="s">
        <v>21</v>
      </c>
      <c r="B33" s="3">
        <v>44040</v>
      </c>
      <c r="C33" s="1">
        <v>2653.9361438102806</v>
      </c>
      <c r="D33" s="1">
        <v>176.9290762540187</v>
      </c>
      <c r="E33" s="1">
        <f t="shared" si="38"/>
        <v>1243.9361438102806</v>
      </c>
      <c r="F33" s="1">
        <f t="shared" si="39"/>
        <v>1410</v>
      </c>
      <c r="G33" s="2">
        <v>15</v>
      </c>
      <c r="H33" s="1">
        <v>82.92907625401871</v>
      </c>
      <c r="I33" s="1">
        <v>94</v>
      </c>
      <c r="J33" s="1">
        <f t="shared" si="41"/>
        <v>67152.326847022225</v>
      </c>
      <c r="K33" s="1">
        <f t="shared" si="42"/>
        <v>36128.326847022232</v>
      </c>
      <c r="N33">
        <f t="shared" si="40"/>
        <v>0</v>
      </c>
      <c r="O33">
        <f t="shared" si="40"/>
        <v>0</v>
      </c>
      <c r="P33">
        <f t="shared" si="40"/>
        <v>0</v>
      </c>
      <c r="Q33">
        <f t="shared" si="50"/>
        <v>0</v>
      </c>
      <c r="R33">
        <f t="shared" si="50"/>
        <v>0</v>
      </c>
      <c r="S33">
        <f t="shared" si="50"/>
        <v>0</v>
      </c>
      <c r="T33">
        <f t="shared" si="50"/>
        <v>1</v>
      </c>
      <c r="U33">
        <f t="shared" si="50"/>
        <v>0</v>
      </c>
      <c r="V33">
        <f t="shared" si="50"/>
        <v>0</v>
      </c>
      <c r="W33">
        <f t="shared" si="50"/>
        <v>0</v>
      </c>
      <c r="X33">
        <f t="shared" si="50"/>
        <v>0</v>
      </c>
      <c r="Y33">
        <f t="shared" si="50"/>
        <v>0</v>
      </c>
      <c r="Z33">
        <f t="shared" si="50"/>
        <v>0</v>
      </c>
      <c r="AA33">
        <f t="shared" si="50"/>
        <v>0</v>
      </c>
      <c r="AB33">
        <f t="shared" si="50"/>
        <v>0</v>
      </c>
      <c r="AC33">
        <f t="shared" si="50"/>
        <v>0</v>
      </c>
      <c r="AD33">
        <f t="shared" si="50"/>
        <v>0</v>
      </c>
      <c r="AE33">
        <f t="shared" si="50"/>
        <v>0</v>
      </c>
      <c r="AF33">
        <f t="shared" si="50"/>
        <v>0</v>
      </c>
      <c r="AG33">
        <f t="shared" si="49"/>
        <v>0</v>
      </c>
      <c r="AH33">
        <f t="shared" si="49"/>
        <v>0</v>
      </c>
      <c r="AI33">
        <f t="shared" si="49"/>
        <v>0</v>
      </c>
      <c r="AJ33">
        <f t="shared" si="49"/>
        <v>0</v>
      </c>
      <c r="AK33">
        <f t="shared" si="49"/>
        <v>0</v>
      </c>
      <c r="AL33">
        <f t="shared" si="49"/>
        <v>0</v>
      </c>
      <c r="AM33">
        <f t="shared" si="49"/>
        <v>0</v>
      </c>
      <c r="AN33">
        <f t="shared" si="49"/>
        <v>0</v>
      </c>
      <c r="AO33">
        <f t="shared" si="49"/>
        <v>0</v>
      </c>
      <c r="AP33">
        <f t="shared" si="49"/>
        <v>0</v>
      </c>
      <c r="AQ33">
        <f t="shared" si="49"/>
        <v>0</v>
      </c>
      <c r="AR33">
        <f t="shared" si="47"/>
        <v>0</v>
      </c>
      <c r="AS33">
        <f t="shared" si="47"/>
        <v>0</v>
      </c>
      <c r="AT33">
        <f t="shared" si="47"/>
        <v>0</v>
      </c>
      <c r="AU33">
        <f t="shared" si="47"/>
        <v>0</v>
      </c>
      <c r="AV33">
        <f t="shared" si="47"/>
        <v>0</v>
      </c>
      <c r="AW33">
        <f t="shared" si="47"/>
        <v>0</v>
      </c>
      <c r="AX33">
        <f t="shared" si="47"/>
        <v>0</v>
      </c>
      <c r="AY33">
        <f t="shared" si="48"/>
        <v>0</v>
      </c>
      <c r="AZ33">
        <f t="shared" si="48"/>
        <v>0</v>
      </c>
    </row>
    <row r="34" spans="1:52" x14ac:dyDescent="0.25">
      <c r="A34" t="s">
        <v>25</v>
      </c>
      <c r="B34" s="3">
        <v>44040</v>
      </c>
      <c r="C34" s="1">
        <v>17660.714657337128</v>
      </c>
      <c r="D34" s="1">
        <v>104.50127016175816</v>
      </c>
      <c r="E34" s="1">
        <f t="shared" si="38"/>
        <v>9548.7146573371283</v>
      </c>
      <c r="F34" s="1">
        <f t="shared" si="39"/>
        <v>8112</v>
      </c>
      <c r="G34" s="2">
        <v>169</v>
      </c>
      <c r="H34" s="1">
        <v>56.501270161758157</v>
      </c>
      <c r="I34" s="1">
        <v>48</v>
      </c>
      <c r="J34" s="1">
        <f t="shared" si="41"/>
        <v>84813.041504359353</v>
      </c>
      <c r="K34" s="1">
        <f t="shared" si="42"/>
        <v>45677.04150435936</v>
      </c>
      <c r="N34">
        <f t="shared" si="40"/>
        <v>0</v>
      </c>
      <c r="O34">
        <f t="shared" si="40"/>
        <v>0</v>
      </c>
      <c r="P34">
        <f t="shared" si="40"/>
        <v>0</v>
      </c>
      <c r="Q34">
        <f t="shared" si="50"/>
        <v>0</v>
      </c>
      <c r="R34">
        <f t="shared" si="50"/>
        <v>0</v>
      </c>
      <c r="S34">
        <f t="shared" si="50"/>
        <v>1</v>
      </c>
      <c r="T34">
        <f t="shared" si="50"/>
        <v>0</v>
      </c>
      <c r="U34">
        <f t="shared" si="50"/>
        <v>0</v>
      </c>
      <c r="V34">
        <f t="shared" si="50"/>
        <v>0</v>
      </c>
      <c r="W34">
        <f t="shared" si="50"/>
        <v>0</v>
      </c>
      <c r="X34">
        <f t="shared" si="50"/>
        <v>0</v>
      </c>
      <c r="Y34">
        <f t="shared" si="50"/>
        <v>0</v>
      </c>
      <c r="Z34">
        <f t="shared" si="50"/>
        <v>0</v>
      </c>
      <c r="AA34">
        <f t="shared" si="50"/>
        <v>0</v>
      </c>
      <c r="AB34">
        <f t="shared" si="50"/>
        <v>0</v>
      </c>
      <c r="AC34">
        <f t="shared" si="50"/>
        <v>0</v>
      </c>
      <c r="AD34">
        <f t="shared" si="50"/>
        <v>0</v>
      </c>
      <c r="AE34">
        <f t="shared" si="50"/>
        <v>0</v>
      </c>
      <c r="AF34">
        <f t="shared" si="50"/>
        <v>0</v>
      </c>
      <c r="AG34">
        <f t="shared" si="49"/>
        <v>0</v>
      </c>
      <c r="AH34">
        <f t="shared" si="49"/>
        <v>0</v>
      </c>
      <c r="AI34">
        <f t="shared" si="49"/>
        <v>0</v>
      </c>
      <c r="AJ34">
        <f t="shared" si="49"/>
        <v>0</v>
      </c>
      <c r="AK34">
        <f t="shared" si="49"/>
        <v>0</v>
      </c>
      <c r="AL34">
        <f t="shared" si="49"/>
        <v>0</v>
      </c>
      <c r="AM34">
        <f t="shared" si="49"/>
        <v>0</v>
      </c>
      <c r="AN34">
        <f t="shared" si="49"/>
        <v>0</v>
      </c>
      <c r="AO34">
        <f t="shared" si="49"/>
        <v>0</v>
      </c>
      <c r="AP34">
        <f t="shared" si="49"/>
        <v>0</v>
      </c>
      <c r="AQ34">
        <f t="shared" si="49"/>
        <v>0</v>
      </c>
      <c r="AR34">
        <f t="shared" si="47"/>
        <v>0</v>
      </c>
      <c r="AS34">
        <f t="shared" si="47"/>
        <v>0</v>
      </c>
      <c r="AT34">
        <f t="shared" si="47"/>
        <v>0</v>
      </c>
      <c r="AU34">
        <f t="shared" si="47"/>
        <v>0</v>
      </c>
      <c r="AV34">
        <f t="shared" si="47"/>
        <v>0</v>
      </c>
      <c r="AW34">
        <f t="shared" si="47"/>
        <v>0</v>
      </c>
      <c r="AX34">
        <f t="shared" si="47"/>
        <v>0</v>
      </c>
      <c r="AY34">
        <f t="shared" si="48"/>
        <v>0</v>
      </c>
      <c r="AZ34">
        <f t="shared" si="48"/>
        <v>0</v>
      </c>
    </row>
    <row r="35" spans="1:52" x14ac:dyDescent="0.25">
      <c r="A35" t="s">
        <v>23</v>
      </c>
      <c r="B35" s="3">
        <v>44032</v>
      </c>
      <c r="C35" s="1">
        <v>8013.1626361673489</v>
      </c>
      <c r="D35" s="1">
        <v>82.609924084199477</v>
      </c>
      <c r="E35" s="1">
        <f t="shared" si="38"/>
        <v>3939.1626361673493</v>
      </c>
      <c r="F35" s="1">
        <f t="shared" si="39"/>
        <v>4074</v>
      </c>
      <c r="G35" s="2">
        <v>97</v>
      </c>
      <c r="H35" s="1">
        <v>40.609924084199477</v>
      </c>
      <c r="I35" s="1">
        <v>42</v>
      </c>
      <c r="J35" s="1">
        <f t="shared" si="41"/>
        <v>92826.204140526708</v>
      </c>
      <c r="K35" s="1">
        <f t="shared" si="42"/>
        <v>49616.204140526708</v>
      </c>
      <c r="N35">
        <f t="shared" si="40"/>
        <v>0</v>
      </c>
      <c r="O35">
        <f t="shared" si="40"/>
        <v>0</v>
      </c>
      <c r="P35">
        <f t="shared" si="40"/>
        <v>0</v>
      </c>
      <c r="Q35">
        <f t="shared" si="50"/>
        <v>0</v>
      </c>
      <c r="R35">
        <f t="shared" si="50"/>
        <v>0</v>
      </c>
      <c r="S35">
        <f t="shared" si="50"/>
        <v>0</v>
      </c>
      <c r="T35">
        <f t="shared" si="50"/>
        <v>0</v>
      </c>
      <c r="U35">
        <f t="shared" si="50"/>
        <v>0</v>
      </c>
      <c r="V35">
        <f t="shared" si="50"/>
        <v>0</v>
      </c>
      <c r="W35">
        <f t="shared" si="50"/>
        <v>0</v>
      </c>
      <c r="X35">
        <f t="shared" si="50"/>
        <v>0</v>
      </c>
      <c r="Y35">
        <f t="shared" si="50"/>
        <v>0</v>
      </c>
      <c r="Z35">
        <f t="shared" si="50"/>
        <v>0</v>
      </c>
      <c r="AA35">
        <f t="shared" si="50"/>
        <v>0</v>
      </c>
      <c r="AB35">
        <f t="shared" si="50"/>
        <v>0</v>
      </c>
      <c r="AC35">
        <f t="shared" si="50"/>
        <v>0</v>
      </c>
      <c r="AD35">
        <f t="shared" si="50"/>
        <v>0</v>
      </c>
      <c r="AE35">
        <f t="shared" si="50"/>
        <v>0</v>
      </c>
      <c r="AF35">
        <f t="shared" si="50"/>
        <v>0</v>
      </c>
      <c r="AG35">
        <f t="shared" si="49"/>
        <v>0</v>
      </c>
      <c r="AH35">
        <f t="shared" si="49"/>
        <v>0</v>
      </c>
      <c r="AI35">
        <f t="shared" si="49"/>
        <v>0</v>
      </c>
      <c r="AJ35">
        <f t="shared" si="49"/>
        <v>0</v>
      </c>
      <c r="AK35">
        <f t="shared" si="49"/>
        <v>0</v>
      </c>
      <c r="AL35">
        <f t="shared" si="49"/>
        <v>0</v>
      </c>
      <c r="AM35">
        <f t="shared" si="49"/>
        <v>1</v>
      </c>
      <c r="AN35">
        <f t="shared" si="49"/>
        <v>0</v>
      </c>
      <c r="AO35">
        <f t="shared" si="49"/>
        <v>0</v>
      </c>
      <c r="AP35">
        <f t="shared" si="49"/>
        <v>0</v>
      </c>
      <c r="AQ35">
        <f t="shared" si="49"/>
        <v>0</v>
      </c>
      <c r="AR35">
        <f t="shared" si="47"/>
        <v>0</v>
      </c>
      <c r="AS35">
        <f t="shared" si="47"/>
        <v>0</v>
      </c>
      <c r="AT35">
        <f t="shared" si="47"/>
        <v>0</v>
      </c>
      <c r="AU35">
        <f t="shared" si="47"/>
        <v>0</v>
      </c>
      <c r="AV35">
        <f t="shared" si="47"/>
        <v>0</v>
      </c>
      <c r="AW35">
        <f t="shared" si="47"/>
        <v>0</v>
      </c>
      <c r="AX35">
        <f t="shared" si="47"/>
        <v>0</v>
      </c>
      <c r="AY35">
        <f t="shared" si="48"/>
        <v>0</v>
      </c>
      <c r="AZ35">
        <f t="shared" si="48"/>
        <v>0</v>
      </c>
    </row>
    <row r="36" spans="1:52" x14ac:dyDescent="0.25">
      <c r="A36" t="s">
        <v>16</v>
      </c>
      <c r="B36" s="3">
        <v>44027</v>
      </c>
      <c r="C36" s="1">
        <v>3341.5941748718797</v>
      </c>
      <c r="D36" s="1">
        <v>167.07970874359398</v>
      </c>
      <c r="E36" s="1">
        <f t="shared" si="38"/>
        <v>2061.5941748718792</v>
      </c>
      <c r="F36" s="1">
        <f t="shared" si="39"/>
        <v>1280</v>
      </c>
      <c r="G36" s="2">
        <v>20</v>
      </c>
      <c r="H36" s="1">
        <v>103.07970874359397</v>
      </c>
      <c r="I36" s="1">
        <v>64</v>
      </c>
      <c r="J36" s="1">
        <f t="shared" si="41"/>
        <v>96167.798315398584</v>
      </c>
      <c r="K36" s="1">
        <f t="shared" si="42"/>
        <v>51677.798315398584</v>
      </c>
      <c r="N36">
        <f t="shared" si="40"/>
        <v>0</v>
      </c>
      <c r="O36">
        <f t="shared" si="40"/>
        <v>0</v>
      </c>
      <c r="P36">
        <f t="shared" si="40"/>
        <v>0</v>
      </c>
      <c r="Q36">
        <f t="shared" si="50"/>
        <v>0</v>
      </c>
      <c r="R36">
        <f t="shared" si="50"/>
        <v>0</v>
      </c>
      <c r="S36">
        <f t="shared" si="50"/>
        <v>0</v>
      </c>
      <c r="T36">
        <f t="shared" si="50"/>
        <v>0</v>
      </c>
      <c r="U36">
        <f t="shared" si="50"/>
        <v>0</v>
      </c>
      <c r="V36">
        <f t="shared" si="50"/>
        <v>0</v>
      </c>
      <c r="W36">
        <f t="shared" si="50"/>
        <v>0</v>
      </c>
      <c r="X36">
        <f t="shared" si="50"/>
        <v>0</v>
      </c>
      <c r="Y36">
        <f t="shared" si="50"/>
        <v>0</v>
      </c>
      <c r="Z36">
        <f t="shared" si="50"/>
        <v>0</v>
      </c>
      <c r="AA36">
        <f t="shared" si="50"/>
        <v>0</v>
      </c>
      <c r="AB36">
        <f t="shared" si="50"/>
        <v>0</v>
      </c>
      <c r="AC36">
        <f t="shared" si="50"/>
        <v>0</v>
      </c>
      <c r="AD36">
        <f t="shared" si="50"/>
        <v>0</v>
      </c>
      <c r="AE36">
        <f t="shared" si="50"/>
        <v>0</v>
      </c>
      <c r="AF36">
        <f t="shared" si="50"/>
        <v>0</v>
      </c>
      <c r="AG36">
        <f t="shared" si="49"/>
        <v>0</v>
      </c>
      <c r="AH36">
        <f t="shared" si="49"/>
        <v>0</v>
      </c>
      <c r="AI36">
        <f t="shared" si="49"/>
        <v>0</v>
      </c>
      <c r="AJ36">
        <f t="shared" si="49"/>
        <v>0</v>
      </c>
      <c r="AK36">
        <f t="shared" si="49"/>
        <v>0</v>
      </c>
      <c r="AL36">
        <f t="shared" si="49"/>
        <v>0</v>
      </c>
      <c r="AM36">
        <f t="shared" si="49"/>
        <v>0</v>
      </c>
      <c r="AN36">
        <f t="shared" si="49"/>
        <v>1</v>
      </c>
      <c r="AO36">
        <f t="shared" si="49"/>
        <v>0</v>
      </c>
      <c r="AP36">
        <f t="shared" si="49"/>
        <v>0</v>
      </c>
      <c r="AQ36">
        <f t="shared" si="49"/>
        <v>0</v>
      </c>
      <c r="AR36">
        <f t="shared" si="47"/>
        <v>0</v>
      </c>
      <c r="AS36">
        <f t="shared" si="47"/>
        <v>0</v>
      </c>
      <c r="AT36">
        <f t="shared" si="47"/>
        <v>0</v>
      </c>
      <c r="AU36">
        <f t="shared" si="47"/>
        <v>0</v>
      </c>
      <c r="AV36">
        <f t="shared" si="47"/>
        <v>0</v>
      </c>
      <c r="AW36">
        <f t="shared" si="47"/>
        <v>0</v>
      </c>
      <c r="AX36">
        <f t="shared" si="47"/>
        <v>0</v>
      </c>
      <c r="AY36">
        <f t="shared" si="48"/>
        <v>0</v>
      </c>
      <c r="AZ36">
        <f t="shared" si="48"/>
        <v>0</v>
      </c>
    </row>
    <row r="37" spans="1:52" x14ac:dyDescent="0.25">
      <c r="A37" t="s">
        <v>36</v>
      </c>
      <c r="B37" s="3">
        <v>44019</v>
      </c>
      <c r="C37" s="1">
        <v>3886.4900564452028</v>
      </c>
      <c r="D37" s="1">
        <v>155.45960225780811</v>
      </c>
      <c r="E37" s="1">
        <f t="shared" si="38"/>
        <v>1736.4900564452032</v>
      </c>
      <c r="F37" s="1">
        <f t="shared" si="39"/>
        <v>2150</v>
      </c>
      <c r="G37" s="2">
        <v>25</v>
      </c>
      <c r="H37" s="1">
        <v>69.459602257808129</v>
      </c>
      <c r="I37" s="1">
        <v>86</v>
      </c>
      <c r="J37" s="1">
        <f t="shared" si="41"/>
        <v>100054.28837184378</v>
      </c>
      <c r="K37" s="1">
        <f t="shared" si="42"/>
        <v>53414.288371843788</v>
      </c>
      <c r="N37">
        <f t="shared" si="40"/>
        <v>0</v>
      </c>
      <c r="O37">
        <f t="shared" si="40"/>
        <v>0</v>
      </c>
      <c r="P37">
        <f t="shared" si="40"/>
        <v>0</v>
      </c>
      <c r="Q37">
        <f t="shared" si="50"/>
        <v>0</v>
      </c>
      <c r="R37">
        <f t="shared" si="50"/>
        <v>0</v>
      </c>
      <c r="S37">
        <f t="shared" si="50"/>
        <v>0</v>
      </c>
      <c r="T37">
        <f t="shared" si="50"/>
        <v>0</v>
      </c>
      <c r="U37">
        <f t="shared" si="50"/>
        <v>0</v>
      </c>
      <c r="V37">
        <f t="shared" si="50"/>
        <v>0</v>
      </c>
      <c r="W37">
        <f t="shared" si="50"/>
        <v>0</v>
      </c>
      <c r="X37">
        <f t="shared" si="50"/>
        <v>0</v>
      </c>
      <c r="Y37">
        <f t="shared" si="50"/>
        <v>0</v>
      </c>
      <c r="Z37">
        <f t="shared" si="50"/>
        <v>0</v>
      </c>
      <c r="AA37">
        <f t="shared" si="50"/>
        <v>0</v>
      </c>
      <c r="AB37">
        <f t="shared" si="50"/>
        <v>0</v>
      </c>
      <c r="AC37">
        <f t="shared" si="50"/>
        <v>0</v>
      </c>
      <c r="AD37">
        <f t="shared" si="50"/>
        <v>0</v>
      </c>
      <c r="AE37">
        <f t="shared" si="50"/>
        <v>0</v>
      </c>
      <c r="AF37">
        <f t="shared" si="50"/>
        <v>0</v>
      </c>
      <c r="AG37">
        <f t="shared" si="49"/>
        <v>0</v>
      </c>
      <c r="AH37">
        <f t="shared" si="49"/>
        <v>0</v>
      </c>
      <c r="AI37">
        <f t="shared" si="49"/>
        <v>0</v>
      </c>
      <c r="AJ37">
        <f t="shared" si="49"/>
        <v>0</v>
      </c>
      <c r="AK37">
        <f t="shared" si="49"/>
        <v>0</v>
      </c>
      <c r="AL37">
        <f t="shared" si="49"/>
        <v>0</v>
      </c>
      <c r="AM37">
        <f t="shared" si="49"/>
        <v>0</v>
      </c>
      <c r="AN37">
        <f t="shared" si="49"/>
        <v>0</v>
      </c>
      <c r="AO37">
        <f t="shared" si="49"/>
        <v>1</v>
      </c>
      <c r="AP37">
        <f t="shared" si="49"/>
        <v>0</v>
      </c>
      <c r="AQ37">
        <f t="shared" si="49"/>
        <v>0</v>
      </c>
      <c r="AR37">
        <f t="shared" si="47"/>
        <v>0</v>
      </c>
      <c r="AS37">
        <f t="shared" si="47"/>
        <v>0</v>
      </c>
      <c r="AT37">
        <f t="shared" si="47"/>
        <v>0</v>
      </c>
      <c r="AU37">
        <f t="shared" si="47"/>
        <v>0</v>
      </c>
      <c r="AV37">
        <f t="shared" si="47"/>
        <v>0</v>
      </c>
      <c r="AW37">
        <f t="shared" si="47"/>
        <v>0</v>
      </c>
      <c r="AX37">
        <f t="shared" si="47"/>
        <v>0</v>
      </c>
      <c r="AY37">
        <f t="shared" si="48"/>
        <v>0</v>
      </c>
      <c r="AZ37">
        <f t="shared" si="48"/>
        <v>0</v>
      </c>
    </row>
    <row r="38" spans="1:52" x14ac:dyDescent="0.25">
      <c r="A38" t="s">
        <v>14</v>
      </c>
      <c r="B38" s="3">
        <v>44018</v>
      </c>
      <c r="C38" s="1">
        <v>640.82245502530009</v>
      </c>
      <c r="D38" s="1">
        <v>64.082245502530014</v>
      </c>
      <c r="E38" s="1">
        <f t="shared" si="38"/>
        <v>370.82245502530014</v>
      </c>
      <c r="F38" s="1">
        <f t="shared" si="39"/>
        <v>270</v>
      </c>
      <c r="G38" s="2">
        <v>10</v>
      </c>
      <c r="H38" s="1">
        <v>37.082245502530014</v>
      </c>
      <c r="I38" s="1">
        <v>27</v>
      </c>
      <c r="J38" s="1">
        <f t="shared" si="41"/>
        <v>100695.11082686909</v>
      </c>
      <c r="K38" s="1">
        <f t="shared" si="42"/>
        <v>53785.110826869088</v>
      </c>
      <c r="N38">
        <f t="shared" si="40"/>
        <v>0</v>
      </c>
      <c r="O38">
        <f t="shared" si="40"/>
        <v>0</v>
      </c>
      <c r="P38">
        <f t="shared" si="40"/>
        <v>0</v>
      </c>
      <c r="Q38">
        <f t="shared" si="50"/>
        <v>0</v>
      </c>
      <c r="R38">
        <f t="shared" si="50"/>
        <v>0</v>
      </c>
      <c r="S38">
        <f t="shared" si="50"/>
        <v>0</v>
      </c>
      <c r="T38">
        <f t="shared" si="50"/>
        <v>0</v>
      </c>
      <c r="U38">
        <f t="shared" si="50"/>
        <v>0</v>
      </c>
      <c r="V38">
        <f t="shared" si="50"/>
        <v>0</v>
      </c>
      <c r="W38">
        <f t="shared" si="50"/>
        <v>0</v>
      </c>
      <c r="X38">
        <f t="shared" si="50"/>
        <v>0</v>
      </c>
      <c r="Y38">
        <f t="shared" si="50"/>
        <v>0</v>
      </c>
      <c r="Z38">
        <f t="shared" si="50"/>
        <v>0</v>
      </c>
      <c r="AA38">
        <f t="shared" si="50"/>
        <v>0</v>
      </c>
      <c r="AB38">
        <f t="shared" si="50"/>
        <v>0</v>
      </c>
      <c r="AC38">
        <f t="shared" si="50"/>
        <v>0</v>
      </c>
      <c r="AD38">
        <f t="shared" si="50"/>
        <v>0</v>
      </c>
      <c r="AE38">
        <f t="shared" si="50"/>
        <v>0</v>
      </c>
      <c r="AF38">
        <f t="shared" si="50"/>
        <v>0</v>
      </c>
      <c r="AG38">
        <f t="shared" si="49"/>
        <v>0</v>
      </c>
      <c r="AH38">
        <f t="shared" si="49"/>
        <v>0</v>
      </c>
      <c r="AI38">
        <f t="shared" si="49"/>
        <v>0</v>
      </c>
      <c r="AJ38">
        <f t="shared" si="49"/>
        <v>0</v>
      </c>
      <c r="AK38">
        <f t="shared" si="49"/>
        <v>0</v>
      </c>
      <c r="AL38">
        <f t="shared" si="49"/>
        <v>0</v>
      </c>
      <c r="AM38">
        <f t="shared" si="49"/>
        <v>0</v>
      </c>
      <c r="AN38">
        <f t="shared" si="49"/>
        <v>0</v>
      </c>
      <c r="AO38">
        <f t="shared" si="49"/>
        <v>0</v>
      </c>
      <c r="AP38">
        <f t="shared" si="49"/>
        <v>1</v>
      </c>
      <c r="AQ38">
        <f t="shared" si="49"/>
        <v>0</v>
      </c>
      <c r="AR38">
        <f t="shared" si="47"/>
        <v>0</v>
      </c>
      <c r="AS38">
        <f t="shared" si="47"/>
        <v>0</v>
      </c>
      <c r="AT38">
        <f t="shared" si="47"/>
        <v>0</v>
      </c>
      <c r="AU38">
        <f t="shared" si="47"/>
        <v>0</v>
      </c>
      <c r="AV38">
        <f t="shared" si="47"/>
        <v>0</v>
      </c>
      <c r="AW38">
        <f t="shared" si="47"/>
        <v>0</v>
      </c>
      <c r="AX38">
        <f t="shared" si="47"/>
        <v>0</v>
      </c>
      <c r="AY38">
        <f t="shared" si="48"/>
        <v>0</v>
      </c>
      <c r="AZ38">
        <f t="shared" si="48"/>
        <v>0</v>
      </c>
    </row>
    <row r="39" spans="1:52" x14ac:dyDescent="0.25">
      <c r="A39" t="s">
        <v>33</v>
      </c>
      <c r="B39" s="3">
        <v>44014</v>
      </c>
      <c r="C39" s="1">
        <v>67.276980287112735</v>
      </c>
      <c r="D39" s="1">
        <v>67.276980287112735</v>
      </c>
      <c r="E39" s="1">
        <f t="shared" si="38"/>
        <v>27.276980287112735</v>
      </c>
      <c r="F39" s="1">
        <f t="shared" si="39"/>
        <v>40</v>
      </c>
      <c r="G39" s="2">
        <v>1</v>
      </c>
      <c r="H39" s="1">
        <v>27.276980287112735</v>
      </c>
      <c r="I39" s="1">
        <v>40</v>
      </c>
      <c r="J39" s="1">
        <f t="shared" si="41"/>
        <v>100762.38780715621</v>
      </c>
      <c r="K39" s="1">
        <f t="shared" si="42"/>
        <v>53812.387807156199</v>
      </c>
      <c r="N39">
        <f t="shared" si="40"/>
        <v>0</v>
      </c>
      <c r="O39">
        <f t="shared" si="40"/>
        <v>0</v>
      </c>
      <c r="P39">
        <f t="shared" si="40"/>
        <v>0</v>
      </c>
      <c r="Q39">
        <f t="shared" si="50"/>
        <v>0</v>
      </c>
      <c r="R39">
        <f t="shared" si="50"/>
        <v>0</v>
      </c>
      <c r="S39">
        <f t="shared" si="50"/>
        <v>0</v>
      </c>
      <c r="T39">
        <f t="shared" si="50"/>
        <v>0</v>
      </c>
      <c r="U39">
        <f t="shared" si="50"/>
        <v>0</v>
      </c>
      <c r="V39">
        <f t="shared" si="50"/>
        <v>0</v>
      </c>
      <c r="W39">
        <f t="shared" si="50"/>
        <v>0</v>
      </c>
      <c r="X39">
        <f t="shared" si="50"/>
        <v>0</v>
      </c>
      <c r="Y39">
        <f t="shared" si="50"/>
        <v>0</v>
      </c>
      <c r="Z39">
        <f t="shared" si="50"/>
        <v>0</v>
      </c>
      <c r="AA39">
        <f t="shared" si="50"/>
        <v>0</v>
      </c>
      <c r="AB39">
        <f t="shared" si="50"/>
        <v>0</v>
      </c>
      <c r="AC39">
        <f t="shared" si="50"/>
        <v>0</v>
      </c>
      <c r="AD39">
        <f t="shared" si="50"/>
        <v>0</v>
      </c>
      <c r="AE39">
        <f t="shared" si="50"/>
        <v>0</v>
      </c>
      <c r="AF39">
        <f t="shared" si="50"/>
        <v>0</v>
      </c>
      <c r="AG39">
        <f t="shared" si="49"/>
        <v>0</v>
      </c>
      <c r="AH39">
        <f t="shared" si="49"/>
        <v>0</v>
      </c>
      <c r="AI39">
        <f t="shared" si="49"/>
        <v>0</v>
      </c>
      <c r="AJ39">
        <f t="shared" si="49"/>
        <v>0</v>
      </c>
      <c r="AK39">
        <f t="shared" si="49"/>
        <v>0</v>
      </c>
      <c r="AL39">
        <f t="shared" si="49"/>
        <v>0</v>
      </c>
      <c r="AM39">
        <f t="shared" si="49"/>
        <v>0</v>
      </c>
      <c r="AN39">
        <f t="shared" si="49"/>
        <v>0</v>
      </c>
      <c r="AO39">
        <f t="shared" si="49"/>
        <v>0</v>
      </c>
      <c r="AP39">
        <f t="shared" si="49"/>
        <v>0</v>
      </c>
      <c r="AQ39">
        <f t="shared" si="49"/>
        <v>1</v>
      </c>
      <c r="AR39">
        <f t="shared" si="47"/>
        <v>0</v>
      </c>
      <c r="AS39">
        <f t="shared" si="47"/>
        <v>0</v>
      </c>
      <c r="AT39">
        <f t="shared" si="47"/>
        <v>0</v>
      </c>
      <c r="AU39">
        <f t="shared" si="47"/>
        <v>0</v>
      </c>
      <c r="AV39">
        <f t="shared" si="47"/>
        <v>0</v>
      </c>
      <c r="AW39">
        <f t="shared" si="47"/>
        <v>0</v>
      </c>
      <c r="AX39">
        <f t="shared" si="47"/>
        <v>0</v>
      </c>
      <c r="AY39">
        <f t="shared" si="48"/>
        <v>0</v>
      </c>
      <c r="AZ39">
        <f t="shared" si="48"/>
        <v>0</v>
      </c>
    </row>
    <row r="40" spans="1:52" x14ac:dyDescent="0.25">
      <c r="A40" t="s">
        <v>33</v>
      </c>
      <c r="B40" s="3">
        <v>44010</v>
      </c>
      <c r="C40" s="1">
        <v>1425.817332512536</v>
      </c>
      <c r="D40" s="1">
        <v>109.67825634711816</v>
      </c>
      <c r="E40" s="1">
        <f t="shared" si="38"/>
        <v>840.81733251253615</v>
      </c>
      <c r="F40" s="1">
        <f t="shared" si="39"/>
        <v>585</v>
      </c>
      <c r="G40" s="2">
        <v>13</v>
      </c>
      <c r="H40" s="1">
        <v>64.678256347118165</v>
      </c>
      <c r="I40" s="1">
        <v>45</v>
      </c>
      <c r="J40" s="1">
        <f t="shared" si="41"/>
        <v>102188.20513966875</v>
      </c>
      <c r="K40" s="1">
        <f t="shared" si="42"/>
        <v>54653.205139668738</v>
      </c>
      <c r="N40">
        <f t="shared" si="40"/>
        <v>0</v>
      </c>
      <c r="O40">
        <f t="shared" si="40"/>
        <v>0</v>
      </c>
      <c r="P40">
        <f t="shared" si="40"/>
        <v>0</v>
      </c>
      <c r="Q40">
        <f t="shared" si="50"/>
        <v>0</v>
      </c>
      <c r="R40">
        <f t="shared" si="50"/>
        <v>0</v>
      </c>
      <c r="S40">
        <f t="shared" si="50"/>
        <v>0</v>
      </c>
      <c r="T40">
        <f t="shared" si="50"/>
        <v>0</v>
      </c>
      <c r="U40">
        <f t="shared" si="50"/>
        <v>0</v>
      </c>
      <c r="V40">
        <f t="shared" si="50"/>
        <v>0</v>
      </c>
      <c r="W40">
        <f t="shared" si="50"/>
        <v>0</v>
      </c>
      <c r="X40">
        <f t="shared" si="50"/>
        <v>0</v>
      </c>
      <c r="Y40">
        <f t="shared" si="50"/>
        <v>0</v>
      </c>
      <c r="Z40">
        <f t="shared" si="50"/>
        <v>0</v>
      </c>
      <c r="AA40">
        <f t="shared" si="50"/>
        <v>0</v>
      </c>
      <c r="AB40">
        <f t="shared" si="50"/>
        <v>0</v>
      </c>
      <c r="AC40">
        <f t="shared" si="50"/>
        <v>0</v>
      </c>
      <c r="AD40">
        <f t="shared" si="50"/>
        <v>0</v>
      </c>
      <c r="AE40">
        <f t="shared" si="50"/>
        <v>0</v>
      </c>
      <c r="AF40">
        <f t="shared" si="50"/>
        <v>0</v>
      </c>
      <c r="AG40">
        <f t="shared" si="49"/>
        <v>0</v>
      </c>
      <c r="AH40">
        <f t="shared" si="49"/>
        <v>0</v>
      </c>
      <c r="AI40">
        <f t="shared" si="49"/>
        <v>0</v>
      </c>
      <c r="AJ40">
        <f t="shared" si="49"/>
        <v>0</v>
      </c>
      <c r="AK40">
        <f t="shared" si="49"/>
        <v>0</v>
      </c>
      <c r="AL40">
        <f t="shared" si="49"/>
        <v>0</v>
      </c>
      <c r="AM40">
        <f t="shared" si="49"/>
        <v>0</v>
      </c>
      <c r="AN40">
        <f t="shared" si="49"/>
        <v>0</v>
      </c>
      <c r="AO40">
        <f t="shared" si="49"/>
        <v>0</v>
      </c>
      <c r="AP40">
        <f t="shared" si="49"/>
        <v>0</v>
      </c>
      <c r="AQ40">
        <f t="shared" si="49"/>
        <v>1</v>
      </c>
      <c r="AR40">
        <f t="shared" si="47"/>
        <v>0</v>
      </c>
      <c r="AS40">
        <f t="shared" si="47"/>
        <v>0</v>
      </c>
      <c r="AT40">
        <f t="shared" si="47"/>
        <v>0</v>
      </c>
      <c r="AU40">
        <f t="shared" si="47"/>
        <v>0</v>
      </c>
      <c r="AV40">
        <f t="shared" si="47"/>
        <v>0</v>
      </c>
      <c r="AW40">
        <f t="shared" si="47"/>
        <v>0</v>
      </c>
      <c r="AX40">
        <f t="shared" si="47"/>
        <v>0</v>
      </c>
      <c r="AY40">
        <f t="shared" si="48"/>
        <v>0</v>
      </c>
      <c r="AZ40">
        <f t="shared" si="48"/>
        <v>0</v>
      </c>
    </row>
    <row r="41" spans="1:52" x14ac:dyDescent="0.25">
      <c r="A41" t="s">
        <v>11</v>
      </c>
      <c r="B41" s="3">
        <v>43998</v>
      </c>
      <c r="C41" s="1">
        <v>1115.9977374340422</v>
      </c>
      <c r="D41" s="1">
        <v>185.9996229056737</v>
      </c>
      <c r="E41" s="1">
        <f t="shared" si="38"/>
        <v>509.99773743404222</v>
      </c>
      <c r="F41" s="1">
        <f t="shared" si="39"/>
        <v>606</v>
      </c>
      <c r="G41" s="2">
        <v>6</v>
      </c>
      <c r="H41" s="1">
        <v>84.999622905673704</v>
      </c>
      <c r="I41" s="1">
        <v>101</v>
      </c>
      <c r="J41" s="1">
        <f t="shared" si="41"/>
        <v>103304.20287710278</v>
      </c>
      <c r="K41" s="1">
        <f t="shared" si="42"/>
        <v>55163.202877102784</v>
      </c>
      <c r="N41">
        <f t="shared" si="40"/>
        <v>0</v>
      </c>
      <c r="O41">
        <f t="shared" si="40"/>
        <v>0</v>
      </c>
      <c r="P41">
        <f t="shared" si="40"/>
        <v>1</v>
      </c>
      <c r="Q41">
        <f t="shared" si="50"/>
        <v>0</v>
      </c>
      <c r="R41">
        <f t="shared" si="50"/>
        <v>0</v>
      </c>
      <c r="S41">
        <f t="shared" si="50"/>
        <v>0</v>
      </c>
      <c r="T41">
        <f t="shared" si="50"/>
        <v>0</v>
      </c>
      <c r="U41">
        <f t="shared" si="50"/>
        <v>0</v>
      </c>
      <c r="V41">
        <f t="shared" si="50"/>
        <v>0</v>
      </c>
      <c r="W41">
        <f t="shared" si="50"/>
        <v>0</v>
      </c>
      <c r="X41">
        <f t="shared" si="50"/>
        <v>0</v>
      </c>
      <c r="Y41">
        <f t="shared" si="50"/>
        <v>0</v>
      </c>
      <c r="Z41">
        <f t="shared" si="50"/>
        <v>0</v>
      </c>
      <c r="AA41">
        <f t="shared" si="50"/>
        <v>0</v>
      </c>
      <c r="AB41">
        <f t="shared" si="50"/>
        <v>0</v>
      </c>
      <c r="AC41">
        <f t="shared" si="50"/>
        <v>0</v>
      </c>
      <c r="AD41">
        <f t="shared" si="50"/>
        <v>0</v>
      </c>
      <c r="AE41">
        <f t="shared" si="50"/>
        <v>0</v>
      </c>
      <c r="AF41">
        <f t="shared" si="50"/>
        <v>0</v>
      </c>
      <c r="AG41">
        <f t="shared" si="49"/>
        <v>0</v>
      </c>
      <c r="AH41">
        <f t="shared" si="49"/>
        <v>0</v>
      </c>
      <c r="AI41">
        <f t="shared" si="49"/>
        <v>0</v>
      </c>
      <c r="AJ41">
        <f t="shared" si="49"/>
        <v>0</v>
      </c>
      <c r="AK41">
        <f t="shared" si="49"/>
        <v>0</v>
      </c>
      <c r="AL41">
        <f t="shared" si="49"/>
        <v>0</v>
      </c>
      <c r="AM41">
        <f t="shared" si="49"/>
        <v>0</v>
      </c>
      <c r="AN41">
        <f t="shared" si="49"/>
        <v>0</v>
      </c>
      <c r="AO41">
        <f t="shared" si="49"/>
        <v>0</v>
      </c>
      <c r="AP41">
        <f t="shared" si="49"/>
        <v>0</v>
      </c>
      <c r="AQ41">
        <f t="shared" si="49"/>
        <v>0</v>
      </c>
      <c r="AR41">
        <f t="shared" si="47"/>
        <v>0</v>
      </c>
      <c r="AS41">
        <f t="shared" si="47"/>
        <v>0</v>
      </c>
      <c r="AT41">
        <f t="shared" si="47"/>
        <v>0</v>
      </c>
      <c r="AU41">
        <f t="shared" si="47"/>
        <v>0</v>
      </c>
      <c r="AV41">
        <f t="shared" si="47"/>
        <v>0</v>
      </c>
      <c r="AW41">
        <f t="shared" si="47"/>
        <v>0</v>
      </c>
      <c r="AX41">
        <f t="shared" si="47"/>
        <v>0</v>
      </c>
      <c r="AY41">
        <f t="shared" si="48"/>
        <v>0</v>
      </c>
      <c r="AZ41">
        <f t="shared" si="48"/>
        <v>0</v>
      </c>
    </row>
    <row r="42" spans="1:52" x14ac:dyDescent="0.25">
      <c r="A42" t="s">
        <v>39</v>
      </c>
      <c r="B42" s="3">
        <v>43983</v>
      </c>
      <c r="C42" s="1">
        <v>1281.8884245408519</v>
      </c>
      <c r="D42" s="1">
        <v>67.467811817939577</v>
      </c>
      <c r="E42" s="1">
        <f t="shared" si="38"/>
        <v>711.88842454085193</v>
      </c>
      <c r="F42" s="1">
        <f t="shared" si="39"/>
        <v>570</v>
      </c>
      <c r="G42" s="2">
        <v>19</v>
      </c>
      <c r="H42" s="1">
        <v>37.467811817939577</v>
      </c>
      <c r="I42" s="1">
        <v>30</v>
      </c>
      <c r="J42" s="1">
        <f t="shared" si="41"/>
        <v>104586.09130164364</v>
      </c>
      <c r="K42" s="1">
        <f t="shared" si="42"/>
        <v>55875.091301643639</v>
      </c>
      <c r="N42">
        <f t="shared" si="40"/>
        <v>0</v>
      </c>
      <c r="O42">
        <f t="shared" si="40"/>
        <v>0</v>
      </c>
      <c r="P42">
        <f t="shared" si="40"/>
        <v>0</v>
      </c>
      <c r="Q42">
        <f t="shared" si="50"/>
        <v>0</v>
      </c>
      <c r="R42">
        <f t="shared" si="50"/>
        <v>0</v>
      </c>
      <c r="S42">
        <f t="shared" si="50"/>
        <v>0</v>
      </c>
      <c r="T42">
        <f t="shared" si="50"/>
        <v>0</v>
      </c>
      <c r="U42">
        <f t="shared" si="50"/>
        <v>0</v>
      </c>
      <c r="V42">
        <f t="shared" si="50"/>
        <v>0</v>
      </c>
      <c r="W42">
        <f t="shared" si="50"/>
        <v>0</v>
      </c>
      <c r="X42">
        <f t="shared" si="50"/>
        <v>0</v>
      </c>
      <c r="Y42">
        <f t="shared" si="50"/>
        <v>1</v>
      </c>
      <c r="Z42">
        <f t="shared" si="50"/>
        <v>0</v>
      </c>
      <c r="AA42">
        <f t="shared" si="50"/>
        <v>0</v>
      </c>
      <c r="AB42">
        <f t="shared" si="50"/>
        <v>0</v>
      </c>
      <c r="AC42">
        <f t="shared" si="50"/>
        <v>0</v>
      </c>
      <c r="AD42">
        <f t="shared" si="50"/>
        <v>0</v>
      </c>
      <c r="AE42">
        <f t="shared" si="50"/>
        <v>0</v>
      </c>
      <c r="AF42">
        <f t="shared" ref="AF42:AU57" si="51">+IF(AF$5=$A42,1,0)</f>
        <v>0</v>
      </c>
      <c r="AG42">
        <f t="shared" si="51"/>
        <v>0</v>
      </c>
      <c r="AH42">
        <f t="shared" si="51"/>
        <v>0</v>
      </c>
      <c r="AI42">
        <f t="shared" si="51"/>
        <v>0</v>
      </c>
      <c r="AJ42">
        <f t="shared" si="51"/>
        <v>0</v>
      </c>
      <c r="AK42">
        <f t="shared" si="51"/>
        <v>0</v>
      </c>
      <c r="AL42">
        <f t="shared" si="51"/>
        <v>0</v>
      </c>
      <c r="AM42">
        <f t="shared" si="51"/>
        <v>0</v>
      </c>
      <c r="AN42">
        <f t="shared" si="51"/>
        <v>0</v>
      </c>
      <c r="AO42">
        <f t="shared" si="51"/>
        <v>0</v>
      </c>
      <c r="AP42">
        <f t="shared" si="51"/>
        <v>0</v>
      </c>
      <c r="AQ42">
        <f t="shared" si="51"/>
        <v>0</v>
      </c>
      <c r="AR42">
        <f t="shared" si="51"/>
        <v>0</v>
      </c>
      <c r="AS42">
        <f t="shared" si="51"/>
        <v>0</v>
      </c>
      <c r="AT42">
        <f t="shared" si="51"/>
        <v>0</v>
      </c>
      <c r="AU42">
        <f t="shared" si="51"/>
        <v>0</v>
      </c>
      <c r="AV42">
        <f t="shared" si="47"/>
        <v>0</v>
      </c>
      <c r="AW42">
        <f t="shared" si="47"/>
        <v>0</v>
      </c>
      <c r="AX42">
        <f t="shared" si="47"/>
        <v>0</v>
      </c>
      <c r="AY42">
        <f t="shared" si="48"/>
        <v>0</v>
      </c>
      <c r="AZ42">
        <f t="shared" si="48"/>
        <v>0</v>
      </c>
    </row>
    <row r="43" spans="1:52" x14ac:dyDescent="0.25">
      <c r="A43" t="s">
        <v>14</v>
      </c>
      <c r="B43" s="3">
        <v>43978</v>
      </c>
      <c r="C43" s="1">
        <v>2729.8777102530426</v>
      </c>
      <c r="D43" s="1">
        <v>209.9905930963879</v>
      </c>
      <c r="E43" s="1">
        <f t="shared" si="38"/>
        <v>1143.8777102530426</v>
      </c>
      <c r="F43" s="1">
        <f t="shared" si="39"/>
        <v>1586</v>
      </c>
      <c r="G43" s="2">
        <v>13</v>
      </c>
      <c r="H43" s="1">
        <v>87.990593096387883</v>
      </c>
      <c r="I43" s="1">
        <v>122</v>
      </c>
      <c r="J43" s="1">
        <f t="shared" si="41"/>
        <v>107315.96901189668</v>
      </c>
      <c r="K43" s="1">
        <f t="shared" si="42"/>
        <v>57018.969011896683</v>
      </c>
      <c r="N43">
        <f t="shared" si="40"/>
        <v>0</v>
      </c>
      <c r="O43">
        <f t="shared" si="40"/>
        <v>0</v>
      </c>
      <c r="P43">
        <f t="shared" si="40"/>
        <v>0</v>
      </c>
      <c r="Q43">
        <f t="shared" ref="Q43:AF58" si="52">+IF(Q$5=$A43,1,0)</f>
        <v>0</v>
      </c>
      <c r="R43">
        <f t="shared" si="52"/>
        <v>0</v>
      </c>
      <c r="S43">
        <f t="shared" si="52"/>
        <v>0</v>
      </c>
      <c r="T43">
        <f t="shared" si="52"/>
        <v>0</v>
      </c>
      <c r="U43">
        <f t="shared" si="52"/>
        <v>0</v>
      </c>
      <c r="V43">
        <f t="shared" si="52"/>
        <v>0</v>
      </c>
      <c r="W43">
        <f t="shared" si="52"/>
        <v>0</v>
      </c>
      <c r="X43">
        <f t="shared" si="52"/>
        <v>0</v>
      </c>
      <c r="Y43">
        <f t="shared" si="52"/>
        <v>0</v>
      </c>
      <c r="Z43">
        <f t="shared" si="52"/>
        <v>0</v>
      </c>
      <c r="AA43">
        <f t="shared" si="52"/>
        <v>0</v>
      </c>
      <c r="AB43">
        <f t="shared" si="52"/>
        <v>0</v>
      </c>
      <c r="AC43">
        <f t="shared" si="52"/>
        <v>0</v>
      </c>
      <c r="AD43">
        <f t="shared" si="52"/>
        <v>0</v>
      </c>
      <c r="AE43">
        <f t="shared" si="52"/>
        <v>0</v>
      </c>
      <c r="AF43">
        <f t="shared" si="52"/>
        <v>0</v>
      </c>
      <c r="AG43">
        <f t="shared" si="51"/>
        <v>0</v>
      </c>
      <c r="AH43">
        <f t="shared" si="51"/>
        <v>0</v>
      </c>
      <c r="AI43">
        <f t="shared" si="51"/>
        <v>0</v>
      </c>
      <c r="AJ43">
        <f t="shared" si="51"/>
        <v>0</v>
      </c>
      <c r="AK43">
        <f t="shared" si="51"/>
        <v>0</v>
      </c>
      <c r="AL43">
        <f t="shared" si="51"/>
        <v>0</v>
      </c>
      <c r="AM43">
        <f t="shared" si="51"/>
        <v>0</v>
      </c>
      <c r="AN43">
        <f t="shared" si="51"/>
        <v>0</v>
      </c>
      <c r="AO43">
        <f t="shared" si="51"/>
        <v>0</v>
      </c>
      <c r="AP43">
        <f t="shared" si="51"/>
        <v>1</v>
      </c>
      <c r="AQ43">
        <f t="shared" si="51"/>
        <v>0</v>
      </c>
      <c r="AR43">
        <f t="shared" si="51"/>
        <v>0</v>
      </c>
      <c r="AS43">
        <f t="shared" si="51"/>
        <v>0</v>
      </c>
      <c r="AT43">
        <f t="shared" si="51"/>
        <v>0</v>
      </c>
      <c r="AU43">
        <f t="shared" si="51"/>
        <v>0</v>
      </c>
      <c r="AV43">
        <f t="shared" si="47"/>
        <v>0</v>
      </c>
      <c r="AW43">
        <f t="shared" si="47"/>
        <v>0</v>
      </c>
      <c r="AX43">
        <f t="shared" si="47"/>
        <v>0</v>
      </c>
      <c r="AY43">
        <f t="shared" si="48"/>
        <v>0</v>
      </c>
      <c r="AZ43">
        <f t="shared" si="48"/>
        <v>0</v>
      </c>
    </row>
    <row r="44" spans="1:52" x14ac:dyDescent="0.25">
      <c r="A44" t="s">
        <v>20</v>
      </c>
      <c r="B44" s="3">
        <v>43977</v>
      </c>
      <c r="C44" s="1">
        <v>14368.867018885629</v>
      </c>
      <c r="D44" s="1">
        <v>104.12222477453354</v>
      </c>
      <c r="E44" s="1">
        <f t="shared" si="38"/>
        <v>6502.8670188856277</v>
      </c>
      <c r="F44" s="1">
        <f t="shared" si="39"/>
        <v>7866</v>
      </c>
      <c r="G44" s="2">
        <v>138</v>
      </c>
      <c r="H44" s="1">
        <v>47.122224774533535</v>
      </c>
      <c r="I44" s="1">
        <v>57</v>
      </c>
      <c r="J44" s="1">
        <f t="shared" si="41"/>
        <v>121684.83603078232</v>
      </c>
      <c r="K44" s="1">
        <f t="shared" si="42"/>
        <v>63521.83603078231</v>
      </c>
      <c r="N44">
        <f t="shared" si="40"/>
        <v>0</v>
      </c>
      <c r="O44">
        <f t="shared" si="40"/>
        <v>0</v>
      </c>
      <c r="P44">
        <f t="shared" si="40"/>
        <v>0</v>
      </c>
      <c r="Q44">
        <f t="shared" si="52"/>
        <v>0</v>
      </c>
      <c r="R44">
        <f t="shared" si="52"/>
        <v>0</v>
      </c>
      <c r="S44">
        <f t="shared" si="52"/>
        <v>0</v>
      </c>
      <c r="T44">
        <f t="shared" si="52"/>
        <v>0</v>
      </c>
      <c r="U44">
        <f t="shared" si="52"/>
        <v>0</v>
      </c>
      <c r="V44">
        <f t="shared" si="52"/>
        <v>0</v>
      </c>
      <c r="W44">
        <f t="shared" si="52"/>
        <v>0</v>
      </c>
      <c r="X44">
        <f t="shared" si="52"/>
        <v>0</v>
      </c>
      <c r="Y44">
        <f t="shared" si="52"/>
        <v>0</v>
      </c>
      <c r="Z44">
        <f t="shared" si="52"/>
        <v>0</v>
      </c>
      <c r="AA44">
        <f t="shared" si="52"/>
        <v>0</v>
      </c>
      <c r="AB44">
        <f t="shared" si="52"/>
        <v>0</v>
      </c>
      <c r="AC44">
        <f t="shared" si="52"/>
        <v>0</v>
      </c>
      <c r="AD44">
        <f t="shared" si="52"/>
        <v>0</v>
      </c>
      <c r="AE44">
        <f t="shared" si="52"/>
        <v>1</v>
      </c>
      <c r="AF44">
        <f t="shared" si="52"/>
        <v>0</v>
      </c>
      <c r="AG44">
        <f t="shared" si="51"/>
        <v>0</v>
      </c>
      <c r="AH44">
        <f t="shared" si="51"/>
        <v>0</v>
      </c>
      <c r="AI44">
        <f t="shared" si="51"/>
        <v>0</v>
      </c>
      <c r="AJ44">
        <f t="shared" si="51"/>
        <v>0</v>
      </c>
      <c r="AK44">
        <f t="shared" si="51"/>
        <v>0</v>
      </c>
      <c r="AL44">
        <f t="shared" si="51"/>
        <v>0</v>
      </c>
      <c r="AM44">
        <f t="shared" si="51"/>
        <v>0</v>
      </c>
      <c r="AN44">
        <f t="shared" si="51"/>
        <v>0</v>
      </c>
      <c r="AO44">
        <f t="shared" si="51"/>
        <v>0</v>
      </c>
      <c r="AP44">
        <f t="shared" si="51"/>
        <v>0</v>
      </c>
      <c r="AQ44">
        <f t="shared" si="51"/>
        <v>0</v>
      </c>
      <c r="AR44">
        <f t="shared" si="51"/>
        <v>0</v>
      </c>
      <c r="AS44">
        <f t="shared" si="51"/>
        <v>0</v>
      </c>
      <c r="AT44">
        <f t="shared" si="51"/>
        <v>0</v>
      </c>
      <c r="AU44">
        <f t="shared" si="51"/>
        <v>0</v>
      </c>
      <c r="AV44">
        <f t="shared" si="47"/>
        <v>0</v>
      </c>
      <c r="AW44">
        <f t="shared" si="47"/>
        <v>0</v>
      </c>
      <c r="AX44">
        <f t="shared" si="47"/>
        <v>0</v>
      </c>
      <c r="AY44">
        <f t="shared" si="48"/>
        <v>0</v>
      </c>
      <c r="AZ44">
        <f t="shared" si="48"/>
        <v>0</v>
      </c>
    </row>
    <row r="45" spans="1:52" x14ac:dyDescent="0.25">
      <c r="A45" t="s">
        <v>48</v>
      </c>
      <c r="B45" s="3">
        <v>43959</v>
      </c>
      <c r="C45" s="1">
        <v>2049.7136956396153</v>
      </c>
      <c r="D45" s="1">
        <v>70.679782608262599</v>
      </c>
      <c r="E45" s="1">
        <f t="shared" si="38"/>
        <v>1324.7136956396153</v>
      </c>
      <c r="F45" s="1">
        <f t="shared" si="39"/>
        <v>725</v>
      </c>
      <c r="G45" s="2">
        <v>29</v>
      </c>
      <c r="H45" s="1">
        <v>45.679782608262592</v>
      </c>
      <c r="I45" s="1">
        <v>25</v>
      </c>
      <c r="J45" s="1">
        <f t="shared" si="41"/>
        <v>123734.54972642193</v>
      </c>
      <c r="K45" s="1">
        <f t="shared" si="42"/>
        <v>64846.549726421923</v>
      </c>
      <c r="N45">
        <f t="shared" si="40"/>
        <v>0</v>
      </c>
      <c r="O45">
        <f t="shared" si="40"/>
        <v>0</v>
      </c>
      <c r="P45">
        <f t="shared" si="40"/>
        <v>0</v>
      </c>
      <c r="Q45">
        <f t="shared" si="52"/>
        <v>0</v>
      </c>
      <c r="R45">
        <f t="shared" si="52"/>
        <v>0</v>
      </c>
      <c r="S45">
        <f t="shared" si="52"/>
        <v>0</v>
      </c>
      <c r="T45">
        <f t="shared" si="52"/>
        <v>0</v>
      </c>
      <c r="U45">
        <f t="shared" si="52"/>
        <v>0</v>
      </c>
      <c r="V45">
        <f t="shared" si="52"/>
        <v>0</v>
      </c>
      <c r="W45">
        <f t="shared" si="52"/>
        <v>0</v>
      </c>
      <c r="X45">
        <f t="shared" si="52"/>
        <v>0</v>
      </c>
      <c r="Y45">
        <f t="shared" si="52"/>
        <v>0</v>
      </c>
      <c r="Z45">
        <f t="shared" si="52"/>
        <v>0</v>
      </c>
      <c r="AA45">
        <f t="shared" si="52"/>
        <v>0</v>
      </c>
      <c r="AB45">
        <f t="shared" si="52"/>
        <v>0</v>
      </c>
      <c r="AC45">
        <f t="shared" si="52"/>
        <v>0</v>
      </c>
      <c r="AD45">
        <f t="shared" si="52"/>
        <v>0</v>
      </c>
      <c r="AE45">
        <f t="shared" si="52"/>
        <v>0</v>
      </c>
      <c r="AF45">
        <f t="shared" si="52"/>
        <v>0</v>
      </c>
      <c r="AG45">
        <f t="shared" si="51"/>
        <v>0</v>
      </c>
      <c r="AH45">
        <f t="shared" si="51"/>
        <v>0</v>
      </c>
      <c r="AI45">
        <f t="shared" si="51"/>
        <v>1</v>
      </c>
      <c r="AJ45">
        <f t="shared" si="51"/>
        <v>0</v>
      </c>
      <c r="AK45">
        <f t="shared" si="51"/>
        <v>0</v>
      </c>
      <c r="AL45">
        <f t="shared" si="51"/>
        <v>0</v>
      </c>
      <c r="AM45">
        <f t="shared" si="51"/>
        <v>0</v>
      </c>
      <c r="AN45">
        <f t="shared" si="51"/>
        <v>0</v>
      </c>
      <c r="AO45">
        <f t="shared" si="51"/>
        <v>0</v>
      </c>
      <c r="AP45">
        <f t="shared" si="51"/>
        <v>0</v>
      </c>
      <c r="AQ45">
        <f t="shared" si="51"/>
        <v>0</v>
      </c>
      <c r="AR45">
        <f t="shared" si="51"/>
        <v>0</v>
      </c>
      <c r="AS45">
        <f t="shared" si="51"/>
        <v>0</v>
      </c>
      <c r="AT45">
        <f t="shared" si="51"/>
        <v>0</v>
      </c>
      <c r="AU45">
        <f t="shared" si="51"/>
        <v>0</v>
      </c>
      <c r="AV45">
        <f t="shared" si="47"/>
        <v>0</v>
      </c>
      <c r="AW45">
        <f t="shared" si="47"/>
        <v>0</v>
      </c>
      <c r="AX45">
        <f t="shared" si="47"/>
        <v>0</v>
      </c>
      <c r="AY45">
        <f t="shared" si="48"/>
        <v>0</v>
      </c>
      <c r="AZ45">
        <f t="shared" si="48"/>
        <v>0</v>
      </c>
    </row>
    <row r="46" spans="1:52" x14ac:dyDescent="0.25">
      <c r="A46" t="s">
        <v>16</v>
      </c>
      <c r="B46" s="3">
        <v>43958</v>
      </c>
      <c r="C46" s="1">
        <v>12091.262715702564</v>
      </c>
      <c r="D46" s="1">
        <v>172.73232451003662</v>
      </c>
      <c r="E46" s="1">
        <f t="shared" si="38"/>
        <v>5861.2627157025636</v>
      </c>
      <c r="F46" s="1">
        <f t="shared" si="39"/>
        <v>6230</v>
      </c>
      <c r="G46" s="2">
        <v>70</v>
      </c>
      <c r="H46" s="1">
        <v>83.732324510036619</v>
      </c>
      <c r="I46" s="1">
        <v>89</v>
      </c>
      <c r="J46" s="1">
        <f t="shared" si="41"/>
        <v>135825.8124421245</v>
      </c>
      <c r="K46" s="1">
        <f t="shared" si="42"/>
        <v>70707.812442124487</v>
      </c>
      <c r="N46">
        <f t="shared" si="40"/>
        <v>0</v>
      </c>
      <c r="O46">
        <f t="shared" si="40"/>
        <v>0</v>
      </c>
      <c r="P46">
        <f t="shared" si="40"/>
        <v>0</v>
      </c>
      <c r="Q46">
        <f t="shared" si="52"/>
        <v>0</v>
      </c>
      <c r="R46">
        <f t="shared" si="52"/>
        <v>0</v>
      </c>
      <c r="S46">
        <f t="shared" si="52"/>
        <v>0</v>
      </c>
      <c r="T46">
        <f t="shared" si="52"/>
        <v>0</v>
      </c>
      <c r="U46">
        <f t="shared" si="52"/>
        <v>0</v>
      </c>
      <c r="V46">
        <f t="shared" si="52"/>
        <v>0</v>
      </c>
      <c r="W46">
        <f t="shared" si="52"/>
        <v>0</v>
      </c>
      <c r="X46">
        <f t="shared" si="52"/>
        <v>0</v>
      </c>
      <c r="Y46">
        <f t="shared" si="52"/>
        <v>0</v>
      </c>
      <c r="Z46">
        <f t="shared" si="52"/>
        <v>0</v>
      </c>
      <c r="AA46">
        <f t="shared" si="52"/>
        <v>0</v>
      </c>
      <c r="AB46">
        <f t="shared" si="52"/>
        <v>0</v>
      </c>
      <c r="AC46">
        <f t="shared" si="52"/>
        <v>0</v>
      </c>
      <c r="AD46">
        <f t="shared" si="52"/>
        <v>0</v>
      </c>
      <c r="AE46">
        <f t="shared" si="52"/>
        <v>0</v>
      </c>
      <c r="AF46">
        <f t="shared" si="52"/>
        <v>0</v>
      </c>
      <c r="AG46">
        <f t="shared" si="51"/>
        <v>0</v>
      </c>
      <c r="AH46">
        <f t="shared" si="51"/>
        <v>0</v>
      </c>
      <c r="AI46">
        <f t="shared" si="51"/>
        <v>0</v>
      </c>
      <c r="AJ46">
        <f t="shared" si="51"/>
        <v>0</v>
      </c>
      <c r="AK46">
        <f t="shared" si="51"/>
        <v>0</v>
      </c>
      <c r="AL46">
        <f t="shared" si="51"/>
        <v>0</v>
      </c>
      <c r="AM46">
        <f t="shared" si="51"/>
        <v>0</v>
      </c>
      <c r="AN46">
        <f t="shared" si="51"/>
        <v>1</v>
      </c>
      <c r="AO46">
        <f t="shared" si="51"/>
        <v>0</v>
      </c>
      <c r="AP46">
        <f t="shared" si="51"/>
        <v>0</v>
      </c>
      <c r="AQ46">
        <f t="shared" si="51"/>
        <v>0</v>
      </c>
      <c r="AR46">
        <f t="shared" si="51"/>
        <v>0</v>
      </c>
      <c r="AS46">
        <f t="shared" si="51"/>
        <v>0</v>
      </c>
      <c r="AT46">
        <f t="shared" si="51"/>
        <v>0</v>
      </c>
      <c r="AU46">
        <f t="shared" si="51"/>
        <v>0</v>
      </c>
      <c r="AV46">
        <f t="shared" si="47"/>
        <v>0</v>
      </c>
      <c r="AW46">
        <f t="shared" si="47"/>
        <v>0</v>
      </c>
      <c r="AX46">
        <f t="shared" si="47"/>
        <v>0</v>
      </c>
      <c r="AY46">
        <f t="shared" si="48"/>
        <v>0</v>
      </c>
      <c r="AZ46">
        <f t="shared" si="48"/>
        <v>0</v>
      </c>
    </row>
    <row r="47" spans="1:52" x14ac:dyDescent="0.25">
      <c r="A47" t="s">
        <v>33</v>
      </c>
      <c r="B47" s="3">
        <v>43957</v>
      </c>
      <c r="C47" s="1">
        <v>3705.2320970096976</v>
      </c>
      <c r="D47" s="1">
        <v>65.004071877363117</v>
      </c>
      <c r="E47" s="1">
        <f t="shared" si="38"/>
        <v>2223.232097009698</v>
      </c>
      <c r="F47" s="1">
        <f t="shared" si="39"/>
        <v>1482</v>
      </c>
      <c r="G47" s="2">
        <v>57</v>
      </c>
      <c r="H47" s="1">
        <v>39.004071877363124</v>
      </c>
      <c r="I47" s="1">
        <v>26</v>
      </c>
      <c r="J47" s="1">
        <f t="shared" si="41"/>
        <v>139531.04453913419</v>
      </c>
      <c r="K47" s="1">
        <f t="shared" si="42"/>
        <v>72931.044539134178</v>
      </c>
      <c r="N47">
        <f t="shared" si="40"/>
        <v>0</v>
      </c>
      <c r="O47">
        <f t="shared" si="40"/>
        <v>0</v>
      </c>
      <c r="P47">
        <f t="shared" si="40"/>
        <v>0</v>
      </c>
      <c r="Q47">
        <f t="shared" si="52"/>
        <v>0</v>
      </c>
      <c r="R47">
        <f t="shared" si="52"/>
        <v>0</v>
      </c>
      <c r="S47">
        <f t="shared" si="52"/>
        <v>0</v>
      </c>
      <c r="T47">
        <f t="shared" si="52"/>
        <v>0</v>
      </c>
      <c r="U47">
        <f t="shared" si="52"/>
        <v>0</v>
      </c>
      <c r="V47">
        <f t="shared" si="52"/>
        <v>0</v>
      </c>
      <c r="W47">
        <f t="shared" si="52"/>
        <v>0</v>
      </c>
      <c r="X47">
        <f t="shared" si="52"/>
        <v>0</v>
      </c>
      <c r="Y47">
        <f t="shared" si="52"/>
        <v>0</v>
      </c>
      <c r="Z47">
        <f t="shared" si="52"/>
        <v>0</v>
      </c>
      <c r="AA47">
        <f t="shared" si="52"/>
        <v>0</v>
      </c>
      <c r="AB47">
        <f t="shared" si="52"/>
        <v>0</v>
      </c>
      <c r="AC47">
        <f t="shared" si="52"/>
        <v>0</v>
      </c>
      <c r="AD47">
        <f t="shared" si="52"/>
        <v>0</v>
      </c>
      <c r="AE47">
        <f t="shared" si="52"/>
        <v>0</v>
      </c>
      <c r="AF47">
        <f t="shared" si="52"/>
        <v>0</v>
      </c>
      <c r="AG47">
        <f t="shared" si="51"/>
        <v>0</v>
      </c>
      <c r="AH47">
        <f t="shared" si="51"/>
        <v>0</v>
      </c>
      <c r="AI47">
        <f t="shared" si="51"/>
        <v>0</v>
      </c>
      <c r="AJ47">
        <f t="shared" si="51"/>
        <v>0</v>
      </c>
      <c r="AK47">
        <f t="shared" si="51"/>
        <v>0</v>
      </c>
      <c r="AL47">
        <f t="shared" si="51"/>
        <v>0</v>
      </c>
      <c r="AM47">
        <f t="shared" si="51"/>
        <v>0</v>
      </c>
      <c r="AN47">
        <f t="shared" si="51"/>
        <v>0</v>
      </c>
      <c r="AO47">
        <f t="shared" si="51"/>
        <v>0</v>
      </c>
      <c r="AP47">
        <f t="shared" si="51"/>
        <v>0</v>
      </c>
      <c r="AQ47">
        <f t="shared" si="51"/>
        <v>1</v>
      </c>
      <c r="AR47">
        <f t="shared" si="51"/>
        <v>0</v>
      </c>
      <c r="AS47">
        <f t="shared" si="51"/>
        <v>0</v>
      </c>
      <c r="AT47">
        <f t="shared" si="51"/>
        <v>0</v>
      </c>
      <c r="AU47">
        <f t="shared" si="51"/>
        <v>0</v>
      </c>
      <c r="AV47">
        <f t="shared" si="47"/>
        <v>0</v>
      </c>
      <c r="AW47">
        <f t="shared" si="47"/>
        <v>0</v>
      </c>
      <c r="AX47">
        <f t="shared" si="47"/>
        <v>0</v>
      </c>
      <c r="AY47">
        <f t="shared" si="48"/>
        <v>0</v>
      </c>
      <c r="AZ47">
        <f t="shared" si="48"/>
        <v>0</v>
      </c>
    </row>
    <row r="48" spans="1:52" x14ac:dyDescent="0.25">
      <c r="A48" t="s">
        <v>21</v>
      </c>
      <c r="B48" s="3">
        <v>43952</v>
      </c>
      <c r="C48" s="1">
        <v>3477.6965034467839</v>
      </c>
      <c r="D48" s="1">
        <v>217.356031465424</v>
      </c>
      <c r="E48" s="1">
        <f t="shared" si="38"/>
        <v>1445.6965034467842</v>
      </c>
      <c r="F48" s="1">
        <f t="shared" si="39"/>
        <v>2032</v>
      </c>
      <c r="G48" s="2">
        <v>16</v>
      </c>
      <c r="H48" s="1">
        <v>90.35603146542401</v>
      </c>
      <c r="I48" s="1">
        <v>127</v>
      </c>
      <c r="J48" s="1">
        <f t="shared" si="41"/>
        <v>143008.74104258098</v>
      </c>
      <c r="K48" s="1">
        <f t="shared" si="42"/>
        <v>74376.741042580965</v>
      </c>
      <c r="N48">
        <f t="shared" si="40"/>
        <v>0</v>
      </c>
      <c r="O48">
        <f t="shared" si="40"/>
        <v>0</v>
      </c>
      <c r="P48">
        <f t="shared" si="40"/>
        <v>0</v>
      </c>
      <c r="Q48">
        <f t="shared" si="52"/>
        <v>0</v>
      </c>
      <c r="R48">
        <f t="shared" si="52"/>
        <v>0</v>
      </c>
      <c r="S48">
        <f t="shared" si="52"/>
        <v>0</v>
      </c>
      <c r="T48">
        <f t="shared" si="52"/>
        <v>1</v>
      </c>
      <c r="U48">
        <f t="shared" si="52"/>
        <v>0</v>
      </c>
      <c r="V48">
        <f t="shared" si="52"/>
        <v>0</v>
      </c>
      <c r="W48">
        <f t="shared" si="52"/>
        <v>0</v>
      </c>
      <c r="X48">
        <f t="shared" si="52"/>
        <v>0</v>
      </c>
      <c r="Y48">
        <f t="shared" si="52"/>
        <v>0</v>
      </c>
      <c r="Z48">
        <f t="shared" si="52"/>
        <v>0</v>
      </c>
      <c r="AA48">
        <f t="shared" si="52"/>
        <v>0</v>
      </c>
      <c r="AB48">
        <f t="shared" si="52"/>
        <v>0</v>
      </c>
      <c r="AC48">
        <f t="shared" si="52"/>
        <v>0</v>
      </c>
      <c r="AD48">
        <f t="shared" si="52"/>
        <v>0</v>
      </c>
      <c r="AE48">
        <f t="shared" si="52"/>
        <v>0</v>
      </c>
      <c r="AF48">
        <f t="shared" si="52"/>
        <v>0</v>
      </c>
      <c r="AG48">
        <f t="shared" si="51"/>
        <v>0</v>
      </c>
      <c r="AH48">
        <f t="shared" si="51"/>
        <v>0</v>
      </c>
      <c r="AI48">
        <f t="shared" si="51"/>
        <v>0</v>
      </c>
      <c r="AJ48">
        <f t="shared" si="51"/>
        <v>0</v>
      </c>
      <c r="AK48">
        <f t="shared" si="51"/>
        <v>0</v>
      </c>
      <c r="AL48">
        <f t="shared" si="51"/>
        <v>0</v>
      </c>
      <c r="AM48">
        <f t="shared" si="51"/>
        <v>0</v>
      </c>
      <c r="AN48">
        <f t="shared" si="51"/>
        <v>0</v>
      </c>
      <c r="AO48">
        <f t="shared" si="51"/>
        <v>0</v>
      </c>
      <c r="AP48">
        <f t="shared" si="51"/>
        <v>0</v>
      </c>
      <c r="AQ48">
        <f t="shared" si="51"/>
        <v>0</v>
      </c>
      <c r="AR48">
        <f t="shared" si="51"/>
        <v>0</v>
      </c>
      <c r="AS48">
        <f t="shared" si="51"/>
        <v>0</v>
      </c>
      <c r="AT48">
        <f t="shared" si="51"/>
        <v>0</v>
      </c>
      <c r="AU48">
        <f t="shared" si="51"/>
        <v>0</v>
      </c>
      <c r="AV48">
        <f t="shared" si="47"/>
        <v>0</v>
      </c>
      <c r="AW48">
        <f t="shared" si="47"/>
        <v>0</v>
      </c>
      <c r="AX48">
        <f t="shared" si="47"/>
        <v>0</v>
      </c>
      <c r="AY48">
        <f t="shared" si="48"/>
        <v>0</v>
      </c>
      <c r="AZ48">
        <f t="shared" si="48"/>
        <v>0</v>
      </c>
    </row>
    <row r="49" spans="1:52" x14ac:dyDescent="0.25">
      <c r="A49" t="s">
        <v>15</v>
      </c>
      <c r="B49" s="3">
        <v>43951</v>
      </c>
      <c r="C49" s="1">
        <v>3783.5765732582181</v>
      </c>
      <c r="D49" s="1">
        <v>199.13560911885358</v>
      </c>
      <c r="E49" s="1">
        <f t="shared" si="38"/>
        <v>1902.5765732582181</v>
      </c>
      <c r="F49" s="1">
        <f t="shared" si="39"/>
        <v>1881</v>
      </c>
      <c r="G49" s="2">
        <v>19</v>
      </c>
      <c r="H49" s="1">
        <v>100.13560911885358</v>
      </c>
      <c r="I49" s="1">
        <v>99</v>
      </c>
      <c r="J49" s="1">
        <f t="shared" si="41"/>
        <v>146792.31761583919</v>
      </c>
      <c r="K49" s="1">
        <f t="shared" si="42"/>
        <v>76279.317615839187</v>
      </c>
      <c r="N49">
        <f t="shared" si="40"/>
        <v>0</v>
      </c>
      <c r="O49">
        <f t="shared" si="40"/>
        <v>0</v>
      </c>
      <c r="P49">
        <f t="shared" si="40"/>
        <v>0</v>
      </c>
      <c r="Q49">
        <f t="shared" si="52"/>
        <v>0</v>
      </c>
      <c r="R49">
        <f t="shared" si="52"/>
        <v>0</v>
      </c>
      <c r="S49">
        <f t="shared" si="52"/>
        <v>0</v>
      </c>
      <c r="T49">
        <f t="shared" si="52"/>
        <v>0</v>
      </c>
      <c r="U49">
        <f t="shared" si="52"/>
        <v>0</v>
      </c>
      <c r="V49">
        <f t="shared" si="52"/>
        <v>0</v>
      </c>
      <c r="W49">
        <f t="shared" si="52"/>
        <v>0</v>
      </c>
      <c r="X49">
        <f t="shared" si="52"/>
        <v>0</v>
      </c>
      <c r="Y49">
        <f t="shared" si="52"/>
        <v>0</v>
      </c>
      <c r="Z49">
        <f t="shared" si="52"/>
        <v>0</v>
      </c>
      <c r="AA49">
        <f t="shared" si="52"/>
        <v>0</v>
      </c>
      <c r="AB49">
        <f t="shared" si="52"/>
        <v>0</v>
      </c>
      <c r="AC49">
        <f t="shared" si="52"/>
        <v>0</v>
      </c>
      <c r="AD49">
        <f t="shared" si="52"/>
        <v>0</v>
      </c>
      <c r="AE49">
        <f t="shared" si="52"/>
        <v>0</v>
      </c>
      <c r="AF49">
        <f t="shared" si="52"/>
        <v>0</v>
      </c>
      <c r="AG49">
        <f t="shared" si="51"/>
        <v>0</v>
      </c>
      <c r="AH49">
        <f t="shared" si="51"/>
        <v>0</v>
      </c>
      <c r="AI49">
        <f t="shared" si="51"/>
        <v>0</v>
      </c>
      <c r="AJ49">
        <f t="shared" si="51"/>
        <v>0</v>
      </c>
      <c r="AK49">
        <f t="shared" si="51"/>
        <v>0</v>
      </c>
      <c r="AL49">
        <f t="shared" si="51"/>
        <v>0</v>
      </c>
      <c r="AM49">
        <f t="shared" si="51"/>
        <v>0</v>
      </c>
      <c r="AN49">
        <f t="shared" si="51"/>
        <v>0</v>
      </c>
      <c r="AO49">
        <f t="shared" si="51"/>
        <v>0</v>
      </c>
      <c r="AP49">
        <f t="shared" si="51"/>
        <v>0</v>
      </c>
      <c r="AQ49">
        <f t="shared" si="51"/>
        <v>0</v>
      </c>
      <c r="AR49">
        <f t="shared" si="51"/>
        <v>1</v>
      </c>
      <c r="AS49">
        <f t="shared" si="51"/>
        <v>0</v>
      </c>
      <c r="AT49">
        <f t="shared" si="51"/>
        <v>0</v>
      </c>
      <c r="AU49">
        <f t="shared" si="51"/>
        <v>0</v>
      </c>
      <c r="AV49">
        <f t="shared" si="47"/>
        <v>0</v>
      </c>
      <c r="AW49">
        <f t="shared" si="47"/>
        <v>0</v>
      </c>
      <c r="AX49">
        <f t="shared" si="47"/>
        <v>0</v>
      </c>
      <c r="AY49">
        <f t="shared" si="48"/>
        <v>0</v>
      </c>
      <c r="AZ49">
        <f t="shared" si="48"/>
        <v>0</v>
      </c>
    </row>
    <row r="50" spans="1:52" x14ac:dyDescent="0.25">
      <c r="A50" t="s">
        <v>24</v>
      </c>
      <c r="B50" s="3">
        <v>43951</v>
      </c>
      <c r="C50" s="1">
        <v>12544.533461631529</v>
      </c>
      <c r="D50" s="1">
        <v>212.6192112140937</v>
      </c>
      <c r="E50" s="1">
        <f t="shared" si="38"/>
        <v>5169.5334616315276</v>
      </c>
      <c r="F50" s="1">
        <f t="shared" si="39"/>
        <v>7375</v>
      </c>
      <c r="G50" s="2">
        <v>59</v>
      </c>
      <c r="H50" s="1">
        <v>87.619211214093696</v>
      </c>
      <c r="I50" s="1">
        <v>125</v>
      </c>
      <c r="J50" s="1">
        <f t="shared" si="41"/>
        <v>159336.85107747072</v>
      </c>
      <c r="K50" s="1">
        <f t="shared" si="42"/>
        <v>81448.85107747071</v>
      </c>
      <c r="N50">
        <f t="shared" si="40"/>
        <v>0</v>
      </c>
      <c r="O50">
        <f t="shared" si="40"/>
        <v>0</v>
      </c>
      <c r="P50">
        <f t="shared" si="40"/>
        <v>0</v>
      </c>
      <c r="Q50">
        <f t="shared" si="52"/>
        <v>0</v>
      </c>
      <c r="R50">
        <f t="shared" si="52"/>
        <v>0</v>
      </c>
      <c r="S50">
        <f t="shared" si="52"/>
        <v>0</v>
      </c>
      <c r="T50">
        <f t="shared" si="52"/>
        <v>0</v>
      </c>
      <c r="U50">
        <f t="shared" si="52"/>
        <v>0</v>
      </c>
      <c r="V50">
        <f t="shared" si="52"/>
        <v>1</v>
      </c>
      <c r="W50">
        <f t="shared" si="52"/>
        <v>0</v>
      </c>
      <c r="X50">
        <f t="shared" si="52"/>
        <v>0</v>
      </c>
      <c r="Y50">
        <f t="shared" si="52"/>
        <v>0</v>
      </c>
      <c r="Z50">
        <f t="shared" si="52"/>
        <v>0</v>
      </c>
      <c r="AA50">
        <f t="shared" si="52"/>
        <v>0</v>
      </c>
      <c r="AB50">
        <f t="shared" si="52"/>
        <v>0</v>
      </c>
      <c r="AC50">
        <f t="shared" si="52"/>
        <v>0</v>
      </c>
      <c r="AD50">
        <f t="shared" si="52"/>
        <v>0</v>
      </c>
      <c r="AE50">
        <f t="shared" si="52"/>
        <v>0</v>
      </c>
      <c r="AF50">
        <f t="shared" si="52"/>
        <v>0</v>
      </c>
      <c r="AG50">
        <f t="shared" si="51"/>
        <v>0</v>
      </c>
      <c r="AH50">
        <f t="shared" si="51"/>
        <v>0</v>
      </c>
      <c r="AI50">
        <f t="shared" si="51"/>
        <v>0</v>
      </c>
      <c r="AJ50">
        <f t="shared" si="51"/>
        <v>0</v>
      </c>
      <c r="AK50">
        <f t="shared" si="51"/>
        <v>0</v>
      </c>
      <c r="AL50">
        <f t="shared" si="51"/>
        <v>0</v>
      </c>
      <c r="AM50">
        <f t="shared" si="51"/>
        <v>0</v>
      </c>
      <c r="AN50">
        <f t="shared" si="51"/>
        <v>0</v>
      </c>
      <c r="AO50">
        <f t="shared" si="51"/>
        <v>0</v>
      </c>
      <c r="AP50">
        <f t="shared" si="51"/>
        <v>0</v>
      </c>
      <c r="AQ50">
        <f t="shared" si="51"/>
        <v>0</v>
      </c>
      <c r="AR50">
        <f t="shared" si="51"/>
        <v>0</v>
      </c>
      <c r="AS50">
        <f t="shared" si="51"/>
        <v>0</v>
      </c>
      <c r="AT50">
        <f t="shared" si="51"/>
        <v>0</v>
      </c>
      <c r="AU50">
        <f t="shared" si="51"/>
        <v>0</v>
      </c>
      <c r="AV50">
        <f t="shared" si="47"/>
        <v>0</v>
      </c>
      <c r="AW50">
        <f t="shared" si="47"/>
        <v>0</v>
      </c>
      <c r="AX50">
        <f t="shared" si="47"/>
        <v>0</v>
      </c>
      <c r="AY50">
        <f t="shared" si="48"/>
        <v>0</v>
      </c>
      <c r="AZ50">
        <f t="shared" si="48"/>
        <v>0</v>
      </c>
    </row>
    <row r="51" spans="1:52" x14ac:dyDescent="0.25">
      <c r="A51" t="s">
        <v>46</v>
      </c>
      <c r="B51" s="3">
        <v>43929</v>
      </c>
      <c r="C51" s="1">
        <v>3965.8397738484996</v>
      </c>
      <c r="D51" s="1">
        <v>120.17696284389393</v>
      </c>
      <c r="E51" s="1">
        <f t="shared" si="38"/>
        <v>2051.8397738484996</v>
      </c>
      <c r="F51" s="1">
        <f t="shared" si="39"/>
        <v>1914</v>
      </c>
      <c r="G51" s="2">
        <v>33</v>
      </c>
      <c r="H51" s="1">
        <v>62.176962843893925</v>
      </c>
      <c r="I51" s="1">
        <v>58</v>
      </c>
      <c r="J51" s="1">
        <f t="shared" si="41"/>
        <v>163302.69085131923</v>
      </c>
      <c r="K51" s="1">
        <f t="shared" si="42"/>
        <v>83500.690851319203</v>
      </c>
      <c r="N51">
        <f t="shared" si="40"/>
        <v>0</v>
      </c>
      <c r="O51">
        <f t="shared" si="40"/>
        <v>1</v>
      </c>
      <c r="P51">
        <f t="shared" si="40"/>
        <v>0</v>
      </c>
      <c r="Q51">
        <f t="shared" si="52"/>
        <v>0</v>
      </c>
      <c r="R51">
        <f t="shared" si="52"/>
        <v>0</v>
      </c>
      <c r="S51">
        <f t="shared" si="52"/>
        <v>0</v>
      </c>
      <c r="T51">
        <f t="shared" si="52"/>
        <v>0</v>
      </c>
      <c r="U51">
        <f t="shared" si="52"/>
        <v>0</v>
      </c>
      <c r="V51">
        <f t="shared" si="52"/>
        <v>0</v>
      </c>
      <c r="W51">
        <f t="shared" si="52"/>
        <v>0</v>
      </c>
      <c r="X51">
        <f t="shared" si="52"/>
        <v>0</v>
      </c>
      <c r="Y51">
        <f t="shared" si="52"/>
        <v>0</v>
      </c>
      <c r="Z51">
        <f t="shared" si="52"/>
        <v>0</v>
      </c>
      <c r="AA51">
        <f t="shared" si="52"/>
        <v>0</v>
      </c>
      <c r="AB51">
        <f t="shared" si="52"/>
        <v>0</v>
      </c>
      <c r="AC51">
        <f t="shared" si="52"/>
        <v>0</v>
      </c>
      <c r="AD51">
        <f t="shared" si="52"/>
        <v>0</v>
      </c>
      <c r="AE51">
        <f t="shared" si="52"/>
        <v>0</v>
      </c>
      <c r="AF51">
        <f t="shared" si="52"/>
        <v>0</v>
      </c>
      <c r="AG51">
        <f t="shared" si="51"/>
        <v>0</v>
      </c>
      <c r="AH51">
        <f t="shared" si="51"/>
        <v>0</v>
      </c>
      <c r="AI51">
        <f t="shared" si="51"/>
        <v>0</v>
      </c>
      <c r="AJ51">
        <f t="shared" si="51"/>
        <v>0</v>
      </c>
      <c r="AK51">
        <f t="shared" si="51"/>
        <v>0</v>
      </c>
      <c r="AL51">
        <f t="shared" si="51"/>
        <v>0</v>
      </c>
      <c r="AM51">
        <f t="shared" si="51"/>
        <v>0</v>
      </c>
      <c r="AN51">
        <f t="shared" si="51"/>
        <v>0</v>
      </c>
      <c r="AO51">
        <f t="shared" si="51"/>
        <v>0</v>
      </c>
      <c r="AP51">
        <f t="shared" si="51"/>
        <v>0</v>
      </c>
      <c r="AQ51">
        <f t="shared" si="51"/>
        <v>0</v>
      </c>
      <c r="AR51">
        <f t="shared" si="51"/>
        <v>0</v>
      </c>
      <c r="AS51">
        <f t="shared" si="51"/>
        <v>0</v>
      </c>
      <c r="AT51">
        <f t="shared" si="51"/>
        <v>0</v>
      </c>
      <c r="AU51">
        <f t="shared" si="51"/>
        <v>0</v>
      </c>
      <c r="AV51">
        <f t="shared" si="47"/>
        <v>0</v>
      </c>
      <c r="AW51">
        <f t="shared" si="47"/>
        <v>0</v>
      </c>
      <c r="AX51">
        <f t="shared" si="47"/>
        <v>0</v>
      </c>
      <c r="AY51">
        <f t="shared" si="48"/>
        <v>0</v>
      </c>
      <c r="AZ51">
        <f t="shared" si="48"/>
        <v>0</v>
      </c>
    </row>
    <row r="52" spans="1:52" x14ac:dyDescent="0.25">
      <c r="A52" t="s">
        <v>36</v>
      </c>
      <c r="B52" s="3">
        <v>43921</v>
      </c>
      <c r="C52" s="1">
        <v>2556.1909525132673</v>
      </c>
      <c r="D52" s="1">
        <v>77.460331894341437</v>
      </c>
      <c r="E52" s="1">
        <f t="shared" si="38"/>
        <v>1269.1909525132673</v>
      </c>
      <c r="F52" s="1">
        <f t="shared" si="39"/>
        <v>1287</v>
      </c>
      <c r="G52" s="2">
        <v>33</v>
      </c>
      <c r="H52" s="1">
        <v>38.460331894341437</v>
      </c>
      <c r="I52" s="1">
        <v>39</v>
      </c>
      <c r="J52" s="1">
        <f t="shared" si="41"/>
        <v>165858.88180383251</v>
      </c>
      <c r="K52" s="1">
        <f t="shared" si="42"/>
        <v>84769.881803832468</v>
      </c>
      <c r="N52">
        <f t="shared" si="40"/>
        <v>0</v>
      </c>
      <c r="O52">
        <f t="shared" si="40"/>
        <v>0</v>
      </c>
      <c r="P52">
        <f t="shared" si="40"/>
        <v>0</v>
      </c>
      <c r="Q52">
        <f t="shared" si="52"/>
        <v>0</v>
      </c>
      <c r="R52">
        <f t="shared" si="52"/>
        <v>0</v>
      </c>
      <c r="S52">
        <f t="shared" si="52"/>
        <v>0</v>
      </c>
      <c r="T52">
        <f t="shared" si="52"/>
        <v>0</v>
      </c>
      <c r="U52">
        <f t="shared" si="52"/>
        <v>0</v>
      </c>
      <c r="V52">
        <f t="shared" si="52"/>
        <v>0</v>
      </c>
      <c r="W52">
        <f t="shared" si="52"/>
        <v>0</v>
      </c>
      <c r="X52">
        <f t="shared" si="52"/>
        <v>0</v>
      </c>
      <c r="Y52">
        <f t="shared" si="52"/>
        <v>0</v>
      </c>
      <c r="Z52">
        <f t="shared" si="52"/>
        <v>0</v>
      </c>
      <c r="AA52">
        <f t="shared" si="52"/>
        <v>0</v>
      </c>
      <c r="AB52">
        <f t="shared" si="52"/>
        <v>0</v>
      </c>
      <c r="AC52">
        <f t="shared" si="52"/>
        <v>0</v>
      </c>
      <c r="AD52">
        <f t="shared" si="52"/>
        <v>0</v>
      </c>
      <c r="AE52">
        <f t="shared" si="52"/>
        <v>0</v>
      </c>
      <c r="AF52">
        <f t="shared" si="52"/>
        <v>0</v>
      </c>
      <c r="AG52">
        <f t="shared" si="51"/>
        <v>0</v>
      </c>
      <c r="AH52">
        <f t="shared" si="51"/>
        <v>0</v>
      </c>
      <c r="AI52">
        <f t="shared" si="51"/>
        <v>0</v>
      </c>
      <c r="AJ52">
        <f t="shared" si="51"/>
        <v>0</v>
      </c>
      <c r="AK52">
        <f t="shared" si="51"/>
        <v>0</v>
      </c>
      <c r="AL52">
        <f t="shared" si="51"/>
        <v>0</v>
      </c>
      <c r="AM52">
        <f t="shared" si="51"/>
        <v>0</v>
      </c>
      <c r="AN52">
        <f t="shared" si="51"/>
        <v>0</v>
      </c>
      <c r="AO52">
        <f t="shared" si="51"/>
        <v>1</v>
      </c>
      <c r="AP52">
        <f t="shared" si="51"/>
        <v>0</v>
      </c>
      <c r="AQ52">
        <f t="shared" si="51"/>
        <v>0</v>
      </c>
      <c r="AR52">
        <f t="shared" si="51"/>
        <v>0</v>
      </c>
      <c r="AS52">
        <f t="shared" si="51"/>
        <v>0</v>
      </c>
      <c r="AT52">
        <f t="shared" si="51"/>
        <v>0</v>
      </c>
      <c r="AU52">
        <f t="shared" si="51"/>
        <v>0</v>
      </c>
      <c r="AV52">
        <f t="shared" si="47"/>
        <v>0</v>
      </c>
      <c r="AW52">
        <f t="shared" si="47"/>
        <v>0</v>
      </c>
      <c r="AX52">
        <f t="shared" si="47"/>
        <v>0</v>
      </c>
      <c r="AY52">
        <f t="shared" si="48"/>
        <v>0</v>
      </c>
      <c r="AZ52">
        <f t="shared" si="48"/>
        <v>0</v>
      </c>
    </row>
    <row r="53" spans="1:52" x14ac:dyDescent="0.25">
      <c r="A53" t="s">
        <v>31</v>
      </c>
      <c r="B53" s="3">
        <v>43921</v>
      </c>
      <c r="C53" s="1">
        <v>7698.319721367141</v>
      </c>
      <c r="D53" s="1">
        <v>240.57249129272316</v>
      </c>
      <c r="E53" s="1">
        <f t="shared" si="38"/>
        <v>4850.319721367141</v>
      </c>
      <c r="F53" s="1">
        <f t="shared" si="39"/>
        <v>2848</v>
      </c>
      <c r="G53" s="2">
        <v>32</v>
      </c>
      <c r="H53" s="1">
        <v>151.57249129272316</v>
      </c>
      <c r="I53" s="1">
        <v>89</v>
      </c>
      <c r="J53" s="1">
        <f t="shared" si="41"/>
        <v>173557.20152519966</v>
      </c>
      <c r="K53" s="1">
        <f t="shared" si="42"/>
        <v>89620.201525199605</v>
      </c>
      <c r="N53">
        <f t="shared" si="40"/>
        <v>0</v>
      </c>
      <c r="O53">
        <f t="shared" si="40"/>
        <v>0</v>
      </c>
      <c r="P53">
        <f t="shared" si="40"/>
        <v>0</v>
      </c>
      <c r="Q53">
        <f t="shared" si="52"/>
        <v>0</v>
      </c>
      <c r="R53">
        <f t="shared" si="52"/>
        <v>0</v>
      </c>
      <c r="S53">
        <f t="shared" si="52"/>
        <v>0</v>
      </c>
      <c r="T53">
        <f t="shared" si="52"/>
        <v>0</v>
      </c>
      <c r="U53">
        <f t="shared" si="52"/>
        <v>0</v>
      </c>
      <c r="V53">
        <f t="shared" si="52"/>
        <v>0</v>
      </c>
      <c r="W53">
        <f t="shared" si="52"/>
        <v>1</v>
      </c>
      <c r="X53">
        <f t="shared" si="52"/>
        <v>0</v>
      </c>
      <c r="Y53">
        <f t="shared" si="52"/>
        <v>0</v>
      </c>
      <c r="Z53">
        <f t="shared" si="52"/>
        <v>0</v>
      </c>
      <c r="AA53">
        <f t="shared" si="52"/>
        <v>0</v>
      </c>
      <c r="AB53">
        <f t="shared" si="52"/>
        <v>0</v>
      </c>
      <c r="AC53">
        <f t="shared" si="52"/>
        <v>0</v>
      </c>
      <c r="AD53">
        <f t="shared" si="52"/>
        <v>0</v>
      </c>
      <c r="AE53">
        <f t="shared" si="52"/>
        <v>0</v>
      </c>
      <c r="AF53">
        <f t="shared" si="52"/>
        <v>0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47"/>
        <v>0</v>
      </c>
      <c r="AW53">
        <f t="shared" si="47"/>
        <v>0</v>
      </c>
      <c r="AX53">
        <f t="shared" si="47"/>
        <v>0</v>
      </c>
      <c r="AY53">
        <f t="shared" si="48"/>
        <v>0</v>
      </c>
      <c r="AZ53">
        <f t="shared" si="48"/>
        <v>0</v>
      </c>
    </row>
    <row r="54" spans="1:52" x14ac:dyDescent="0.25">
      <c r="A54" t="s">
        <v>29</v>
      </c>
      <c r="B54" s="3">
        <v>43914</v>
      </c>
      <c r="C54" s="1">
        <v>5038.0325671094843</v>
      </c>
      <c r="D54" s="1">
        <v>48.442620837591193</v>
      </c>
      <c r="E54" s="1">
        <f t="shared" si="38"/>
        <v>2334.0325671094843</v>
      </c>
      <c r="F54" s="1">
        <f t="shared" si="39"/>
        <v>2704</v>
      </c>
      <c r="G54" s="2">
        <v>104</v>
      </c>
      <c r="H54" s="1">
        <v>22.442620837591193</v>
      </c>
      <c r="I54" s="1">
        <v>26</v>
      </c>
      <c r="J54" s="1">
        <f t="shared" si="41"/>
        <v>178595.23409230914</v>
      </c>
      <c r="K54" s="1">
        <f t="shared" si="42"/>
        <v>91954.234092309096</v>
      </c>
      <c r="N54">
        <f t="shared" si="40"/>
        <v>0</v>
      </c>
      <c r="O54">
        <f t="shared" si="40"/>
        <v>0</v>
      </c>
      <c r="P54">
        <f t="shared" si="40"/>
        <v>0</v>
      </c>
      <c r="Q54">
        <f t="shared" si="52"/>
        <v>0</v>
      </c>
      <c r="R54">
        <f t="shared" si="52"/>
        <v>0</v>
      </c>
      <c r="S54">
        <f t="shared" si="52"/>
        <v>0</v>
      </c>
      <c r="T54">
        <f t="shared" si="52"/>
        <v>0</v>
      </c>
      <c r="U54">
        <f t="shared" si="52"/>
        <v>0</v>
      </c>
      <c r="V54">
        <f t="shared" si="52"/>
        <v>0</v>
      </c>
      <c r="W54">
        <f t="shared" si="52"/>
        <v>0</v>
      </c>
      <c r="X54">
        <f t="shared" si="52"/>
        <v>0</v>
      </c>
      <c r="Y54">
        <f t="shared" si="52"/>
        <v>0</v>
      </c>
      <c r="Z54">
        <f t="shared" si="52"/>
        <v>0</v>
      </c>
      <c r="AA54">
        <f t="shared" si="52"/>
        <v>0</v>
      </c>
      <c r="AB54">
        <f t="shared" si="52"/>
        <v>0</v>
      </c>
      <c r="AC54">
        <f t="shared" si="52"/>
        <v>0</v>
      </c>
      <c r="AD54">
        <f t="shared" si="52"/>
        <v>0</v>
      </c>
      <c r="AE54">
        <f t="shared" si="52"/>
        <v>0</v>
      </c>
      <c r="AF54">
        <f t="shared" si="52"/>
        <v>0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1</v>
      </c>
      <c r="AT54">
        <f t="shared" si="51"/>
        <v>0</v>
      </c>
      <c r="AU54">
        <f t="shared" si="51"/>
        <v>0</v>
      </c>
      <c r="AV54">
        <f t="shared" si="47"/>
        <v>0</v>
      </c>
      <c r="AW54">
        <f t="shared" si="47"/>
        <v>0</v>
      </c>
      <c r="AX54">
        <f t="shared" si="47"/>
        <v>0</v>
      </c>
      <c r="AY54">
        <f t="shared" si="48"/>
        <v>0</v>
      </c>
      <c r="AZ54">
        <f t="shared" si="48"/>
        <v>0</v>
      </c>
    </row>
    <row r="55" spans="1:52" x14ac:dyDescent="0.25">
      <c r="A55" t="s">
        <v>35</v>
      </c>
      <c r="B55" s="3">
        <v>43911</v>
      </c>
      <c r="C55" s="1">
        <v>148.42228232490095</v>
      </c>
      <c r="D55" s="1">
        <v>148.42228232490095</v>
      </c>
      <c r="E55" s="1">
        <f t="shared" si="38"/>
        <v>89.422282324900962</v>
      </c>
      <c r="F55" s="1">
        <f t="shared" si="39"/>
        <v>59</v>
      </c>
      <c r="G55" s="2">
        <v>1</v>
      </c>
      <c r="H55" s="1">
        <v>89.422282324900962</v>
      </c>
      <c r="I55" s="1">
        <v>59</v>
      </c>
      <c r="J55" s="1">
        <f t="shared" si="41"/>
        <v>178743.65637463404</v>
      </c>
      <c r="K55" s="1">
        <f t="shared" si="42"/>
        <v>92043.656374633996</v>
      </c>
      <c r="N55">
        <f t="shared" si="40"/>
        <v>0</v>
      </c>
      <c r="O55">
        <f t="shared" si="40"/>
        <v>0</v>
      </c>
      <c r="P55">
        <f t="shared" si="40"/>
        <v>0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0</v>
      </c>
      <c r="AB55">
        <f t="shared" si="52"/>
        <v>0</v>
      </c>
      <c r="AC55">
        <f t="shared" si="52"/>
        <v>0</v>
      </c>
      <c r="AD55">
        <f t="shared" si="52"/>
        <v>0</v>
      </c>
      <c r="AE55">
        <f t="shared" si="52"/>
        <v>0</v>
      </c>
      <c r="AF55">
        <f t="shared" si="52"/>
        <v>0</v>
      </c>
      <c r="AG55">
        <f t="shared" si="51"/>
        <v>0</v>
      </c>
      <c r="AH55">
        <f t="shared" si="51"/>
        <v>0</v>
      </c>
      <c r="AI55">
        <f t="shared" si="51"/>
        <v>0</v>
      </c>
      <c r="AJ55">
        <f t="shared" si="51"/>
        <v>0</v>
      </c>
      <c r="AK55">
        <f t="shared" si="51"/>
        <v>0</v>
      </c>
      <c r="AL55">
        <f t="shared" si="51"/>
        <v>1</v>
      </c>
      <c r="AM55">
        <f t="shared" si="51"/>
        <v>0</v>
      </c>
      <c r="AN55">
        <f t="shared" si="51"/>
        <v>0</v>
      </c>
      <c r="AO55">
        <f t="shared" si="51"/>
        <v>0</v>
      </c>
      <c r="AP55">
        <f t="shared" si="51"/>
        <v>0</v>
      </c>
      <c r="AQ55">
        <f t="shared" si="51"/>
        <v>0</v>
      </c>
      <c r="AR55">
        <f t="shared" si="51"/>
        <v>0</v>
      </c>
      <c r="AS55">
        <f t="shared" si="51"/>
        <v>0</v>
      </c>
      <c r="AT55">
        <f t="shared" si="51"/>
        <v>0</v>
      </c>
      <c r="AU55">
        <f t="shared" si="51"/>
        <v>0</v>
      </c>
      <c r="AV55">
        <f t="shared" si="47"/>
        <v>0</v>
      </c>
      <c r="AW55">
        <f t="shared" si="47"/>
        <v>0</v>
      </c>
      <c r="AX55">
        <f t="shared" si="47"/>
        <v>0</v>
      </c>
      <c r="AY55">
        <f t="shared" si="48"/>
        <v>0</v>
      </c>
      <c r="AZ55">
        <f t="shared" si="48"/>
        <v>0</v>
      </c>
    </row>
    <row r="56" spans="1:52" x14ac:dyDescent="0.25">
      <c r="A56" t="s">
        <v>17</v>
      </c>
      <c r="B56" s="3">
        <v>43902</v>
      </c>
      <c r="C56" s="1">
        <v>409.31037777159486</v>
      </c>
      <c r="D56" s="1">
        <v>40.931037777159489</v>
      </c>
      <c r="E56" s="1">
        <f t="shared" si="38"/>
        <v>229.31037777159486</v>
      </c>
      <c r="F56" s="1">
        <f t="shared" si="39"/>
        <v>180</v>
      </c>
      <c r="G56" s="2">
        <v>10</v>
      </c>
      <c r="H56" s="1">
        <v>22.931037777159485</v>
      </c>
      <c r="I56" s="1">
        <v>18</v>
      </c>
      <c r="J56" s="1">
        <f t="shared" si="41"/>
        <v>179152.96675240563</v>
      </c>
      <c r="K56" s="1">
        <f t="shared" si="42"/>
        <v>92272.966752405584</v>
      </c>
      <c r="N56">
        <f t="shared" si="40"/>
        <v>0</v>
      </c>
      <c r="O56">
        <f t="shared" si="40"/>
        <v>0</v>
      </c>
      <c r="P56">
        <f t="shared" si="40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1"/>
        <v>1</v>
      </c>
      <c r="AH56">
        <f t="shared" si="51"/>
        <v>0</v>
      </c>
      <c r="AI56">
        <f t="shared" si="51"/>
        <v>0</v>
      </c>
      <c r="AJ56">
        <f t="shared" si="51"/>
        <v>0</v>
      </c>
      <c r="AK56">
        <f t="shared" si="51"/>
        <v>0</v>
      </c>
      <c r="AL56">
        <f t="shared" si="51"/>
        <v>0</v>
      </c>
      <c r="AM56">
        <f t="shared" si="51"/>
        <v>0</v>
      </c>
      <c r="AN56">
        <f t="shared" si="51"/>
        <v>0</v>
      </c>
      <c r="AO56">
        <f t="shared" si="51"/>
        <v>0</v>
      </c>
      <c r="AP56">
        <f t="shared" si="51"/>
        <v>0</v>
      </c>
      <c r="AQ56">
        <f t="shared" si="51"/>
        <v>0</v>
      </c>
      <c r="AR56">
        <f t="shared" si="51"/>
        <v>0</v>
      </c>
      <c r="AS56">
        <f t="shared" si="51"/>
        <v>0</v>
      </c>
      <c r="AT56">
        <f t="shared" si="51"/>
        <v>0</v>
      </c>
      <c r="AU56">
        <f t="shared" si="51"/>
        <v>0</v>
      </c>
      <c r="AV56">
        <f t="shared" si="47"/>
        <v>0</v>
      </c>
      <c r="AW56">
        <f t="shared" si="47"/>
        <v>0</v>
      </c>
      <c r="AX56">
        <f t="shared" si="47"/>
        <v>0</v>
      </c>
      <c r="AY56">
        <f t="shared" si="48"/>
        <v>0</v>
      </c>
      <c r="AZ56">
        <f t="shared" si="48"/>
        <v>0</v>
      </c>
    </row>
    <row r="57" spans="1:52" x14ac:dyDescent="0.25">
      <c r="A57" t="s">
        <v>32</v>
      </c>
      <c r="B57" s="3">
        <v>43895</v>
      </c>
      <c r="C57" s="1">
        <v>345.60279479222953</v>
      </c>
      <c r="D57" s="1">
        <v>26.584830368633042</v>
      </c>
      <c r="E57" s="1">
        <f t="shared" si="38"/>
        <v>228.60279479222956</v>
      </c>
      <c r="F57" s="1">
        <f t="shared" si="39"/>
        <v>117</v>
      </c>
      <c r="G57" s="2">
        <v>13</v>
      </c>
      <c r="H57" s="1">
        <v>17.584830368633042</v>
      </c>
      <c r="I57" s="1">
        <v>9</v>
      </c>
      <c r="J57" s="1">
        <f t="shared" si="41"/>
        <v>179498.56954719787</v>
      </c>
      <c r="K57" s="1">
        <f t="shared" si="42"/>
        <v>92501.569547197811</v>
      </c>
      <c r="N57">
        <f t="shared" si="40"/>
        <v>0</v>
      </c>
      <c r="O57">
        <f t="shared" si="40"/>
        <v>0</v>
      </c>
      <c r="P57">
        <f t="shared" si="40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1"/>
        <v>0</v>
      </c>
      <c r="AH57">
        <f t="shared" si="51"/>
        <v>1</v>
      </c>
      <c r="AI57">
        <f t="shared" si="51"/>
        <v>0</v>
      </c>
      <c r="AJ57">
        <f t="shared" si="51"/>
        <v>0</v>
      </c>
      <c r="AK57">
        <f t="shared" si="51"/>
        <v>0</v>
      </c>
      <c r="AL57">
        <f t="shared" si="51"/>
        <v>0</v>
      </c>
      <c r="AM57">
        <f t="shared" si="51"/>
        <v>0</v>
      </c>
      <c r="AN57">
        <f t="shared" si="51"/>
        <v>0</v>
      </c>
      <c r="AO57">
        <f t="shared" si="51"/>
        <v>0</v>
      </c>
      <c r="AP57">
        <f t="shared" si="51"/>
        <v>0</v>
      </c>
      <c r="AQ57">
        <f t="shared" si="51"/>
        <v>0</v>
      </c>
      <c r="AR57">
        <f t="shared" si="51"/>
        <v>0</v>
      </c>
      <c r="AS57">
        <f t="shared" si="51"/>
        <v>0</v>
      </c>
      <c r="AT57">
        <f t="shared" si="51"/>
        <v>0</v>
      </c>
      <c r="AU57">
        <f t="shared" si="51"/>
        <v>0</v>
      </c>
      <c r="AV57">
        <f t="shared" si="47"/>
        <v>0</v>
      </c>
      <c r="AW57">
        <f t="shared" si="47"/>
        <v>0</v>
      </c>
      <c r="AX57">
        <f t="shared" si="47"/>
        <v>0</v>
      </c>
      <c r="AY57">
        <f t="shared" si="48"/>
        <v>0</v>
      </c>
      <c r="AZ57">
        <f t="shared" si="48"/>
        <v>0</v>
      </c>
    </row>
    <row r="58" spans="1:52" x14ac:dyDescent="0.25">
      <c r="A58" t="s">
        <v>32</v>
      </c>
      <c r="B58" s="3">
        <v>43893</v>
      </c>
      <c r="C58" s="1">
        <v>40778.394586111419</v>
      </c>
      <c r="D58" s="1">
        <v>163.11357834444567</v>
      </c>
      <c r="E58" s="1">
        <f t="shared" si="38"/>
        <v>17278.394586111419</v>
      </c>
      <c r="F58" s="1">
        <f t="shared" si="39"/>
        <v>23500</v>
      </c>
      <c r="G58" s="2">
        <v>250</v>
      </c>
      <c r="H58" s="1">
        <v>69.113578344445671</v>
      </c>
      <c r="I58" s="1">
        <v>94</v>
      </c>
      <c r="J58" s="1">
        <f t="shared" si="41"/>
        <v>220276.96413330929</v>
      </c>
      <c r="K58" s="1">
        <f t="shared" si="42"/>
        <v>109779.96413330923</v>
      </c>
      <c r="N58">
        <f t="shared" si="40"/>
        <v>0</v>
      </c>
      <c r="O58">
        <f t="shared" si="40"/>
        <v>0</v>
      </c>
      <c r="P58">
        <f t="shared" si="40"/>
        <v>0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2"/>
        <v>0</v>
      </c>
      <c r="Y58">
        <f t="shared" si="52"/>
        <v>0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0</v>
      </c>
      <c r="AF58">
        <f t="shared" ref="AF58:AU73" si="53">+IF(AF$5=$A58,1,0)</f>
        <v>0</v>
      </c>
      <c r="AG58">
        <f t="shared" si="53"/>
        <v>0</v>
      </c>
      <c r="AH58">
        <f t="shared" si="53"/>
        <v>1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47"/>
        <v>0</v>
      </c>
      <c r="AW58">
        <f t="shared" si="47"/>
        <v>0</v>
      </c>
      <c r="AX58">
        <f t="shared" si="47"/>
        <v>0</v>
      </c>
      <c r="AY58">
        <f t="shared" si="48"/>
        <v>0</v>
      </c>
      <c r="AZ58">
        <f t="shared" si="48"/>
        <v>0</v>
      </c>
    </row>
    <row r="59" spans="1:52" x14ac:dyDescent="0.25">
      <c r="A59" t="s">
        <v>28</v>
      </c>
      <c r="B59" s="3">
        <v>43892</v>
      </c>
      <c r="C59" s="1">
        <v>2648.402206841231</v>
      </c>
      <c r="D59" s="1">
        <v>115.14792203657527</v>
      </c>
      <c r="E59" s="1">
        <f t="shared" si="38"/>
        <v>1314.4022068412312</v>
      </c>
      <c r="F59" s="1">
        <f t="shared" si="39"/>
        <v>1334</v>
      </c>
      <c r="G59" s="2">
        <v>23</v>
      </c>
      <c r="H59" s="1">
        <v>57.147922036575274</v>
      </c>
      <c r="I59" s="1">
        <v>58</v>
      </c>
      <c r="J59" s="1">
        <f t="shared" si="41"/>
        <v>222925.36634015053</v>
      </c>
      <c r="K59" s="1">
        <f t="shared" si="42"/>
        <v>111094.36634015046</v>
      </c>
      <c r="N59">
        <f t="shared" si="40"/>
        <v>0</v>
      </c>
      <c r="O59">
        <f t="shared" si="40"/>
        <v>0</v>
      </c>
      <c r="P59">
        <f t="shared" si="40"/>
        <v>0</v>
      </c>
      <c r="Q59">
        <f t="shared" ref="Q59:AF74" si="54">+IF(Q$5=$A59,1,0)</f>
        <v>0</v>
      </c>
      <c r="R59">
        <f t="shared" si="54"/>
        <v>0</v>
      </c>
      <c r="S59">
        <f t="shared" si="54"/>
        <v>0</v>
      </c>
      <c r="T59">
        <f t="shared" si="54"/>
        <v>0</v>
      </c>
      <c r="U59">
        <f t="shared" si="54"/>
        <v>0</v>
      </c>
      <c r="V59">
        <f t="shared" si="54"/>
        <v>0</v>
      </c>
      <c r="W59">
        <f t="shared" si="54"/>
        <v>0</v>
      </c>
      <c r="X59">
        <f t="shared" si="54"/>
        <v>0</v>
      </c>
      <c r="Y59">
        <f t="shared" si="54"/>
        <v>0</v>
      </c>
      <c r="Z59">
        <f t="shared" si="54"/>
        <v>0</v>
      </c>
      <c r="AA59">
        <f t="shared" si="54"/>
        <v>0</v>
      </c>
      <c r="AB59">
        <f t="shared" si="54"/>
        <v>0</v>
      </c>
      <c r="AC59">
        <f t="shared" si="54"/>
        <v>0</v>
      </c>
      <c r="AD59">
        <f t="shared" si="54"/>
        <v>0</v>
      </c>
      <c r="AE59">
        <f t="shared" si="54"/>
        <v>0</v>
      </c>
      <c r="AF59">
        <f t="shared" si="54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1</v>
      </c>
      <c r="AU59">
        <f t="shared" si="53"/>
        <v>0</v>
      </c>
      <c r="AV59">
        <f t="shared" si="47"/>
        <v>0</v>
      </c>
      <c r="AW59">
        <f t="shared" si="47"/>
        <v>0</v>
      </c>
      <c r="AX59">
        <f t="shared" si="47"/>
        <v>0</v>
      </c>
      <c r="AY59">
        <f t="shared" si="48"/>
        <v>0</v>
      </c>
      <c r="AZ59">
        <f t="shared" si="48"/>
        <v>0</v>
      </c>
    </row>
    <row r="60" spans="1:52" x14ac:dyDescent="0.25">
      <c r="A60" t="s">
        <v>44</v>
      </c>
      <c r="B60" s="3">
        <v>43885</v>
      </c>
      <c r="C60" s="1">
        <v>3587.8882062967368</v>
      </c>
      <c r="D60" s="1">
        <v>137.99570024218218</v>
      </c>
      <c r="E60" s="1">
        <f t="shared" si="38"/>
        <v>1793.8882062967364</v>
      </c>
      <c r="F60" s="1">
        <f t="shared" si="39"/>
        <v>1794</v>
      </c>
      <c r="G60" s="2">
        <v>26</v>
      </c>
      <c r="H60" s="1">
        <v>68.995700242182167</v>
      </c>
      <c r="I60" s="1">
        <v>69</v>
      </c>
      <c r="J60" s="1">
        <f t="shared" si="41"/>
        <v>226513.25454644728</v>
      </c>
      <c r="K60" s="1">
        <f t="shared" si="42"/>
        <v>112888.25454644719</v>
      </c>
      <c r="N60">
        <f t="shared" si="40"/>
        <v>0</v>
      </c>
      <c r="O60">
        <f t="shared" si="40"/>
        <v>0</v>
      </c>
      <c r="P60">
        <f t="shared" si="40"/>
        <v>0</v>
      </c>
      <c r="Q60">
        <f t="shared" si="54"/>
        <v>0</v>
      </c>
      <c r="R60">
        <f t="shared" si="54"/>
        <v>0</v>
      </c>
      <c r="S60">
        <f t="shared" si="54"/>
        <v>0</v>
      </c>
      <c r="T60">
        <f t="shared" si="54"/>
        <v>0</v>
      </c>
      <c r="U60">
        <f t="shared" si="54"/>
        <v>0</v>
      </c>
      <c r="V60">
        <f t="shared" si="54"/>
        <v>0</v>
      </c>
      <c r="W60">
        <f t="shared" si="54"/>
        <v>0</v>
      </c>
      <c r="X60">
        <f t="shared" si="54"/>
        <v>0</v>
      </c>
      <c r="Y60">
        <f t="shared" si="54"/>
        <v>0</v>
      </c>
      <c r="Z60">
        <f t="shared" si="54"/>
        <v>0</v>
      </c>
      <c r="AA60">
        <f t="shared" si="54"/>
        <v>0</v>
      </c>
      <c r="AB60">
        <f t="shared" si="54"/>
        <v>0</v>
      </c>
      <c r="AC60">
        <f t="shared" si="54"/>
        <v>0</v>
      </c>
      <c r="AD60">
        <f t="shared" si="54"/>
        <v>0</v>
      </c>
      <c r="AE60">
        <f t="shared" si="54"/>
        <v>0</v>
      </c>
      <c r="AF60">
        <f t="shared" si="54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1</v>
      </c>
      <c r="AV60">
        <f t="shared" si="47"/>
        <v>0</v>
      </c>
      <c r="AW60">
        <f t="shared" si="47"/>
        <v>0</v>
      </c>
      <c r="AX60">
        <f t="shared" si="47"/>
        <v>0</v>
      </c>
      <c r="AY60">
        <f t="shared" si="48"/>
        <v>0</v>
      </c>
      <c r="AZ60">
        <f t="shared" si="48"/>
        <v>0</v>
      </c>
    </row>
    <row r="61" spans="1:52" x14ac:dyDescent="0.25">
      <c r="A61" t="s">
        <v>12</v>
      </c>
      <c r="B61" s="3">
        <v>43877</v>
      </c>
      <c r="C61" s="1">
        <v>339.4761387111115</v>
      </c>
      <c r="D61" s="1">
        <v>33.947613871111152</v>
      </c>
      <c r="E61" s="1">
        <f t="shared" si="38"/>
        <v>219.4761387111115</v>
      </c>
      <c r="F61" s="1">
        <f t="shared" si="39"/>
        <v>120</v>
      </c>
      <c r="G61" s="2">
        <v>10</v>
      </c>
      <c r="H61" s="1">
        <v>21.947613871111152</v>
      </c>
      <c r="I61" s="1">
        <v>12</v>
      </c>
      <c r="J61" s="1">
        <f t="shared" si="41"/>
        <v>226852.7306851584</v>
      </c>
      <c r="K61" s="1">
        <f t="shared" si="42"/>
        <v>113107.7306851583</v>
      </c>
      <c r="N61">
        <f t="shared" si="40"/>
        <v>0</v>
      </c>
      <c r="O61">
        <f t="shared" si="40"/>
        <v>0</v>
      </c>
      <c r="P61">
        <f t="shared" si="40"/>
        <v>0</v>
      </c>
      <c r="Q61">
        <f t="shared" si="54"/>
        <v>0</v>
      </c>
      <c r="R61">
        <f t="shared" si="54"/>
        <v>0</v>
      </c>
      <c r="S61">
        <f t="shared" si="54"/>
        <v>0</v>
      </c>
      <c r="T61">
        <f t="shared" si="54"/>
        <v>0</v>
      </c>
      <c r="U61">
        <f t="shared" si="54"/>
        <v>0</v>
      </c>
      <c r="V61">
        <f t="shared" si="54"/>
        <v>0</v>
      </c>
      <c r="W61">
        <f t="shared" si="54"/>
        <v>0</v>
      </c>
      <c r="X61">
        <f t="shared" si="54"/>
        <v>0</v>
      </c>
      <c r="Y61">
        <f t="shared" si="54"/>
        <v>0</v>
      </c>
      <c r="Z61">
        <f t="shared" si="54"/>
        <v>0</v>
      </c>
      <c r="AA61">
        <f t="shared" si="54"/>
        <v>0</v>
      </c>
      <c r="AB61">
        <f t="shared" si="54"/>
        <v>0</v>
      </c>
      <c r="AC61">
        <f t="shared" si="54"/>
        <v>0</v>
      </c>
      <c r="AD61">
        <f t="shared" si="54"/>
        <v>0</v>
      </c>
      <c r="AE61">
        <f t="shared" si="54"/>
        <v>0</v>
      </c>
      <c r="AF61">
        <f t="shared" si="54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1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47"/>
        <v>0</v>
      </c>
      <c r="AW61">
        <f t="shared" si="47"/>
        <v>0</v>
      </c>
      <c r="AX61">
        <f t="shared" si="47"/>
        <v>0</v>
      </c>
      <c r="AY61">
        <f t="shared" si="48"/>
        <v>0</v>
      </c>
      <c r="AZ61">
        <f t="shared" si="48"/>
        <v>0</v>
      </c>
    </row>
    <row r="62" spans="1:52" x14ac:dyDescent="0.25">
      <c r="A62" t="s">
        <v>30</v>
      </c>
      <c r="B62" s="3">
        <v>43874</v>
      </c>
      <c r="C62" s="1">
        <v>1511.1074924847967</v>
      </c>
      <c r="D62" s="1">
        <v>53.968124731599879</v>
      </c>
      <c r="E62" s="1">
        <f t="shared" si="38"/>
        <v>951.10749248479658</v>
      </c>
      <c r="F62" s="1">
        <f t="shared" si="39"/>
        <v>560</v>
      </c>
      <c r="G62" s="2">
        <v>28</v>
      </c>
      <c r="H62" s="1">
        <v>33.968124731599879</v>
      </c>
      <c r="I62" s="1">
        <v>20</v>
      </c>
      <c r="J62" s="1">
        <f t="shared" si="41"/>
        <v>228363.83817764319</v>
      </c>
      <c r="K62" s="1">
        <f t="shared" si="42"/>
        <v>114058.83817764309</v>
      </c>
      <c r="N62">
        <f t="shared" si="40"/>
        <v>0</v>
      </c>
      <c r="O62">
        <f t="shared" si="40"/>
        <v>0</v>
      </c>
      <c r="P62">
        <f t="shared" si="40"/>
        <v>0</v>
      </c>
      <c r="Q62">
        <f t="shared" si="54"/>
        <v>0</v>
      </c>
      <c r="R62">
        <f t="shared" si="54"/>
        <v>0</v>
      </c>
      <c r="S62">
        <f t="shared" si="54"/>
        <v>0</v>
      </c>
      <c r="T62">
        <f t="shared" si="54"/>
        <v>0</v>
      </c>
      <c r="U62">
        <f t="shared" si="54"/>
        <v>0</v>
      </c>
      <c r="V62">
        <f t="shared" si="54"/>
        <v>0</v>
      </c>
      <c r="W62">
        <f t="shared" si="54"/>
        <v>0</v>
      </c>
      <c r="X62">
        <f t="shared" si="54"/>
        <v>0</v>
      </c>
      <c r="Y62">
        <f t="shared" si="54"/>
        <v>0</v>
      </c>
      <c r="Z62">
        <f t="shared" si="54"/>
        <v>0</v>
      </c>
      <c r="AA62">
        <f t="shared" si="54"/>
        <v>0</v>
      </c>
      <c r="AB62">
        <f t="shared" si="54"/>
        <v>0</v>
      </c>
      <c r="AC62">
        <f t="shared" si="54"/>
        <v>0</v>
      </c>
      <c r="AD62">
        <f t="shared" si="54"/>
        <v>0</v>
      </c>
      <c r="AE62">
        <f t="shared" si="54"/>
        <v>0</v>
      </c>
      <c r="AF62">
        <f t="shared" si="54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47"/>
        <v>1</v>
      </c>
      <c r="AW62">
        <f t="shared" si="47"/>
        <v>0</v>
      </c>
      <c r="AX62">
        <f t="shared" si="47"/>
        <v>0</v>
      </c>
      <c r="AY62">
        <f t="shared" si="48"/>
        <v>0</v>
      </c>
      <c r="AZ62">
        <f t="shared" si="48"/>
        <v>0</v>
      </c>
    </row>
    <row r="63" spans="1:52" x14ac:dyDescent="0.25">
      <c r="A63" t="s">
        <v>19</v>
      </c>
      <c r="B63" s="3">
        <v>43868</v>
      </c>
      <c r="C63" s="1">
        <v>1149.9483740454452</v>
      </c>
      <c r="D63" s="1">
        <v>95.829031170453774</v>
      </c>
      <c r="E63" s="1">
        <f t="shared" si="38"/>
        <v>705.94837404544523</v>
      </c>
      <c r="F63" s="1">
        <f t="shared" si="39"/>
        <v>444</v>
      </c>
      <c r="G63" s="2">
        <v>12</v>
      </c>
      <c r="H63" s="1">
        <v>58.829031170453774</v>
      </c>
      <c r="I63" s="1">
        <v>37</v>
      </c>
      <c r="J63" s="1">
        <f t="shared" si="41"/>
        <v>229513.78655168862</v>
      </c>
      <c r="K63" s="1">
        <f t="shared" si="42"/>
        <v>114764.78655168854</v>
      </c>
      <c r="N63">
        <f t="shared" si="40"/>
        <v>0</v>
      </c>
      <c r="O63">
        <f t="shared" si="40"/>
        <v>0</v>
      </c>
      <c r="P63">
        <f t="shared" si="40"/>
        <v>0</v>
      </c>
      <c r="Q63">
        <f t="shared" si="54"/>
        <v>0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0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3"/>
        <v>0</v>
      </c>
      <c r="AH63">
        <f t="shared" si="53"/>
        <v>0</v>
      </c>
      <c r="AI63">
        <f t="shared" si="53"/>
        <v>0</v>
      </c>
      <c r="AJ63">
        <f t="shared" si="53"/>
        <v>0</v>
      </c>
      <c r="AK63">
        <f t="shared" si="53"/>
        <v>0</v>
      </c>
      <c r="AL63">
        <f t="shared" si="53"/>
        <v>0</v>
      </c>
      <c r="AM63">
        <f t="shared" si="53"/>
        <v>0</v>
      </c>
      <c r="AN63">
        <f t="shared" si="53"/>
        <v>0</v>
      </c>
      <c r="AO63">
        <f t="shared" si="53"/>
        <v>0</v>
      </c>
      <c r="AP63">
        <f t="shared" si="53"/>
        <v>0</v>
      </c>
      <c r="AQ63">
        <f t="shared" si="53"/>
        <v>0</v>
      </c>
      <c r="AR63">
        <f t="shared" si="53"/>
        <v>0</v>
      </c>
      <c r="AS63">
        <f t="shared" si="53"/>
        <v>0</v>
      </c>
      <c r="AT63">
        <f t="shared" si="53"/>
        <v>0</v>
      </c>
      <c r="AU63">
        <f t="shared" si="53"/>
        <v>0</v>
      </c>
      <c r="AV63">
        <f t="shared" ref="AV63:AZ113" si="55">+IF(AV$5=$A63,1,0)</f>
        <v>0</v>
      </c>
      <c r="AW63">
        <f t="shared" si="55"/>
        <v>1</v>
      </c>
      <c r="AX63">
        <f t="shared" si="55"/>
        <v>0</v>
      </c>
      <c r="AY63">
        <f t="shared" si="55"/>
        <v>0</v>
      </c>
      <c r="AZ63">
        <f t="shared" si="55"/>
        <v>0</v>
      </c>
    </row>
    <row r="64" spans="1:52" x14ac:dyDescent="0.25">
      <c r="A64" t="s">
        <v>30</v>
      </c>
      <c r="B64" s="3">
        <v>43867</v>
      </c>
      <c r="C64" s="1">
        <v>1349.277276540362</v>
      </c>
      <c r="D64" s="1">
        <v>103.79055973387401</v>
      </c>
      <c r="E64" s="1">
        <f t="shared" si="38"/>
        <v>569.27727654036221</v>
      </c>
      <c r="F64" s="1">
        <f t="shared" si="39"/>
        <v>780</v>
      </c>
      <c r="G64" s="2">
        <v>13</v>
      </c>
      <c r="H64" s="1">
        <v>43.790559733874012</v>
      </c>
      <c r="I64" s="1">
        <v>60</v>
      </c>
      <c r="J64" s="1">
        <f t="shared" si="41"/>
        <v>230863.06382822897</v>
      </c>
      <c r="K64" s="1">
        <f t="shared" si="42"/>
        <v>115334.0638282289</v>
      </c>
      <c r="N64">
        <f t="shared" si="40"/>
        <v>0</v>
      </c>
      <c r="O64">
        <f t="shared" si="40"/>
        <v>0</v>
      </c>
      <c r="P64">
        <f t="shared" si="40"/>
        <v>0</v>
      </c>
      <c r="Q64">
        <f t="shared" si="54"/>
        <v>0</v>
      </c>
      <c r="R64">
        <f t="shared" si="54"/>
        <v>0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0</v>
      </c>
      <c r="AB64">
        <f t="shared" si="54"/>
        <v>0</v>
      </c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3"/>
        <v>0</v>
      </c>
      <c r="AH64">
        <f t="shared" si="53"/>
        <v>0</v>
      </c>
      <c r="AI64">
        <f t="shared" si="53"/>
        <v>0</v>
      </c>
      <c r="AJ64">
        <f t="shared" si="53"/>
        <v>0</v>
      </c>
      <c r="AK64">
        <f t="shared" si="53"/>
        <v>0</v>
      </c>
      <c r="AL64">
        <f t="shared" si="53"/>
        <v>0</v>
      </c>
      <c r="AM64">
        <f t="shared" si="53"/>
        <v>0</v>
      </c>
      <c r="AN64">
        <f t="shared" si="53"/>
        <v>0</v>
      </c>
      <c r="AO64">
        <f t="shared" si="53"/>
        <v>0</v>
      </c>
      <c r="AP64">
        <f t="shared" si="53"/>
        <v>0</v>
      </c>
      <c r="AQ64">
        <f t="shared" si="53"/>
        <v>0</v>
      </c>
      <c r="AR64">
        <f t="shared" si="53"/>
        <v>0</v>
      </c>
      <c r="AS64">
        <f t="shared" si="53"/>
        <v>0</v>
      </c>
      <c r="AT64">
        <f t="shared" si="53"/>
        <v>0</v>
      </c>
      <c r="AU64">
        <f t="shared" si="53"/>
        <v>0</v>
      </c>
      <c r="AV64">
        <f t="shared" si="55"/>
        <v>1</v>
      </c>
      <c r="AW64">
        <f t="shared" si="55"/>
        <v>0</v>
      </c>
      <c r="AX64">
        <f t="shared" si="55"/>
        <v>0</v>
      </c>
      <c r="AY64">
        <f t="shared" si="55"/>
        <v>0</v>
      </c>
      <c r="AZ64">
        <f t="shared" si="55"/>
        <v>0</v>
      </c>
    </row>
    <row r="65" spans="1:52" x14ac:dyDescent="0.25">
      <c r="A65" t="s">
        <v>22</v>
      </c>
      <c r="B65" s="3">
        <v>43865</v>
      </c>
      <c r="C65" s="1">
        <v>4942.1346800228612</v>
      </c>
      <c r="D65" s="1">
        <v>98.842693600457224</v>
      </c>
      <c r="E65" s="1">
        <f t="shared" si="38"/>
        <v>3242.1346800228612</v>
      </c>
      <c r="F65" s="1">
        <f t="shared" si="39"/>
        <v>1700</v>
      </c>
      <c r="G65" s="2">
        <v>50</v>
      </c>
      <c r="H65" s="1">
        <v>64.842693600457224</v>
      </c>
      <c r="I65" s="1">
        <v>34</v>
      </c>
      <c r="J65" s="1">
        <f t="shared" si="41"/>
        <v>235805.19850825184</v>
      </c>
      <c r="K65" s="1">
        <f t="shared" si="42"/>
        <v>118576.19850825176</v>
      </c>
      <c r="N65">
        <f t="shared" si="40"/>
        <v>0</v>
      </c>
      <c r="O65">
        <f t="shared" si="40"/>
        <v>0</v>
      </c>
      <c r="P65">
        <f t="shared" si="40"/>
        <v>0</v>
      </c>
      <c r="Q65">
        <f t="shared" si="54"/>
        <v>0</v>
      </c>
      <c r="R65">
        <f t="shared" si="54"/>
        <v>0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si="54"/>
        <v>0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0</v>
      </c>
      <c r="AA65">
        <f t="shared" si="54"/>
        <v>0</v>
      </c>
      <c r="AB65">
        <f t="shared" si="54"/>
        <v>0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3"/>
        <v>0</v>
      </c>
      <c r="AH65">
        <f t="shared" si="53"/>
        <v>0</v>
      </c>
      <c r="AI65">
        <f t="shared" si="53"/>
        <v>0</v>
      </c>
      <c r="AJ65">
        <f t="shared" si="53"/>
        <v>0</v>
      </c>
      <c r="AK65">
        <f t="shared" si="53"/>
        <v>0</v>
      </c>
      <c r="AL65">
        <f t="shared" si="53"/>
        <v>0</v>
      </c>
      <c r="AM65">
        <f t="shared" si="53"/>
        <v>0</v>
      </c>
      <c r="AN65">
        <f t="shared" si="53"/>
        <v>0</v>
      </c>
      <c r="AO65">
        <f t="shared" si="53"/>
        <v>0</v>
      </c>
      <c r="AP65">
        <f t="shared" si="53"/>
        <v>0</v>
      </c>
      <c r="AQ65">
        <f t="shared" si="53"/>
        <v>0</v>
      </c>
      <c r="AR65">
        <f t="shared" si="53"/>
        <v>0</v>
      </c>
      <c r="AS65">
        <f t="shared" si="53"/>
        <v>0</v>
      </c>
      <c r="AT65">
        <f t="shared" si="53"/>
        <v>0</v>
      </c>
      <c r="AU65">
        <f t="shared" si="53"/>
        <v>0</v>
      </c>
      <c r="AV65">
        <f t="shared" si="55"/>
        <v>0</v>
      </c>
      <c r="AW65">
        <f t="shared" si="55"/>
        <v>0</v>
      </c>
      <c r="AX65">
        <f t="shared" si="55"/>
        <v>1</v>
      </c>
      <c r="AY65">
        <f t="shared" si="55"/>
        <v>0</v>
      </c>
      <c r="AZ65">
        <f t="shared" si="55"/>
        <v>0</v>
      </c>
    </row>
    <row r="66" spans="1:52" x14ac:dyDescent="0.25">
      <c r="A66" t="s">
        <v>43</v>
      </c>
      <c r="B66" s="3">
        <v>43859</v>
      </c>
      <c r="C66" s="1">
        <v>1523.6648389046331</v>
      </c>
      <c r="D66" s="1">
        <v>190.45810486307914</v>
      </c>
      <c r="E66" s="1">
        <f t="shared" si="38"/>
        <v>739.66483890463314</v>
      </c>
      <c r="F66" s="1">
        <f t="shared" si="39"/>
        <v>784</v>
      </c>
      <c r="G66" s="2">
        <v>8</v>
      </c>
      <c r="H66" s="1">
        <v>92.458104863079143</v>
      </c>
      <c r="I66" s="1">
        <v>98</v>
      </c>
      <c r="J66" s="1">
        <f t="shared" si="41"/>
        <v>237328.86334715647</v>
      </c>
      <c r="K66" s="1">
        <f t="shared" si="42"/>
        <v>119315.8633471564</v>
      </c>
      <c r="N66">
        <f t="shared" si="40"/>
        <v>0</v>
      </c>
      <c r="O66">
        <f t="shared" si="40"/>
        <v>0</v>
      </c>
      <c r="P66">
        <f t="shared" si="40"/>
        <v>0</v>
      </c>
      <c r="Q66">
        <f t="shared" si="54"/>
        <v>0</v>
      </c>
      <c r="R66">
        <f t="shared" si="54"/>
        <v>0</v>
      </c>
      <c r="S66">
        <f t="shared" si="54"/>
        <v>0</v>
      </c>
      <c r="T66">
        <f t="shared" si="54"/>
        <v>0</v>
      </c>
      <c r="U66">
        <f t="shared" si="54"/>
        <v>0</v>
      </c>
      <c r="V66">
        <f t="shared" si="54"/>
        <v>0</v>
      </c>
      <c r="W66">
        <f t="shared" si="54"/>
        <v>0</v>
      </c>
      <c r="X66">
        <f t="shared" si="54"/>
        <v>0</v>
      </c>
      <c r="Y66">
        <f t="shared" si="54"/>
        <v>0</v>
      </c>
      <c r="Z66">
        <f t="shared" si="54"/>
        <v>0</v>
      </c>
      <c r="AA66">
        <f t="shared" si="54"/>
        <v>0</v>
      </c>
      <c r="AB66">
        <f t="shared" si="54"/>
        <v>0</v>
      </c>
      <c r="AC66">
        <f t="shared" si="54"/>
        <v>0</v>
      </c>
      <c r="AD66">
        <f t="shared" si="54"/>
        <v>0</v>
      </c>
      <c r="AE66">
        <f t="shared" si="54"/>
        <v>0</v>
      </c>
      <c r="AF66">
        <f t="shared" si="54"/>
        <v>0</v>
      </c>
      <c r="AG66">
        <f t="shared" si="53"/>
        <v>0</v>
      </c>
      <c r="AH66">
        <f t="shared" si="53"/>
        <v>0</v>
      </c>
      <c r="AI66">
        <f t="shared" si="53"/>
        <v>0</v>
      </c>
      <c r="AJ66">
        <f t="shared" si="53"/>
        <v>0</v>
      </c>
      <c r="AK66">
        <f t="shared" si="53"/>
        <v>0</v>
      </c>
      <c r="AL66">
        <f t="shared" si="53"/>
        <v>0</v>
      </c>
      <c r="AM66">
        <f t="shared" si="53"/>
        <v>0</v>
      </c>
      <c r="AN66">
        <f t="shared" si="53"/>
        <v>0</v>
      </c>
      <c r="AO66">
        <f t="shared" si="53"/>
        <v>0</v>
      </c>
      <c r="AP66">
        <f t="shared" si="53"/>
        <v>0</v>
      </c>
      <c r="AQ66">
        <f t="shared" si="53"/>
        <v>0</v>
      </c>
      <c r="AR66">
        <f t="shared" si="53"/>
        <v>0</v>
      </c>
      <c r="AS66">
        <f t="shared" si="53"/>
        <v>0</v>
      </c>
      <c r="AT66">
        <f t="shared" si="53"/>
        <v>0</v>
      </c>
      <c r="AU66">
        <f t="shared" si="53"/>
        <v>0</v>
      </c>
      <c r="AV66">
        <f t="shared" si="55"/>
        <v>0</v>
      </c>
      <c r="AW66">
        <f t="shared" si="55"/>
        <v>0</v>
      </c>
      <c r="AX66">
        <f t="shared" si="55"/>
        <v>0</v>
      </c>
      <c r="AY66">
        <f t="shared" si="55"/>
        <v>1</v>
      </c>
      <c r="AZ66">
        <f t="shared" si="55"/>
        <v>0</v>
      </c>
    </row>
    <row r="67" spans="1:52" x14ac:dyDescent="0.25">
      <c r="A67" t="s">
        <v>28</v>
      </c>
      <c r="B67" s="3">
        <v>43859</v>
      </c>
      <c r="C67" s="1">
        <v>10651.565968190027</v>
      </c>
      <c r="D67" s="1">
        <v>138.33202556090944</v>
      </c>
      <c r="E67" s="1">
        <f t="shared" si="38"/>
        <v>4568.5659681900279</v>
      </c>
      <c r="F67" s="1">
        <f t="shared" si="39"/>
        <v>6083</v>
      </c>
      <c r="G67" s="2">
        <v>77</v>
      </c>
      <c r="H67" s="1">
        <v>59.33202556090945</v>
      </c>
      <c r="I67" s="1">
        <v>79</v>
      </c>
      <c r="J67" s="1">
        <f t="shared" si="41"/>
        <v>247980.4293153465</v>
      </c>
      <c r="K67" s="1">
        <f t="shared" si="42"/>
        <v>123884.42931534642</v>
      </c>
      <c r="N67">
        <f t="shared" si="40"/>
        <v>0</v>
      </c>
      <c r="O67">
        <f t="shared" si="40"/>
        <v>0</v>
      </c>
      <c r="P67">
        <f t="shared" si="40"/>
        <v>0</v>
      </c>
      <c r="Q67">
        <f t="shared" si="54"/>
        <v>0</v>
      </c>
      <c r="R67">
        <f t="shared" si="54"/>
        <v>0</v>
      </c>
      <c r="S67">
        <f t="shared" si="54"/>
        <v>0</v>
      </c>
      <c r="T67">
        <f t="shared" si="54"/>
        <v>0</v>
      </c>
      <c r="U67">
        <f t="shared" si="54"/>
        <v>0</v>
      </c>
      <c r="V67">
        <f t="shared" si="54"/>
        <v>0</v>
      </c>
      <c r="W67">
        <f t="shared" si="54"/>
        <v>0</v>
      </c>
      <c r="X67">
        <f t="shared" si="54"/>
        <v>0</v>
      </c>
      <c r="Y67">
        <f t="shared" si="54"/>
        <v>0</v>
      </c>
      <c r="Z67">
        <f t="shared" si="54"/>
        <v>0</v>
      </c>
      <c r="AA67">
        <f t="shared" si="54"/>
        <v>0</v>
      </c>
      <c r="AB67">
        <f t="shared" si="54"/>
        <v>0</v>
      </c>
      <c r="AC67">
        <f t="shared" si="54"/>
        <v>0</v>
      </c>
      <c r="AD67">
        <f t="shared" si="54"/>
        <v>0</v>
      </c>
      <c r="AE67">
        <f t="shared" si="54"/>
        <v>0</v>
      </c>
      <c r="AF67">
        <f t="shared" si="54"/>
        <v>0</v>
      </c>
      <c r="AG67">
        <f t="shared" si="53"/>
        <v>0</v>
      </c>
      <c r="AH67">
        <f t="shared" si="53"/>
        <v>0</v>
      </c>
      <c r="AI67">
        <f t="shared" si="53"/>
        <v>0</v>
      </c>
      <c r="AJ67">
        <f t="shared" si="53"/>
        <v>0</v>
      </c>
      <c r="AK67">
        <f t="shared" si="53"/>
        <v>0</v>
      </c>
      <c r="AL67">
        <f t="shared" si="53"/>
        <v>0</v>
      </c>
      <c r="AM67">
        <f t="shared" si="53"/>
        <v>0</v>
      </c>
      <c r="AN67">
        <f t="shared" si="53"/>
        <v>0</v>
      </c>
      <c r="AO67">
        <f t="shared" si="53"/>
        <v>0</v>
      </c>
      <c r="AP67">
        <f t="shared" si="53"/>
        <v>0</v>
      </c>
      <c r="AQ67">
        <f t="shared" si="53"/>
        <v>0</v>
      </c>
      <c r="AR67">
        <f t="shared" si="53"/>
        <v>0</v>
      </c>
      <c r="AS67">
        <f t="shared" si="53"/>
        <v>0</v>
      </c>
      <c r="AT67">
        <f t="shared" si="53"/>
        <v>1</v>
      </c>
      <c r="AU67">
        <f t="shared" si="53"/>
        <v>0</v>
      </c>
      <c r="AV67">
        <f t="shared" si="55"/>
        <v>0</v>
      </c>
      <c r="AW67">
        <f t="shared" si="55"/>
        <v>0</v>
      </c>
      <c r="AX67">
        <f t="shared" si="55"/>
        <v>0</v>
      </c>
      <c r="AY67">
        <f t="shared" si="55"/>
        <v>0</v>
      </c>
      <c r="AZ67">
        <f t="shared" si="55"/>
        <v>0</v>
      </c>
    </row>
    <row r="68" spans="1:52" x14ac:dyDescent="0.25">
      <c r="A68" t="s">
        <v>22</v>
      </c>
      <c r="B68" s="3">
        <v>43849</v>
      </c>
      <c r="C68" s="1">
        <v>4025.4957237476124</v>
      </c>
      <c r="D68" s="1">
        <v>118.39693305140037</v>
      </c>
      <c r="E68" s="1">
        <f t="shared" si="38"/>
        <v>2597.4957237476124</v>
      </c>
      <c r="F68" s="1">
        <f t="shared" si="39"/>
        <v>1428</v>
      </c>
      <c r="G68" s="2">
        <v>34</v>
      </c>
      <c r="H68" s="1">
        <v>76.396933051400367</v>
      </c>
      <c r="I68" s="1">
        <v>42</v>
      </c>
      <c r="J68" s="1">
        <f t="shared" si="41"/>
        <v>252005.92503909412</v>
      </c>
      <c r="K68" s="1">
        <f t="shared" si="42"/>
        <v>126481.92503909404</v>
      </c>
      <c r="N68">
        <f t="shared" si="40"/>
        <v>0</v>
      </c>
      <c r="O68">
        <f t="shared" si="40"/>
        <v>0</v>
      </c>
      <c r="P68">
        <f t="shared" si="40"/>
        <v>0</v>
      </c>
      <c r="Q68">
        <f t="shared" si="54"/>
        <v>0</v>
      </c>
      <c r="R68">
        <f t="shared" si="54"/>
        <v>0</v>
      </c>
      <c r="S68">
        <f t="shared" si="54"/>
        <v>0</v>
      </c>
      <c r="T68">
        <f t="shared" si="54"/>
        <v>0</v>
      </c>
      <c r="U68">
        <f t="shared" si="54"/>
        <v>0</v>
      </c>
      <c r="V68">
        <f t="shared" si="54"/>
        <v>0</v>
      </c>
      <c r="W68">
        <f t="shared" si="54"/>
        <v>0</v>
      </c>
      <c r="X68">
        <f t="shared" si="54"/>
        <v>0</v>
      </c>
      <c r="Y68">
        <f t="shared" si="54"/>
        <v>0</v>
      </c>
      <c r="Z68">
        <f t="shared" si="54"/>
        <v>0</v>
      </c>
      <c r="AA68">
        <f t="shared" si="54"/>
        <v>0</v>
      </c>
      <c r="AB68">
        <f t="shared" si="54"/>
        <v>0</v>
      </c>
      <c r="AC68">
        <f t="shared" si="54"/>
        <v>0</v>
      </c>
      <c r="AD68">
        <f t="shared" si="54"/>
        <v>0</v>
      </c>
      <c r="AE68">
        <f t="shared" si="54"/>
        <v>0</v>
      </c>
      <c r="AF68">
        <f t="shared" si="54"/>
        <v>0</v>
      </c>
      <c r="AG68">
        <f t="shared" si="53"/>
        <v>0</v>
      </c>
      <c r="AH68">
        <f t="shared" si="53"/>
        <v>0</v>
      </c>
      <c r="AI68">
        <f t="shared" si="53"/>
        <v>0</v>
      </c>
      <c r="AJ68">
        <f t="shared" si="53"/>
        <v>0</v>
      </c>
      <c r="AK68">
        <f t="shared" si="53"/>
        <v>0</v>
      </c>
      <c r="AL68">
        <f t="shared" si="53"/>
        <v>0</v>
      </c>
      <c r="AM68">
        <f t="shared" si="53"/>
        <v>0</v>
      </c>
      <c r="AN68">
        <f t="shared" si="53"/>
        <v>0</v>
      </c>
      <c r="AO68">
        <f t="shared" si="53"/>
        <v>0</v>
      </c>
      <c r="AP68">
        <f t="shared" si="53"/>
        <v>0</v>
      </c>
      <c r="AQ68">
        <f t="shared" si="53"/>
        <v>0</v>
      </c>
      <c r="AR68">
        <f t="shared" si="53"/>
        <v>0</v>
      </c>
      <c r="AS68">
        <f t="shared" si="53"/>
        <v>0</v>
      </c>
      <c r="AT68">
        <f t="shared" si="53"/>
        <v>0</v>
      </c>
      <c r="AU68">
        <f t="shared" si="53"/>
        <v>0</v>
      </c>
      <c r="AV68">
        <f t="shared" si="55"/>
        <v>0</v>
      </c>
      <c r="AW68">
        <f t="shared" si="55"/>
        <v>0</v>
      </c>
      <c r="AX68">
        <f t="shared" si="55"/>
        <v>1</v>
      </c>
      <c r="AY68">
        <f t="shared" si="55"/>
        <v>0</v>
      </c>
      <c r="AZ68">
        <f t="shared" si="55"/>
        <v>0</v>
      </c>
    </row>
    <row r="69" spans="1:52" x14ac:dyDescent="0.25">
      <c r="A69" t="s">
        <v>15</v>
      </c>
      <c r="B69" s="3">
        <v>43845</v>
      </c>
      <c r="C69" s="1">
        <v>2152.883115525522</v>
      </c>
      <c r="D69" s="1">
        <v>179.4069262937935</v>
      </c>
      <c r="E69" s="1">
        <f t="shared" si="38"/>
        <v>892.88311552552182</v>
      </c>
      <c r="F69" s="1">
        <f t="shared" si="39"/>
        <v>1260</v>
      </c>
      <c r="G69" s="2">
        <v>12</v>
      </c>
      <c r="H69" s="1">
        <v>74.406926293793489</v>
      </c>
      <c r="I69" s="1">
        <v>105</v>
      </c>
      <c r="J69" s="1">
        <f t="shared" si="41"/>
        <v>254158.80815461965</v>
      </c>
      <c r="K69" s="1">
        <f t="shared" si="42"/>
        <v>127374.80815461956</v>
      </c>
      <c r="N69">
        <f t="shared" si="40"/>
        <v>0</v>
      </c>
      <c r="O69">
        <f t="shared" si="40"/>
        <v>0</v>
      </c>
      <c r="P69">
        <f t="shared" si="40"/>
        <v>0</v>
      </c>
      <c r="Q69">
        <f t="shared" si="54"/>
        <v>0</v>
      </c>
      <c r="R69">
        <f t="shared" si="54"/>
        <v>0</v>
      </c>
      <c r="S69">
        <f t="shared" si="54"/>
        <v>0</v>
      </c>
      <c r="T69">
        <f t="shared" si="54"/>
        <v>0</v>
      </c>
      <c r="U69">
        <f t="shared" si="54"/>
        <v>0</v>
      </c>
      <c r="V69">
        <f t="shared" si="54"/>
        <v>0</v>
      </c>
      <c r="W69">
        <f t="shared" si="54"/>
        <v>0</v>
      </c>
      <c r="X69">
        <f t="shared" si="54"/>
        <v>0</v>
      </c>
      <c r="Y69">
        <f t="shared" si="54"/>
        <v>0</v>
      </c>
      <c r="Z69">
        <f t="shared" si="54"/>
        <v>0</v>
      </c>
      <c r="AA69">
        <f t="shared" si="54"/>
        <v>0</v>
      </c>
      <c r="AB69">
        <f t="shared" si="54"/>
        <v>0</v>
      </c>
      <c r="AC69">
        <f t="shared" si="54"/>
        <v>0</v>
      </c>
      <c r="AD69">
        <f t="shared" si="54"/>
        <v>0</v>
      </c>
      <c r="AE69">
        <f t="shared" si="54"/>
        <v>0</v>
      </c>
      <c r="AF69">
        <f t="shared" si="54"/>
        <v>0</v>
      </c>
      <c r="AG69">
        <f t="shared" si="53"/>
        <v>0</v>
      </c>
      <c r="AH69">
        <f t="shared" si="53"/>
        <v>0</v>
      </c>
      <c r="AI69">
        <f t="shared" si="53"/>
        <v>0</v>
      </c>
      <c r="AJ69">
        <f t="shared" si="53"/>
        <v>0</v>
      </c>
      <c r="AK69">
        <f t="shared" si="53"/>
        <v>0</v>
      </c>
      <c r="AL69">
        <f t="shared" si="53"/>
        <v>0</v>
      </c>
      <c r="AM69">
        <f t="shared" si="53"/>
        <v>0</v>
      </c>
      <c r="AN69">
        <f t="shared" si="53"/>
        <v>0</v>
      </c>
      <c r="AO69">
        <f t="shared" si="53"/>
        <v>0</v>
      </c>
      <c r="AP69">
        <f t="shared" si="53"/>
        <v>0</v>
      </c>
      <c r="AQ69">
        <f t="shared" si="53"/>
        <v>0</v>
      </c>
      <c r="AR69">
        <f t="shared" si="53"/>
        <v>1</v>
      </c>
      <c r="AS69">
        <f t="shared" si="53"/>
        <v>0</v>
      </c>
      <c r="AT69">
        <f t="shared" si="53"/>
        <v>0</v>
      </c>
      <c r="AU69">
        <f t="shared" si="53"/>
        <v>0</v>
      </c>
      <c r="AV69">
        <f t="shared" si="55"/>
        <v>0</v>
      </c>
      <c r="AW69">
        <f t="shared" si="55"/>
        <v>0</v>
      </c>
      <c r="AX69">
        <f t="shared" si="55"/>
        <v>0</v>
      </c>
      <c r="AY69">
        <f t="shared" si="55"/>
        <v>0</v>
      </c>
      <c r="AZ69">
        <f t="shared" si="55"/>
        <v>0</v>
      </c>
    </row>
    <row r="70" spans="1:52" x14ac:dyDescent="0.25">
      <c r="A70" t="s">
        <v>46</v>
      </c>
      <c r="B70" s="3">
        <v>43840</v>
      </c>
      <c r="C70" s="1">
        <v>228.44562516672124</v>
      </c>
      <c r="D70" s="1">
        <v>57.111406291680311</v>
      </c>
      <c r="E70" s="1">
        <f t="shared" si="38"/>
        <v>148.44562516672124</v>
      </c>
      <c r="F70" s="1">
        <f t="shared" si="39"/>
        <v>80</v>
      </c>
      <c r="G70" s="2">
        <v>4</v>
      </c>
      <c r="H70" s="1">
        <v>37.111406291680311</v>
      </c>
      <c r="I70" s="1">
        <v>20</v>
      </c>
      <c r="J70" s="1">
        <f t="shared" si="41"/>
        <v>254387.25377978638</v>
      </c>
      <c r="K70" s="1">
        <f t="shared" si="42"/>
        <v>127523.25377978628</v>
      </c>
      <c r="N70">
        <f t="shared" si="40"/>
        <v>0</v>
      </c>
      <c r="O70">
        <f t="shared" si="40"/>
        <v>1</v>
      </c>
      <c r="P70">
        <f t="shared" si="40"/>
        <v>0</v>
      </c>
      <c r="Q70">
        <f t="shared" si="54"/>
        <v>0</v>
      </c>
      <c r="R70">
        <f t="shared" si="54"/>
        <v>0</v>
      </c>
      <c r="S70">
        <f t="shared" si="54"/>
        <v>0</v>
      </c>
      <c r="T70">
        <f t="shared" si="54"/>
        <v>0</v>
      </c>
      <c r="U70">
        <f t="shared" si="54"/>
        <v>0</v>
      </c>
      <c r="V70">
        <f t="shared" si="54"/>
        <v>0</v>
      </c>
      <c r="W70">
        <f t="shared" si="54"/>
        <v>0</v>
      </c>
      <c r="X70">
        <f t="shared" si="54"/>
        <v>0</v>
      </c>
      <c r="Y70">
        <f t="shared" si="54"/>
        <v>0</v>
      </c>
      <c r="Z70">
        <f t="shared" si="54"/>
        <v>0</v>
      </c>
      <c r="AA70">
        <f t="shared" si="54"/>
        <v>0</v>
      </c>
      <c r="AB70">
        <f t="shared" si="54"/>
        <v>0</v>
      </c>
      <c r="AC70">
        <f t="shared" si="54"/>
        <v>0</v>
      </c>
      <c r="AD70">
        <f t="shared" si="54"/>
        <v>0</v>
      </c>
      <c r="AE70">
        <f t="shared" si="54"/>
        <v>0</v>
      </c>
      <c r="AF70">
        <f t="shared" si="54"/>
        <v>0</v>
      </c>
      <c r="AG70">
        <f t="shared" si="53"/>
        <v>0</v>
      </c>
      <c r="AH70">
        <f t="shared" si="53"/>
        <v>0</v>
      </c>
      <c r="AI70">
        <f t="shared" si="53"/>
        <v>0</v>
      </c>
      <c r="AJ70">
        <f t="shared" si="53"/>
        <v>0</v>
      </c>
      <c r="AK70">
        <f t="shared" si="53"/>
        <v>0</v>
      </c>
      <c r="AL70">
        <f t="shared" si="53"/>
        <v>0</v>
      </c>
      <c r="AM70">
        <f t="shared" si="53"/>
        <v>0</v>
      </c>
      <c r="AN70">
        <f t="shared" si="53"/>
        <v>0</v>
      </c>
      <c r="AO70">
        <f t="shared" si="53"/>
        <v>0</v>
      </c>
      <c r="AP70">
        <f t="shared" si="53"/>
        <v>0</v>
      </c>
      <c r="AQ70">
        <f t="shared" si="53"/>
        <v>0</v>
      </c>
      <c r="AR70">
        <f t="shared" si="53"/>
        <v>0</v>
      </c>
      <c r="AS70">
        <f t="shared" si="53"/>
        <v>0</v>
      </c>
      <c r="AT70">
        <f t="shared" si="53"/>
        <v>0</v>
      </c>
      <c r="AU70">
        <f t="shared" si="53"/>
        <v>0</v>
      </c>
      <c r="AV70">
        <f t="shared" si="55"/>
        <v>0</v>
      </c>
      <c r="AW70">
        <f t="shared" si="55"/>
        <v>0</v>
      </c>
      <c r="AX70">
        <f t="shared" si="55"/>
        <v>0</v>
      </c>
      <c r="AY70">
        <f t="shared" si="55"/>
        <v>0</v>
      </c>
      <c r="AZ70">
        <f t="shared" si="55"/>
        <v>0</v>
      </c>
    </row>
    <row r="71" spans="1:52" x14ac:dyDescent="0.25">
      <c r="A71" t="s">
        <v>26</v>
      </c>
      <c r="B71" s="3">
        <v>43839</v>
      </c>
      <c r="C71" s="1">
        <v>2662.8484006213589</v>
      </c>
      <c r="D71" s="1">
        <v>91.82235864211583</v>
      </c>
      <c r="E71" s="1">
        <f t="shared" ref="E71:E134" si="56">+G71*H71</f>
        <v>1589.8484006213591</v>
      </c>
      <c r="F71" s="1">
        <f t="shared" ref="F71:F134" si="57">+G71*I71</f>
        <v>1073</v>
      </c>
      <c r="G71" s="2">
        <v>29</v>
      </c>
      <c r="H71" s="1">
        <v>54.82235864211583</v>
      </c>
      <c r="I71" s="1">
        <v>37</v>
      </c>
      <c r="J71" s="1">
        <f t="shared" si="41"/>
        <v>257050.10218040773</v>
      </c>
      <c r="K71" s="1">
        <f t="shared" si="42"/>
        <v>129113.10218040763</v>
      </c>
      <c r="N71">
        <f t="shared" ref="N71:AC134" si="58">+IF(N$5=$A71,1,0)</f>
        <v>1</v>
      </c>
      <c r="O71">
        <f t="shared" si="58"/>
        <v>0</v>
      </c>
      <c r="P71">
        <f t="shared" si="58"/>
        <v>0</v>
      </c>
      <c r="Q71">
        <f t="shared" si="54"/>
        <v>0</v>
      </c>
      <c r="R71">
        <f t="shared" si="54"/>
        <v>0</v>
      </c>
      <c r="S71">
        <f t="shared" si="54"/>
        <v>0</v>
      </c>
      <c r="T71">
        <f t="shared" si="54"/>
        <v>0</v>
      </c>
      <c r="U71">
        <f t="shared" si="54"/>
        <v>0</v>
      </c>
      <c r="V71">
        <f t="shared" si="54"/>
        <v>0</v>
      </c>
      <c r="W71">
        <f t="shared" si="54"/>
        <v>0</v>
      </c>
      <c r="X71">
        <f t="shared" si="54"/>
        <v>0</v>
      </c>
      <c r="Y71">
        <f t="shared" si="54"/>
        <v>0</v>
      </c>
      <c r="Z71">
        <f t="shared" si="54"/>
        <v>0</v>
      </c>
      <c r="AA71">
        <f t="shared" si="54"/>
        <v>0</v>
      </c>
      <c r="AB71">
        <f t="shared" si="54"/>
        <v>0</v>
      </c>
      <c r="AC71">
        <f t="shared" si="54"/>
        <v>0</v>
      </c>
      <c r="AD71">
        <f t="shared" si="54"/>
        <v>0</v>
      </c>
      <c r="AE71">
        <f t="shared" si="54"/>
        <v>0</v>
      </c>
      <c r="AF71">
        <f t="shared" si="54"/>
        <v>0</v>
      </c>
      <c r="AG71">
        <f t="shared" si="53"/>
        <v>0</v>
      </c>
      <c r="AH71">
        <f t="shared" si="53"/>
        <v>0</v>
      </c>
      <c r="AI71">
        <f t="shared" si="53"/>
        <v>0</v>
      </c>
      <c r="AJ71">
        <f t="shared" si="53"/>
        <v>0</v>
      </c>
      <c r="AK71">
        <f t="shared" si="53"/>
        <v>0</v>
      </c>
      <c r="AL71">
        <f t="shared" si="53"/>
        <v>0</v>
      </c>
      <c r="AM71">
        <f t="shared" si="53"/>
        <v>0</v>
      </c>
      <c r="AN71">
        <f t="shared" si="53"/>
        <v>0</v>
      </c>
      <c r="AO71">
        <f t="shared" si="53"/>
        <v>0</v>
      </c>
      <c r="AP71">
        <f t="shared" si="53"/>
        <v>0</v>
      </c>
      <c r="AQ71">
        <f t="shared" si="53"/>
        <v>0</v>
      </c>
      <c r="AR71">
        <f t="shared" si="53"/>
        <v>0</v>
      </c>
      <c r="AS71">
        <f t="shared" si="53"/>
        <v>0</v>
      </c>
      <c r="AT71">
        <f t="shared" si="53"/>
        <v>0</v>
      </c>
      <c r="AU71">
        <f t="shared" si="53"/>
        <v>0</v>
      </c>
      <c r="AV71">
        <f t="shared" si="55"/>
        <v>0</v>
      </c>
      <c r="AW71">
        <f t="shared" si="55"/>
        <v>0</v>
      </c>
      <c r="AX71">
        <f t="shared" si="55"/>
        <v>0</v>
      </c>
      <c r="AY71">
        <f t="shared" si="55"/>
        <v>0</v>
      </c>
      <c r="AZ71">
        <f t="shared" si="55"/>
        <v>0</v>
      </c>
    </row>
    <row r="72" spans="1:52" x14ac:dyDescent="0.25">
      <c r="A72" t="s">
        <v>29</v>
      </c>
      <c r="B72" s="3">
        <v>43835</v>
      </c>
      <c r="C72" s="1">
        <v>1284.1485061504968</v>
      </c>
      <c r="D72" s="1">
        <v>128.41485061504969</v>
      </c>
      <c r="E72" s="1">
        <f t="shared" si="56"/>
        <v>614.14850615049681</v>
      </c>
      <c r="F72" s="1">
        <f t="shared" si="57"/>
        <v>670</v>
      </c>
      <c r="G72" s="2">
        <v>10</v>
      </c>
      <c r="H72" s="1">
        <v>61.414850615049687</v>
      </c>
      <c r="I72" s="1">
        <v>67</v>
      </c>
      <c r="J72" s="1">
        <f t="shared" ref="J72:J135" si="59">+J71+C72</f>
        <v>258334.25068655823</v>
      </c>
      <c r="K72" s="1">
        <f t="shared" ref="K72:K135" si="60">+K71+E72</f>
        <v>129727.25068655812</v>
      </c>
      <c r="N72">
        <f t="shared" si="58"/>
        <v>0</v>
      </c>
      <c r="O72">
        <f t="shared" si="58"/>
        <v>0</v>
      </c>
      <c r="P72">
        <f t="shared" si="58"/>
        <v>0</v>
      </c>
      <c r="Q72">
        <f t="shared" si="54"/>
        <v>0</v>
      </c>
      <c r="R72">
        <f t="shared" si="54"/>
        <v>0</v>
      </c>
      <c r="S72">
        <f t="shared" si="54"/>
        <v>0</v>
      </c>
      <c r="T72">
        <f t="shared" si="54"/>
        <v>0</v>
      </c>
      <c r="U72">
        <f t="shared" si="54"/>
        <v>0</v>
      </c>
      <c r="V72">
        <f t="shared" si="54"/>
        <v>0</v>
      </c>
      <c r="W72">
        <f t="shared" si="54"/>
        <v>0</v>
      </c>
      <c r="X72">
        <f t="shared" si="54"/>
        <v>0</v>
      </c>
      <c r="Y72">
        <f t="shared" si="54"/>
        <v>0</v>
      </c>
      <c r="Z72">
        <f t="shared" si="54"/>
        <v>0</v>
      </c>
      <c r="AA72">
        <f t="shared" si="54"/>
        <v>0</v>
      </c>
      <c r="AB72">
        <f t="shared" si="54"/>
        <v>0</v>
      </c>
      <c r="AC72">
        <f t="shared" si="54"/>
        <v>0</v>
      </c>
      <c r="AD72">
        <f t="shared" si="54"/>
        <v>0</v>
      </c>
      <c r="AE72">
        <f t="shared" si="54"/>
        <v>0</v>
      </c>
      <c r="AF72">
        <f t="shared" si="54"/>
        <v>0</v>
      </c>
      <c r="AG72">
        <f t="shared" si="53"/>
        <v>0</v>
      </c>
      <c r="AH72">
        <f t="shared" si="53"/>
        <v>0</v>
      </c>
      <c r="AI72">
        <f t="shared" si="53"/>
        <v>0</v>
      </c>
      <c r="AJ72">
        <f t="shared" si="53"/>
        <v>0</v>
      </c>
      <c r="AK72">
        <f t="shared" si="53"/>
        <v>0</v>
      </c>
      <c r="AL72">
        <f t="shared" si="53"/>
        <v>0</v>
      </c>
      <c r="AM72">
        <f t="shared" si="53"/>
        <v>0</v>
      </c>
      <c r="AN72">
        <f t="shared" si="53"/>
        <v>0</v>
      </c>
      <c r="AO72">
        <f t="shared" si="53"/>
        <v>0</v>
      </c>
      <c r="AP72">
        <f t="shared" si="53"/>
        <v>0</v>
      </c>
      <c r="AQ72">
        <f t="shared" si="53"/>
        <v>0</v>
      </c>
      <c r="AR72">
        <f t="shared" si="53"/>
        <v>0</v>
      </c>
      <c r="AS72">
        <f t="shared" si="53"/>
        <v>1</v>
      </c>
      <c r="AT72">
        <f t="shared" si="53"/>
        <v>0</v>
      </c>
      <c r="AU72">
        <f t="shared" si="53"/>
        <v>0</v>
      </c>
      <c r="AV72">
        <f t="shared" si="55"/>
        <v>0</v>
      </c>
      <c r="AW72">
        <f t="shared" si="55"/>
        <v>0</v>
      </c>
      <c r="AX72">
        <f t="shared" si="55"/>
        <v>0</v>
      </c>
      <c r="AY72">
        <f t="shared" si="55"/>
        <v>0</v>
      </c>
      <c r="AZ72">
        <f t="shared" si="55"/>
        <v>0</v>
      </c>
    </row>
    <row r="73" spans="1:52" x14ac:dyDescent="0.25">
      <c r="A73" t="s">
        <v>18</v>
      </c>
      <c r="B73" s="3">
        <v>43830</v>
      </c>
      <c r="C73" s="1">
        <v>5927.4676444662664</v>
      </c>
      <c r="D73" s="1">
        <v>144.57238157234795</v>
      </c>
      <c r="E73" s="1">
        <f t="shared" si="56"/>
        <v>3180.4676444662659</v>
      </c>
      <c r="F73" s="1">
        <f t="shared" si="57"/>
        <v>2747</v>
      </c>
      <c r="G73" s="2">
        <v>41</v>
      </c>
      <c r="H73" s="1">
        <v>77.57238157234795</v>
      </c>
      <c r="I73" s="1">
        <v>67</v>
      </c>
      <c r="J73" s="1">
        <f t="shared" si="59"/>
        <v>264261.71833102452</v>
      </c>
      <c r="K73" s="1">
        <f t="shared" si="60"/>
        <v>132907.7183310244</v>
      </c>
      <c r="N73">
        <f t="shared" si="58"/>
        <v>0</v>
      </c>
      <c r="O73">
        <f t="shared" si="58"/>
        <v>0</v>
      </c>
      <c r="P73">
        <f t="shared" si="58"/>
        <v>0</v>
      </c>
      <c r="Q73">
        <f t="shared" si="54"/>
        <v>0</v>
      </c>
      <c r="R73">
        <f t="shared" si="54"/>
        <v>0</v>
      </c>
      <c r="S73">
        <f t="shared" si="54"/>
        <v>0</v>
      </c>
      <c r="T73">
        <f t="shared" si="54"/>
        <v>0</v>
      </c>
      <c r="U73">
        <f t="shared" si="54"/>
        <v>1</v>
      </c>
      <c r="V73">
        <f t="shared" si="54"/>
        <v>0</v>
      </c>
      <c r="W73">
        <f t="shared" si="54"/>
        <v>0</v>
      </c>
      <c r="X73">
        <f t="shared" si="54"/>
        <v>0</v>
      </c>
      <c r="Y73">
        <f t="shared" si="54"/>
        <v>0</v>
      </c>
      <c r="Z73">
        <f t="shared" si="54"/>
        <v>0</v>
      </c>
      <c r="AA73">
        <f t="shared" si="54"/>
        <v>0</v>
      </c>
      <c r="AB73">
        <f t="shared" si="54"/>
        <v>0</v>
      </c>
      <c r="AC73">
        <f t="shared" si="54"/>
        <v>0</v>
      </c>
      <c r="AD73">
        <f t="shared" si="54"/>
        <v>0</v>
      </c>
      <c r="AE73">
        <f t="shared" si="54"/>
        <v>0</v>
      </c>
      <c r="AF73">
        <f t="shared" si="54"/>
        <v>0</v>
      </c>
      <c r="AG73">
        <f t="shared" si="53"/>
        <v>0</v>
      </c>
      <c r="AH73">
        <f t="shared" si="53"/>
        <v>0</v>
      </c>
      <c r="AI73">
        <f t="shared" si="53"/>
        <v>0</v>
      </c>
      <c r="AJ73">
        <f t="shared" si="53"/>
        <v>0</v>
      </c>
      <c r="AK73">
        <f t="shared" si="53"/>
        <v>0</v>
      </c>
      <c r="AL73">
        <f t="shared" si="53"/>
        <v>0</v>
      </c>
      <c r="AM73">
        <f t="shared" si="53"/>
        <v>0</v>
      </c>
      <c r="AN73">
        <f t="shared" si="53"/>
        <v>0</v>
      </c>
      <c r="AO73">
        <f t="shared" si="53"/>
        <v>0</v>
      </c>
      <c r="AP73">
        <f t="shared" si="53"/>
        <v>0</v>
      </c>
      <c r="AQ73">
        <f t="shared" si="53"/>
        <v>0</v>
      </c>
      <c r="AR73">
        <f t="shared" si="53"/>
        <v>0</v>
      </c>
      <c r="AS73">
        <f t="shared" si="53"/>
        <v>0</v>
      </c>
      <c r="AT73">
        <f t="shared" si="53"/>
        <v>0</v>
      </c>
      <c r="AU73">
        <f t="shared" si="53"/>
        <v>0</v>
      </c>
      <c r="AV73">
        <f t="shared" si="55"/>
        <v>0</v>
      </c>
      <c r="AW73">
        <f t="shared" si="55"/>
        <v>0</v>
      </c>
      <c r="AX73">
        <f t="shared" si="55"/>
        <v>0</v>
      </c>
      <c r="AY73">
        <f t="shared" si="55"/>
        <v>0</v>
      </c>
      <c r="AZ73">
        <f t="shared" si="55"/>
        <v>0</v>
      </c>
    </row>
    <row r="74" spans="1:52" x14ac:dyDescent="0.25">
      <c r="A74" t="s">
        <v>44</v>
      </c>
      <c r="B74" s="3">
        <v>43809</v>
      </c>
      <c r="C74" s="1">
        <v>7412.7421929311422</v>
      </c>
      <c r="D74" s="1">
        <v>176.49386173645576</v>
      </c>
      <c r="E74" s="1">
        <f t="shared" si="56"/>
        <v>3632.7421929311413</v>
      </c>
      <c r="F74" s="1">
        <f t="shared" si="57"/>
        <v>3780</v>
      </c>
      <c r="G74" s="2">
        <v>42</v>
      </c>
      <c r="H74" s="1">
        <v>86.493861736455742</v>
      </c>
      <c r="I74" s="1">
        <v>90</v>
      </c>
      <c r="J74" s="1">
        <f t="shared" si="59"/>
        <v>271674.46052395564</v>
      </c>
      <c r="K74" s="1">
        <f t="shared" si="60"/>
        <v>136540.46052395555</v>
      </c>
      <c r="N74">
        <f t="shared" si="58"/>
        <v>0</v>
      </c>
      <c r="O74">
        <f t="shared" si="58"/>
        <v>0</v>
      </c>
      <c r="P74">
        <f t="shared" si="58"/>
        <v>0</v>
      </c>
      <c r="Q74">
        <f t="shared" si="54"/>
        <v>0</v>
      </c>
      <c r="R74">
        <f t="shared" si="54"/>
        <v>0</v>
      </c>
      <c r="S74">
        <f t="shared" si="54"/>
        <v>0</v>
      </c>
      <c r="T74">
        <f t="shared" si="54"/>
        <v>0</v>
      </c>
      <c r="U74">
        <f t="shared" si="54"/>
        <v>0</v>
      </c>
      <c r="V74">
        <f t="shared" si="54"/>
        <v>0</v>
      </c>
      <c r="W74">
        <f t="shared" si="54"/>
        <v>0</v>
      </c>
      <c r="X74">
        <f t="shared" si="54"/>
        <v>0</v>
      </c>
      <c r="Y74">
        <f t="shared" si="54"/>
        <v>0</v>
      </c>
      <c r="Z74">
        <f t="shared" si="54"/>
        <v>0</v>
      </c>
      <c r="AA74">
        <f t="shared" si="54"/>
        <v>0</v>
      </c>
      <c r="AB74">
        <f t="shared" si="54"/>
        <v>0</v>
      </c>
      <c r="AC74">
        <f t="shared" si="54"/>
        <v>0</v>
      </c>
      <c r="AD74">
        <f t="shared" si="54"/>
        <v>0</v>
      </c>
      <c r="AE74">
        <f t="shared" si="54"/>
        <v>0</v>
      </c>
      <c r="AF74">
        <f t="shared" ref="AF74:AU94" si="61">+IF(AF$5=$A74,1,0)</f>
        <v>0</v>
      </c>
      <c r="AG74">
        <f t="shared" si="61"/>
        <v>0</v>
      </c>
      <c r="AH74">
        <f t="shared" si="61"/>
        <v>0</v>
      </c>
      <c r="AI74">
        <f t="shared" si="61"/>
        <v>0</v>
      </c>
      <c r="AJ74">
        <f t="shared" si="61"/>
        <v>0</v>
      </c>
      <c r="AK74">
        <f t="shared" si="61"/>
        <v>0</v>
      </c>
      <c r="AL74">
        <f t="shared" si="61"/>
        <v>0</v>
      </c>
      <c r="AM74">
        <f t="shared" si="61"/>
        <v>0</v>
      </c>
      <c r="AN74">
        <f t="shared" si="61"/>
        <v>0</v>
      </c>
      <c r="AO74">
        <f t="shared" si="61"/>
        <v>0</v>
      </c>
      <c r="AP74">
        <f t="shared" si="61"/>
        <v>0</v>
      </c>
      <c r="AQ74">
        <f t="shared" si="61"/>
        <v>0</v>
      </c>
      <c r="AR74">
        <f t="shared" si="61"/>
        <v>0</v>
      </c>
      <c r="AS74">
        <f t="shared" si="61"/>
        <v>0</v>
      </c>
      <c r="AT74">
        <f t="shared" si="61"/>
        <v>0</v>
      </c>
      <c r="AU74">
        <f t="shared" si="61"/>
        <v>1</v>
      </c>
      <c r="AV74">
        <f t="shared" si="55"/>
        <v>0</v>
      </c>
      <c r="AW74">
        <f t="shared" si="55"/>
        <v>0</v>
      </c>
      <c r="AX74">
        <f t="shared" si="55"/>
        <v>0</v>
      </c>
      <c r="AY74">
        <f t="shared" si="55"/>
        <v>0</v>
      </c>
      <c r="AZ74">
        <f t="shared" si="55"/>
        <v>0</v>
      </c>
    </row>
    <row r="75" spans="1:52" x14ac:dyDescent="0.25">
      <c r="A75" t="s">
        <v>42</v>
      </c>
      <c r="B75" s="3">
        <v>43809</v>
      </c>
      <c r="C75" s="1">
        <v>6144.2860188286268</v>
      </c>
      <c r="D75" s="1">
        <v>130.7294897623112</v>
      </c>
      <c r="E75" s="1">
        <f t="shared" si="56"/>
        <v>2854.2860188286268</v>
      </c>
      <c r="F75" s="1">
        <f t="shared" si="57"/>
        <v>3290</v>
      </c>
      <c r="G75" s="2">
        <v>47</v>
      </c>
      <c r="H75" s="1">
        <v>60.729489762311211</v>
      </c>
      <c r="I75" s="1">
        <v>70</v>
      </c>
      <c r="J75" s="1">
        <f t="shared" si="59"/>
        <v>277818.74654278427</v>
      </c>
      <c r="K75" s="1">
        <f t="shared" si="60"/>
        <v>139394.74654278418</v>
      </c>
      <c r="N75">
        <f t="shared" si="58"/>
        <v>0</v>
      </c>
      <c r="O75">
        <f t="shared" si="58"/>
        <v>0</v>
      </c>
      <c r="P75">
        <f t="shared" si="58"/>
        <v>0</v>
      </c>
      <c r="Q75">
        <f t="shared" si="58"/>
        <v>0</v>
      </c>
      <c r="R75">
        <f t="shared" si="58"/>
        <v>0</v>
      </c>
      <c r="S75">
        <f t="shared" si="58"/>
        <v>0</v>
      </c>
      <c r="T75">
        <f t="shared" si="58"/>
        <v>0</v>
      </c>
      <c r="U75">
        <f t="shared" si="58"/>
        <v>0</v>
      </c>
      <c r="V75">
        <f t="shared" si="58"/>
        <v>0</v>
      </c>
      <c r="W75">
        <f t="shared" si="58"/>
        <v>0</v>
      </c>
      <c r="X75">
        <f t="shared" si="58"/>
        <v>0</v>
      </c>
      <c r="Y75">
        <f t="shared" si="58"/>
        <v>0</v>
      </c>
      <c r="Z75">
        <f t="shared" si="58"/>
        <v>1</v>
      </c>
      <c r="AA75">
        <f t="shared" si="58"/>
        <v>0</v>
      </c>
      <c r="AB75">
        <f t="shared" si="58"/>
        <v>0</v>
      </c>
      <c r="AC75">
        <f t="shared" si="58"/>
        <v>0</v>
      </c>
      <c r="AD75">
        <f t="shared" ref="AD75:AS94" si="62">+IF(AD$5=$A75,1,0)</f>
        <v>0</v>
      </c>
      <c r="AE75">
        <f t="shared" si="62"/>
        <v>0</v>
      </c>
      <c r="AF75">
        <f t="shared" si="62"/>
        <v>0</v>
      </c>
      <c r="AG75">
        <f t="shared" si="62"/>
        <v>0</v>
      </c>
      <c r="AH75">
        <f t="shared" si="62"/>
        <v>0</v>
      </c>
      <c r="AI75">
        <f t="shared" si="62"/>
        <v>0</v>
      </c>
      <c r="AJ75">
        <f t="shared" si="62"/>
        <v>0</v>
      </c>
      <c r="AK75">
        <f t="shared" si="62"/>
        <v>0</v>
      </c>
      <c r="AL75">
        <f t="shared" si="62"/>
        <v>0</v>
      </c>
      <c r="AM75">
        <f t="shared" si="62"/>
        <v>0</v>
      </c>
      <c r="AN75">
        <f t="shared" si="62"/>
        <v>0</v>
      </c>
      <c r="AO75">
        <f t="shared" si="62"/>
        <v>0</v>
      </c>
      <c r="AP75">
        <f t="shared" si="62"/>
        <v>0</v>
      </c>
      <c r="AQ75">
        <f t="shared" si="62"/>
        <v>0</v>
      </c>
      <c r="AR75">
        <f t="shared" si="62"/>
        <v>0</v>
      </c>
      <c r="AS75">
        <f t="shared" si="62"/>
        <v>0</v>
      </c>
      <c r="AT75">
        <f t="shared" si="61"/>
        <v>0</v>
      </c>
      <c r="AU75">
        <f t="shared" si="61"/>
        <v>0</v>
      </c>
      <c r="AV75">
        <f t="shared" si="55"/>
        <v>0</v>
      </c>
      <c r="AW75">
        <f t="shared" si="55"/>
        <v>0</v>
      </c>
      <c r="AX75">
        <f t="shared" si="55"/>
        <v>0</v>
      </c>
      <c r="AY75">
        <f t="shared" si="55"/>
        <v>0</v>
      </c>
      <c r="AZ75">
        <f t="shared" si="55"/>
        <v>0</v>
      </c>
    </row>
    <row r="76" spans="1:52" x14ac:dyDescent="0.25">
      <c r="A76" t="s">
        <v>40</v>
      </c>
      <c r="B76" s="3">
        <v>43805</v>
      </c>
      <c r="C76" s="1">
        <v>669.2251267216584</v>
      </c>
      <c r="D76" s="1">
        <v>74.358347413517606</v>
      </c>
      <c r="E76" s="1">
        <f t="shared" si="56"/>
        <v>273.22512672165846</v>
      </c>
      <c r="F76" s="1">
        <f t="shared" si="57"/>
        <v>396</v>
      </c>
      <c r="G76" s="2">
        <v>9</v>
      </c>
      <c r="H76" s="1">
        <v>30.358347413517606</v>
      </c>
      <c r="I76" s="1">
        <v>44</v>
      </c>
      <c r="J76" s="1">
        <f t="shared" si="59"/>
        <v>278487.97166950593</v>
      </c>
      <c r="K76" s="1">
        <f t="shared" si="60"/>
        <v>139667.97166950585</v>
      </c>
      <c r="N76">
        <f t="shared" si="58"/>
        <v>0</v>
      </c>
      <c r="O76">
        <f t="shared" si="58"/>
        <v>0</v>
      </c>
      <c r="P76">
        <f t="shared" si="58"/>
        <v>0</v>
      </c>
      <c r="Q76">
        <f t="shared" si="58"/>
        <v>0</v>
      </c>
      <c r="R76">
        <f t="shared" si="58"/>
        <v>0</v>
      </c>
      <c r="S76">
        <f t="shared" si="58"/>
        <v>0</v>
      </c>
      <c r="T76">
        <f t="shared" si="58"/>
        <v>0</v>
      </c>
      <c r="U76">
        <f t="shared" si="58"/>
        <v>0</v>
      </c>
      <c r="V76">
        <f t="shared" si="58"/>
        <v>0</v>
      </c>
      <c r="W76">
        <f t="shared" si="58"/>
        <v>0</v>
      </c>
      <c r="X76">
        <f t="shared" si="58"/>
        <v>1</v>
      </c>
      <c r="Y76">
        <f t="shared" si="58"/>
        <v>0</v>
      </c>
      <c r="Z76">
        <f t="shared" si="58"/>
        <v>0</v>
      </c>
      <c r="AA76">
        <f t="shared" si="58"/>
        <v>0</v>
      </c>
      <c r="AB76">
        <f t="shared" si="58"/>
        <v>0</v>
      </c>
      <c r="AC76">
        <f t="shared" si="58"/>
        <v>0</v>
      </c>
      <c r="AD76">
        <f t="shared" si="62"/>
        <v>0</v>
      </c>
      <c r="AE76">
        <f t="shared" si="62"/>
        <v>0</v>
      </c>
      <c r="AF76">
        <f t="shared" si="62"/>
        <v>0</v>
      </c>
      <c r="AG76">
        <f t="shared" si="62"/>
        <v>0</v>
      </c>
      <c r="AH76">
        <f t="shared" si="62"/>
        <v>0</v>
      </c>
      <c r="AI76">
        <f t="shared" si="62"/>
        <v>0</v>
      </c>
      <c r="AJ76">
        <f t="shared" si="62"/>
        <v>0</v>
      </c>
      <c r="AK76">
        <f t="shared" si="62"/>
        <v>0</v>
      </c>
      <c r="AL76">
        <f t="shared" si="62"/>
        <v>0</v>
      </c>
      <c r="AM76">
        <f t="shared" si="62"/>
        <v>0</v>
      </c>
      <c r="AN76">
        <f t="shared" si="62"/>
        <v>0</v>
      </c>
      <c r="AO76">
        <f t="shared" si="62"/>
        <v>0</v>
      </c>
      <c r="AP76">
        <f t="shared" si="62"/>
        <v>0</v>
      </c>
      <c r="AQ76">
        <f t="shared" si="62"/>
        <v>0</v>
      </c>
      <c r="AR76">
        <f t="shared" si="62"/>
        <v>0</v>
      </c>
      <c r="AS76">
        <f t="shared" si="62"/>
        <v>0</v>
      </c>
      <c r="AT76">
        <f t="shared" si="61"/>
        <v>0</v>
      </c>
      <c r="AU76">
        <f t="shared" si="61"/>
        <v>0</v>
      </c>
      <c r="AV76">
        <f t="shared" si="55"/>
        <v>0</v>
      </c>
      <c r="AW76">
        <f t="shared" si="55"/>
        <v>0</v>
      </c>
      <c r="AX76">
        <f t="shared" si="55"/>
        <v>0</v>
      </c>
      <c r="AY76">
        <f t="shared" si="55"/>
        <v>0</v>
      </c>
      <c r="AZ76">
        <f t="shared" si="55"/>
        <v>0</v>
      </c>
    </row>
    <row r="77" spans="1:52" x14ac:dyDescent="0.25">
      <c r="A77" t="s">
        <v>40</v>
      </c>
      <c r="B77" s="3">
        <v>43800</v>
      </c>
      <c r="C77" s="1">
        <v>11338.617086275133</v>
      </c>
      <c r="D77" s="1">
        <v>213.93617143915347</v>
      </c>
      <c r="E77" s="1">
        <f t="shared" si="56"/>
        <v>4819.6170862751342</v>
      </c>
      <c r="F77" s="1">
        <f t="shared" si="57"/>
        <v>6519</v>
      </c>
      <c r="G77" s="2">
        <v>53</v>
      </c>
      <c r="H77" s="1">
        <v>90.936171439153469</v>
      </c>
      <c r="I77" s="1">
        <v>123</v>
      </c>
      <c r="J77" s="1">
        <f t="shared" si="59"/>
        <v>289826.58875578106</v>
      </c>
      <c r="K77" s="1">
        <f t="shared" si="60"/>
        <v>144487.58875578098</v>
      </c>
      <c r="N77">
        <f t="shared" si="58"/>
        <v>0</v>
      </c>
      <c r="O77">
        <f t="shared" si="58"/>
        <v>0</v>
      </c>
      <c r="P77">
        <f t="shared" si="58"/>
        <v>0</v>
      </c>
      <c r="Q77">
        <f t="shared" si="58"/>
        <v>0</v>
      </c>
      <c r="R77">
        <f t="shared" si="58"/>
        <v>0</v>
      </c>
      <c r="S77">
        <f t="shared" si="58"/>
        <v>0</v>
      </c>
      <c r="T77">
        <f t="shared" si="58"/>
        <v>0</v>
      </c>
      <c r="U77">
        <f t="shared" si="58"/>
        <v>0</v>
      </c>
      <c r="V77">
        <f t="shared" si="58"/>
        <v>0</v>
      </c>
      <c r="W77">
        <f t="shared" si="58"/>
        <v>0</v>
      </c>
      <c r="X77">
        <f t="shared" si="58"/>
        <v>1</v>
      </c>
      <c r="Y77">
        <f t="shared" si="58"/>
        <v>0</v>
      </c>
      <c r="Z77">
        <f t="shared" si="58"/>
        <v>0</v>
      </c>
      <c r="AA77">
        <f t="shared" si="58"/>
        <v>0</v>
      </c>
      <c r="AB77">
        <f t="shared" si="58"/>
        <v>0</v>
      </c>
      <c r="AC77">
        <f t="shared" si="58"/>
        <v>0</v>
      </c>
      <c r="AD77">
        <f t="shared" si="62"/>
        <v>0</v>
      </c>
      <c r="AE77">
        <f t="shared" si="62"/>
        <v>0</v>
      </c>
      <c r="AF77">
        <f t="shared" si="62"/>
        <v>0</v>
      </c>
      <c r="AG77">
        <f t="shared" si="62"/>
        <v>0</v>
      </c>
      <c r="AH77">
        <f t="shared" si="62"/>
        <v>0</v>
      </c>
      <c r="AI77">
        <f t="shared" si="62"/>
        <v>0</v>
      </c>
      <c r="AJ77">
        <f t="shared" si="62"/>
        <v>0</v>
      </c>
      <c r="AK77">
        <f t="shared" si="62"/>
        <v>0</v>
      </c>
      <c r="AL77">
        <f t="shared" si="62"/>
        <v>0</v>
      </c>
      <c r="AM77">
        <f t="shared" si="62"/>
        <v>0</v>
      </c>
      <c r="AN77">
        <f t="shared" si="62"/>
        <v>0</v>
      </c>
      <c r="AO77">
        <f t="shared" si="62"/>
        <v>0</v>
      </c>
      <c r="AP77">
        <f t="shared" si="62"/>
        <v>0</v>
      </c>
      <c r="AQ77">
        <f t="shared" si="62"/>
        <v>0</v>
      </c>
      <c r="AR77">
        <f t="shared" si="62"/>
        <v>0</v>
      </c>
      <c r="AS77">
        <f t="shared" si="62"/>
        <v>0</v>
      </c>
      <c r="AT77">
        <f t="shared" si="61"/>
        <v>0</v>
      </c>
      <c r="AU77">
        <f t="shared" si="61"/>
        <v>0</v>
      </c>
      <c r="AV77">
        <f t="shared" si="55"/>
        <v>0</v>
      </c>
      <c r="AW77">
        <f t="shared" si="55"/>
        <v>0</v>
      </c>
      <c r="AX77">
        <f t="shared" si="55"/>
        <v>0</v>
      </c>
      <c r="AY77">
        <f t="shared" si="55"/>
        <v>0</v>
      </c>
      <c r="AZ77">
        <f t="shared" si="55"/>
        <v>0</v>
      </c>
    </row>
    <row r="78" spans="1:52" x14ac:dyDescent="0.25">
      <c r="A78" t="s">
        <v>29</v>
      </c>
      <c r="B78" s="3">
        <v>43795</v>
      </c>
      <c r="C78" s="1">
        <v>16488.562551013834</v>
      </c>
      <c r="D78" s="1">
        <v>222.81841285153828</v>
      </c>
      <c r="E78" s="1">
        <f t="shared" si="56"/>
        <v>7090.5625510138334</v>
      </c>
      <c r="F78" s="1">
        <f t="shared" si="57"/>
        <v>9398</v>
      </c>
      <c r="G78" s="2">
        <v>74</v>
      </c>
      <c r="H78" s="1">
        <v>95.818412851538284</v>
      </c>
      <c r="I78" s="1">
        <v>127</v>
      </c>
      <c r="J78" s="1">
        <f t="shared" si="59"/>
        <v>306315.1513067949</v>
      </c>
      <c r="K78" s="1">
        <f t="shared" si="60"/>
        <v>151578.15130679481</v>
      </c>
      <c r="N78">
        <f t="shared" si="58"/>
        <v>0</v>
      </c>
      <c r="O78">
        <f t="shared" si="58"/>
        <v>0</v>
      </c>
      <c r="P78">
        <f t="shared" si="58"/>
        <v>0</v>
      </c>
      <c r="Q78">
        <f t="shared" si="58"/>
        <v>0</v>
      </c>
      <c r="R78">
        <f t="shared" si="58"/>
        <v>0</v>
      </c>
      <c r="S78">
        <f t="shared" si="58"/>
        <v>0</v>
      </c>
      <c r="T78">
        <f t="shared" si="58"/>
        <v>0</v>
      </c>
      <c r="U78">
        <f t="shared" si="58"/>
        <v>0</v>
      </c>
      <c r="V78">
        <f t="shared" si="58"/>
        <v>0</v>
      </c>
      <c r="W78">
        <f t="shared" si="58"/>
        <v>0</v>
      </c>
      <c r="X78">
        <f t="shared" si="58"/>
        <v>0</v>
      </c>
      <c r="Y78">
        <f t="shared" si="58"/>
        <v>0</v>
      </c>
      <c r="Z78">
        <f t="shared" si="58"/>
        <v>0</v>
      </c>
      <c r="AA78">
        <f t="shared" si="58"/>
        <v>0</v>
      </c>
      <c r="AB78">
        <f t="shared" si="58"/>
        <v>0</v>
      </c>
      <c r="AC78">
        <f t="shared" si="58"/>
        <v>0</v>
      </c>
      <c r="AD78">
        <f t="shared" si="62"/>
        <v>0</v>
      </c>
      <c r="AE78">
        <f t="shared" si="62"/>
        <v>0</v>
      </c>
      <c r="AF78">
        <f t="shared" si="62"/>
        <v>0</v>
      </c>
      <c r="AG78">
        <f t="shared" si="62"/>
        <v>0</v>
      </c>
      <c r="AH78">
        <f t="shared" si="62"/>
        <v>0</v>
      </c>
      <c r="AI78">
        <f t="shared" si="62"/>
        <v>0</v>
      </c>
      <c r="AJ78">
        <f t="shared" si="62"/>
        <v>0</v>
      </c>
      <c r="AK78">
        <f t="shared" si="62"/>
        <v>0</v>
      </c>
      <c r="AL78">
        <f t="shared" si="62"/>
        <v>0</v>
      </c>
      <c r="AM78">
        <f t="shared" si="62"/>
        <v>0</v>
      </c>
      <c r="AN78">
        <f t="shared" si="62"/>
        <v>0</v>
      </c>
      <c r="AO78">
        <f t="shared" si="62"/>
        <v>0</v>
      </c>
      <c r="AP78">
        <f t="shared" si="62"/>
        <v>0</v>
      </c>
      <c r="AQ78">
        <f t="shared" si="62"/>
        <v>0</v>
      </c>
      <c r="AR78">
        <f t="shared" si="62"/>
        <v>0</v>
      </c>
      <c r="AS78">
        <f t="shared" si="62"/>
        <v>1</v>
      </c>
      <c r="AT78">
        <f t="shared" si="61"/>
        <v>0</v>
      </c>
      <c r="AU78">
        <f t="shared" si="61"/>
        <v>0</v>
      </c>
      <c r="AV78">
        <f t="shared" si="55"/>
        <v>0</v>
      </c>
      <c r="AW78">
        <f t="shared" si="55"/>
        <v>0</v>
      </c>
      <c r="AX78">
        <f t="shared" si="55"/>
        <v>0</v>
      </c>
      <c r="AY78">
        <f t="shared" si="55"/>
        <v>0</v>
      </c>
      <c r="AZ78">
        <f t="shared" si="55"/>
        <v>0</v>
      </c>
    </row>
    <row r="79" spans="1:52" x14ac:dyDescent="0.25">
      <c r="A79" t="s">
        <v>47</v>
      </c>
      <c r="B79" s="3">
        <v>43778</v>
      </c>
      <c r="C79" s="1">
        <v>672.70777424220068</v>
      </c>
      <c r="D79" s="1">
        <v>168.17694356055017</v>
      </c>
      <c r="E79" s="1">
        <f t="shared" si="56"/>
        <v>440.70777424220074</v>
      </c>
      <c r="F79" s="1">
        <f t="shared" si="57"/>
        <v>232</v>
      </c>
      <c r="G79" s="2">
        <v>4</v>
      </c>
      <c r="H79" s="1">
        <v>110.17694356055019</v>
      </c>
      <c r="I79" s="1">
        <v>58</v>
      </c>
      <c r="J79" s="1">
        <f t="shared" si="59"/>
        <v>306987.85908103711</v>
      </c>
      <c r="K79" s="1">
        <f t="shared" si="60"/>
        <v>152018.85908103702</v>
      </c>
      <c r="N79">
        <f t="shared" si="58"/>
        <v>0</v>
      </c>
      <c r="O79">
        <f t="shared" si="58"/>
        <v>0</v>
      </c>
      <c r="P79">
        <f t="shared" si="58"/>
        <v>0</v>
      </c>
      <c r="Q79">
        <f t="shared" si="58"/>
        <v>0</v>
      </c>
      <c r="R79">
        <f t="shared" si="58"/>
        <v>0</v>
      </c>
      <c r="S79">
        <f t="shared" si="58"/>
        <v>0</v>
      </c>
      <c r="T79">
        <f t="shared" si="58"/>
        <v>0</v>
      </c>
      <c r="U79">
        <f t="shared" si="58"/>
        <v>0</v>
      </c>
      <c r="V79">
        <f t="shared" si="58"/>
        <v>0</v>
      </c>
      <c r="W79">
        <f t="shared" si="58"/>
        <v>0</v>
      </c>
      <c r="X79">
        <f t="shared" si="58"/>
        <v>0</v>
      </c>
      <c r="Y79">
        <f t="shared" si="58"/>
        <v>0</v>
      </c>
      <c r="Z79">
        <f t="shared" si="58"/>
        <v>0</v>
      </c>
      <c r="AA79">
        <f t="shared" si="58"/>
        <v>0</v>
      </c>
      <c r="AB79">
        <f t="shared" ref="AB79:AQ94" si="63">+IF(AB$5=$A79,1,0)</f>
        <v>0</v>
      </c>
      <c r="AC79">
        <f t="shared" si="63"/>
        <v>0</v>
      </c>
      <c r="AD79">
        <f t="shared" si="63"/>
        <v>0</v>
      </c>
      <c r="AE79">
        <f t="shared" si="63"/>
        <v>0</v>
      </c>
      <c r="AF79">
        <f t="shared" si="63"/>
        <v>0</v>
      </c>
      <c r="AG79">
        <f t="shared" si="63"/>
        <v>0</v>
      </c>
      <c r="AH79">
        <f t="shared" si="63"/>
        <v>0</v>
      </c>
      <c r="AI79">
        <f t="shared" si="63"/>
        <v>0</v>
      </c>
      <c r="AJ79">
        <f t="shared" si="63"/>
        <v>0</v>
      </c>
      <c r="AK79">
        <f t="shared" si="63"/>
        <v>0</v>
      </c>
      <c r="AL79">
        <f t="shared" si="63"/>
        <v>0</v>
      </c>
      <c r="AM79">
        <f t="shared" si="63"/>
        <v>0</v>
      </c>
      <c r="AN79">
        <f t="shared" si="63"/>
        <v>0</v>
      </c>
      <c r="AO79">
        <f t="shared" si="63"/>
        <v>0</v>
      </c>
      <c r="AP79">
        <f t="shared" si="63"/>
        <v>0</v>
      </c>
      <c r="AQ79">
        <f t="shared" si="63"/>
        <v>0</v>
      </c>
      <c r="AR79">
        <f t="shared" si="62"/>
        <v>0</v>
      </c>
      <c r="AS79">
        <f t="shared" si="62"/>
        <v>0</v>
      </c>
      <c r="AT79">
        <f t="shared" si="61"/>
        <v>0</v>
      </c>
      <c r="AU79">
        <f t="shared" si="61"/>
        <v>0</v>
      </c>
      <c r="AV79">
        <f t="shared" si="55"/>
        <v>0</v>
      </c>
      <c r="AW79">
        <f t="shared" si="55"/>
        <v>0</v>
      </c>
      <c r="AX79">
        <f t="shared" si="55"/>
        <v>0</v>
      </c>
      <c r="AY79">
        <f t="shared" si="55"/>
        <v>0</v>
      </c>
      <c r="AZ79">
        <f t="shared" si="55"/>
        <v>1</v>
      </c>
    </row>
    <row r="80" spans="1:52" x14ac:dyDescent="0.25">
      <c r="A80" t="s">
        <v>11</v>
      </c>
      <c r="B80" s="3">
        <v>43772</v>
      </c>
      <c r="C80" s="1">
        <v>2156.6295785401176</v>
      </c>
      <c r="D80" s="1">
        <v>165.89458296462442</v>
      </c>
      <c r="E80" s="1">
        <f t="shared" si="56"/>
        <v>1233.6295785401173</v>
      </c>
      <c r="F80" s="1">
        <f t="shared" si="57"/>
        <v>923</v>
      </c>
      <c r="G80" s="2">
        <v>13</v>
      </c>
      <c r="H80" s="1">
        <v>94.894582964624405</v>
      </c>
      <c r="I80" s="1">
        <v>71</v>
      </c>
      <c r="J80" s="1">
        <f t="shared" si="59"/>
        <v>309144.48865957721</v>
      </c>
      <c r="K80" s="1">
        <f t="shared" si="60"/>
        <v>153252.48865957715</v>
      </c>
      <c r="N80">
        <f t="shared" si="58"/>
        <v>0</v>
      </c>
      <c r="O80">
        <f t="shared" si="58"/>
        <v>0</v>
      </c>
      <c r="P80">
        <f t="shared" si="58"/>
        <v>1</v>
      </c>
      <c r="Q80">
        <f t="shared" ref="Q80:AF95" si="64">+IF(Q$5=$A80,1,0)</f>
        <v>0</v>
      </c>
      <c r="R80">
        <f t="shared" si="64"/>
        <v>0</v>
      </c>
      <c r="S80">
        <f t="shared" si="64"/>
        <v>0</v>
      </c>
      <c r="T80">
        <f t="shared" si="64"/>
        <v>0</v>
      </c>
      <c r="U80">
        <f t="shared" si="64"/>
        <v>0</v>
      </c>
      <c r="V80">
        <f t="shared" si="64"/>
        <v>0</v>
      </c>
      <c r="W80">
        <f t="shared" si="64"/>
        <v>0</v>
      </c>
      <c r="X80">
        <f t="shared" si="64"/>
        <v>0</v>
      </c>
      <c r="Y80">
        <f t="shared" si="64"/>
        <v>0</v>
      </c>
      <c r="Z80">
        <f t="shared" si="64"/>
        <v>0</v>
      </c>
      <c r="AA80">
        <f t="shared" si="64"/>
        <v>0</v>
      </c>
      <c r="AB80">
        <f t="shared" si="64"/>
        <v>0</v>
      </c>
      <c r="AC80">
        <f t="shared" si="64"/>
        <v>0</v>
      </c>
      <c r="AD80">
        <f t="shared" si="64"/>
        <v>0</v>
      </c>
      <c r="AE80">
        <f t="shared" si="64"/>
        <v>0</v>
      </c>
      <c r="AF80">
        <f t="shared" si="64"/>
        <v>0</v>
      </c>
      <c r="AG80">
        <f t="shared" si="63"/>
        <v>0</v>
      </c>
      <c r="AH80">
        <f t="shared" si="63"/>
        <v>0</v>
      </c>
      <c r="AI80">
        <f t="shared" si="63"/>
        <v>0</v>
      </c>
      <c r="AJ80">
        <f t="shared" si="63"/>
        <v>0</v>
      </c>
      <c r="AK80">
        <f t="shared" si="63"/>
        <v>0</v>
      </c>
      <c r="AL80">
        <f t="shared" si="63"/>
        <v>0</v>
      </c>
      <c r="AM80">
        <f t="shared" si="63"/>
        <v>0</v>
      </c>
      <c r="AN80">
        <f t="shared" si="63"/>
        <v>0</v>
      </c>
      <c r="AO80">
        <f t="shared" si="63"/>
        <v>0</v>
      </c>
      <c r="AP80">
        <f t="shared" si="63"/>
        <v>0</v>
      </c>
      <c r="AQ80">
        <f t="shared" si="63"/>
        <v>0</v>
      </c>
      <c r="AR80">
        <f t="shared" si="62"/>
        <v>0</v>
      </c>
      <c r="AS80">
        <f t="shared" si="62"/>
        <v>0</v>
      </c>
      <c r="AT80">
        <f t="shared" si="61"/>
        <v>0</v>
      </c>
      <c r="AU80">
        <f t="shared" si="61"/>
        <v>0</v>
      </c>
      <c r="AV80">
        <f t="shared" si="55"/>
        <v>0</v>
      </c>
      <c r="AW80">
        <f t="shared" si="55"/>
        <v>0</v>
      </c>
      <c r="AX80">
        <f t="shared" si="55"/>
        <v>0</v>
      </c>
      <c r="AY80">
        <f t="shared" si="55"/>
        <v>0</v>
      </c>
      <c r="AZ80">
        <f t="shared" si="55"/>
        <v>0</v>
      </c>
    </row>
    <row r="81" spans="1:52" x14ac:dyDescent="0.25">
      <c r="A81" t="s">
        <v>23</v>
      </c>
      <c r="B81" s="3">
        <v>43769</v>
      </c>
      <c r="C81" s="1">
        <v>6493.7021186141874</v>
      </c>
      <c r="D81" s="1">
        <v>129.87404237228375</v>
      </c>
      <c r="E81" s="1">
        <f t="shared" si="56"/>
        <v>4193.7021186141874</v>
      </c>
      <c r="F81" s="1">
        <f t="shared" si="57"/>
        <v>2300</v>
      </c>
      <c r="G81" s="2">
        <v>50</v>
      </c>
      <c r="H81" s="1">
        <v>83.874042372283753</v>
      </c>
      <c r="I81" s="1">
        <v>46</v>
      </c>
      <c r="J81" s="1">
        <f t="shared" si="59"/>
        <v>315638.19077819138</v>
      </c>
      <c r="K81" s="1">
        <f t="shared" si="60"/>
        <v>157446.19077819135</v>
      </c>
      <c r="N81">
        <f t="shared" si="58"/>
        <v>0</v>
      </c>
      <c r="O81">
        <f t="shared" si="58"/>
        <v>0</v>
      </c>
      <c r="P81">
        <f t="shared" si="58"/>
        <v>0</v>
      </c>
      <c r="Q81">
        <f t="shared" si="64"/>
        <v>0</v>
      </c>
      <c r="R81">
        <f t="shared" si="64"/>
        <v>0</v>
      </c>
      <c r="S81">
        <f t="shared" si="64"/>
        <v>0</v>
      </c>
      <c r="T81">
        <f t="shared" si="64"/>
        <v>0</v>
      </c>
      <c r="U81">
        <f t="shared" si="64"/>
        <v>0</v>
      </c>
      <c r="V81">
        <f t="shared" si="64"/>
        <v>0</v>
      </c>
      <c r="W81">
        <f t="shared" si="64"/>
        <v>0</v>
      </c>
      <c r="X81">
        <f t="shared" si="64"/>
        <v>0</v>
      </c>
      <c r="Y81">
        <f t="shared" si="64"/>
        <v>0</v>
      </c>
      <c r="Z81">
        <f t="shared" si="64"/>
        <v>0</v>
      </c>
      <c r="AA81">
        <f t="shared" si="64"/>
        <v>0</v>
      </c>
      <c r="AB81">
        <f t="shared" si="64"/>
        <v>0</v>
      </c>
      <c r="AC81">
        <f t="shared" si="64"/>
        <v>0</v>
      </c>
      <c r="AD81">
        <f t="shared" si="64"/>
        <v>0</v>
      </c>
      <c r="AE81">
        <f t="shared" si="64"/>
        <v>0</v>
      </c>
      <c r="AF81">
        <f t="shared" si="64"/>
        <v>0</v>
      </c>
      <c r="AG81">
        <f t="shared" si="63"/>
        <v>0</v>
      </c>
      <c r="AH81">
        <f t="shared" si="63"/>
        <v>0</v>
      </c>
      <c r="AI81">
        <f t="shared" si="63"/>
        <v>0</v>
      </c>
      <c r="AJ81">
        <f t="shared" si="63"/>
        <v>0</v>
      </c>
      <c r="AK81">
        <f t="shared" si="63"/>
        <v>0</v>
      </c>
      <c r="AL81">
        <f t="shared" si="63"/>
        <v>0</v>
      </c>
      <c r="AM81">
        <f t="shared" si="63"/>
        <v>1</v>
      </c>
      <c r="AN81">
        <f t="shared" si="63"/>
        <v>0</v>
      </c>
      <c r="AO81">
        <f t="shared" si="63"/>
        <v>0</v>
      </c>
      <c r="AP81">
        <f t="shared" si="63"/>
        <v>0</v>
      </c>
      <c r="AQ81">
        <f t="shared" si="63"/>
        <v>0</v>
      </c>
      <c r="AR81">
        <f t="shared" si="62"/>
        <v>0</v>
      </c>
      <c r="AS81">
        <f t="shared" si="62"/>
        <v>0</v>
      </c>
      <c r="AT81">
        <f t="shared" si="61"/>
        <v>0</v>
      </c>
      <c r="AU81">
        <f t="shared" si="61"/>
        <v>0</v>
      </c>
      <c r="AV81">
        <f t="shared" si="55"/>
        <v>0</v>
      </c>
      <c r="AW81">
        <f t="shared" si="55"/>
        <v>0</v>
      </c>
      <c r="AX81">
        <f t="shared" si="55"/>
        <v>0</v>
      </c>
      <c r="AY81">
        <f t="shared" si="55"/>
        <v>0</v>
      </c>
      <c r="AZ81">
        <f t="shared" si="55"/>
        <v>0</v>
      </c>
    </row>
    <row r="82" spans="1:52" x14ac:dyDescent="0.25">
      <c r="A82" t="s">
        <v>31</v>
      </c>
      <c r="B82" s="3">
        <v>43767</v>
      </c>
      <c r="C82" s="1">
        <v>2441.9790265776096</v>
      </c>
      <c r="D82" s="1">
        <v>81.399300885920326</v>
      </c>
      <c r="E82" s="1">
        <f t="shared" si="56"/>
        <v>1331.9790265776098</v>
      </c>
      <c r="F82" s="1">
        <f t="shared" si="57"/>
        <v>1110</v>
      </c>
      <c r="G82" s="2">
        <v>30</v>
      </c>
      <c r="H82" s="1">
        <v>44.399300885920326</v>
      </c>
      <c r="I82" s="1">
        <v>37</v>
      </c>
      <c r="J82" s="1">
        <f t="shared" si="59"/>
        <v>318080.16980476899</v>
      </c>
      <c r="K82" s="1">
        <f t="shared" si="60"/>
        <v>158778.16980476896</v>
      </c>
      <c r="N82">
        <f t="shared" si="58"/>
        <v>0</v>
      </c>
      <c r="O82">
        <f t="shared" si="58"/>
        <v>0</v>
      </c>
      <c r="P82">
        <f t="shared" si="58"/>
        <v>0</v>
      </c>
      <c r="Q82">
        <f t="shared" si="64"/>
        <v>0</v>
      </c>
      <c r="R82">
        <f t="shared" si="64"/>
        <v>0</v>
      </c>
      <c r="S82">
        <f t="shared" si="64"/>
        <v>0</v>
      </c>
      <c r="T82">
        <f t="shared" si="64"/>
        <v>0</v>
      </c>
      <c r="U82">
        <f t="shared" si="64"/>
        <v>0</v>
      </c>
      <c r="V82">
        <f t="shared" si="64"/>
        <v>0</v>
      </c>
      <c r="W82">
        <f t="shared" si="64"/>
        <v>1</v>
      </c>
      <c r="X82">
        <f t="shared" si="64"/>
        <v>0</v>
      </c>
      <c r="Y82">
        <f t="shared" si="64"/>
        <v>0</v>
      </c>
      <c r="Z82">
        <f t="shared" si="64"/>
        <v>0</v>
      </c>
      <c r="AA82">
        <f t="shared" si="64"/>
        <v>0</v>
      </c>
      <c r="AB82">
        <f t="shared" si="64"/>
        <v>0</v>
      </c>
      <c r="AC82">
        <f t="shared" si="64"/>
        <v>0</v>
      </c>
      <c r="AD82">
        <f t="shared" si="64"/>
        <v>0</v>
      </c>
      <c r="AE82">
        <f t="shared" si="64"/>
        <v>0</v>
      </c>
      <c r="AF82">
        <f t="shared" si="64"/>
        <v>0</v>
      </c>
      <c r="AG82">
        <f t="shared" si="63"/>
        <v>0</v>
      </c>
      <c r="AH82">
        <f t="shared" si="63"/>
        <v>0</v>
      </c>
      <c r="AI82">
        <f t="shared" si="63"/>
        <v>0</v>
      </c>
      <c r="AJ82">
        <f t="shared" si="63"/>
        <v>0</v>
      </c>
      <c r="AK82">
        <f t="shared" si="63"/>
        <v>0</v>
      </c>
      <c r="AL82">
        <f t="shared" si="63"/>
        <v>0</v>
      </c>
      <c r="AM82">
        <f t="shared" si="63"/>
        <v>0</v>
      </c>
      <c r="AN82">
        <f t="shared" si="63"/>
        <v>0</v>
      </c>
      <c r="AO82">
        <f t="shared" si="63"/>
        <v>0</v>
      </c>
      <c r="AP82">
        <f t="shared" si="63"/>
        <v>0</v>
      </c>
      <c r="AQ82">
        <f t="shared" si="63"/>
        <v>0</v>
      </c>
      <c r="AR82">
        <f t="shared" si="62"/>
        <v>0</v>
      </c>
      <c r="AS82">
        <f t="shared" si="62"/>
        <v>0</v>
      </c>
      <c r="AT82">
        <f t="shared" si="61"/>
        <v>0</v>
      </c>
      <c r="AU82">
        <f t="shared" si="61"/>
        <v>0</v>
      </c>
      <c r="AV82">
        <f t="shared" si="55"/>
        <v>0</v>
      </c>
      <c r="AW82">
        <f t="shared" si="55"/>
        <v>0</v>
      </c>
      <c r="AX82">
        <f t="shared" si="55"/>
        <v>0</v>
      </c>
      <c r="AY82">
        <f t="shared" si="55"/>
        <v>0</v>
      </c>
      <c r="AZ82">
        <f t="shared" si="55"/>
        <v>0</v>
      </c>
    </row>
    <row r="83" spans="1:52" x14ac:dyDescent="0.25">
      <c r="A83" t="s">
        <v>24</v>
      </c>
      <c r="B83" s="3">
        <v>43754</v>
      </c>
      <c r="C83" s="1">
        <v>2371.5315376163821</v>
      </c>
      <c r="D83" s="1">
        <v>139.50185515390484</v>
      </c>
      <c r="E83" s="1">
        <f t="shared" si="56"/>
        <v>1215.5315376163824</v>
      </c>
      <c r="F83" s="1">
        <f t="shared" si="57"/>
        <v>1156</v>
      </c>
      <c r="G83" s="2">
        <v>17</v>
      </c>
      <c r="H83" s="1">
        <v>71.501855153904842</v>
      </c>
      <c r="I83" s="1">
        <v>68</v>
      </c>
      <c r="J83" s="1">
        <f t="shared" si="59"/>
        <v>320451.70134238538</v>
      </c>
      <c r="K83" s="1">
        <f t="shared" si="60"/>
        <v>159993.70134238535</v>
      </c>
      <c r="N83">
        <f t="shared" si="58"/>
        <v>0</v>
      </c>
      <c r="O83">
        <f t="shared" si="58"/>
        <v>0</v>
      </c>
      <c r="P83">
        <f t="shared" si="58"/>
        <v>0</v>
      </c>
      <c r="Q83">
        <f t="shared" si="64"/>
        <v>0</v>
      </c>
      <c r="R83">
        <f t="shared" si="64"/>
        <v>0</v>
      </c>
      <c r="S83">
        <f t="shared" si="64"/>
        <v>0</v>
      </c>
      <c r="T83">
        <f t="shared" si="64"/>
        <v>0</v>
      </c>
      <c r="U83">
        <f t="shared" si="64"/>
        <v>0</v>
      </c>
      <c r="V83">
        <f t="shared" si="64"/>
        <v>1</v>
      </c>
      <c r="W83">
        <f t="shared" si="64"/>
        <v>0</v>
      </c>
      <c r="X83">
        <f t="shared" si="64"/>
        <v>0</v>
      </c>
      <c r="Y83">
        <f t="shared" si="64"/>
        <v>0</v>
      </c>
      <c r="Z83">
        <f t="shared" si="64"/>
        <v>0</v>
      </c>
      <c r="AA83">
        <f t="shared" si="64"/>
        <v>0</v>
      </c>
      <c r="AB83">
        <f t="shared" si="64"/>
        <v>0</v>
      </c>
      <c r="AC83">
        <f t="shared" si="64"/>
        <v>0</v>
      </c>
      <c r="AD83">
        <f t="shared" si="64"/>
        <v>0</v>
      </c>
      <c r="AE83">
        <f t="shared" si="64"/>
        <v>0</v>
      </c>
      <c r="AF83">
        <f t="shared" si="64"/>
        <v>0</v>
      </c>
      <c r="AG83">
        <f t="shared" si="63"/>
        <v>0</v>
      </c>
      <c r="AH83">
        <f t="shared" si="63"/>
        <v>0</v>
      </c>
      <c r="AI83">
        <f t="shared" si="63"/>
        <v>0</v>
      </c>
      <c r="AJ83">
        <f t="shared" si="63"/>
        <v>0</v>
      </c>
      <c r="AK83">
        <f t="shared" si="63"/>
        <v>0</v>
      </c>
      <c r="AL83">
        <f t="shared" si="63"/>
        <v>0</v>
      </c>
      <c r="AM83">
        <f t="shared" si="63"/>
        <v>0</v>
      </c>
      <c r="AN83">
        <f t="shared" si="63"/>
        <v>0</v>
      </c>
      <c r="AO83">
        <f t="shared" si="63"/>
        <v>0</v>
      </c>
      <c r="AP83">
        <f t="shared" si="63"/>
        <v>0</v>
      </c>
      <c r="AQ83">
        <f t="shared" si="63"/>
        <v>0</v>
      </c>
      <c r="AR83">
        <f t="shared" si="62"/>
        <v>0</v>
      </c>
      <c r="AS83">
        <f t="shared" si="62"/>
        <v>0</v>
      </c>
      <c r="AT83">
        <f t="shared" si="61"/>
        <v>0</v>
      </c>
      <c r="AU83">
        <f t="shared" si="61"/>
        <v>0</v>
      </c>
      <c r="AV83">
        <f t="shared" si="55"/>
        <v>0</v>
      </c>
      <c r="AW83">
        <f t="shared" si="55"/>
        <v>0</v>
      </c>
      <c r="AX83">
        <f t="shared" si="55"/>
        <v>0</v>
      </c>
      <c r="AY83">
        <f t="shared" si="55"/>
        <v>0</v>
      </c>
      <c r="AZ83">
        <f t="shared" si="55"/>
        <v>0</v>
      </c>
    </row>
    <row r="84" spans="1:52" x14ac:dyDescent="0.25">
      <c r="A84" t="s">
        <v>33</v>
      </c>
      <c r="B84" s="3">
        <v>43745</v>
      </c>
      <c r="C84" s="1">
        <v>4965.4466596933989</v>
      </c>
      <c r="D84" s="1">
        <v>236.44984093778089</v>
      </c>
      <c r="E84" s="1">
        <f t="shared" si="56"/>
        <v>2319.4466596933989</v>
      </c>
      <c r="F84" s="1">
        <f t="shared" si="57"/>
        <v>2646</v>
      </c>
      <c r="G84" s="2">
        <v>21</v>
      </c>
      <c r="H84" s="1">
        <v>110.44984093778091</v>
      </c>
      <c r="I84" s="1">
        <v>126</v>
      </c>
      <c r="J84" s="1">
        <f t="shared" si="59"/>
        <v>325417.14800207876</v>
      </c>
      <c r="K84" s="1">
        <f t="shared" si="60"/>
        <v>162313.14800207876</v>
      </c>
      <c r="N84">
        <f t="shared" si="58"/>
        <v>0</v>
      </c>
      <c r="O84">
        <f t="shared" si="58"/>
        <v>0</v>
      </c>
      <c r="P84">
        <f t="shared" si="58"/>
        <v>0</v>
      </c>
      <c r="Q84">
        <f t="shared" si="64"/>
        <v>0</v>
      </c>
      <c r="R84">
        <f t="shared" si="64"/>
        <v>0</v>
      </c>
      <c r="S84">
        <f t="shared" si="64"/>
        <v>0</v>
      </c>
      <c r="T84">
        <f t="shared" si="64"/>
        <v>0</v>
      </c>
      <c r="U84">
        <f t="shared" si="64"/>
        <v>0</v>
      </c>
      <c r="V84">
        <f t="shared" si="64"/>
        <v>0</v>
      </c>
      <c r="W84">
        <f t="shared" si="64"/>
        <v>0</v>
      </c>
      <c r="X84">
        <f t="shared" si="64"/>
        <v>0</v>
      </c>
      <c r="Y84">
        <f t="shared" si="64"/>
        <v>0</v>
      </c>
      <c r="Z84">
        <f t="shared" si="64"/>
        <v>0</v>
      </c>
      <c r="AA84">
        <f t="shared" si="64"/>
        <v>0</v>
      </c>
      <c r="AB84">
        <f t="shared" si="64"/>
        <v>0</v>
      </c>
      <c r="AC84">
        <f t="shared" si="64"/>
        <v>0</v>
      </c>
      <c r="AD84">
        <f t="shared" si="64"/>
        <v>0</v>
      </c>
      <c r="AE84">
        <f t="shared" si="64"/>
        <v>0</v>
      </c>
      <c r="AF84">
        <f t="shared" si="64"/>
        <v>0</v>
      </c>
      <c r="AG84">
        <f t="shared" si="63"/>
        <v>0</v>
      </c>
      <c r="AH84">
        <f t="shared" si="63"/>
        <v>0</v>
      </c>
      <c r="AI84">
        <f t="shared" si="63"/>
        <v>0</v>
      </c>
      <c r="AJ84">
        <f t="shared" si="63"/>
        <v>0</v>
      </c>
      <c r="AK84">
        <f t="shared" si="63"/>
        <v>0</v>
      </c>
      <c r="AL84">
        <f t="shared" si="63"/>
        <v>0</v>
      </c>
      <c r="AM84">
        <f t="shared" si="63"/>
        <v>0</v>
      </c>
      <c r="AN84">
        <f t="shared" si="63"/>
        <v>0</v>
      </c>
      <c r="AO84">
        <f t="shared" si="63"/>
        <v>0</v>
      </c>
      <c r="AP84">
        <f t="shared" si="63"/>
        <v>0</v>
      </c>
      <c r="AQ84">
        <f t="shared" si="63"/>
        <v>1</v>
      </c>
      <c r="AR84">
        <f t="shared" si="62"/>
        <v>0</v>
      </c>
      <c r="AS84">
        <f t="shared" si="62"/>
        <v>0</v>
      </c>
      <c r="AT84">
        <f t="shared" si="61"/>
        <v>0</v>
      </c>
      <c r="AU84">
        <f t="shared" si="61"/>
        <v>0</v>
      </c>
      <c r="AV84">
        <f t="shared" si="55"/>
        <v>0</v>
      </c>
      <c r="AW84">
        <f t="shared" si="55"/>
        <v>0</v>
      </c>
      <c r="AX84">
        <f t="shared" si="55"/>
        <v>0</v>
      </c>
      <c r="AY84">
        <f t="shared" si="55"/>
        <v>0</v>
      </c>
      <c r="AZ84">
        <f t="shared" si="55"/>
        <v>0</v>
      </c>
    </row>
    <row r="85" spans="1:52" x14ac:dyDescent="0.25">
      <c r="A85" t="s">
        <v>17</v>
      </c>
      <c r="B85" s="3">
        <v>43739</v>
      </c>
      <c r="C85" s="1">
        <v>3517.5705064492572</v>
      </c>
      <c r="D85" s="1">
        <v>146.56543776871905</v>
      </c>
      <c r="E85" s="1">
        <f t="shared" si="56"/>
        <v>2149.5705064492568</v>
      </c>
      <c r="F85" s="1">
        <f t="shared" si="57"/>
        <v>1368</v>
      </c>
      <c r="G85" s="2">
        <v>24</v>
      </c>
      <c r="H85" s="1">
        <v>89.565437768719036</v>
      </c>
      <c r="I85" s="1">
        <v>57</v>
      </c>
      <c r="J85" s="1">
        <f t="shared" si="59"/>
        <v>328934.71850852802</v>
      </c>
      <c r="K85" s="1">
        <f t="shared" si="60"/>
        <v>164462.71850852802</v>
      </c>
      <c r="N85">
        <f t="shared" si="58"/>
        <v>0</v>
      </c>
      <c r="O85">
        <f t="shared" si="58"/>
        <v>0</v>
      </c>
      <c r="P85">
        <f t="shared" si="58"/>
        <v>0</v>
      </c>
      <c r="Q85">
        <f t="shared" si="64"/>
        <v>0</v>
      </c>
      <c r="R85">
        <f t="shared" si="64"/>
        <v>0</v>
      </c>
      <c r="S85">
        <f t="shared" si="64"/>
        <v>0</v>
      </c>
      <c r="T85">
        <f t="shared" si="64"/>
        <v>0</v>
      </c>
      <c r="U85">
        <f t="shared" si="64"/>
        <v>0</v>
      </c>
      <c r="V85">
        <f t="shared" si="64"/>
        <v>0</v>
      </c>
      <c r="W85">
        <f t="shared" si="64"/>
        <v>0</v>
      </c>
      <c r="X85">
        <f t="shared" si="64"/>
        <v>0</v>
      </c>
      <c r="Y85">
        <f t="shared" si="64"/>
        <v>0</v>
      </c>
      <c r="Z85">
        <f t="shared" si="64"/>
        <v>0</v>
      </c>
      <c r="AA85">
        <f t="shared" si="64"/>
        <v>0</v>
      </c>
      <c r="AB85">
        <f t="shared" si="64"/>
        <v>0</v>
      </c>
      <c r="AC85">
        <f t="shared" si="64"/>
        <v>0</v>
      </c>
      <c r="AD85">
        <f t="shared" si="64"/>
        <v>0</v>
      </c>
      <c r="AE85">
        <f t="shared" si="64"/>
        <v>0</v>
      </c>
      <c r="AF85">
        <f t="shared" si="64"/>
        <v>0</v>
      </c>
      <c r="AG85">
        <f t="shared" si="63"/>
        <v>1</v>
      </c>
      <c r="AH85">
        <f t="shared" si="63"/>
        <v>0</v>
      </c>
      <c r="AI85">
        <f t="shared" si="63"/>
        <v>0</v>
      </c>
      <c r="AJ85">
        <f t="shared" si="63"/>
        <v>0</v>
      </c>
      <c r="AK85">
        <f t="shared" si="63"/>
        <v>0</v>
      </c>
      <c r="AL85">
        <f t="shared" si="63"/>
        <v>0</v>
      </c>
      <c r="AM85">
        <f t="shared" si="63"/>
        <v>0</v>
      </c>
      <c r="AN85">
        <f t="shared" si="63"/>
        <v>0</v>
      </c>
      <c r="AO85">
        <f t="shared" si="63"/>
        <v>0</v>
      </c>
      <c r="AP85">
        <f t="shared" si="63"/>
        <v>0</v>
      </c>
      <c r="AQ85">
        <f t="shared" si="63"/>
        <v>0</v>
      </c>
      <c r="AR85">
        <f t="shared" si="62"/>
        <v>0</v>
      </c>
      <c r="AS85">
        <f t="shared" si="62"/>
        <v>0</v>
      </c>
      <c r="AT85">
        <f t="shared" si="61"/>
        <v>0</v>
      </c>
      <c r="AU85">
        <f t="shared" si="61"/>
        <v>0</v>
      </c>
      <c r="AV85">
        <f t="shared" si="55"/>
        <v>0</v>
      </c>
      <c r="AW85">
        <f t="shared" si="55"/>
        <v>0</v>
      </c>
      <c r="AX85">
        <f t="shared" si="55"/>
        <v>0</v>
      </c>
      <c r="AY85">
        <f t="shared" si="55"/>
        <v>0</v>
      </c>
      <c r="AZ85">
        <f t="shared" si="55"/>
        <v>0</v>
      </c>
    </row>
    <row r="86" spans="1:52" x14ac:dyDescent="0.25">
      <c r="A86" t="s">
        <v>35</v>
      </c>
      <c r="B86" s="3">
        <v>43735</v>
      </c>
      <c r="C86" s="1">
        <v>2286.4925467420835</v>
      </c>
      <c r="D86" s="1">
        <v>207.86295879473488</v>
      </c>
      <c r="E86" s="1">
        <f t="shared" si="56"/>
        <v>1142.4925467420837</v>
      </c>
      <c r="F86" s="1">
        <f t="shared" si="57"/>
        <v>1144</v>
      </c>
      <c r="G86" s="2">
        <v>11</v>
      </c>
      <c r="H86" s="1">
        <v>103.86295879473489</v>
      </c>
      <c r="I86" s="1">
        <v>104</v>
      </c>
      <c r="J86" s="1">
        <f t="shared" si="59"/>
        <v>331221.21105527011</v>
      </c>
      <c r="K86" s="1">
        <f t="shared" si="60"/>
        <v>165605.21105527011</v>
      </c>
      <c r="N86">
        <f t="shared" si="58"/>
        <v>0</v>
      </c>
      <c r="O86">
        <f t="shared" si="58"/>
        <v>0</v>
      </c>
      <c r="P86">
        <f t="shared" si="58"/>
        <v>0</v>
      </c>
      <c r="Q86">
        <f t="shared" si="64"/>
        <v>0</v>
      </c>
      <c r="R86">
        <f t="shared" si="64"/>
        <v>0</v>
      </c>
      <c r="S86">
        <f t="shared" si="64"/>
        <v>0</v>
      </c>
      <c r="T86">
        <f t="shared" si="64"/>
        <v>0</v>
      </c>
      <c r="U86">
        <f t="shared" si="64"/>
        <v>0</v>
      </c>
      <c r="V86">
        <f t="shared" si="64"/>
        <v>0</v>
      </c>
      <c r="W86">
        <f t="shared" si="64"/>
        <v>0</v>
      </c>
      <c r="X86">
        <f t="shared" si="64"/>
        <v>0</v>
      </c>
      <c r="Y86">
        <f t="shared" si="64"/>
        <v>0</v>
      </c>
      <c r="Z86">
        <f t="shared" si="64"/>
        <v>0</v>
      </c>
      <c r="AA86">
        <f t="shared" si="64"/>
        <v>0</v>
      </c>
      <c r="AB86">
        <f t="shared" si="64"/>
        <v>0</v>
      </c>
      <c r="AC86">
        <f t="shared" si="64"/>
        <v>0</v>
      </c>
      <c r="AD86">
        <f t="shared" si="64"/>
        <v>0</v>
      </c>
      <c r="AE86">
        <f t="shared" si="64"/>
        <v>0</v>
      </c>
      <c r="AF86">
        <f t="shared" si="64"/>
        <v>0</v>
      </c>
      <c r="AG86">
        <f t="shared" si="63"/>
        <v>0</v>
      </c>
      <c r="AH86">
        <f t="shared" si="63"/>
        <v>0</v>
      </c>
      <c r="AI86">
        <f t="shared" si="63"/>
        <v>0</v>
      </c>
      <c r="AJ86">
        <f t="shared" si="63"/>
        <v>0</v>
      </c>
      <c r="AK86">
        <f t="shared" si="63"/>
        <v>0</v>
      </c>
      <c r="AL86">
        <f t="shared" si="63"/>
        <v>1</v>
      </c>
      <c r="AM86">
        <f t="shared" si="63"/>
        <v>0</v>
      </c>
      <c r="AN86">
        <f t="shared" si="63"/>
        <v>0</v>
      </c>
      <c r="AO86">
        <f t="shared" si="63"/>
        <v>0</v>
      </c>
      <c r="AP86">
        <f t="shared" si="63"/>
        <v>0</v>
      </c>
      <c r="AQ86">
        <f t="shared" si="63"/>
        <v>0</v>
      </c>
      <c r="AR86">
        <f t="shared" si="62"/>
        <v>0</v>
      </c>
      <c r="AS86">
        <f t="shared" si="62"/>
        <v>0</v>
      </c>
      <c r="AT86">
        <f t="shared" si="61"/>
        <v>0</v>
      </c>
      <c r="AU86">
        <f t="shared" si="61"/>
        <v>0</v>
      </c>
      <c r="AV86">
        <f t="shared" si="55"/>
        <v>0</v>
      </c>
      <c r="AW86">
        <f t="shared" si="55"/>
        <v>0</v>
      </c>
      <c r="AX86">
        <f t="shared" si="55"/>
        <v>0</v>
      </c>
      <c r="AY86">
        <f t="shared" si="55"/>
        <v>0</v>
      </c>
      <c r="AZ86">
        <f t="shared" si="55"/>
        <v>0</v>
      </c>
    </row>
    <row r="87" spans="1:52" x14ac:dyDescent="0.25">
      <c r="A87" t="s">
        <v>16</v>
      </c>
      <c r="B87" s="3">
        <v>43734</v>
      </c>
      <c r="C87" s="1">
        <v>383.53254678173693</v>
      </c>
      <c r="D87" s="1">
        <v>95.883136695434231</v>
      </c>
      <c r="E87" s="1">
        <f t="shared" si="56"/>
        <v>175.53254678173693</v>
      </c>
      <c r="F87" s="1">
        <f t="shared" si="57"/>
        <v>208</v>
      </c>
      <c r="G87" s="2">
        <v>4</v>
      </c>
      <c r="H87" s="1">
        <v>43.883136695434231</v>
      </c>
      <c r="I87" s="1">
        <v>52</v>
      </c>
      <c r="J87" s="1">
        <f t="shared" si="59"/>
        <v>331604.74360205187</v>
      </c>
      <c r="K87" s="1">
        <f t="shared" si="60"/>
        <v>165780.74360205184</v>
      </c>
      <c r="N87">
        <f t="shared" si="58"/>
        <v>0</v>
      </c>
      <c r="O87">
        <f t="shared" si="58"/>
        <v>0</v>
      </c>
      <c r="P87">
        <f t="shared" si="58"/>
        <v>0</v>
      </c>
      <c r="Q87">
        <f t="shared" si="64"/>
        <v>0</v>
      </c>
      <c r="R87">
        <f t="shared" si="64"/>
        <v>0</v>
      </c>
      <c r="S87">
        <f t="shared" si="64"/>
        <v>0</v>
      </c>
      <c r="T87">
        <f t="shared" si="64"/>
        <v>0</v>
      </c>
      <c r="U87">
        <f t="shared" si="64"/>
        <v>0</v>
      </c>
      <c r="V87">
        <f t="shared" si="64"/>
        <v>0</v>
      </c>
      <c r="W87">
        <f t="shared" si="64"/>
        <v>0</v>
      </c>
      <c r="X87">
        <f t="shared" si="64"/>
        <v>0</v>
      </c>
      <c r="Y87">
        <f t="shared" si="64"/>
        <v>0</v>
      </c>
      <c r="Z87">
        <f t="shared" si="64"/>
        <v>0</v>
      </c>
      <c r="AA87">
        <f t="shared" si="64"/>
        <v>0</v>
      </c>
      <c r="AB87">
        <f t="shared" si="64"/>
        <v>0</v>
      </c>
      <c r="AC87">
        <f t="shared" si="64"/>
        <v>0</v>
      </c>
      <c r="AD87">
        <f t="shared" si="64"/>
        <v>0</v>
      </c>
      <c r="AE87">
        <f t="shared" si="64"/>
        <v>0</v>
      </c>
      <c r="AF87">
        <f t="shared" si="64"/>
        <v>0</v>
      </c>
      <c r="AG87">
        <f t="shared" si="63"/>
        <v>0</v>
      </c>
      <c r="AH87">
        <f t="shared" si="63"/>
        <v>0</v>
      </c>
      <c r="AI87">
        <f t="shared" si="63"/>
        <v>0</v>
      </c>
      <c r="AJ87">
        <f t="shared" si="63"/>
        <v>0</v>
      </c>
      <c r="AK87">
        <f t="shared" si="63"/>
        <v>0</v>
      </c>
      <c r="AL87">
        <f t="shared" si="63"/>
        <v>0</v>
      </c>
      <c r="AM87">
        <f t="shared" si="63"/>
        <v>0</v>
      </c>
      <c r="AN87">
        <f t="shared" si="63"/>
        <v>1</v>
      </c>
      <c r="AO87">
        <f t="shared" si="63"/>
        <v>0</v>
      </c>
      <c r="AP87">
        <f t="shared" si="63"/>
        <v>0</v>
      </c>
      <c r="AQ87">
        <f t="shared" si="63"/>
        <v>0</v>
      </c>
      <c r="AR87">
        <f t="shared" si="62"/>
        <v>0</v>
      </c>
      <c r="AS87">
        <f t="shared" si="62"/>
        <v>0</v>
      </c>
      <c r="AT87">
        <f t="shared" si="61"/>
        <v>0</v>
      </c>
      <c r="AU87">
        <f t="shared" si="61"/>
        <v>0</v>
      </c>
      <c r="AV87">
        <f t="shared" si="55"/>
        <v>0</v>
      </c>
      <c r="AW87">
        <f t="shared" si="55"/>
        <v>0</v>
      </c>
      <c r="AX87">
        <f t="shared" si="55"/>
        <v>0</v>
      </c>
      <c r="AY87">
        <f t="shared" si="55"/>
        <v>0</v>
      </c>
      <c r="AZ87">
        <f t="shared" si="55"/>
        <v>0</v>
      </c>
    </row>
    <row r="88" spans="1:52" x14ac:dyDescent="0.25">
      <c r="A88" t="s">
        <v>29</v>
      </c>
      <c r="B88" s="3">
        <v>43731</v>
      </c>
      <c r="C88" s="1">
        <v>63613.49461122472</v>
      </c>
      <c r="D88" s="1">
        <v>78.149256279145845</v>
      </c>
      <c r="E88" s="1">
        <f t="shared" si="56"/>
        <v>28611.494611224723</v>
      </c>
      <c r="F88" s="1">
        <f t="shared" si="57"/>
        <v>35002</v>
      </c>
      <c r="G88" s="2">
        <v>814</v>
      </c>
      <c r="H88" s="1">
        <v>35.149256279145852</v>
      </c>
      <c r="I88" s="1">
        <v>43</v>
      </c>
      <c r="J88" s="1">
        <f t="shared" si="59"/>
        <v>395218.23821327661</v>
      </c>
      <c r="K88" s="1">
        <f t="shared" si="60"/>
        <v>194392.23821327655</v>
      </c>
      <c r="N88">
        <f t="shared" si="58"/>
        <v>0</v>
      </c>
      <c r="O88">
        <f t="shared" si="58"/>
        <v>0</v>
      </c>
      <c r="P88">
        <f t="shared" si="58"/>
        <v>0</v>
      </c>
      <c r="Q88">
        <f t="shared" si="64"/>
        <v>0</v>
      </c>
      <c r="R88">
        <f t="shared" si="64"/>
        <v>0</v>
      </c>
      <c r="S88">
        <f t="shared" si="64"/>
        <v>0</v>
      </c>
      <c r="T88">
        <f t="shared" si="64"/>
        <v>0</v>
      </c>
      <c r="U88">
        <f t="shared" si="64"/>
        <v>0</v>
      </c>
      <c r="V88">
        <f t="shared" si="64"/>
        <v>0</v>
      </c>
      <c r="W88">
        <f t="shared" si="64"/>
        <v>0</v>
      </c>
      <c r="X88">
        <f t="shared" si="64"/>
        <v>0</v>
      </c>
      <c r="Y88">
        <f t="shared" si="64"/>
        <v>0</v>
      </c>
      <c r="Z88">
        <f t="shared" si="64"/>
        <v>0</v>
      </c>
      <c r="AA88">
        <f t="shared" si="64"/>
        <v>0</v>
      </c>
      <c r="AB88">
        <f t="shared" si="64"/>
        <v>0</v>
      </c>
      <c r="AC88">
        <f t="shared" si="64"/>
        <v>0</v>
      </c>
      <c r="AD88">
        <f t="shared" si="64"/>
        <v>0</v>
      </c>
      <c r="AE88">
        <f t="shared" si="64"/>
        <v>0</v>
      </c>
      <c r="AF88">
        <f t="shared" si="64"/>
        <v>0</v>
      </c>
      <c r="AG88">
        <f t="shared" si="63"/>
        <v>0</v>
      </c>
      <c r="AH88">
        <f t="shared" si="63"/>
        <v>0</v>
      </c>
      <c r="AI88">
        <f t="shared" si="63"/>
        <v>0</v>
      </c>
      <c r="AJ88">
        <f t="shared" si="63"/>
        <v>0</v>
      </c>
      <c r="AK88">
        <f t="shared" si="63"/>
        <v>0</v>
      </c>
      <c r="AL88">
        <f t="shared" si="63"/>
        <v>0</v>
      </c>
      <c r="AM88">
        <f t="shared" si="63"/>
        <v>0</v>
      </c>
      <c r="AN88">
        <f t="shared" si="63"/>
        <v>0</v>
      </c>
      <c r="AO88">
        <f t="shared" si="63"/>
        <v>0</v>
      </c>
      <c r="AP88">
        <f t="shared" si="63"/>
        <v>0</v>
      </c>
      <c r="AQ88">
        <f t="shared" si="63"/>
        <v>0</v>
      </c>
      <c r="AR88">
        <f t="shared" si="62"/>
        <v>0</v>
      </c>
      <c r="AS88">
        <f t="shared" si="62"/>
        <v>1</v>
      </c>
      <c r="AT88">
        <f t="shared" si="61"/>
        <v>0</v>
      </c>
      <c r="AU88">
        <f t="shared" si="61"/>
        <v>0</v>
      </c>
      <c r="AV88">
        <f t="shared" si="55"/>
        <v>0</v>
      </c>
      <c r="AW88">
        <f t="shared" si="55"/>
        <v>0</v>
      </c>
      <c r="AX88">
        <f t="shared" si="55"/>
        <v>0</v>
      </c>
      <c r="AY88">
        <f t="shared" si="55"/>
        <v>0</v>
      </c>
      <c r="AZ88">
        <f t="shared" si="55"/>
        <v>0</v>
      </c>
    </row>
    <row r="89" spans="1:52" x14ac:dyDescent="0.25">
      <c r="A89" t="s">
        <v>24</v>
      </c>
      <c r="B89" s="3">
        <v>43730</v>
      </c>
      <c r="C89" s="1">
        <v>6622.5526727896731</v>
      </c>
      <c r="D89" s="1">
        <v>194.78096096440214</v>
      </c>
      <c r="E89" s="1">
        <f t="shared" si="56"/>
        <v>2814.5526727896727</v>
      </c>
      <c r="F89" s="1">
        <f t="shared" si="57"/>
        <v>3808</v>
      </c>
      <c r="G89" s="2">
        <v>34</v>
      </c>
      <c r="H89" s="1">
        <v>82.780960964402141</v>
      </c>
      <c r="I89" s="1">
        <v>112</v>
      </c>
      <c r="J89" s="1">
        <f t="shared" si="59"/>
        <v>401840.79088606627</v>
      </c>
      <c r="K89" s="1">
        <f t="shared" si="60"/>
        <v>197206.79088606621</v>
      </c>
      <c r="N89">
        <f t="shared" si="58"/>
        <v>0</v>
      </c>
      <c r="O89">
        <f t="shared" si="58"/>
        <v>0</v>
      </c>
      <c r="P89">
        <f t="shared" si="58"/>
        <v>0</v>
      </c>
      <c r="Q89">
        <f t="shared" si="64"/>
        <v>0</v>
      </c>
      <c r="R89">
        <f t="shared" si="64"/>
        <v>0</v>
      </c>
      <c r="S89">
        <f t="shared" si="64"/>
        <v>0</v>
      </c>
      <c r="T89">
        <f t="shared" si="64"/>
        <v>0</v>
      </c>
      <c r="U89">
        <f t="shared" si="64"/>
        <v>0</v>
      </c>
      <c r="V89">
        <f t="shared" si="64"/>
        <v>1</v>
      </c>
      <c r="W89">
        <f t="shared" si="64"/>
        <v>0</v>
      </c>
      <c r="X89">
        <f t="shared" si="64"/>
        <v>0</v>
      </c>
      <c r="Y89">
        <f t="shared" si="64"/>
        <v>0</v>
      </c>
      <c r="Z89">
        <f t="shared" si="64"/>
        <v>0</v>
      </c>
      <c r="AA89">
        <f t="shared" si="64"/>
        <v>0</v>
      </c>
      <c r="AB89">
        <f t="shared" si="64"/>
        <v>0</v>
      </c>
      <c r="AC89">
        <f t="shared" si="64"/>
        <v>0</v>
      </c>
      <c r="AD89">
        <f t="shared" si="64"/>
        <v>0</v>
      </c>
      <c r="AE89">
        <f t="shared" si="64"/>
        <v>0</v>
      </c>
      <c r="AF89">
        <f t="shared" si="64"/>
        <v>0</v>
      </c>
      <c r="AG89">
        <f t="shared" si="63"/>
        <v>0</v>
      </c>
      <c r="AH89">
        <f t="shared" si="63"/>
        <v>0</v>
      </c>
      <c r="AI89">
        <f t="shared" si="63"/>
        <v>0</v>
      </c>
      <c r="AJ89">
        <f t="shared" si="63"/>
        <v>0</v>
      </c>
      <c r="AK89">
        <f t="shared" si="63"/>
        <v>0</v>
      </c>
      <c r="AL89">
        <f t="shared" si="63"/>
        <v>0</v>
      </c>
      <c r="AM89">
        <f t="shared" si="63"/>
        <v>0</v>
      </c>
      <c r="AN89">
        <f t="shared" si="63"/>
        <v>0</v>
      </c>
      <c r="AO89">
        <f t="shared" si="63"/>
        <v>0</v>
      </c>
      <c r="AP89">
        <f t="shared" si="63"/>
        <v>0</v>
      </c>
      <c r="AQ89">
        <f t="shared" si="63"/>
        <v>0</v>
      </c>
      <c r="AR89">
        <f t="shared" si="62"/>
        <v>0</v>
      </c>
      <c r="AS89">
        <f t="shared" si="62"/>
        <v>0</v>
      </c>
      <c r="AT89">
        <f t="shared" si="61"/>
        <v>0</v>
      </c>
      <c r="AU89">
        <f t="shared" si="61"/>
        <v>0</v>
      </c>
      <c r="AV89">
        <f t="shared" si="55"/>
        <v>0</v>
      </c>
      <c r="AW89">
        <f t="shared" si="55"/>
        <v>0</v>
      </c>
      <c r="AX89">
        <f t="shared" si="55"/>
        <v>0</v>
      </c>
      <c r="AY89">
        <f t="shared" si="55"/>
        <v>0</v>
      </c>
      <c r="AZ89">
        <f t="shared" si="55"/>
        <v>0</v>
      </c>
    </row>
    <row r="90" spans="1:52" x14ac:dyDescent="0.25">
      <c r="A90" t="s">
        <v>25</v>
      </c>
      <c r="B90" s="3">
        <v>43717</v>
      </c>
      <c r="C90" s="1">
        <v>4146.8824297572364</v>
      </c>
      <c r="D90" s="1">
        <v>148.10294391990129</v>
      </c>
      <c r="E90" s="1">
        <f t="shared" si="56"/>
        <v>2550.8824297572364</v>
      </c>
      <c r="F90" s="1">
        <f t="shared" si="57"/>
        <v>1596</v>
      </c>
      <c r="G90" s="2">
        <v>28</v>
      </c>
      <c r="H90" s="1">
        <v>91.102943919901307</v>
      </c>
      <c r="I90" s="1">
        <v>57</v>
      </c>
      <c r="J90" s="1">
        <f t="shared" si="59"/>
        <v>405987.67331582349</v>
      </c>
      <c r="K90" s="1">
        <f t="shared" si="60"/>
        <v>199757.67331582346</v>
      </c>
      <c r="N90">
        <f t="shared" si="58"/>
        <v>0</v>
      </c>
      <c r="O90">
        <f t="shared" si="58"/>
        <v>0</v>
      </c>
      <c r="P90">
        <f t="shared" si="58"/>
        <v>0</v>
      </c>
      <c r="Q90">
        <f t="shared" si="64"/>
        <v>0</v>
      </c>
      <c r="R90">
        <f t="shared" si="64"/>
        <v>0</v>
      </c>
      <c r="S90">
        <f t="shared" si="64"/>
        <v>1</v>
      </c>
      <c r="T90">
        <f t="shared" si="64"/>
        <v>0</v>
      </c>
      <c r="U90">
        <f t="shared" si="64"/>
        <v>0</v>
      </c>
      <c r="V90">
        <f t="shared" si="64"/>
        <v>0</v>
      </c>
      <c r="W90">
        <f t="shared" si="64"/>
        <v>0</v>
      </c>
      <c r="X90">
        <f t="shared" si="64"/>
        <v>0</v>
      </c>
      <c r="Y90">
        <f t="shared" si="64"/>
        <v>0</v>
      </c>
      <c r="Z90">
        <f t="shared" si="64"/>
        <v>0</v>
      </c>
      <c r="AA90">
        <f t="shared" si="64"/>
        <v>0</v>
      </c>
      <c r="AB90">
        <f t="shared" si="64"/>
        <v>0</v>
      </c>
      <c r="AC90">
        <f t="shared" si="64"/>
        <v>0</v>
      </c>
      <c r="AD90">
        <f t="shared" si="64"/>
        <v>0</v>
      </c>
      <c r="AE90">
        <f t="shared" si="64"/>
        <v>0</v>
      </c>
      <c r="AF90">
        <f t="shared" si="64"/>
        <v>0</v>
      </c>
      <c r="AG90">
        <f t="shared" si="63"/>
        <v>0</v>
      </c>
      <c r="AH90">
        <f t="shared" si="63"/>
        <v>0</v>
      </c>
      <c r="AI90">
        <f t="shared" si="63"/>
        <v>0</v>
      </c>
      <c r="AJ90">
        <f t="shared" si="63"/>
        <v>0</v>
      </c>
      <c r="AK90">
        <f t="shared" si="63"/>
        <v>0</v>
      </c>
      <c r="AL90">
        <f t="shared" si="63"/>
        <v>0</v>
      </c>
      <c r="AM90">
        <f t="shared" si="63"/>
        <v>0</v>
      </c>
      <c r="AN90">
        <f t="shared" si="63"/>
        <v>0</v>
      </c>
      <c r="AO90">
        <f t="shared" si="63"/>
        <v>0</v>
      </c>
      <c r="AP90">
        <f t="shared" si="63"/>
        <v>0</v>
      </c>
      <c r="AQ90">
        <f t="shared" si="63"/>
        <v>0</v>
      </c>
      <c r="AR90">
        <f t="shared" si="62"/>
        <v>0</v>
      </c>
      <c r="AS90">
        <f t="shared" si="62"/>
        <v>0</v>
      </c>
      <c r="AT90">
        <f t="shared" si="61"/>
        <v>0</v>
      </c>
      <c r="AU90">
        <f t="shared" si="61"/>
        <v>0</v>
      </c>
      <c r="AV90">
        <f t="shared" si="55"/>
        <v>0</v>
      </c>
      <c r="AW90">
        <f t="shared" si="55"/>
        <v>0</v>
      </c>
      <c r="AX90">
        <f t="shared" si="55"/>
        <v>0</v>
      </c>
      <c r="AY90">
        <f t="shared" si="55"/>
        <v>0</v>
      </c>
      <c r="AZ90">
        <f t="shared" si="55"/>
        <v>0</v>
      </c>
    </row>
    <row r="91" spans="1:52" x14ac:dyDescent="0.25">
      <c r="A91" t="s">
        <v>48</v>
      </c>
      <c r="B91" s="3">
        <v>43714</v>
      </c>
      <c r="C91" s="1">
        <v>475.03080785226382</v>
      </c>
      <c r="D91" s="1">
        <v>118.75770196306595</v>
      </c>
      <c r="E91" s="1">
        <f t="shared" si="56"/>
        <v>247.03080785226385</v>
      </c>
      <c r="F91" s="1">
        <f t="shared" si="57"/>
        <v>228</v>
      </c>
      <c r="G91" s="2">
        <v>4</v>
      </c>
      <c r="H91" s="1">
        <v>61.757701963065962</v>
      </c>
      <c r="I91" s="1">
        <v>57</v>
      </c>
      <c r="J91" s="1">
        <f t="shared" si="59"/>
        <v>406462.70412367577</v>
      </c>
      <c r="K91" s="1">
        <f t="shared" si="60"/>
        <v>200004.70412367571</v>
      </c>
      <c r="N91">
        <f t="shared" si="58"/>
        <v>0</v>
      </c>
      <c r="O91">
        <f t="shared" si="58"/>
        <v>0</v>
      </c>
      <c r="P91">
        <f t="shared" si="58"/>
        <v>0</v>
      </c>
      <c r="Q91">
        <f t="shared" si="64"/>
        <v>0</v>
      </c>
      <c r="R91">
        <f t="shared" si="64"/>
        <v>0</v>
      </c>
      <c r="S91">
        <f t="shared" si="64"/>
        <v>0</v>
      </c>
      <c r="T91">
        <f t="shared" si="64"/>
        <v>0</v>
      </c>
      <c r="U91">
        <f t="shared" si="64"/>
        <v>0</v>
      </c>
      <c r="V91">
        <f t="shared" si="64"/>
        <v>0</v>
      </c>
      <c r="W91">
        <f t="shared" si="64"/>
        <v>0</v>
      </c>
      <c r="X91">
        <f t="shared" si="64"/>
        <v>0</v>
      </c>
      <c r="Y91">
        <f t="shared" si="64"/>
        <v>0</v>
      </c>
      <c r="Z91">
        <f t="shared" si="64"/>
        <v>0</v>
      </c>
      <c r="AA91">
        <f t="shared" si="64"/>
        <v>0</v>
      </c>
      <c r="AB91">
        <f t="shared" si="64"/>
        <v>0</v>
      </c>
      <c r="AC91">
        <f t="shared" si="64"/>
        <v>0</v>
      </c>
      <c r="AD91">
        <f t="shared" si="64"/>
        <v>0</v>
      </c>
      <c r="AE91">
        <f t="shared" si="64"/>
        <v>0</v>
      </c>
      <c r="AF91">
        <f t="shared" si="64"/>
        <v>0</v>
      </c>
      <c r="AG91">
        <f t="shared" si="63"/>
        <v>0</v>
      </c>
      <c r="AH91">
        <f t="shared" si="63"/>
        <v>0</v>
      </c>
      <c r="AI91">
        <f t="shared" si="63"/>
        <v>1</v>
      </c>
      <c r="AJ91">
        <f t="shared" si="63"/>
        <v>0</v>
      </c>
      <c r="AK91">
        <f t="shared" si="63"/>
        <v>0</v>
      </c>
      <c r="AL91">
        <f t="shared" si="63"/>
        <v>0</v>
      </c>
      <c r="AM91">
        <f t="shared" si="63"/>
        <v>0</v>
      </c>
      <c r="AN91">
        <f t="shared" si="63"/>
        <v>0</v>
      </c>
      <c r="AO91">
        <f t="shared" si="63"/>
        <v>0</v>
      </c>
      <c r="AP91">
        <f t="shared" si="63"/>
        <v>0</v>
      </c>
      <c r="AQ91">
        <f t="shared" si="63"/>
        <v>0</v>
      </c>
      <c r="AR91">
        <f t="shared" si="62"/>
        <v>0</v>
      </c>
      <c r="AS91">
        <f t="shared" si="62"/>
        <v>0</v>
      </c>
      <c r="AT91">
        <f t="shared" si="61"/>
        <v>0</v>
      </c>
      <c r="AU91">
        <f t="shared" si="61"/>
        <v>0</v>
      </c>
      <c r="AV91">
        <f t="shared" si="55"/>
        <v>0</v>
      </c>
      <c r="AW91">
        <f t="shared" si="55"/>
        <v>0</v>
      </c>
      <c r="AX91">
        <f t="shared" si="55"/>
        <v>0</v>
      </c>
      <c r="AY91">
        <f t="shared" si="55"/>
        <v>0</v>
      </c>
      <c r="AZ91">
        <f t="shared" si="55"/>
        <v>0</v>
      </c>
    </row>
    <row r="92" spans="1:52" x14ac:dyDescent="0.25">
      <c r="A92" t="s">
        <v>32</v>
      </c>
      <c r="B92" s="3">
        <v>43712</v>
      </c>
      <c r="C92" s="1">
        <v>879.72177538792766</v>
      </c>
      <c r="D92" s="1">
        <v>97.746863931991967</v>
      </c>
      <c r="E92" s="1">
        <f t="shared" si="56"/>
        <v>501.72177538792772</v>
      </c>
      <c r="F92" s="1">
        <f t="shared" si="57"/>
        <v>378</v>
      </c>
      <c r="G92" s="2">
        <v>9</v>
      </c>
      <c r="H92" s="1">
        <v>55.746863931991967</v>
      </c>
      <c r="I92" s="1">
        <v>42</v>
      </c>
      <c r="J92" s="1">
        <f t="shared" si="59"/>
        <v>407342.4258990637</v>
      </c>
      <c r="K92" s="1">
        <f t="shared" si="60"/>
        <v>200506.42589906364</v>
      </c>
      <c r="N92">
        <f t="shared" si="58"/>
        <v>0</v>
      </c>
      <c r="O92">
        <f t="shared" si="58"/>
        <v>0</v>
      </c>
      <c r="P92">
        <f t="shared" si="58"/>
        <v>0</v>
      </c>
      <c r="Q92">
        <f t="shared" si="64"/>
        <v>0</v>
      </c>
      <c r="R92">
        <f t="shared" si="64"/>
        <v>0</v>
      </c>
      <c r="S92">
        <f t="shared" si="64"/>
        <v>0</v>
      </c>
      <c r="T92">
        <f t="shared" si="64"/>
        <v>0</v>
      </c>
      <c r="U92">
        <f t="shared" si="64"/>
        <v>0</v>
      </c>
      <c r="V92">
        <f t="shared" si="64"/>
        <v>0</v>
      </c>
      <c r="W92">
        <f t="shared" si="64"/>
        <v>0</v>
      </c>
      <c r="X92">
        <f t="shared" si="64"/>
        <v>0</v>
      </c>
      <c r="Y92">
        <f t="shared" si="64"/>
        <v>0</v>
      </c>
      <c r="Z92">
        <f t="shared" si="64"/>
        <v>0</v>
      </c>
      <c r="AA92">
        <f t="shared" si="64"/>
        <v>0</v>
      </c>
      <c r="AB92">
        <f t="shared" si="64"/>
        <v>0</v>
      </c>
      <c r="AC92">
        <f t="shared" si="64"/>
        <v>0</v>
      </c>
      <c r="AD92">
        <f t="shared" si="64"/>
        <v>0</v>
      </c>
      <c r="AE92">
        <f t="shared" si="64"/>
        <v>0</v>
      </c>
      <c r="AF92">
        <f t="shared" si="64"/>
        <v>0</v>
      </c>
      <c r="AG92">
        <f t="shared" si="63"/>
        <v>0</v>
      </c>
      <c r="AH92">
        <f t="shared" si="63"/>
        <v>1</v>
      </c>
      <c r="AI92">
        <f t="shared" si="63"/>
        <v>0</v>
      </c>
      <c r="AJ92">
        <f t="shared" si="63"/>
        <v>0</v>
      </c>
      <c r="AK92">
        <f t="shared" si="63"/>
        <v>0</v>
      </c>
      <c r="AL92">
        <f t="shared" si="63"/>
        <v>0</v>
      </c>
      <c r="AM92">
        <f t="shared" si="63"/>
        <v>0</v>
      </c>
      <c r="AN92">
        <f t="shared" si="63"/>
        <v>0</v>
      </c>
      <c r="AO92">
        <f t="shared" si="63"/>
        <v>0</v>
      </c>
      <c r="AP92">
        <f t="shared" si="63"/>
        <v>0</v>
      </c>
      <c r="AQ92">
        <f t="shared" si="63"/>
        <v>0</v>
      </c>
      <c r="AR92">
        <f t="shared" si="62"/>
        <v>0</v>
      </c>
      <c r="AS92">
        <f t="shared" si="62"/>
        <v>0</v>
      </c>
      <c r="AT92">
        <f t="shared" si="61"/>
        <v>0</v>
      </c>
      <c r="AU92">
        <f t="shared" si="61"/>
        <v>0</v>
      </c>
      <c r="AV92">
        <f t="shared" si="55"/>
        <v>0</v>
      </c>
      <c r="AW92">
        <f t="shared" si="55"/>
        <v>0</v>
      </c>
      <c r="AX92">
        <f t="shared" si="55"/>
        <v>0</v>
      </c>
      <c r="AY92">
        <f t="shared" si="55"/>
        <v>0</v>
      </c>
      <c r="AZ92">
        <f t="shared" si="55"/>
        <v>0</v>
      </c>
    </row>
    <row r="93" spans="1:52" x14ac:dyDescent="0.25">
      <c r="A93" t="s">
        <v>49</v>
      </c>
      <c r="B93" s="3">
        <v>43678</v>
      </c>
      <c r="C93" s="1">
        <v>313.89895318498077</v>
      </c>
      <c r="D93" s="1">
        <v>78.474738296245192</v>
      </c>
      <c r="E93" s="1">
        <f t="shared" si="56"/>
        <v>137.89895318498074</v>
      </c>
      <c r="F93" s="1">
        <f t="shared" si="57"/>
        <v>176</v>
      </c>
      <c r="G93" s="2">
        <v>4</v>
      </c>
      <c r="H93" s="1">
        <v>34.474738296245185</v>
      </c>
      <c r="I93" s="1">
        <v>44</v>
      </c>
      <c r="J93" s="1">
        <f t="shared" si="59"/>
        <v>407656.32485224871</v>
      </c>
      <c r="K93" s="1">
        <f t="shared" si="60"/>
        <v>200644.32485224862</v>
      </c>
      <c r="N93">
        <f t="shared" si="58"/>
        <v>0</v>
      </c>
      <c r="O93">
        <f t="shared" si="58"/>
        <v>0</v>
      </c>
      <c r="P93">
        <f t="shared" si="58"/>
        <v>0</v>
      </c>
      <c r="Q93">
        <f t="shared" si="64"/>
        <v>0</v>
      </c>
      <c r="R93">
        <f t="shared" si="64"/>
        <v>0</v>
      </c>
      <c r="S93">
        <f t="shared" si="64"/>
        <v>0</v>
      </c>
      <c r="T93">
        <f t="shared" si="64"/>
        <v>0</v>
      </c>
      <c r="U93">
        <f t="shared" si="64"/>
        <v>0</v>
      </c>
      <c r="V93">
        <f t="shared" si="64"/>
        <v>0</v>
      </c>
      <c r="W93">
        <f t="shared" si="64"/>
        <v>0</v>
      </c>
      <c r="X93">
        <f t="shared" si="64"/>
        <v>0</v>
      </c>
      <c r="Y93">
        <f t="shared" si="64"/>
        <v>0</v>
      </c>
      <c r="Z93">
        <f t="shared" si="64"/>
        <v>0</v>
      </c>
      <c r="AA93">
        <f t="shared" si="64"/>
        <v>1</v>
      </c>
      <c r="AB93">
        <f t="shared" si="64"/>
        <v>0</v>
      </c>
      <c r="AC93">
        <f t="shared" si="64"/>
        <v>0</v>
      </c>
      <c r="AD93">
        <f t="shared" si="64"/>
        <v>0</v>
      </c>
      <c r="AE93">
        <f t="shared" si="64"/>
        <v>0</v>
      </c>
      <c r="AF93">
        <f t="shared" si="64"/>
        <v>0</v>
      </c>
      <c r="AG93">
        <f t="shared" si="63"/>
        <v>0</v>
      </c>
      <c r="AH93">
        <f t="shared" si="63"/>
        <v>0</v>
      </c>
      <c r="AI93">
        <f t="shared" si="63"/>
        <v>0</v>
      </c>
      <c r="AJ93">
        <f t="shared" si="63"/>
        <v>0</v>
      </c>
      <c r="AK93">
        <f t="shared" si="63"/>
        <v>0</v>
      </c>
      <c r="AL93">
        <f t="shared" si="63"/>
        <v>0</v>
      </c>
      <c r="AM93">
        <f t="shared" si="63"/>
        <v>0</v>
      </c>
      <c r="AN93">
        <f t="shared" si="63"/>
        <v>0</v>
      </c>
      <c r="AO93">
        <f t="shared" si="63"/>
        <v>0</v>
      </c>
      <c r="AP93">
        <f t="shared" si="63"/>
        <v>0</v>
      </c>
      <c r="AQ93">
        <f t="shared" si="63"/>
        <v>0</v>
      </c>
      <c r="AR93">
        <f t="shared" si="62"/>
        <v>0</v>
      </c>
      <c r="AS93">
        <f t="shared" si="62"/>
        <v>0</v>
      </c>
      <c r="AT93">
        <f t="shared" si="61"/>
        <v>0</v>
      </c>
      <c r="AU93">
        <f t="shared" si="61"/>
        <v>0</v>
      </c>
      <c r="AV93">
        <f t="shared" si="55"/>
        <v>0</v>
      </c>
      <c r="AW93">
        <f t="shared" si="55"/>
        <v>0</v>
      </c>
      <c r="AX93">
        <f t="shared" si="55"/>
        <v>0</v>
      </c>
      <c r="AY93">
        <f t="shared" si="55"/>
        <v>0</v>
      </c>
      <c r="AZ93">
        <f t="shared" si="55"/>
        <v>0</v>
      </c>
    </row>
    <row r="94" spans="1:52" x14ac:dyDescent="0.25">
      <c r="A94" t="s">
        <v>25</v>
      </c>
      <c r="B94" s="3">
        <v>43662</v>
      </c>
      <c r="C94" s="1">
        <v>1056.8216422404171</v>
      </c>
      <c r="D94" s="1">
        <v>105.6821642240417</v>
      </c>
      <c r="E94" s="1">
        <f t="shared" si="56"/>
        <v>466.82164224041696</v>
      </c>
      <c r="F94" s="1">
        <f t="shared" si="57"/>
        <v>590</v>
      </c>
      <c r="G94" s="2">
        <v>10</v>
      </c>
      <c r="H94" s="1">
        <v>46.682164224041699</v>
      </c>
      <c r="I94" s="1">
        <v>59</v>
      </c>
      <c r="J94" s="1">
        <f t="shared" si="59"/>
        <v>408713.1464944891</v>
      </c>
      <c r="K94" s="1">
        <f t="shared" si="60"/>
        <v>201111.14649448905</v>
      </c>
      <c r="N94">
        <f t="shared" si="58"/>
        <v>0</v>
      </c>
      <c r="O94">
        <f t="shared" si="58"/>
        <v>0</v>
      </c>
      <c r="P94">
        <f t="shared" si="58"/>
        <v>0</v>
      </c>
      <c r="Q94">
        <f t="shared" si="64"/>
        <v>0</v>
      </c>
      <c r="R94">
        <f t="shared" si="64"/>
        <v>0</v>
      </c>
      <c r="S94">
        <f t="shared" si="64"/>
        <v>1</v>
      </c>
      <c r="T94">
        <f t="shared" si="64"/>
        <v>0</v>
      </c>
      <c r="U94">
        <f t="shared" si="64"/>
        <v>0</v>
      </c>
      <c r="V94">
        <f t="shared" si="64"/>
        <v>0</v>
      </c>
      <c r="W94">
        <f t="shared" si="64"/>
        <v>0</v>
      </c>
      <c r="X94">
        <f t="shared" si="64"/>
        <v>0</v>
      </c>
      <c r="Y94">
        <f t="shared" si="64"/>
        <v>0</v>
      </c>
      <c r="Z94">
        <f t="shared" si="64"/>
        <v>0</v>
      </c>
      <c r="AA94">
        <f t="shared" si="64"/>
        <v>0</v>
      </c>
      <c r="AB94">
        <f t="shared" si="64"/>
        <v>0</v>
      </c>
      <c r="AC94">
        <f t="shared" si="64"/>
        <v>0</v>
      </c>
      <c r="AD94">
        <f t="shared" si="64"/>
        <v>0</v>
      </c>
      <c r="AE94">
        <f t="shared" si="64"/>
        <v>0</v>
      </c>
      <c r="AF94">
        <f t="shared" si="64"/>
        <v>0</v>
      </c>
      <c r="AG94">
        <f t="shared" si="63"/>
        <v>0</v>
      </c>
      <c r="AH94">
        <f t="shared" si="63"/>
        <v>0</v>
      </c>
      <c r="AI94">
        <f t="shared" si="63"/>
        <v>0</v>
      </c>
      <c r="AJ94">
        <f t="shared" si="63"/>
        <v>0</v>
      </c>
      <c r="AK94">
        <f t="shared" si="63"/>
        <v>0</v>
      </c>
      <c r="AL94">
        <f t="shared" si="63"/>
        <v>0</v>
      </c>
      <c r="AM94">
        <f t="shared" si="63"/>
        <v>0</v>
      </c>
      <c r="AN94">
        <f t="shared" si="63"/>
        <v>0</v>
      </c>
      <c r="AO94">
        <f t="shared" si="63"/>
        <v>0</v>
      </c>
      <c r="AP94">
        <f t="shared" si="63"/>
        <v>0</v>
      </c>
      <c r="AQ94">
        <f t="shared" si="63"/>
        <v>0</v>
      </c>
      <c r="AR94">
        <f t="shared" si="62"/>
        <v>0</v>
      </c>
      <c r="AS94">
        <f t="shared" si="62"/>
        <v>0</v>
      </c>
      <c r="AT94">
        <f t="shared" si="61"/>
        <v>0</v>
      </c>
      <c r="AU94">
        <f t="shared" si="61"/>
        <v>0</v>
      </c>
      <c r="AV94">
        <f t="shared" si="55"/>
        <v>0</v>
      </c>
      <c r="AW94">
        <f t="shared" si="55"/>
        <v>0</v>
      </c>
      <c r="AX94">
        <f t="shared" si="55"/>
        <v>0</v>
      </c>
      <c r="AY94">
        <f t="shared" si="55"/>
        <v>0</v>
      </c>
      <c r="AZ94">
        <f t="shared" si="55"/>
        <v>0</v>
      </c>
    </row>
    <row r="95" spans="1:52" x14ac:dyDescent="0.25">
      <c r="A95" t="s">
        <v>15</v>
      </c>
      <c r="B95" s="3">
        <v>43655</v>
      </c>
      <c r="C95" s="1">
        <v>8467.7346029795426</v>
      </c>
      <c r="D95" s="1">
        <v>115.9963644243773</v>
      </c>
      <c r="E95" s="1">
        <f t="shared" si="56"/>
        <v>3649.7346029795431</v>
      </c>
      <c r="F95" s="1">
        <f t="shared" si="57"/>
        <v>4818</v>
      </c>
      <c r="G95" s="2">
        <v>73</v>
      </c>
      <c r="H95" s="1">
        <v>49.996364424377305</v>
      </c>
      <c r="I95" s="1">
        <v>66</v>
      </c>
      <c r="J95" s="1">
        <f t="shared" si="59"/>
        <v>417180.88109746866</v>
      </c>
      <c r="K95" s="1">
        <f t="shared" si="60"/>
        <v>204760.88109746858</v>
      </c>
      <c r="N95">
        <f t="shared" si="58"/>
        <v>0</v>
      </c>
      <c r="O95">
        <f t="shared" si="58"/>
        <v>0</v>
      </c>
      <c r="P95">
        <f t="shared" si="58"/>
        <v>0</v>
      </c>
      <c r="Q95">
        <f t="shared" si="64"/>
        <v>0</v>
      </c>
      <c r="R95">
        <f t="shared" si="64"/>
        <v>0</v>
      </c>
      <c r="S95">
        <f t="shared" si="64"/>
        <v>0</v>
      </c>
      <c r="T95">
        <f t="shared" si="64"/>
        <v>0</v>
      </c>
      <c r="U95">
        <f t="shared" si="64"/>
        <v>0</v>
      </c>
      <c r="V95">
        <f t="shared" si="64"/>
        <v>0</v>
      </c>
      <c r="W95">
        <f t="shared" si="64"/>
        <v>0</v>
      </c>
      <c r="X95">
        <f t="shared" si="64"/>
        <v>0</v>
      </c>
      <c r="Y95">
        <f t="shared" si="64"/>
        <v>0</v>
      </c>
      <c r="Z95">
        <f t="shared" si="64"/>
        <v>0</v>
      </c>
      <c r="AA95">
        <f t="shared" si="64"/>
        <v>0</v>
      </c>
      <c r="AB95">
        <f t="shared" si="64"/>
        <v>0</v>
      </c>
      <c r="AC95">
        <f t="shared" si="64"/>
        <v>0</v>
      </c>
      <c r="AD95">
        <f t="shared" si="64"/>
        <v>0</v>
      </c>
      <c r="AE95">
        <f t="shared" si="64"/>
        <v>0</v>
      </c>
      <c r="AF95">
        <f t="shared" ref="AF95:AU110" si="65">+IF(AF$5=$A95,1,0)</f>
        <v>0</v>
      </c>
      <c r="AG95">
        <f t="shared" si="65"/>
        <v>0</v>
      </c>
      <c r="AH95">
        <f t="shared" si="65"/>
        <v>0</v>
      </c>
      <c r="AI95">
        <f t="shared" si="65"/>
        <v>0</v>
      </c>
      <c r="AJ95">
        <f t="shared" si="65"/>
        <v>0</v>
      </c>
      <c r="AK95">
        <f t="shared" si="65"/>
        <v>0</v>
      </c>
      <c r="AL95">
        <f t="shared" si="65"/>
        <v>0</v>
      </c>
      <c r="AM95">
        <f t="shared" si="65"/>
        <v>0</v>
      </c>
      <c r="AN95">
        <f t="shared" si="65"/>
        <v>0</v>
      </c>
      <c r="AO95">
        <f t="shared" si="65"/>
        <v>0</v>
      </c>
      <c r="AP95">
        <f t="shared" si="65"/>
        <v>0</v>
      </c>
      <c r="AQ95">
        <f t="shared" si="65"/>
        <v>0</v>
      </c>
      <c r="AR95">
        <f t="shared" si="65"/>
        <v>1</v>
      </c>
      <c r="AS95">
        <f t="shared" si="65"/>
        <v>0</v>
      </c>
      <c r="AT95">
        <f t="shared" si="65"/>
        <v>0</v>
      </c>
      <c r="AU95">
        <f t="shared" si="65"/>
        <v>0</v>
      </c>
      <c r="AV95">
        <f t="shared" si="55"/>
        <v>0</v>
      </c>
      <c r="AW95">
        <f t="shared" si="55"/>
        <v>0</v>
      </c>
      <c r="AX95">
        <f t="shared" si="55"/>
        <v>0</v>
      </c>
      <c r="AY95">
        <f t="shared" si="55"/>
        <v>0</v>
      </c>
      <c r="AZ95">
        <f t="shared" si="55"/>
        <v>0</v>
      </c>
    </row>
    <row r="96" spans="1:52" x14ac:dyDescent="0.25">
      <c r="A96" t="s">
        <v>27</v>
      </c>
      <c r="B96" s="3">
        <v>43653</v>
      </c>
      <c r="C96" s="1">
        <v>469.61715803202941</v>
      </c>
      <c r="D96" s="1">
        <v>156.53905267734314</v>
      </c>
      <c r="E96" s="1">
        <f t="shared" si="56"/>
        <v>232.61715803202941</v>
      </c>
      <c r="F96" s="1">
        <f t="shared" si="57"/>
        <v>237</v>
      </c>
      <c r="G96" s="2">
        <v>3</v>
      </c>
      <c r="H96" s="1">
        <v>77.539052677343136</v>
      </c>
      <c r="I96" s="1">
        <v>79</v>
      </c>
      <c r="J96" s="1">
        <f t="shared" si="59"/>
        <v>417650.49825550069</v>
      </c>
      <c r="K96" s="1">
        <f t="shared" si="60"/>
        <v>204993.4982555006</v>
      </c>
      <c r="N96">
        <f t="shared" si="58"/>
        <v>0</v>
      </c>
      <c r="O96">
        <f t="shared" si="58"/>
        <v>0</v>
      </c>
      <c r="P96">
        <f t="shared" si="58"/>
        <v>0</v>
      </c>
      <c r="Q96">
        <f t="shared" ref="Q96:AF111" si="66">+IF(Q$5=$A96,1,0)</f>
        <v>0</v>
      </c>
      <c r="R96">
        <f t="shared" si="66"/>
        <v>0</v>
      </c>
      <c r="S96">
        <f t="shared" si="66"/>
        <v>0</v>
      </c>
      <c r="T96">
        <f t="shared" si="66"/>
        <v>0</v>
      </c>
      <c r="U96">
        <f t="shared" si="66"/>
        <v>0</v>
      </c>
      <c r="V96">
        <f t="shared" si="66"/>
        <v>0</v>
      </c>
      <c r="W96">
        <f t="shared" si="66"/>
        <v>0</v>
      </c>
      <c r="X96">
        <f t="shared" si="66"/>
        <v>0</v>
      </c>
      <c r="Y96">
        <f t="shared" si="66"/>
        <v>0</v>
      </c>
      <c r="Z96">
        <f t="shared" si="66"/>
        <v>0</v>
      </c>
      <c r="AA96">
        <f t="shared" si="66"/>
        <v>0</v>
      </c>
      <c r="AB96">
        <f t="shared" si="66"/>
        <v>0</v>
      </c>
      <c r="AC96">
        <f t="shared" si="66"/>
        <v>1</v>
      </c>
      <c r="AD96">
        <f t="shared" si="66"/>
        <v>0</v>
      </c>
      <c r="AE96">
        <f t="shared" si="66"/>
        <v>0</v>
      </c>
      <c r="AF96">
        <f t="shared" si="66"/>
        <v>0</v>
      </c>
      <c r="AG96">
        <f t="shared" si="65"/>
        <v>0</v>
      </c>
      <c r="AH96">
        <f t="shared" si="65"/>
        <v>0</v>
      </c>
      <c r="AI96">
        <f t="shared" si="65"/>
        <v>0</v>
      </c>
      <c r="AJ96">
        <f t="shared" si="65"/>
        <v>0</v>
      </c>
      <c r="AK96">
        <f t="shared" si="65"/>
        <v>0</v>
      </c>
      <c r="AL96">
        <f t="shared" si="65"/>
        <v>0</v>
      </c>
      <c r="AM96">
        <f t="shared" si="65"/>
        <v>0</v>
      </c>
      <c r="AN96">
        <f t="shared" si="65"/>
        <v>0</v>
      </c>
      <c r="AO96">
        <f t="shared" si="65"/>
        <v>0</v>
      </c>
      <c r="AP96">
        <f t="shared" si="65"/>
        <v>0</v>
      </c>
      <c r="AQ96">
        <f t="shared" si="65"/>
        <v>0</v>
      </c>
      <c r="AR96">
        <f t="shared" si="65"/>
        <v>0</v>
      </c>
      <c r="AS96">
        <f t="shared" si="65"/>
        <v>0</v>
      </c>
      <c r="AT96">
        <f t="shared" si="65"/>
        <v>0</v>
      </c>
      <c r="AU96">
        <f t="shared" si="65"/>
        <v>0</v>
      </c>
      <c r="AV96">
        <f t="shared" si="55"/>
        <v>0</v>
      </c>
      <c r="AW96">
        <f t="shared" si="55"/>
        <v>0</v>
      </c>
      <c r="AX96">
        <f t="shared" si="55"/>
        <v>0</v>
      </c>
      <c r="AY96">
        <f t="shared" si="55"/>
        <v>0</v>
      </c>
      <c r="AZ96">
        <f t="shared" si="55"/>
        <v>0</v>
      </c>
    </row>
    <row r="97" spans="1:52" x14ac:dyDescent="0.25">
      <c r="A97" t="s">
        <v>17</v>
      </c>
      <c r="B97" s="3">
        <v>43650</v>
      </c>
      <c r="C97" s="1">
        <v>568.69068459811206</v>
      </c>
      <c r="D97" s="1">
        <v>81.241526371158869</v>
      </c>
      <c r="E97" s="1">
        <f t="shared" si="56"/>
        <v>281.69068459811211</v>
      </c>
      <c r="F97" s="1">
        <f t="shared" si="57"/>
        <v>287</v>
      </c>
      <c r="G97" s="2">
        <v>7</v>
      </c>
      <c r="H97" s="1">
        <v>40.241526371158876</v>
      </c>
      <c r="I97" s="1">
        <v>41</v>
      </c>
      <c r="J97" s="1">
        <f t="shared" si="59"/>
        <v>418219.1889400988</v>
      </c>
      <c r="K97" s="1">
        <f t="shared" si="60"/>
        <v>205275.18894009871</v>
      </c>
      <c r="N97">
        <f t="shared" si="58"/>
        <v>0</v>
      </c>
      <c r="O97">
        <f t="shared" si="58"/>
        <v>0</v>
      </c>
      <c r="P97">
        <f t="shared" si="58"/>
        <v>0</v>
      </c>
      <c r="Q97">
        <f t="shared" si="66"/>
        <v>0</v>
      </c>
      <c r="R97">
        <f t="shared" si="66"/>
        <v>0</v>
      </c>
      <c r="S97">
        <f t="shared" si="66"/>
        <v>0</v>
      </c>
      <c r="T97">
        <f t="shared" si="66"/>
        <v>0</v>
      </c>
      <c r="U97">
        <f t="shared" si="66"/>
        <v>0</v>
      </c>
      <c r="V97">
        <f t="shared" si="66"/>
        <v>0</v>
      </c>
      <c r="W97">
        <f t="shared" si="66"/>
        <v>0</v>
      </c>
      <c r="X97">
        <f t="shared" si="66"/>
        <v>0</v>
      </c>
      <c r="Y97">
        <f t="shared" si="66"/>
        <v>0</v>
      </c>
      <c r="Z97">
        <f t="shared" si="66"/>
        <v>0</v>
      </c>
      <c r="AA97">
        <f t="shared" si="66"/>
        <v>0</v>
      </c>
      <c r="AB97">
        <f t="shared" si="66"/>
        <v>0</v>
      </c>
      <c r="AC97">
        <f t="shared" si="66"/>
        <v>0</v>
      </c>
      <c r="AD97">
        <f t="shared" si="66"/>
        <v>0</v>
      </c>
      <c r="AE97">
        <f t="shared" si="66"/>
        <v>0</v>
      </c>
      <c r="AF97">
        <f t="shared" si="66"/>
        <v>0</v>
      </c>
      <c r="AG97">
        <f t="shared" si="65"/>
        <v>1</v>
      </c>
      <c r="AH97">
        <f t="shared" si="65"/>
        <v>0</v>
      </c>
      <c r="AI97">
        <f t="shared" si="65"/>
        <v>0</v>
      </c>
      <c r="AJ97">
        <f t="shared" si="65"/>
        <v>0</v>
      </c>
      <c r="AK97">
        <f t="shared" si="65"/>
        <v>0</v>
      </c>
      <c r="AL97">
        <f t="shared" si="65"/>
        <v>0</v>
      </c>
      <c r="AM97">
        <f t="shared" si="65"/>
        <v>0</v>
      </c>
      <c r="AN97">
        <f t="shared" si="65"/>
        <v>0</v>
      </c>
      <c r="AO97">
        <f t="shared" si="65"/>
        <v>0</v>
      </c>
      <c r="AP97">
        <f t="shared" si="65"/>
        <v>0</v>
      </c>
      <c r="AQ97">
        <f t="shared" si="65"/>
        <v>0</v>
      </c>
      <c r="AR97">
        <f t="shared" si="65"/>
        <v>0</v>
      </c>
      <c r="AS97">
        <f t="shared" si="65"/>
        <v>0</v>
      </c>
      <c r="AT97">
        <f t="shared" si="65"/>
        <v>0</v>
      </c>
      <c r="AU97">
        <f t="shared" si="65"/>
        <v>0</v>
      </c>
      <c r="AV97">
        <f t="shared" si="55"/>
        <v>0</v>
      </c>
      <c r="AW97">
        <f t="shared" si="55"/>
        <v>0</v>
      </c>
      <c r="AX97">
        <f t="shared" si="55"/>
        <v>0</v>
      </c>
      <c r="AY97">
        <f t="shared" si="55"/>
        <v>0</v>
      </c>
      <c r="AZ97">
        <f t="shared" si="55"/>
        <v>0</v>
      </c>
    </row>
    <row r="98" spans="1:52" x14ac:dyDescent="0.25">
      <c r="A98" t="s">
        <v>26</v>
      </c>
      <c r="B98" s="3">
        <v>43629</v>
      </c>
      <c r="C98" s="1">
        <v>667.43215316018927</v>
      </c>
      <c r="D98" s="1">
        <v>74.159128128909913</v>
      </c>
      <c r="E98" s="1">
        <f t="shared" si="56"/>
        <v>334.43215316018922</v>
      </c>
      <c r="F98" s="1">
        <f t="shared" si="57"/>
        <v>333</v>
      </c>
      <c r="G98" s="2">
        <v>9</v>
      </c>
      <c r="H98" s="1">
        <v>37.159128128909913</v>
      </c>
      <c r="I98" s="1">
        <v>37</v>
      </c>
      <c r="J98" s="1">
        <f t="shared" si="59"/>
        <v>418886.62109325902</v>
      </c>
      <c r="K98" s="1">
        <f t="shared" si="60"/>
        <v>205609.6210932589</v>
      </c>
      <c r="N98">
        <f t="shared" si="58"/>
        <v>1</v>
      </c>
      <c r="O98">
        <f t="shared" si="58"/>
        <v>0</v>
      </c>
      <c r="P98">
        <f t="shared" si="58"/>
        <v>0</v>
      </c>
      <c r="Q98">
        <f t="shared" si="66"/>
        <v>0</v>
      </c>
      <c r="R98">
        <f t="shared" si="66"/>
        <v>0</v>
      </c>
      <c r="S98">
        <f t="shared" si="66"/>
        <v>0</v>
      </c>
      <c r="T98">
        <f t="shared" si="66"/>
        <v>0</v>
      </c>
      <c r="U98">
        <f t="shared" si="66"/>
        <v>0</v>
      </c>
      <c r="V98">
        <f t="shared" si="66"/>
        <v>0</v>
      </c>
      <c r="W98">
        <f t="shared" si="66"/>
        <v>0</v>
      </c>
      <c r="X98">
        <f t="shared" si="66"/>
        <v>0</v>
      </c>
      <c r="Y98">
        <f t="shared" si="66"/>
        <v>0</v>
      </c>
      <c r="Z98">
        <f t="shared" si="66"/>
        <v>0</v>
      </c>
      <c r="AA98">
        <f t="shared" si="66"/>
        <v>0</v>
      </c>
      <c r="AB98">
        <f t="shared" si="66"/>
        <v>0</v>
      </c>
      <c r="AC98">
        <f t="shared" si="66"/>
        <v>0</v>
      </c>
      <c r="AD98">
        <f t="shared" si="66"/>
        <v>0</v>
      </c>
      <c r="AE98">
        <f t="shared" si="66"/>
        <v>0</v>
      </c>
      <c r="AF98">
        <f t="shared" si="66"/>
        <v>0</v>
      </c>
      <c r="AG98">
        <f t="shared" si="65"/>
        <v>0</v>
      </c>
      <c r="AH98">
        <f t="shared" si="65"/>
        <v>0</v>
      </c>
      <c r="AI98">
        <f t="shared" si="65"/>
        <v>0</v>
      </c>
      <c r="AJ98">
        <f t="shared" si="65"/>
        <v>0</v>
      </c>
      <c r="AK98">
        <f t="shared" si="65"/>
        <v>0</v>
      </c>
      <c r="AL98">
        <f t="shared" si="65"/>
        <v>0</v>
      </c>
      <c r="AM98">
        <f t="shared" si="65"/>
        <v>0</v>
      </c>
      <c r="AN98">
        <f t="shared" si="65"/>
        <v>0</v>
      </c>
      <c r="AO98">
        <f t="shared" si="65"/>
        <v>0</v>
      </c>
      <c r="AP98">
        <f t="shared" si="65"/>
        <v>0</v>
      </c>
      <c r="AQ98">
        <f t="shared" si="65"/>
        <v>0</v>
      </c>
      <c r="AR98">
        <f t="shared" si="65"/>
        <v>0</v>
      </c>
      <c r="AS98">
        <f t="shared" si="65"/>
        <v>0</v>
      </c>
      <c r="AT98">
        <f t="shared" si="65"/>
        <v>0</v>
      </c>
      <c r="AU98">
        <f t="shared" si="65"/>
        <v>0</v>
      </c>
      <c r="AV98">
        <f t="shared" si="55"/>
        <v>0</v>
      </c>
      <c r="AW98">
        <f t="shared" si="55"/>
        <v>0</v>
      </c>
      <c r="AX98">
        <f t="shared" si="55"/>
        <v>0</v>
      </c>
      <c r="AY98">
        <f t="shared" si="55"/>
        <v>0</v>
      </c>
      <c r="AZ98">
        <f t="shared" si="55"/>
        <v>0</v>
      </c>
    </row>
    <row r="99" spans="1:52" x14ac:dyDescent="0.25">
      <c r="A99" t="s">
        <v>39</v>
      </c>
      <c r="B99" s="3">
        <v>43620</v>
      </c>
      <c r="C99" s="1">
        <v>1684.1198470002232</v>
      </c>
      <c r="D99" s="1">
        <v>105.25749043751395</v>
      </c>
      <c r="E99" s="1">
        <f t="shared" si="56"/>
        <v>916.11984700022322</v>
      </c>
      <c r="F99" s="1">
        <f t="shared" si="57"/>
        <v>768</v>
      </c>
      <c r="G99" s="2">
        <v>16</v>
      </c>
      <c r="H99" s="1">
        <v>57.257490437513951</v>
      </c>
      <c r="I99" s="1">
        <v>48</v>
      </c>
      <c r="J99" s="1">
        <f t="shared" si="59"/>
        <v>420570.74094025925</v>
      </c>
      <c r="K99" s="1">
        <f t="shared" si="60"/>
        <v>206525.74094025913</v>
      </c>
      <c r="N99">
        <f t="shared" si="58"/>
        <v>0</v>
      </c>
      <c r="O99">
        <f t="shared" si="58"/>
        <v>0</v>
      </c>
      <c r="P99">
        <f t="shared" si="58"/>
        <v>0</v>
      </c>
      <c r="Q99">
        <f t="shared" si="66"/>
        <v>0</v>
      </c>
      <c r="R99">
        <f t="shared" si="66"/>
        <v>0</v>
      </c>
      <c r="S99">
        <f t="shared" si="66"/>
        <v>0</v>
      </c>
      <c r="T99">
        <f t="shared" si="66"/>
        <v>0</v>
      </c>
      <c r="U99">
        <f t="shared" si="66"/>
        <v>0</v>
      </c>
      <c r="V99">
        <f t="shared" si="66"/>
        <v>0</v>
      </c>
      <c r="W99">
        <f t="shared" si="66"/>
        <v>0</v>
      </c>
      <c r="X99">
        <f t="shared" si="66"/>
        <v>0</v>
      </c>
      <c r="Y99">
        <f t="shared" si="66"/>
        <v>1</v>
      </c>
      <c r="Z99">
        <f t="shared" si="66"/>
        <v>0</v>
      </c>
      <c r="AA99">
        <f t="shared" si="66"/>
        <v>0</v>
      </c>
      <c r="AB99">
        <f t="shared" si="66"/>
        <v>0</v>
      </c>
      <c r="AC99">
        <f t="shared" si="66"/>
        <v>0</v>
      </c>
      <c r="AD99">
        <f t="shared" si="66"/>
        <v>0</v>
      </c>
      <c r="AE99">
        <f t="shared" si="66"/>
        <v>0</v>
      </c>
      <c r="AF99">
        <f t="shared" si="66"/>
        <v>0</v>
      </c>
      <c r="AG99">
        <f t="shared" si="65"/>
        <v>0</v>
      </c>
      <c r="AH99">
        <f t="shared" si="65"/>
        <v>0</v>
      </c>
      <c r="AI99">
        <f t="shared" si="65"/>
        <v>0</v>
      </c>
      <c r="AJ99">
        <f t="shared" si="65"/>
        <v>0</v>
      </c>
      <c r="AK99">
        <f t="shared" si="65"/>
        <v>0</v>
      </c>
      <c r="AL99">
        <f t="shared" si="65"/>
        <v>0</v>
      </c>
      <c r="AM99">
        <f t="shared" si="65"/>
        <v>0</v>
      </c>
      <c r="AN99">
        <f t="shared" si="65"/>
        <v>0</v>
      </c>
      <c r="AO99">
        <f t="shared" si="65"/>
        <v>0</v>
      </c>
      <c r="AP99">
        <f t="shared" si="65"/>
        <v>0</v>
      </c>
      <c r="AQ99">
        <f t="shared" si="65"/>
        <v>0</v>
      </c>
      <c r="AR99">
        <f t="shared" si="65"/>
        <v>0</v>
      </c>
      <c r="AS99">
        <f t="shared" si="65"/>
        <v>0</v>
      </c>
      <c r="AT99">
        <f t="shared" si="65"/>
        <v>0</v>
      </c>
      <c r="AU99">
        <f t="shared" si="65"/>
        <v>0</v>
      </c>
      <c r="AV99">
        <f t="shared" si="55"/>
        <v>0</v>
      </c>
      <c r="AW99">
        <f t="shared" si="55"/>
        <v>0</v>
      </c>
      <c r="AX99">
        <f t="shared" si="55"/>
        <v>0</v>
      </c>
      <c r="AY99">
        <f t="shared" si="55"/>
        <v>0</v>
      </c>
      <c r="AZ99">
        <f t="shared" si="55"/>
        <v>0</v>
      </c>
    </row>
    <row r="100" spans="1:52" x14ac:dyDescent="0.25">
      <c r="A100" t="s">
        <v>24</v>
      </c>
      <c r="B100" s="3">
        <v>43616</v>
      </c>
      <c r="C100" s="1">
        <v>4407.5414197857708</v>
      </c>
      <c r="D100" s="1">
        <v>119.1227410752911</v>
      </c>
      <c r="E100" s="1">
        <f t="shared" si="56"/>
        <v>2668.5414197857708</v>
      </c>
      <c r="F100" s="1">
        <f t="shared" si="57"/>
        <v>1739</v>
      </c>
      <c r="G100" s="2">
        <v>37</v>
      </c>
      <c r="H100" s="1">
        <v>72.122741075291103</v>
      </c>
      <c r="I100" s="1">
        <v>47</v>
      </c>
      <c r="J100" s="1">
        <f t="shared" si="59"/>
        <v>424978.28236004501</v>
      </c>
      <c r="K100" s="1">
        <f t="shared" si="60"/>
        <v>209194.28236004489</v>
      </c>
      <c r="N100">
        <f t="shared" si="58"/>
        <v>0</v>
      </c>
      <c r="O100">
        <f t="shared" si="58"/>
        <v>0</v>
      </c>
      <c r="P100">
        <f t="shared" si="58"/>
        <v>0</v>
      </c>
      <c r="Q100">
        <f t="shared" si="66"/>
        <v>0</v>
      </c>
      <c r="R100">
        <f t="shared" si="66"/>
        <v>0</v>
      </c>
      <c r="S100">
        <f t="shared" si="66"/>
        <v>0</v>
      </c>
      <c r="T100">
        <f t="shared" si="66"/>
        <v>0</v>
      </c>
      <c r="U100">
        <f t="shared" si="66"/>
        <v>0</v>
      </c>
      <c r="V100">
        <f t="shared" si="66"/>
        <v>1</v>
      </c>
      <c r="W100">
        <f t="shared" si="66"/>
        <v>0</v>
      </c>
      <c r="X100">
        <f t="shared" si="66"/>
        <v>0</v>
      </c>
      <c r="Y100">
        <f t="shared" si="66"/>
        <v>0</v>
      </c>
      <c r="Z100">
        <f t="shared" si="66"/>
        <v>0</v>
      </c>
      <c r="AA100">
        <f t="shared" si="66"/>
        <v>0</v>
      </c>
      <c r="AB100">
        <f t="shared" si="66"/>
        <v>0</v>
      </c>
      <c r="AC100">
        <f t="shared" si="66"/>
        <v>0</v>
      </c>
      <c r="AD100">
        <f t="shared" si="66"/>
        <v>0</v>
      </c>
      <c r="AE100">
        <f t="shared" si="66"/>
        <v>0</v>
      </c>
      <c r="AF100">
        <f t="shared" si="66"/>
        <v>0</v>
      </c>
      <c r="AG100">
        <f t="shared" si="65"/>
        <v>0</v>
      </c>
      <c r="AH100">
        <f t="shared" si="65"/>
        <v>0</v>
      </c>
      <c r="AI100">
        <f t="shared" si="65"/>
        <v>0</v>
      </c>
      <c r="AJ100">
        <f t="shared" si="65"/>
        <v>0</v>
      </c>
      <c r="AK100">
        <f t="shared" si="65"/>
        <v>0</v>
      </c>
      <c r="AL100">
        <f t="shared" si="65"/>
        <v>0</v>
      </c>
      <c r="AM100">
        <f t="shared" si="65"/>
        <v>0</v>
      </c>
      <c r="AN100">
        <f t="shared" si="65"/>
        <v>0</v>
      </c>
      <c r="AO100">
        <f t="shared" si="65"/>
        <v>0</v>
      </c>
      <c r="AP100">
        <f t="shared" si="65"/>
        <v>0</v>
      </c>
      <c r="AQ100">
        <f t="shared" si="65"/>
        <v>0</v>
      </c>
      <c r="AR100">
        <f t="shared" si="65"/>
        <v>0</v>
      </c>
      <c r="AS100">
        <f t="shared" si="65"/>
        <v>0</v>
      </c>
      <c r="AT100">
        <f t="shared" si="65"/>
        <v>0</v>
      </c>
      <c r="AU100">
        <f t="shared" si="65"/>
        <v>0</v>
      </c>
      <c r="AV100">
        <f t="shared" si="55"/>
        <v>0</v>
      </c>
      <c r="AW100">
        <f t="shared" si="55"/>
        <v>0</v>
      </c>
      <c r="AX100">
        <f t="shared" si="55"/>
        <v>0</v>
      </c>
      <c r="AY100">
        <f t="shared" si="55"/>
        <v>0</v>
      </c>
      <c r="AZ100">
        <f t="shared" si="55"/>
        <v>0</v>
      </c>
    </row>
    <row r="101" spans="1:52" x14ac:dyDescent="0.25">
      <c r="A101" t="s">
        <v>18</v>
      </c>
      <c r="B101" s="3">
        <v>43609</v>
      </c>
      <c r="C101" s="1">
        <v>6260.9032444982422</v>
      </c>
      <c r="D101" s="1">
        <v>184.14421307347772</v>
      </c>
      <c r="E101" s="1">
        <f t="shared" si="56"/>
        <v>2690.9032444982427</v>
      </c>
      <c r="F101" s="1">
        <f t="shared" si="57"/>
        <v>3570</v>
      </c>
      <c r="G101" s="2">
        <v>34</v>
      </c>
      <c r="H101" s="1">
        <v>79.144213073477729</v>
      </c>
      <c r="I101" s="1">
        <v>105</v>
      </c>
      <c r="J101" s="1">
        <f t="shared" si="59"/>
        <v>431239.18560454325</v>
      </c>
      <c r="K101" s="1">
        <f t="shared" si="60"/>
        <v>211885.18560454313</v>
      </c>
      <c r="N101">
        <f t="shared" si="58"/>
        <v>0</v>
      </c>
      <c r="O101">
        <f t="shared" si="58"/>
        <v>0</v>
      </c>
      <c r="P101">
        <f t="shared" si="58"/>
        <v>0</v>
      </c>
      <c r="Q101">
        <f t="shared" si="66"/>
        <v>0</v>
      </c>
      <c r="R101">
        <f t="shared" si="66"/>
        <v>0</v>
      </c>
      <c r="S101">
        <f t="shared" si="66"/>
        <v>0</v>
      </c>
      <c r="T101">
        <f t="shared" si="66"/>
        <v>0</v>
      </c>
      <c r="U101">
        <f t="shared" si="66"/>
        <v>1</v>
      </c>
      <c r="V101">
        <f t="shared" si="66"/>
        <v>0</v>
      </c>
      <c r="W101">
        <f t="shared" si="66"/>
        <v>0</v>
      </c>
      <c r="X101">
        <f t="shared" si="66"/>
        <v>0</v>
      </c>
      <c r="Y101">
        <f t="shared" si="66"/>
        <v>0</v>
      </c>
      <c r="Z101">
        <f t="shared" si="66"/>
        <v>0</v>
      </c>
      <c r="AA101">
        <f t="shared" si="66"/>
        <v>0</v>
      </c>
      <c r="AB101">
        <f t="shared" si="66"/>
        <v>0</v>
      </c>
      <c r="AC101">
        <f t="shared" si="66"/>
        <v>0</v>
      </c>
      <c r="AD101">
        <f t="shared" si="66"/>
        <v>0</v>
      </c>
      <c r="AE101">
        <f t="shared" si="66"/>
        <v>0</v>
      </c>
      <c r="AF101">
        <f t="shared" si="66"/>
        <v>0</v>
      </c>
      <c r="AG101">
        <f t="shared" si="65"/>
        <v>0</v>
      </c>
      <c r="AH101">
        <f t="shared" si="65"/>
        <v>0</v>
      </c>
      <c r="AI101">
        <f t="shared" si="65"/>
        <v>0</v>
      </c>
      <c r="AJ101">
        <f t="shared" si="65"/>
        <v>0</v>
      </c>
      <c r="AK101">
        <f t="shared" si="65"/>
        <v>0</v>
      </c>
      <c r="AL101">
        <f t="shared" si="65"/>
        <v>0</v>
      </c>
      <c r="AM101">
        <f t="shared" si="65"/>
        <v>0</v>
      </c>
      <c r="AN101">
        <f t="shared" si="65"/>
        <v>0</v>
      </c>
      <c r="AO101">
        <f t="shared" si="65"/>
        <v>0</v>
      </c>
      <c r="AP101">
        <f t="shared" si="65"/>
        <v>0</v>
      </c>
      <c r="AQ101">
        <f t="shared" si="65"/>
        <v>0</v>
      </c>
      <c r="AR101">
        <f t="shared" si="65"/>
        <v>0</v>
      </c>
      <c r="AS101">
        <f t="shared" si="65"/>
        <v>0</v>
      </c>
      <c r="AT101">
        <f t="shared" si="65"/>
        <v>0</v>
      </c>
      <c r="AU101">
        <f t="shared" si="65"/>
        <v>0</v>
      </c>
      <c r="AV101">
        <f t="shared" si="55"/>
        <v>0</v>
      </c>
      <c r="AW101">
        <f t="shared" si="55"/>
        <v>0</v>
      </c>
      <c r="AX101">
        <f t="shared" si="55"/>
        <v>0</v>
      </c>
      <c r="AY101">
        <f t="shared" si="55"/>
        <v>0</v>
      </c>
      <c r="AZ101">
        <f t="shared" si="55"/>
        <v>0</v>
      </c>
    </row>
    <row r="102" spans="1:52" x14ac:dyDescent="0.25">
      <c r="A102" t="s">
        <v>18</v>
      </c>
      <c r="B102" s="3">
        <v>43608</v>
      </c>
      <c r="C102" s="1">
        <v>4444.9323414051196</v>
      </c>
      <c r="D102" s="1">
        <v>113.97262413859281</v>
      </c>
      <c r="E102" s="1">
        <f t="shared" si="56"/>
        <v>2221.9323414051196</v>
      </c>
      <c r="F102" s="1">
        <f t="shared" si="57"/>
        <v>2223</v>
      </c>
      <c r="G102" s="2">
        <v>39</v>
      </c>
      <c r="H102" s="1">
        <v>56.972624138592813</v>
      </c>
      <c r="I102" s="1">
        <v>57</v>
      </c>
      <c r="J102" s="1">
        <f t="shared" si="59"/>
        <v>435684.11794594838</v>
      </c>
      <c r="K102" s="1">
        <f t="shared" si="60"/>
        <v>214107.11794594827</v>
      </c>
      <c r="N102">
        <f t="shared" si="58"/>
        <v>0</v>
      </c>
      <c r="O102">
        <f t="shared" si="58"/>
        <v>0</v>
      </c>
      <c r="P102">
        <f t="shared" si="58"/>
        <v>0</v>
      </c>
      <c r="Q102">
        <f t="shared" si="66"/>
        <v>0</v>
      </c>
      <c r="R102">
        <f t="shared" si="66"/>
        <v>0</v>
      </c>
      <c r="S102">
        <f t="shared" si="66"/>
        <v>0</v>
      </c>
      <c r="T102">
        <f t="shared" si="66"/>
        <v>0</v>
      </c>
      <c r="U102">
        <f t="shared" si="66"/>
        <v>1</v>
      </c>
      <c r="V102">
        <f t="shared" si="66"/>
        <v>0</v>
      </c>
      <c r="W102">
        <f t="shared" si="66"/>
        <v>0</v>
      </c>
      <c r="X102">
        <f t="shared" si="66"/>
        <v>0</v>
      </c>
      <c r="Y102">
        <f t="shared" si="66"/>
        <v>0</v>
      </c>
      <c r="Z102">
        <f t="shared" si="66"/>
        <v>0</v>
      </c>
      <c r="AA102">
        <f t="shared" si="66"/>
        <v>0</v>
      </c>
      <c r="AB102">
        <f t="shared" si="66"/>
        <v>0</v>
      </c>
      <c r="AC102">
        <f t="shared" si="66"/>
        <v>0</v>
      </c>
      <c r="AD102">
        <f t="shared" si="66"/>
        <v>0</v>
      </c>
      <c r="AE102">
        <f t="shared" si="66"/>
        <v>0</v>
      </c>
      <c r="AF102">
        <f t="shared" si="66"/>
        <v>0</v>
      </c>
      <c r="AG102">
        <f t="shared" si="65"/>
        <v>0</v>
      </c>
      <c r="AH102">
        <f t="shared" si="65"/>
        <v>0</v>
      </c>
      <c r="AI102">
        <f t="shared" si="65"/>
        <v>0</v>
      </c>
      <c r="AJ102">
        <f t="shared" si="65"/>
        <v>0</v>
      </c>
      <c r="AK102">
        <f t="shared" si="65"/>
        <v>0</v>
      </c>
      <c r="AL102">
        <f t="shared" si="65"/>
        <v>0</v>
      </c>
      <c r="AM102">
        <f t="shared" si="65"/>
        <v>0</v>
      </c>
      <c r="AN102">
        <f t="shared" si="65"/>
        <v>0</v>
      </c>
      <c r="AO102">
        <f t="shared" si="65"/>
        <v>0</v>
      </c>
      <c r="AP102">
        <f t="shared" si="65"/>
        <v>0</v>
      </c>
      <c r="AQ102">
        <f t="shared" si="65"/>
        <v>0</v>
      </c>
      <c r="AR102">
        <f t="shared" si="65"/>
        <v>0</v>
      </c>
      <c r="AS102">
        <f t="shared" si="65"/>
        <v>0</v>
      </c>
      <c r="AT102">
        <f t="shared" si="65"/>
        <v>0</v>
      </c>
      <c r="AU102">
        <f t="shared" si="65"/>
        <v>0</v>
      </c>
      <c r="AV102">
        <f t="shared" si="55"/>
        <v>0</v>
      </c>
      <c r="AW102">
        <f t="shared" si="55"/>
        <v>0</v>
      </c>
      <c r="AX102">
        <f t="shared" si="55"/>
        <v>0</v>
      </c>
      <c r="AY102">
        <f t="shared" si="55"/>
        <v>0</v>
      </c>
      <c r="AZ102">
        <f t="shared" si="55"/>
        <v>0</v>
      </c>
    </row>
    <row r="103" spans="1:52" x14ac:dyDescent="0.25">
      <c r="A103" t="s">
        <v>19</v>
      </c>
      <c r="B103" s="3">
        <v>43592</v>
      </c>
      <c r="C103" s="1">
        <v>694.57219823768196</v>
      </c>
      <c r="D103" s="1">
        <v>115.76203303961367</v>
      </c>
      <c r="E103" s="1">
        <f t="shared" si="56"/>
        <v>358.57219823768207</v>
      </c>
      <c r="F103" s="1">
        <f t="shared" si="57"/>
        <v>336</v>
      </c>
      <c r="G103" s="2">
        <v>6</v>
      </c>
      <c r="H103" s="1">
        <v>59.762033039613677</v>
      </c>
      <c r="I103" s="1">
        <v>56</v>
      </c>
      <c r="J103" s="1">
        <f t="shared" si="59"/>
        <v>436378.69014418608</v>
      </c>
      <c r="K103" s="1">
        <f t="shared" si="60"/>
        <v>214465.69014418594</v>
      </c>
      <c r="N103">
        <f t="shared" si="58"/>
        <v>0</v>
      </c>
      <c r="O103">
        <f t="shared" si="58"/>
        <v>0</v>
      </c>
      <c r="P103">
        <f t="shared" si="58"/>
        <v>0</v>
      </c>
      <c r="Q103">
        <f t="shared" si="66"/>
        <v>0</v>
      </c>
      <c r="R103">
        <f t="shared" si="66"/>
        <v>0</v>
      </c>
      <c r="S103">
        <f t="shared" si="66"/>
        <v>0</v>
      </c>
      <c r="T103">
        <f t="shared" si="66"/>
        <v>0</v>
      </c>
      <c r="U103">
        <f t="shared" si="66"/>
        <v>0</v>
      </c>
      <c r="V103">
        <f t="shared" si="66"/>
        <v>0</v>
      </c>
      <c r="W103">
        <f t="shared" si="66"/>
        <v>0</v>
      </c>
      <c r="X103">
        <f t="shared" si="66"/>
        <v>0</v>
      </c>
      <c r="Y103">
        <f t="shared" si="66"/>
        <v>0</v>
      </c>
      <c r="Z103">
        <f t="shared" si="66"/>
        <v>0</v>
      </c>
      <c r="AA103">
        <f t="shared" si="66"/>
        <v>0</v>
      </c>
      <c r="AB103">
        <f t="shared" si="66"/>
        <v>0</v>
      </c>
      <c r="AC103">
        <f t="shared" si="66"/>
        <v>0</v>
      </c>
      <c r="AD103">
        <f t="shared" si="66"/>
        <v>0</v>
      </c>
      <c r="AE103">
        <f t="shared" si="66"/>
        <v>0</v>
      </c>
      <c r="AF103">
        <f t="shared" si="66"/>
        <v>0</v>
      </c>
      <c r="AG103">
        <f t="shared" si="65"/>
        <v>0</v>
      </c>
      <c r="AH103">
        <f t="shared" si="65"/>
        <v>0</v>
      </c>
      <c r="AI103">
        <f t="shared" si="65"/>
        <v>0</v>
      </c>
      <c r="AJ103">
        <f t="shared" si="65"/>
        <v>0</v>
      </c>
      <c r="AK103">
        <f t="shared" si="65"/>
        <v>0</v>
      </c>
      <c r="AL103">
        <f t="shared" si="65"/>
        <v>0</v>
      </c>
      <c r="AM103">
        <f t="shared" si="65"/>
        <v>0</v>
      </c>
      <c r="AN103">
        <f t="shared" si="65"/>
        <v>0</v>
      </c>
      <c r="AO103">
        <f t="shared" si="65"/>
        <v>0</v>
      </c>
      <c r="AP103">
        <f t="shared" si="65"/>
        <v>0</v>
      </c>
      <c r="AQ103">
        <f t="shared" si="65"/>
        <v>0</v>
      </c>
      <c r="AR103">
        <f t="shared" si="65"/>
        <v>0</v>
      </c>
      <c r="AS103">
        <f t="shared" si="65"/>
        <v>0</v>
      </c>
      <c r="AT103">
        <f t="shared" si="65"/>
        <v>0</v>
      </c>
      <c r="AU103">
        <f t="shared" si="65"/>
        <v>0</v>
      </c>
      <c r="AV103">
        <f t="shared" si="55"/>
        <v>0</v>
      </c>
      <c r="AW103">
        <f t="shared" si="55"/>
        <v>1</v>
      </c>
      <c r="AX103">
        <f t="shared" si="55"/>
        <v>0</v>
      </c>
      <c r="AY103">
        <f t="shared" si="55"/>
        <v>0</v>
      </c>
      <c r="AZ103">
        <f t="shared" si="55"/>
        <v>0</v>
      </c>
    </row>
    <row r="104" spans="1:52" x14ac:dyDescent="0.25">
      <c r="A104" t="s">
        <v>46</v>
      </c>
      <c r="B104" s="3">
        <v>43586</v>
      </c>
      <c r="C104" s="1">
        <v>281.78268842497494</v>
      </c>
      <c r="D104" s="1">
        <v>70.445672106243734</v>
      </c>
      <c r="E104" s="1">
        <f t="shared" si="56"/>
        <v>137.78268842497494</v>
      </c>
      <c r="F104" s="1">
        <f t="shared" si="57"/>
        <v>144</v>
      </c>
      <c r="G104" s="2">
        <v>4</v>
      </c>
      <c r="H104" s="1">
        <v>34.445672106243734</v>
      </c>
      <c r="I104" s="1">
        <v>36</v>
      </c>
      <c r="J104" s="1">
        <f t="shared" si="59"/>
        <v>436660.47283261106</v>
      </c>
      <c r="K104" s="1">
        <f t="shared" si="60"/>
        <v>214603.47283261092</v>
      </c>
      <c r="N104">
        <f t="shared" si="58"/>
        <v>0</v>
      </c>
      <c r="O104">
        <f t="shared" si="58"/>
        <v>1</v>
      </c>
      <c r="P104">
        <f t="shared" si="58"/>
        <v>0</v>
      </c>
      <c r="Q104">
        <f t="shared" si="66"/>
        <v>0</v>
      </c>
      <c r="R104">
        <f t="shared" si="66"/>
        <v>0</v>
      </c>
      <c r="S104">
        <f t="shared" si="66"/>
        <v>0</v>
      </c>
      <c r="T104">
        <f t="shared" si="66"/>
        <v>0</v>
      </c>
      <c r="U104">
        <f t="shared" si="66"/>
        <v>0</v>
      </c>
      <c r="V104">
        <f t="shared" si="66"/>
        <v>0</v>
      </c>
      <c r="W104">
        <f t="shared" si="66"/>
        <v>0</v>
      </c>
      <c r="X104">
        <f t="shared" si="66"/>
        <v>0</v>
      </c>
      <c r="Y104">
        <f t="shared" si="66"/>
        <v>0</v>
      </c>
      <c r="Z104">
        <f t="shared" si="66"/>
        <v>0</v>
      </c>
      <c r="AA104">
        <f t="shared" si="66"/>
        <v>0</v>
      </c>
      <c r="AB104">
        <f t="shared" si="66"/>
        <v>0</v>
      </c>
      <c r="AC104">
        <f t="shared" si="66"/>
        <v>0</v>
      </c>
      <c r="AD104">
        <f t="shared" si="66"/>
        <v>0</v>
      </c>
      <c r="AE104">
        <f t="shared" si="66"/>
        <v>0</v>
      </c>
      <c r="AF104">
        <f t="shared" si="66"/>
        <v>0</v>
      </c>
      <c r="AG104">
        <f t="shared" si="65"/>
        <v>0</v>
      </c>
      <c r="AH104">
        <f t="shared" si="65"/>
        <v>0</v>
      </c>
      <c r="AI104">
        <f t="shared" si="65"/>
        <v>0</v>
      </c>
      <c r="AJ104">
        <f t="shared" si="65"/>
        <v>0</v>
      </c>
      <c r="AK104">
        <f t="shared" si="65"/>
        <v>0</v>
      </c>
      <c r="AL104">
        <f t="shared" si="65"/>
        <v>0</v>
      </c>
      <c r="AM104">
        <f t="shared" si="65"/>
        <v>0</v>
      </c>
      <c r="AN104">
        <f t="shared" si="65"/>
        <v>0</v>
      </c>
      <c r="AO104">
        <f t="shared" si="65"/>
        <v>0</v>
      </c>
      <c r="AP104">
        <f t="shared" si="65"/>
        <v>0</v>
      </c>
      <c r="AQ104">
        <f t="shared" si="65"/>
        <v>0</v>
      </c>
      <c r="AR104">
        <f t="shared" si="65"/>
        <v>0</v>
      </c>
      <c r="AS104">
        <f t="shared" si="65"/>
        <v>0</v>
      </c>
      <c r="AT104">
        <f t="shared" si="65"/>
        <v>0</v>
      </c>
      <c r="AU104">
        <f t="shared" si="65"/>
        <v>0</v>
      </c>
      <c r="AV104">
        <f t="shared" si="55"/>
        <v>0</v>
      </c>
      <c r="AW104">
        <f t="shared" si="55"/>
        <v>0</v>
      </c>
      <c r="AX104">
        <f t="shared" si="55"/>
        <v>0</v>
      </c>
      <c r="AY104">
        <f t="shared" si="55"/>
        <v>0</v>
      </c>
      <c r="AZ104">
        <f t="shared" si="55"/>
        <v>0</v>
      </c>
    </row>
    <row r="105" spans="1:52" x14ac:dyDescent="0.25">
      <c r="A105" t="s">
        <v>17</v>
      </c>
      <c r="B105" s="3">
        <v>43580</v>
      </c>
      <c r="C105" s="1">
        <v>2034.2611545552995</v>
      </c>
      <c r="D105" s="1">
        <v>101.71305772776498</v>
      </c>
      <c r="E105" s="1">
        <f t="shared" si="56"/>
        <v>1054.2611545552993</v>
      </c>
      <c r="F105" s="1">
        <f t="shared" si="57"/>
        <v>980</v>
      </c>
      <c r="G105" s="2">
        <v>20</v>
      </c>
      <c r="H105" s="1">
        <v>52.713057727764969</v>
      </c>
      <c r="I105" s="1">
        <v>49</v>
      </c>
      <c r="J105" s="1">
        <f t="shared" si="59"/>
        <v>438694.73398716637</v>
      </c>
      <c r="K105" s="1">
        <f t="shared" si="60"/>
        <v>215657.73398716623</v>
      </c>
      <c r="N105">
        <f t="shared" si="58"/>
        <v>0</v>
      </c>
      <c r="O105">
        <f t="shared" si="58"/>
        <v>0</v>
      </c>
      <c r="P105">
        <f t="shared" si="58"/>
        <v>0</v>
      </c>
      <c r="Q105">
        <f t="shared" si="66"/>
        <v>0</v>
      </c>
      <c r="R105">
        <f t="shared" si="66"/>
        <v>0</v>
      </c>
      <c r="S105">
        <f t="shared" si="66"/>
        <v>0</v>
      </c>
      <c r="T105">
        <f t="shared" si="66"/>
        <v>0</v>
      </c>
      <c r="U105">
        <f t="shared" si="66"/>
        <v>0</v>
      </c>
      <c r="V105">
        <f t="shared" si="66"/>
        <v>0</v>
      </c>
      <c r="W105">
        <f t="shared" si="66"/>
        <v>0</v>
      </c>
      <c r="X105">
        <f t="shared" si="66"/>
        <v>0</v>
      </c>
      <c r="Y105">
        <f t="shared" si="66"/>
        <v>0</v>
      </c>
      <c r="Z105">
        <f t="shared" si="66"/>
        <v>0</v>
      </c>
      <c r="AA105">
        <f t="shared" si="66"/>
        <v>0</v>
      </c>
      <c r="AB105">
        <f t="shared" si="66"/>
        <v>0</v>
      </c>
      <c r="AC105">
        <f t="shared" si="66"/>
        <v>0</v>
      </c>
      <c r="AD105">
        <f t="shared" si="66"/>
        <v>0</v>
      </c>
      <c r="AE105">
        <f t="shared" si="66"/>
        <v>0</v>
      </c>
      <c r="AF105">
        <f t="shared" si="66"/>
        <v>0</v>
      </c>
      <c r="AG105">
        <f t="shared" si="65"/>
        <v>1</v>
      </c>
      <c r="AH105">
        <f t="shared" si="65"/>
        <v>0</v>
      </c>
      <c r="AI105">
        <f t="shared" si="65"/>
        <v>0</v>
      </c>
      <c r="AJ105">
        <f t="shared" si="65"/>
        <v>0</v>
      </c>
      <c r="AK105">
        <f t="shared" si="65"/>
        <v>0</v>
      </c>
      <c r="AL105">
        <f t="shared" si="65"/>
        <v>0</v>
      </c>
      <c r="AM105">
        <f t="shared" si="65"/>
        <v>0</v>
      </c>
      <c r="AN105">
        <f t="shared" si="65"/>
        <v>0</v>
      </c>
      <c r="AO105">
        <f t="shared" si="65"/>
        <v>0</v>
      </c>
      <c r="AP105">
        <f t="shared" si="65"/>
        <v>0</v>
      </c>
      <c r="AQ105">
        <f t="shared" si="65"/>
        <v>0</v>
      </c>
      <c r="AR105">
        <f t="shared" si="65"/>
        <v>0</v>
      </c>
      <c r="AS105">
        <f t="shared" si="65"/>
        <v>0</v>
      </c>
      <c r="AT105">
        <f t="shared" si="65"/>
        <v>0</v>
      </c>
      <c r="AU105">
        <f t="shared" si="65"/>
        <v>0</v>
      </c>
      <c r="AV105">
        <f t="shared" si="55"/>
        <v>0</v>
      </c>
      <c r="AW105">
        <f t="shared" si="55"/>
        <v>0</v>
      </c>
      <c r="AX105">
        <f t="shared" si="55"/>
        <v>0</v>
      </c>
      <c r="AY105">
        <f t="shared" si="55"/>
        <v>0</v>
      </c>
      <c r="AZ105">
        <f t="shared" si="55"/>
        <v>0</v>
      </c>
    </row>
    <row r="106" spans="1:52" x14ac:dyDescent="0.25">
      <c r="A106" t="s">
        <v>39</v>
      </c>
      <c r="B106" s="3">
        <v>43576</v>
      </c>
      <c r="C106" s="1">
        <v>43.415516358062575</v>
      </c>
      <c r="D106" s="1">
        <v>21.707758179031288</v>
      </c>
      <c r="E106" s="1">
        <f t="shared" si="56"/>
        <v>25.415516358062572</v>
      </c>
      <c r="F106" s="1">
        <f t="shared" si="57"/>
        <v>18</v>
      </c>
      <c r="G106" s="2">
        <v>2</v>
      </c>
      <c r="H106" s="1">
        <v>12.707758179031286</v>
      </c>
      <c r="I106" s="1">
        <v>9</v>
      </c>
      <c r="J106" s="1">
        <f t="shared" si="59"/>
        <v>438738.14950352442</v>
      </c>
      <c r="K106" s="1">
        <f t="shared" si="60"/>
        <v>215683.1495035243</v>
      </c>
      <c r="N106">
        <f t="shared" si="58"/>
        <v>0</v>
      </c>
      <c r="O106">
        <f t="shared" si="58"/>
        <v>0</v>
      </c>
      <c r="P106">
        <f t="shared" si="58"/>
        <v>0</v>
      </c>
      <c r="Q106">
        <f t="shared" si="66"/>
        <v>0</v>
      </c>
      <c r="R106">
        <f t="shared" si="66"/>
        <v>0</v>
      </c>
      <c r="S106">
        <f t="shared" si="66"/>
        <v>0</v>
      </c>
      <c r="T106">
        <f t="shared" si="66"/>
        <v>0</v>
      </c>
      <c r="U106">
        <f t="shared" si="66"/>
        <v>0</v>
      </c>
      <c r="V106">
        <f t="shared" si="66"/>
        <v>0</v>
      </c>
      <c r="W106">
        <f t="shared" si="66"/>
        <v>0</v>
      </c>
      <c r="X106">
        <f t="shared" si="66"/>
        <v>0</v>
      </c>
      <c r="Y106">
        <f t="shared" si="66"/>
        <v>1</v>
      </c>
      <c r="Z106">
        <f t="shared" si="66"/>
        <v>0</v>
      </c>
      <c r="AA106">
        <f t="shared" si="66"/>
        <v>0</v>
      </c>
      <c r="AB106">
        <f t="shared" si="66"/>
        <v>0</v>
      </c>
      <c r="AC106">
        <f t="shared" si="66"/>
        <v>0</v>
      </c>
      <c r="AD106">
        <f t="shared" si="66"/>
        <v>0</v>
      </c>
      <c r="AE106">
        <f t="shared" si="66"/>
        <v>0</v>
      </c>
      <c r="AF106">
        <f t="shared" si="66"/>
        <v>0</v>
      </c>
      <c r="AG106">
        <f t="shared" si="65"/>
        <v>0</v>
      </c>
      <c r="AH106">
        <f t="shared" si="65"/>
        <v>0</v>
      </c>
      <c r="AI106">
        <f t="shared" si="65"/>
        <v>0</v>
      </c>
      <c r="AJ106">
        <f t="shared" si="65"/>
        <v>0</v>
      </c>
      <c r="AK106">
        <f t="shared" si="65"/>
        <v>0</v>
      </c>
      <c r="AL106">
        <f t="shared" si="65"/>
        <v>0</v>
      </c>
      <c r="AM106">
        <f t="shared" si="65"/>
        <v>0</v>
      </c>
      <c r="AN106">
        <f t="shared" si="65"/>
        <v>0</v>
      </c>
      <c r="AO106">
        <f t="shared" si="65"/>
        <v>0</v>
      </c>
      <c r="AP106">
        <f t="shared" si="65"/>
        <v>0</v>
      </c>
      <c r="AQ106">
        <f t="shared" si="65"/>
        <v>0</v>
      </c>
      <c r="AR106">
        <f t="shared" si="65"/>
        <v>0</v>
      </c>
      <c r="AS106">
        <f t="shared" si="65"/>
        <v>0</v>
      </c>
      <c r="AT106">
        <f t="shared" si="65"/>
        <v>0</v>
      </c>
      <c r="AU106">
        <f t="shared" si="65"/>
        <v>0</v>
      </c>
      <c r="AV106">
        <f t="shared" si="55"/>
        <v>0</v>
      </c>
      <c r="AW106">
        <f t="shared" si="55"/>
        <v>0</v>
      </c>
      <c r="AX106">
        <f t="shared" si="55"/>
        <v>0</v>
      </c>
      <c r="AY106">
        <f t="shared" si="55"/>
        <v>0</v>
      </c>
      <c r="AZ106">
        <f t="shared" si="55"/>
        <v>0</v>
      </c>
    </row>
    <row r="107" spans="1:52" x14ac:dyDescent="0.25">
      <c r="A107" t="s">
        <v>15</v>
      </c>
      <c r="B107" s="3">
        <v>43575</v>
      </c>
      <c r="C107" s="1">
        <v>2016.2122593586353</v>
      </c>
      <c r="D107" s="1">
        <v>134.41415062390902</v>
      </c>
      <c r="E107" s="1">
        <f t="shared" si="56"/>
        <v>936.21225935863549</v>
      </c>
      <c r="F107" s="1">
        <f t="shared" si="57"/>
        <v>1080</v>
      </c>
      <c r="G107" s="2">
        <v>15</v>
      </c>
      <c r="H107" s="1">
        <v>62.41415062390903</v>
      </c>
      <c r="I107" s="1">
        <v>72</v>
      </c>
      <c r="J107" s="1">
        <f t="shared" si="59"/>
        <v>440754.36176288303</v>
      </c>
      <c r="K107" s="1">
        <f t="shared" si="60"/>
        <v>216619.36176288294</v>
      </c>
      <c r="N107">
        <f t="shared" si="58"/>
        <v>0</v>
      </c>
      <c r="O107">
        <f t="shared" si="58"/>
        <v>0</v>
      </c>
      <c r="P107">
        <f t="shared" si="58"/>
        <v>0</v>
      </c>
      <c r="Q107">
        <f t="shared" si="66"/>
        <v>0</v>
      </c>
      <c r="R107">
        <f t="shared" si="66"/>
        <v>0</v>
      </c>
      <c r="S107">
        <f t="shared" si="66"/>
        <v>0</v>
      </c>
      <c r="T107">
        <f t="shared" si="66"/>
        <v>0</v>
      </c>
      <c r="U107">
        <f t="shared" si="66"/>
        <v>0</v>
      </c>
      <c r="V107">
        <f t="shared" si="66"/>
        <v>0</v>
      </c>
      <c r="W107">
        <f t="shared" si="66"/>
        <v>0</v>
      </c>
      <c r="X107">
        <f t="shared" si="66"/>
        <v>0</v>
      </c>
      <c r="Y107">
        <f t="shared" si="66"/>
        <v>0</v>
      </c>
      <c r="Z107">
        <f t="shared" si="66"/>
        <v>0</v>
      </c>
      <c r="AA107">
        <f t="shared" si="66"/>
        <v>0</v>
      </c>
      <c r="AB107">
        <f t="shared" si="66"/>
        <v>0</v>
      </c>
      <c r="AC107">
        <f t="shared" si="66"/>
        <v>0</v>
      </c>
      <c r="AD107">
        <f t="shared" si="66"/>
        <v>0</v>
      </c>
      <c r="AE107">
        <f t="shared" si="66"/>
        <v>0</v>
      </c>
      <c r="AF107">
        <f t="shared" si="66"/>
        <v>0</v>
      </c>
      <c r="AG107">
        <f t="shared" si="65"/>
        <v>0</v>
      </c>
      <c r="AH107">
        <f t="shared" si="65"/>
        <v>0</v>
      </c>
      <c r="AI107">
        <f t="shared" si="65"/>
        <v>0</v>
      </c>
      <c r="AJ107">
        <f t="shared" si="65"/>
        <v>0</v>
      </c>
      <c r="AK107">
        <f t="shared" si="65"/>
        <v>0</v>
      </c>
      <c r="AL107">
        <f t="shared" si="65"/>
        <v>0</v>
      </c>
      <c r="AM107">
        <f t="shared" si="65"/>
        <v>0</v>
      </c>
      <c r="AN107">
        <f t="shared" si="65"/>
        <v>0</v>
      </c>
      <c r="AO107">
        <f t="shared" si="65"/>
        <v>0</v>
      </c>
      <c r="AP107">
        <f t="shared" si="65"/>
        <v>0</v>
      </c>
      <c r="AQ107">
        <f t="shared" si="65"/>
        <v>0</v>
      </c>
      <c r="AR107">
        <f t="shared" si="65"/>
        <v>1</v>
      </c>
      <c r="AS107">
        <f t="shared" si="65"/>
        <v>0</v>
      </c>
      <c r="AT107">
        <f t="shared" si="65"/>
        <v>0</v>
      </c>
      <c r="AU107">
        <f t="shared" si="65"/>
        <v>0</v>
      </c>
      <c r="AV107">
        <f t="shared" si="55"/>
        <v>0</v>
      </c>
      <c r="AW107">
        <f t="shared" si="55"/>
        <v>0</v>
      </c>
      <c r="AX107">
        <f t="shared" si="55"/>
        <v>0</v>
      </c>
      <c r="AY107">
        <f t="shared" si="55"/>
        <v>0</v>
      </c>
      <c r="AZ107">
        <f t="shared" si="55"/>
        <v>0</v>
      </c>
    </row>
    <row r="108" spans="1:52" x14ac:dyDescent="0.25">
      <c r="A108" t="s">
        <v>35</v>
      </c>
      <c r="B108" s="3">
        <v>43561</v>
      </c>
      <c r="C108" s="1">
        <v>6879.6406864616565</v>
      </c>
      <c r="D108" s="1">
        <v>191.10113017949047</v>
      </c>
      <c r="E108" s="1">
        <f t="shared" si="56"/>
        <v>3279.640686461657</v>
      </c>
      <c r="F108" s="1">
        <f t="shared" si="57"/>
        <v>3600</v>
      </c>
      <c r="G108" s="2">
        <v>36</v>
      </c>
      <c r="H108" s="1">
        <v>91.101130179490468</v>
      </c>
      <c r="I108" s="1">
        <v>100</v>
      </c>
      <c r="J108" s="1">
        <f t="shared" si="59"/>
        <v>447634.00244934467</v>
      </c>
      <c r="K108" s="1">
        <f t="shared" si="60"/>
        <v>219899.00244934458</v>
      </c>
      <c r="N108">
        <f t="shared" si="58"/>
        <v>0</v>
      </c>
      <c r="O108">
        <f t="shared" si="58"/>
        <v>0</v>
      </c>
      <c r="P108">
        <f t="shared" si="58"/>
        <v>0</v>
      </c>
      <c r="Q108">
        <f t="shared" si="66"/>
        <v>0</v>
      </c>
      <c r="R108">
        <f t="shared" si="66"/>
        <v>0</v>
      </c>
      <c r="S108">
        <f t="shared" si="66"/>
        <v>0</v>
      </c>
      <c r="T108">
        <f t="shared" si="66"/>
        <v>0</v>
      </c>
      <c r="U108">
        <f t="shared" si="66"/>
        <v>0</v>
      </c>
      <c r="V108">
        <f t="shared" si="66"/>
        <v>0</v>
      </c>
      <c r="W108">
        <f t="shared" si="66"/>
        <v>0</v>
      </c>
      <c r="X108">
        <f t="shared" si="66"/>
        <v>0</v>
      </c>
      <c r="Y108">
        <f t="shared" si="66"/>
        <v>0</v>
      </c>
      <c r="Z108">
        <f t="shared" si="66"/>
        <v>0</v>
      </c>
      <c r="AA108">
        <f t="shared" si="66"/>
        <v>0</v>
      </c>
      <c r="AB108">
        <f t="shared" si="66"/>
        <v>0</v>
      </c>
      <c r="AC108">
        <f t="shared" si="66"/>
        <v>0</v>
      </c>
      <c r="AD108">
        <f t="shared" si="66"/>
        <v>0</v>
      </c>
      <c r="AE108">
        <f t="shared" si="66"/>
        <v>0</v>
      </c>
      <c r="AF108">
        <f t="shared" si="66"/>
        <v>0</v>
      </c>
      <c r="AG108">
        <f t="shared" si="65"/>
        <v>0</v>
      </c>
      <c r="AH108">
        <f t="shared" si="65"/>
        <v>0</v>
      </c>
      <c r="AI108">
        <f t="shared" si="65"/>
        <v>0</v>
      </c>
      <c r="AJ108">
        <f t="shared" si="65"/>
        <v>0</v>
      </c>
      <c r="AK108">
        <f t="shared" si="65"/>
        <v>0</v>
      </c>
      <c r="AL108">
        <f t="shared" si="65"/>
        <v>1</v>
      </c>
      <c r="AM108">
        <f t="shared" si="65"/>
        <v>0</v>
      </c>
      <c r="AN108">
        <f t="shared" si="65"/>
        <v>0</v>
      </c>
      <c r="AO108">
        <f t="shared" si="65"/>
        <v>0</v>
      </c>
      <c r="AP108">
        <f t="shared" si="65"/>
        <v>0</v>
      </c>
      <c r="AQ108">
        <f t="shared" si="65"/>
        <v>0</v>
      </c>
      <c r="AR108">
        <f t="shared" si="65"/>
        <v>0</v>
      </c>
      <c r="AS108">
        <f t="shared" si="65"/>
        <v>0</v>
      </c>
      <c r="AT108">
        <f t="shared" si="65"/>
        <v>0</v>
      </c>
      <c r="AU108">
        <f t="shared" si="65"/>
        <v>0</v>
      </c>
      <c r="AV108">
        <f t="shared" si="55"/>
        <v>0</v>
      </c>
      <c r="AW108">
        <f t="shared" si="55"/>
        <v>0</v>
      </c>
      <c r="AX108">
        <f t="shared" si="55"/>
        <v>0</v>
      </c>
      <c r="AY108">
        <f t="shared" si="55"/>
        <v>0</v>
      </c>
      <c r="AZ108">
        <f t="shared" si="55"/>
        <v>0</v>
      </c>
    </row>
    <row r="109" spans="1:52" x14ac:dyDescent="0.25">
      <c r="A109" t="s">
        <v>25</v>
      </c>
      <c r="B109" s="3">
        <v>43538</v>
      </c>
      <c r="C109" s="1">
        <v>4921.5575570962437</v>
      </c>
      <c r="D109" s="1">
        <v>114.45482690921497</v>
      </c>
      <c r="E109" s="1">
        <f t="shared" si="56"/>
        <v>2298.5575570962437</v>
      </c>
      <c r="F109" s="1">
        <f t="shared" si="57"/>
        <v>2623</v>
      </c>
      <c r="G109" s="2">
        <v>43</v>
      </c>
      <c r="H109" s="1">
        <v>53.454826909214972</v>
      </c>
      <c r="I109" s="1">
        <v>61</v>
      </c>
      <c r="J109" s="1">
        <f t="shared" si="59"/>
        <v>452555.56000644091</v>
      </c>
      <c r="K109" s="1">
        <f t="shared" si="60"/>
        <v>222197.56000644082</v>
      </c>
      <c r="N109">
        <f t="shared" si="58"/>
        <v>0</v>
      </c>
      <c r="O109">
        <f t="shared" si="58"/>
        <v>0</v>
      </c>
      <c r="P109">
        <f t="shared" si="58"/>
        <v>0</v>
      </c>
      <c r="Q109">
        <f t="shared" si="66"/>
        <v>0</v>
      </c>
      <c r="R109">
        <f t="shared" si="66"/>
        <v>0</v>
      </c>
      <c r="S109">
        <f t="shared" si="66"/>
        <v>1</v>
      </c>
      <c r="T109">
        <f t="shared" si="66"/>
        <v>0</v>
      </c>
      <c r="U109">
        <f t="shared" si="66"/>
        <v>0</v>
      </c>
      <c r="V109">
        <f t="shared" si="66"/>
        <v>0</v>
      </c>
      <c r="W109">
        <f t="shared" si="66"/>
        <v>0</v>
      </c>
      <c r="X109">
        <f t="shared" si="66"/>
        <v>0</v>
      </c>
      <c r="Y109">
        <f t="shared" si="66"/>
        <v>0</v>
      </c>
      <c r="Z109">
        <f t="shared" si="66"/>
        <v>0</v>
      </c>
      <c r="AA109">
        <f t="shared" si="66"/>
        <v>0</v>
      </c>
      <c r="AB109">
        <f t="shared" si="66"/>
        <v>0</v>
      </c>
      <c r="AC109">
        <f t="shared" si="66"/>
        <v>0</v>
      </c>
      <c r="AD109">
        <f t="shared" si="66"/>
        <v>0</v>
      </c>
      <c r="AE109">
        <f t="shared" si="66"/>
        <v>0</v>
      </c>
      <c r="AF109">
        <f t="shared" si="66"/>
        <v>0</v>
      </c>
      <c r="AG109">
        <f t="shared" si="65"/>
        <v>0</v>
      </c>
      <c r="AH109">
        <f t="shared" si="65"/>
        <v>0</v>
      </c>
      <c r="AI109">
        <f t="shared" si="65"/>
        <v>0</v>
      </c>
      <c r="AJ109">
        <f t="shared" si="65"/>
        <v>0</v>
      </c>
      <c r="AK109">
        <f t="shared" si="65"/>
        <v>0</v>
      </c>
      <c r="AL109">
        <f t="shared" si="65"/>
        <v>0</v>
      </c>
      <c r="AM109">
        <f t="shared" si="65"/>
        <v>0</v>
      </c>
      <c r="AN109">
        <f t="shared" si="65"/>
        <v>0</v>
      </c>
      <c r="AO109">
        <f t="shared" si="65"/>
        <v>0</v>
      </c>
      <c r="AP109">
        <f t="shared" si="65"/>
        <v>0</v>
      </c>
      <c r="AQ109">
        <f t="shared" si="65"/>
        <v>0</v>
      </c>
      <c r="AR109">
        <f t="shared" si="65"/>
        <v>0</v>
      </c>
      <c r="AS109">
        <f t="shared" si="65"/>
        <v>0</v>
      </c>
      <c r="AT109">
        <f t="shared" si="65"/>
        <v>0</v>
      </c>
      <c r="AU109">
        <f t="shared" si="65"/>
        <v>0</v>
      </c>
      <c r="AV109">
        <f t="shared" si="55"/>
        <v>0</v>
      </c>
      <c r="AW109">
        <f t="shared" si="55"/>
        <v>0</v>
      </c>
      <c r="AX109">
        <f t="shared" si="55"/>
        <v>0</v>
      </c>
      <c r="AY109">
        <f t="shared" si="55"/>
        <v>0</v>
      </c>
      <c r="AZ109">
        <f t="shared" si="55"/>
        <v>0</v>
      </c>
    </row>
    <row r="110" spans="1:52" x14ac:dyDescent="0.25">
      <c r="A110" t="s">
        <v>12</v>
      </c>
      <c r="B110" s="3">
        <v>43538</v>
      </c>
      <c r="C110" s="1">
        <v>4547.0463544049644</v>
      </c>
      <c r="D110" s="1">
        <v>137.7892834668171</v>
      </c>
      <c r="E110" s="1">
        <f t="shared" si="56"/>
        <v>2171.0463544049649</v>
      </c>
      <c r="F110" s="1">
        <f t="shared" si="57"/>
        <v>2376</v>
      </c>
      <c r="G110" s="2">
        <v>33</v>
      </c>
      <c r="H110" s="1">
        <v>65.78928346681711</v>
      </c>
      <c r="I110" s="1">
        <v>72</v>
      </c>
      <c r="J110" s="1">
        <f t="shared" si="59"/>
        <v>457102.60636084585</v>
      </c>
      <c r="K110" s="1">
        <f t="shared" si="60"/>
        <v>224368.60636084579</v>
      </c>
      <c r="N110">
        <f t="shared" si="58"/>
        <v>0</v>
      </c>
      <c r="O110">
        <f t="shared" si="58"/>
        <v>0</v>
      </c>
      <c r="P110">
        <f t="shared" si="58"/>
        <v>0</v>
      </c>
      <c r="Q110">
        <f t="shared" si="66"/>
        <v>0</v>
      </c>
      <c r="R110">
        <f t="shared" si="66"/>
        <v>0</v>
      </c>
      <c r="S110">
        <f t="shared" si="66"/>
        <v>0</v>
      </c>
      <c r="T110">
        <f t="shared" si="66"/>
        <v>0</v>
      </c>
      <c r="U110">
        <f t="shared" si="66"/>
        <v>0</v>
      </c>
      <c r="V110">
        <f t="shared" si="66"/>
        <v>0</v>
      </c>
      <c r="W110">
        <f t="shared" si="66"/>
        <v>0</v>
      </c>
      <c r="X110">
        <f t="shared" si="66"/>
        <v>0</v>
      </c>
      <c r="Y110">
        <f t="shared" si="66"/>
        <v>0</v>
      </c>
      <c r="Z110">
        <f t="shared" si="66"/>
        <v>0</v>
      </c>
      <c r="AA110">
        <f t="shared" si="66"/>
        <v>0</v>
      </c>
      <c r="AB110">
        <f t="shared" si="66"/>
        <v>0</v>
      </c>
      <c r="AC110">
        <f t="shared" si="66"/>
        <v>0</v>
      </c>
      <c r="AD110">
        <f t="shared" si="66"/>
        <v>0</v>
      </c>
      <c r="AE110">
        <f t="shared" si="66"/>
        <v>0</v>
      </c>
      <c r="AF110">
        <f t="shared" si="66"/>
        <v>0</v>
      </c>
      <c r="AG110">
        <f t="shared" si="65"/>
        <v>0</v>
      </c>
      <c r="AH110">
        <f t="shared" si="65"/>
        <v>0</v>
      </c>
      <c r="AI110">
        <f t="shared" si="65"/>
        <v>0</v>
      </c>
      <c r="AJ110">
        <f t="shared" si="65"/>
        <v>0</v>
      </c>
      <c r="AK110">
        <f t="shared" si="65"/>
        <v>1</v>
      </c>
      <c r="AL110">
        <f t="shared" si="65"/>
        <v>0</v>
      </c>
      <c r="AM110">
        <f t="shared" si="65"/>
        <v>0</v>
      </c>
      <c r="AN110">
        <f t="shared" si="65"/>
        <v>0</v>
      </c>
      <c r="AO110">
        <f t="shared" si="65"/>
        <v>0</v>
      </c>
      <c r="AP110">
        <f t="shared" si="65"/>
        <v>0</v>
      </c>
      <c r="AQ110">
        <f t="shared" si="65"/>
        <v>0</v>
      </c>
      <c r="AR110">
        <f t="shared" si="65"/>
        <v>0</v>
      </c>
      <c r="AS110">
        <f t="shared" si="65"/>
        <v>0</v>
      </c>
      <c r="AT110">
        <f t="shared" si="65"/>
        <v>0</v>
      </c>
      <c r="AU110">
        <f t="shared" si="65"/>
        <v>0</v>
      </c>
      <c r="AV110">
        <f t="shared" si="55"/>
        <v>0</v>
      </c>
      <c r="AW110">
        <f t="shared" si="55"/>
        <v>0</v>
      </c>
      <c r="AX110">
        <f t="shared" si="55"/>
        <v>0</v>
      </c>
      <c r="AY110">
        <f t="shared" si="55"/>
        <v>0</v>
      </c>
      <c r="AZ110">
        <f t="shared" si="55"/>
        <v>0</v>
      </c>
    </row>
    <row r="111" spans="1:52" x14ac:dyDescent="0.25">
      <c r="A111" t="s">
        <v>39</v>
      </c>
      <c r="B111" s="3">
        <v>43537</v>
      </c>
      <c r="C111" s="1">
        <v>783.24629021113537</v>
      </c>
      <c r="D111" s="1">
        <v>71.204208201012307</v>
      </c>
      <c r="E111" s="1">
        <f t="shared" si="56"/>
        <v>354.24629021113532</v>
      </c>
      <c r="F111" s="1">
        <f t="shared" si="57"/>
        <v>429</v>
      </c>
      <c r="G111" s="2">
        <v>11</v>
      </c>
      <c r="H111" s="1">
        <v>32.2042082010123</v>
      </c>
      <c r="I111" s="1">
        <v>39</v>
      </c>
      <c r="J111" s="1">
        <f t="shared" si="59"/>
        <v>457885.85265105701</v>
      </c>
      <c r="K111" s="1">
        <f t="shared" si="60"/>
        <v>224722.85265105692</v>
      </c>
      <c r="N111">
        <f t="shared" si="58"/>
        <v>0</v>
      </c>
      <c r="O111">
        <f t="shared" si="58"/>
        <v>0</v>
      </c>
      <c r="P111">
        <f t="shared" si="58"/>
        <v>0</v>
      </c>
      <c r="Q111">
        <f t="shared" si="66"/>
        <v>0</v>
      </c>
      <c r="R111">
        <f t="shared" si="66"/>
        <v>0</v>
      </c>
      <c r="S111">
        <f t="shared" si="66"/>
        <v>0</v>
      </c>
      <c r="T111">
        <f t="shared" si="66"/>
        <v>0</v>
      </c>
      <c r="U111">
        <f t="shared" si="66"/>
        <v>0</v>
      </c>
      <c r="V111">
        <f t="shared" si="66"/>
        <v>0</v>
      </c>
      <c r="W111">
        <f t="shared" si="66"/>
        <v>0</v>
      </c>
      <c r="X111">
        <f t="shared" si="66"/>
        <v>0</v>
      </c>
      <c r="Y111">
        <f t="shared" si="66"/>
        <v>1</v>
      </c>
      <c r="Z111">
        <f t="shared" si="66"/>
        <v>0</v>
      </c>
      <c r="AA111">
        <f t="shared" si="66"/>
        <v>0</v>
      </c>
      <c r="AB111">
        <f t="shared" si="66"/>
        <v>0</v>
      </c>
      <c r="AC111">
        <f t="shared" si="66"/>
        <v>0</v>
      </c>
      <c r="AD111">
        <f t="shared" si="66"/>
        <v>0</v>
      </c>
      <c r="AE111">
        <f t="shared" si="66"/>
        <v>0</v>
      </c>
      <c r="AF111">
        <f t="shared" ref="AF111:AU126" si="67">+IF(AF$5=$A111,1,0)</f>
        <v>0</v>
      </c>
      <c r="AG111">
        <f t="shared" si="67"/>
        <v>0</v>
      </c>
      <c r="AH111">
        <f t="shared" si="67"/>
        <v>0</v>
      </c>
      <c r="AI111">
        <f t="shared" si="67"/>
        <v>0</v>
      </c>
      <c r="AJ111">
        <f t="shared" si="67"/>
        <v>0</v>
      </c>
      <c r="AK111">
        <f t="shared" si="67"/>
        <v>0</v>
      </c>
      <c r="AL111">
        <f t="shared" si="67"/>
        <v>0</v>
      </c>
      <c r="AM111">
        <f t="shared" si="67"/>
        <v>0</v>
      </c>
      <c r="AN111">
        <f t="shared" si="67"/>
        <v>0</v>
      </c>
      <c r="AO111">
        <f t="shared" si="67"/>
        <v>0</v>
      </c>
      <c r="AP111">
        <f t="shared" si="67"/>
        <v>0</v>
      </c>
      <c r="AQ111">
        <f t="shared" si="67"/>
        <v>0</v>
      </c>
      <c r="AR111">
        <f t="shared" si="67"/>
        <v>0</v>
      </c>
      <c r="AS111">
        <f t="shared" si="67"/>
        <v>0</v>
      </c>
      <c r="AT111">
        <f t="shared" si="67"/>
        <v>0</v>
      </c>
      <c r="AU111">
        <f t="shared" si="67"/>
        <v>0</v>
      </c>
      <c r="AV111">
        <f t="shared" si="55"/>
        <v>0</v>
      </c>
      <c r="AW111">
        <f t="shared" si="55"/>
        <v>0</v>
      </c>
      <c r="AX111">
        <f t="shared" si="55"/>
        <v>0</v>
      </c>
      <c r="AY111">
        <f t="shared" si="55"/>
        <v>0</v>
      </c>
      <c r="AZ111">
        <f t="shared" si="55"/>
        <v>0</v>
      </c>
    </row>
    <row r="112" spans="1:52" x14ac:dyDescent="0.25">
      <c r="A112" t="s">
        <v>33</v>
      </c>
      <c r="B112" s="3">
        <v>43533</v>
      </c>
      <c r="C112" s="1">
        <v>286.21210976344196</v>
      </c>
      <c r="D112" s="1">
        <v>143.10605488172098</v>
      </c>
      <c r="E112" s="1">
        <f t="shared" si="56"/>
        <v>128.21210976344193</v>
      </c>
      <c r="F112" s="1">
        <f t="shared" si="57"/>
        <v>158</v>
      </c>
      <c r="G112" s="2">
        <v>2</v>
      </c>
      <c r="H112" s="1">
        <v>64.106054881720965</v>
      </c>
      <c r="I112" s="1">
        <v>79</v>
      </c>
      <c r="J112" s="1">
        <f t="shared" si="59"/>
        <v>458172.06476082047</v>
      </c>
      <c r="K112" s="1">
        <f t="shared" si="60"/>
        <v>224851.06476082036</v>
      </c>
      <c r="N112">
        <f t="shared" si="58"/>
        <v>0</v>
      </c>
      <c r="O112">
        <f t="shared" si="58"/>
        <v>0</v>
      </c>
      <c r="P112">
        <f t="shared" si="58"/>
        <v>0</v>
      </c>
      <c r="Q112">
        <f t="shared" ref="Q112:AF127" si="68">+IF(Q$5=$A112,1,0)</f>
        <v>0</v>
      </c>
      <c r="R112">
        <f t="shared" si="68"/>
        <v>0</v>
      </c>
      <c r="S112">
        <f t="shared" si="68"/>
        <v>0</v>
      </c>
      <c r="T112">
        <f t="shared" si="68"/>
        <v>0</v>
      </c>
      <c r="U112">
        <f t="shared" si="68"/>
        <v>0</v>
      </c>
      <c r="V112">
        <f t="shared" si="68"/>
        <v>0</v>
      </c>
      <c r="W112">
        <f t="shared" si="68"/>
        <v>0</v>
      </c>
      <c r="X112">
        <f t="shared" si="68"/>
        <v>0</v>
      </c>
      <c r="Y112">
        <f t="shared" si="68"/>
        <v>0</v>
      </c>
      <c r="Z112">
        <f t="shared" si="68"/>
        <v>0</v>
      </c>
      <c r="AA112">
        <f t="shared" si="68"/>
        <v>0</v>
      </c>
      <c r="AB112">
        <f t="shared" si="68"/>
        <v>0</v>
      </c>
      <c r="AC112">
        <f t="shared" si="68"/>
        <v>0</v>
      </c>
      <c r="AD112">
        <f t="shared" si="68"/>
        <v>0</v>
      </c>
      <c r="AE112">
        <f t="shared" si="68"/>
        <v>0</v>
      </c>
      <c r="AF112">
        <f t="shared" si="68"/>
        <v>0</v>
      </c>
      <c r="AG112">
        <f t="shared" si="67"/>
        <v>0</v>
      </c>
      <c r="AH112">
        <f t="shared" si="67"/>
        <v>0</v>
      </c>
      <c r="AI112">
        <f t="shared" si="67"/>
        <v>0</v>
      </c>
      <c r="AJ112">
        <f t="shared" si="67"/>
        <v>0</v>
      </c>
      <c r="AK112">
        <f t="shared" si="67"/>
        <v>0</v>
      </c>
      <c r="AL112">
        <f t="shared" si="67"/>
        <v>0</v>
      </c>
      <c r="AM112">
        <f t="shared" si="67"/>
        <v>0</v>
      </c>
      <c r="AN112">
        <f t="shared" si="67"/>
        <v>0</v>
      </c>
      <c r="AO112">
        <f t="shared" si="67"/>
        <v>0</v>
      </c>
      <c r="AP112">
        <f t="shared" si="67"/>
        <v>0</v>
      </c>
      <c r="AQ112">
        <f t="shared" si="67"/>
        <v>1</v>
      </c>
      <c r="AR112">
        <f t="shared" si="67"/>
        <v>0</v>
      </c>
      <c r="AS112">
        <f t="shared" si="67"/>
        <v>0</v>
      </c>
      <c r="AT112">
        <f t="shared" si="67"/>
        <v>0</v>
      </c>
      <c r="AU112">
        <f t="shared" si="67"/>
        <v>0</v>
      </c>
      <c r="AV112">
        <f t="shared" si="55"/>
        <v>0</v>
      </c>
      <c r="AW112">
        <f t="shared" si="55"/>
        <v>0</v>
      </c>
      <c r="AX112">
        <f t="shared" si="55"/>
        <v>0</v>
      </c>
      <c r="AY112">
        <f t="shared" si="55"/>
        <v>0</v>
      </c>
      <c r="AZ112">
        <f t="shared" si="55"/>
        <v>0</v>
      </c>
    </row>
    <row r="113" spans="1:52" x14ac:dyDescent="0.25">
      <c r="A113" t="s">
        <v>14</v>
      </c>
      <c r="B113" s="3">
        <v>43532</v>
      </c>
      <c r="C113" s="1">
        <v>364.11883049612743</v>
      </c>
      <c r="D113" s="1">
        <v>72.82376609922548</v>
      </c>
      <c r="E113" s="1">
        <f t="shared" si="56"/>
        <v>199.1188304961274</v>
      </c>
      <c r="F113" s="1">
        <f t="shared" si="57"/>
        <v>165</v>
      </c>
      <c r="G113" s="2">
        <v>5</v>
      </c>
      <c r="H113" s="1">
        <v>39.82376609922548</v>
      </c>
      <c r="I113" s="1">
        <v>33</v>
      </c>
      <c r="J113" s="1">
        <f t="shared" si="59"/>
        <v>458536.18359131663</v>
      </c>
      <c r="K113" s="1">
        <f t="shared" si="60"/>
        <v>225050.18359131648</v>
      </c>
      <c r="N113">
        <f t="shared" si="58"/>
        <v>0</v>
      </c>
      <c r="O113">
        <f t="shared" si="58"/>
        <v>0</v>
      </c>
      <c r="P113">
        <f t="shared" si="58"/>
        <v>0</v>
      </c>
      <c r="Q113">
        <f t="shared" si="68"/>
        <v>0</v>
      </c>
      <c r="R113">
        <f t="shared" si="68"/>
        <v>0</v>
      </c>
      <c r="S113">
        <f t="shared" si="68"/>
        <v>0</v>
      </c>
      <c r="T113">
        <f t="shared" si="68"/>
        <v>0</v>
      </c>
      <c r="U113">
        <f t="shared" si="68"/>
        <v>0</v>
      </c>
      <c r="V113">
        <f t="shared" si="68"/>
        <v>0</v>
      </c>
      <c r="W113">
        <f t="shared" si="68"/>
        <v>0</v>
      </c>
      <c r="X113">
        <f t="shared" si="68"/>
        <v>0</v>
      </c>
      <c r="Y113">
        <f t="shared" si="68"/>
        <v>0</v>
      </c>
      <c r="Z113">
        <f t="shared" si="68"/>
        <v>0</v>
      </c>
      <c r="AA113">
        <f t="shared" si="68"/>
        <v>0</v>
      </c>
      <c r="AB113">
        <f t="shared" si="68"/>
        <v>0</v>
      </c>
      <c r="AC113">
        <f t="shared" si="68"/>
        <v>0</v>
      </c>
      <c r="AD113">
        <f t="shared" si="68"/>
        <v>0</v>
      </c>
      <c r="AE113">
        <f t="shared" si="68"/>
        <v>0</v>
      </c>
      <c r="AF113">
        <f t="shared" si="68"/>
        <v>0</v>
      </c>
      <c r="AG113">
        <f t="shared" si="67"/>
        <v>0</v>
      </c>
      <c r="AH113">
        <f t="shared" si="67"/>
        <v>0</v>
      </c>
      <c r="AI113">
        <f t="shared" si="67"/>
        <v>0</v>
      </c>
      <c r="AJ113">
        <f t="shared" si="67"/>
        <v>0</v>
      </c>
      <c r="AK113">
        <f t="shared" si="67"/>
        <v>0</v>
      </c>
      <c r="AL113">
        <f t="shared" si="67"/>
        <v>0</v>
      </c>
      <c r="AM113">
        <f t="shared" si="67"/>
        <v>0</v>
      </c>
      <c r="AN113">
        <f t="shared" si="67"/>
        <v>0</v>
      </c>
      <c r="AO113">
        <f t="shared" si="67"/>
        <v>0</v>
      </c>
      <c r="AP113">
        <f t="shared" si="67"/>
        <v>1</v>
      </c>
      <c r="AQ113">
        <f t="shared" si="67"/>
        <v>0</v>
      </c>
      <c r="AR113">
        <f t="shared" si="67"/>
        <v>0</v>
      </c>
      <c r="AS113">
        <f t="shared" si="67"/>
        <v>0</v>
      </c>
      <c r="AT113">
        <f t="shared" si="67"/>
        <v>0</v>
      </c>
      <c r="AU113">
        <f t="shared" si="67"/>
        <v>0</v>
      </c>
      <c r="AV113">
        <f t="shared" si="55"/>
        <v>0</v>
      </c>
      <c r="AW113">
        <f t="shared" si="55"/>
        <v>0</v>
      </c>
      <c r="AX113">
        <f t="shared" si="55"/>
        <v>0</v>
      </c>
      <c r="AY113">
        <f t="shared" si="55"/>
        <v>0</v>
      </c>
      <c r="AZ113">
        <f t="shared" si="55"/>
        <v>0</v>
      </c>
    </row>
    <row r="114" spans="1:52" x14ac:dyDescent="0.25">
      <c r="A114" t="s">
        <v>28</v>
      </c>
      <c r="B114" s="3">
        <v>43526</v>
      </c>
      <c r="C114" s="1">
        <v>2058.3453627646468</v>
      </c>
      <c r="D114" s="1">
        <v>108.33396646129721</v>
      </c>
      <c r="E114" s="1">
        <f t="shared" si="56"/>
        <v>1336.345362764647</v>
      </c>
      <c r="F114" s="1">
        <f t="shared" si="57"/>
        <v>722</v>
      </c>
      <c r="G114" s="2">
        <v>19</v>
      </c>
      <c r="H114" s="1">
        <v>70.333966461297209</v>
      </c>
      <c r="I114" s="1">
        <v>38</v>
      </c>
      <c r="J114" s="1">
        <f t="shared" si="59"/>
        <v>460594.5289540813</v>
      </c>
      <c r="K114" s="1">
        <f t="shared" si="60"/>
        <v>226386.52895408112</v>
      </c>
      <c r="N114">
        <f t="shared" si="58"/>
        <v>0</v>
      </c>
      <c r="O114">
        <f t="shared" si="58"/>
        <v>0</v>
      </c>
      <c r="P114">
        <f t="shared" si="58"/>
        <v>0</v>
      </c>
      <c r="Q114">
        <f t="shared" si="68"/>
        <v>0</v>
      </c>
      <c r="R114">
        <f t="shared" si="68"/>
        <v>0</v>
      </c>
      <c r="S114">
        <f t="shared" si="68"/>
        <v>0</v>
      </c>
      <c r="T114">
        <f t="shared" si="68"/>
        <v>0</v>
      </c>
      <c r="U114">
        <f t="shared" si="68"/>
        <v>0</v>
      </c>
      <c r="V114">
        <f t="shared" si="68"/>
        <v>0</v>
      </c>
      <c r="W114">
        <f t="shared" si="68"/>
        <v>0</v>
      </c>
      <c r="X114">
        <f t="shared" si="68"/>
        <v>0</v>
      </c>
      <c r="Y114">
        <f t="shared" si="68"/>
        <v>0</v>
      </c>
      <c r="Z114">
        <f t="shared" si="68"/>
        <v>0</v>
      </c>
      <c r="AA114">
        <f t="shared" si="68"/>
        <v>0</v>
      </c>
      <c r="AB114">
        <f t="shared" si="68"/>
        <v>0</v>
      </c>
      <c r="AC114">
        <f t="shared" si="68"/>
        <v>0</v>
      </c>
      <c r="AD114">
        <f t="shared" si="68"/>
        <v>0</v>
      </c>
      <c r="AE114">
        <f t="shared" si="68"/>
        <v>0</v>
      </c>
      <c r="AF114">
        <f t="shared" si="68"/>
        <v>0</v>
      </c>
      <c r="AG114">
        <f t="shared" si="67"/>
        <v>0</v>
      </c>
      <c r="AH114">
        <f t="shared" si="67"/>
        <v>0</v>
      </c>
      <c r="AI114">
        <f t="shared" si="67"/>
        <v>0</v>
      </c>
      <c r="AJ114">
        <f t="shared" si="67"/>
        <v>0</v>
      </c>
      <c r="AK114">
        <f t="shared" si="67"/>
        <v>0</v>
      </c>
      <c r="AL114">
        <f t="shared" si="67"/>
        <v>0</v>
      </c>
      <c r="AM114">
        <f t="shared" si="67"/>
        <v>0</v>
      </c>
      <c r="AN114">
        <f t="shared" si="67"/>
        <v>0</v>
      </c>
      <c r="AO114">
        <f t="shared" si="67"/>
        <v>0</v>
      </c>
      <c r="AP114">
        <f t="shared" si="67"/>
        <v>0</v>
      </c>
      <c r="AQ114">
        <f t="shared" si="67"/>
        <v>0</v>
      </c>
      <c r="AR114">
        <f t="shared" si="67"/>
        <v>0</v>
      </c>
      <c r="AS114">
        <f t="shared" si="67"/>
        <v>0</v>
      </c>
      <c r="AT114">
        <f t="shared" si="67"/>
        <v>1</v>
      </c>
      <c r="AU114">
        <f t="shared" si="67"/>
        <v>0</v>
      </c>
      <c r="AV114">
        <f t="shared" ref="AV114:AZ164" si="69">+IF(AV$5=$A114,1,0)</f>
        <v>0</v>
      </c>
      <c r="AW114">
        <f t="shared" si="69"/>
        <v>0</v>
      </c>
      <c r="AX114">
        <f t="shared" si="69"/>
        <v>0</v>
      </c>
      <c r="AY114">
        <f t="shared" si="69"/>
        <v>0</v>
      </c>
      <c r="AZ114">
        <f t="shared" si="69"/>
        <v>0</v>
      </c>
    </row>
    <row r="115" spans="1:52" x14ac:dyDescent="0.25">
      <c r="A115" t="s">
        <v>42</v>
      </c>
      <c r="B115" s="3">
        <v>43525</v>
      </c>
      <c r="C115" s="1">
        <v>1318.4273211861464</v>
      </c>
      <c r="D115" s="1">
        <v>94.173380084724741</v>
      </c>
      <c r="E115" s="1">
        <f t="shared" si="56"/>
        <v>716.4273211861464</v>
      </c>
      <c r="F115" s="1">
        <f t="shared" si="57"/>
        <v>602</v>
      </c>
      <c r="G115" s="2">
        <v>14</v>
      </c>
      <c r="H115" s="1">
        <v>51.173380084724741</v>
      </c>
      <c r="I115" s="1">
        <v>43</v>
      </c>
      <c r="J115" s="1">
        <f t="shared" si="59"/>
        <v>461912.95627526747</v>
      </c>
      <c r="K115" s="1">
        <f t="shared" si="60"/>
        <v>227102.95627526726</v>
      </c>
      <c r="N115">
        <f t="shared" si="58"/>
        <v>0</v>
      </c>
      <c r="O115">
        <f t="shared" si="58"/>
        <v>0</v>
      </c>
      <c r="P115">
        <f t="shared" si="58"/>
        <v>0</v>
      </c>
      <c r="Q115">
        <f t="shared" si="68"/>
        <v>0</v>
      </c>
      <c r="R115">
        <f t="shared" si="68"/>
        <v>0</v>
      </c>
      <c r="S115">
        <f t="shared" si="68"/>
        <v>0</v>
      </c>
      <c r="T115">
        <f t="shared" si="68"/>
        <v>0</v>
      </c>
      <c r="U115">
        <f t="shared" si="68"/>
        <v>0</v>
      </c>
      <c r="V115">
        <f t="shared" si="68"/>
        <v>0</v>
      </c>
      <c r="W115">
        <f t="shared" si="68"/>
        <v>0</v>
      </c>
      <c r="X115">
        <f t="shared" si="68"/>
        <v>0</v>
      </c>
      <c r="Y115">
        <f t="shared" si="68"/>
        <v>0</v>
      </c>
      <c r="Z115">
        <f t="shared" si="68"/>
        <v>1</v>
      </c>
      <c r="AA115">
        <f t="shared" si="68"/>
        <v>0</v>
      </c>
      <c r="AB115">
        <f t="shared" si="68"/>
        <v>0</v>
      </c>
      <c r="AC115">
        <f t="shared" si="68"/>
        <v>0</v>
      </c>
      <c r="AD115">
        <f t="shared" si="68"/>
        <v>0</v>
      </c>
      <c r="AE115">
        <f t="shared" si="68"/>
        <v>0</v>
      </c>
      <c r="AF115">
        <f t="shared" si="68"/>
        <v>0</v>
      </c>
      <c r="AG115">
        <f t="shared" si="67"/>
        <v>0</v>
      </c>
      <c r="AH115">
        <f t="shared" si="67"/>
        <v>0</v>
      </c>
      <c r="AI115">
        <f t="shared" si="67"/>
        <v>0</v>
      </c>
      <c r="AJ115">
        <f t="shared" si="67"/>
        <v>0</v>
      </c>
      <c r="AK115">
        <f t="shared" si="67"/>
        <v>0</v>
      </c>
      <c r="AL115">
        <f t="shared" si="67"/>
        <v>0</v>
      </c>
      <c r="AM115">
        <f t="shared" si="67"/>
        <v>0</v>
      </c>
      <c r="AN115">
        <f t="shared" si="67"/>
        <v>0</v>
      </c>
      <c r="AO115">
        <f t="shared" si="67"/>
        <v>0</v>
      </c>
      <c r="AP115">
        <f t="shared" si="67"/>
        <v>0</v>
      </c>
      <c r="AQ115">
        <f t="shared" si="67"/>
        <v>0</v>
      </c>
      <c r="AR115">
        <f t="shared" si="67"/>
        <v>0</v>
      </c>
      <c r="AS115">
        <f t="shared" si="67"/>
        <v>0</v>
      </c>
      <c r="AT115">
        <f t="shared" si="67"/>
        <v>0</v>
      </c>
      <c r="AU115">
        <f t="shared" si="67"/>
        <v>0</v>
      </c>
      <c r="AV115">
        <f t="shared" si="69"/>
        <v>0</v>
      </c>
      <c r="AW115">
        <f t="shared" si="69"/>
        <v>0</v>
      </c>
      <c r="AX115">
        <f t="shared" si="69"/>
        <v>0</v>
      </c>
      <c r="AY115">
        <f t="shared" si="69"/>
        <v>0</v>
      </c>
      <c r="AZ115">
        <f t="shared" si="69"/>
        <v>0</v>
      </c>
    </row>
    <row r="116" spans="1:52" x14ac:dyDescent="0.25">
      <c r="A116" t="s">
        <v>43</v>
      </c>
      <c r="B116" s="3">
        <v>43517</v>
      </c>
      <c r="C116" s="1">
        <v>3323.208542475415</v>
      </c>
      <c r="D116" s="1">
        <v>151.05493374888249</v>
      </c>
      <c r="E116" s="1">
        <f t="shared" si="56"/>
        <v>1431.2085424754146</v>
      </c>
      <c r="F116" s="1">
        <f t="shared" si="57"/>
        <v>1892</v>
      </c>
      <c r="G116" s="2">
        <v>22</v>
      </c>
      <c r="H116" s="1">
        <v>65.054933748882476</v>
      </c>
      <c r="I116" s="1">
        <v>86</v>
      </c>
      <c r="J116" s="1">
        <f t="shared" si="59"/>
        <v>465236.16481774289</v>
      </c>
      <c r="K116" s="1">
        <f t="shared" si="60"/>
        <v>228534.16481774268</v>
      </c>
      <c r="N116">
        <f t="shared" si="58"/>
        <v>0</v>
      </c>
      <c r="O116">
        <f t="shared" si="58"/>
        <v>0</v>
      </c>
      <c r="P116">
        <f t="shared" si="58"/>
        <v>0</v>
      </c>
      <c r="Q116">
        <f t="shared" si="68"/>
        <v>0</v>
      </c>
      <c r="R116">
        <f t="shared" si="68"/>
        <v>0</v>
      </c>
      <c r="S116">
        <f t="shared" si="68"/>
        <v>0</v>
      </c>
      <c r="T116">
        <f t="shared" si="68"/>
        <v>0</v>
      </c>
      <c r="U116">
        <f t="shared" si="68"/>
        <v>0</v>
      </c>
      <c r="V116">
        <f t="shared" si="68"/>
        <v>0</v>
      </c>
      <c r="W116">
        <f t="shared" si="68"/>
        <v>0</v>
      </c>
      <c r="X116">
        <f t="shared" si="68"/>
        <v>0</v>
      </c>
      <c r="Y116">
        <f t="shared" si="68"/>
        <v>0</v>
      </c>
      <c r="Z116">
        <f t="shared" si="68"/>
        <v>0</v>
      </c>
      <c r="AA116">
        <f t="shared" si="68"/>
        <v>0</v>
      </c>
      <c r="AB116">
        <f t="shared" si="68"/>
        <v>0</v>
      </c>
      <c r="AC116">
        <f t="shared" si="68"/>
        <v>0</v>
      </c>
      <c r="AD116">
        <f t="shared" si="68"/>
        <v>0</v>
      </c>
      <c r="AE116">
        <f t="shared" si="68"/>
        <v>0</v>
      </c>
      <c r="AF116">
        <f t="shared" si="68"/>
        <v>0</v>
      </c>
      <c r="AG116">
        <f t="shared" si="67"/>
        <v>0</v>
      </c>
      <c r="AH116">
        <f t="shared" si="67"/>
        <v>0</v>
      </c>
      <c r="AI116">
        <f t="shared" si="67"/>
        <v>0</v>
      </c>
      <c r="AJ116">
        <f t="shared" si="67"/>
        <v>0</v>
      </c>
      <c r="AK116">
        <f t="shared" si="67"/>
        <v>0</v>
      </c>
      <c r="AL116">
        <f t="shared" si="67"/>
        <v>0</v>
      </c>
      <c r="AM116">
        <f t="shared" si="67"/>
        <v>0</v>
      </c>
      <c r="AN116">
        <f t="shared" si="67"/>
        <v>0</v>
      </c>
      <c r="AO116">
        <f t="shared" si="67"/>
        <v>0</v>
      </c>
      <c r="AP116">
        <f t="shared" si="67"/>
        <v>0</v>
      </c>
      <c r="AQ116">
        <f t="shared" si="67"/>
        <v>0</v>
      </c>
      <c r="AR116">
        <f t="shared" si="67"/>
        <v>0</v>
      </c>
      <c r="AS116">
        <f t="shared" si="67"/>
        <v>0</v>
      </c>
      <c r="AT116">
        <f t="shared" si="67"/>
        <v>0</v>
      </c>
      <c r="AU116">
        <f t="shared" si="67"/>
        <v>0</v>
      </c>
      <c r="AV116">
        <f t="shared" si="69"/>
        <v>0</v>
      </c>
      <c r="AW116">
        <f t="shared" si="69"/>
        <v>0</v>
      </c>
      <c r="AX116">
        <f t="shared" si="69"/>
        <v>0</v>
      </c>
      <c r="AY116">
        <f t="shared" si="69"/>
        <v>1</v>
      </c>
      <c r="AZ116">
        <f t="shared" si="69"/>
        <v>0</v>
      </c>
    </row>
    <row r="117" spans="1:52" x14ac:dyDescent="0.25">
      <c r="A117" t="s">
        <v>12</v>
      </c>
      <c r="B117" s="3">
        <v>43501</v>
      </c>
      <c r="C117" s="1">
        <v>725.0894329109575</v>
      </c>
      <c r="D117" s="1">
        <v>145.01788658219149</v>
      </c>
      <c r="E117" s="1">
        <f t="shared" si="56"/>
        <v>455.0894329109575</v>
      </c>
      <c r="F117" s="1">
        <f t="shared" si="57"/>
        <v>270</v>
      </c>
      <c r="G117" s="2">
        <v>5</v>
      </c>
      <c r="H117" s="1">
        <v>91.017886582191494</v>
      </c>
      <c r="I117" s="1">
        <v>54</v>
      </c>
      <c r="J117" s="1">
        <f t="shared" si="59"/>
        <v>465961.25425065384</v>
      </c>
      <c r="K117" s="1">
        <f t="shared" si="60"/>
        <v>228989.25425065364</v>
      </c>
      <c r="N117">
        <f t="shared" si="58"/>
        <v>0</v>
      </c>
      <c r="O117">
        <f t="shared" si="58"/>
        <v>0</v>
      </c>
      <c r="P117">
        <f t="shared" si="58"/>
        <v>0</v>
      </c>
      <c r="Q117">
        <f t="shared" si="68"/>
        <v>0</v>
      </c>
      <c r="R117">
        <f t="shared" si="68"/>
        <v>0</v>
      </c>
      <c r="S117">
        <f t="shared" si="68"/>
        <v>0</v>
      </c>
      <c r="T117">
        <f t="shared" si="68"/>
        <v>0</v>
      </c>
      <c r="U117">
        <f t="shared" si="68"/>
        <v>0</v>
      </c>
      <c r="V117">
        <f t="shared" si="68"/>
        <v>0</v>
      </c>
      <c r="W117">
        <f t="shared" si="68"/>
        <v>0</v>
      </c>
      <c r="X117">
        <f t="shared" si="68"/>
        <v>0</v>
      </c>
      <c r="Y117">
        <f t="shared" si="68"/>
        <v>0</v>
      </c>
      <c r="Z117">
        <f t="shared" si="68"/>
        <v>0</v>
      </c>
      <c r="AA117">
        <f t="shared" si="68"/>
        <v>0</v>
      </c>
      <c r="AB117">
        <f t="shared" si="68"/>
        <v>0</v>
      </c>
      <c r="AC117">
        <f t="shared" si="68"/>
        <v>0</v>
      </c>
      <c r="AD117">
        <f t="shared" si="68"/>
        <v>0</v>
      </c>
      <c r="AE117">
        <f t="shared" si="68"/>
        <v>0</v>
      </c>
      <c r="AF117">
        <f t="shared" si="68"/>
        <v>0</v>
      </c>
      <c r="AG117">
        <f t="shared" si="67"/>
        <v>0</v>
      </c>
      <c r="AH117">
        <f t="shared" si="67"/>
        <v>0</v>
      </c>
      <c r="AI117">
        <f t="shared" si="67"/>
        <v>0</v>
      </c>
      <c r="AJ117">
        <f t="shared" si="67"/>
        <v>0</v>
      </c>
      <c r="AK117">
        <f t="shared" si="67"/>
        <v>1</v>
      </c>
      <c r="AL117">
        <f t="shared" si="67"/>
        <v>0</v>
      </c>
      <c r="AM117">
        <f t="shared" si="67"/>
        <v>0</v>
      </c>
      <c r="AN117">
        <f t="shared" si="67"/>
        <v>0</v>
      </c>
      <c r="AO117">
        <f t="shared" si="67"/>
        <v>0</v>
      </c>
      <c r="AP117">
        <f t="shared" si="67"/>
        <v>0</v>
      </c>
      <c r="AQ117">
        <f t="shared" si="67"/>
        <v>0</v>
      </c>
      <c r="AR117">
        <f t="shared" si="67"/>
        <v>0</v>
      </c>
      <c r="AS117">
        <f t="shared" si="67"/>
        <v>0</v>
      </c>
      <c r="AT117">
        <f t="shared" si="67"/>
        <v>0</v>
      </c>
      <c r="AU117">
        <f t="shared" si="67"/>
        <v>0</v>
      </c>
      <c r="AV117">
        <f t="shared" si="69"/>
        <v>0</v>
      </c>
      <c r="AW117">
        <f t="shared" si="69"/>
        <v>0</v>
      </c>
      <c r="AX117">
        <f t="shared" si="69"/>
        <v>0</v>
      </c>
      <c r="AY117">
        <f t="shared" si="69"/>
        <v>0</v>
      </c>
      <c r="AZ117">
        <f t="shared" si="69"/>
        <v>0</v>
      </c>
    </row>
    <row r="118" spans="1:52" x14ac:dyDescent="0.25">
      <c r="A118" t="s">
        <v>41</v>
      </c>
      <c r="B118" s="3">
        <v>43499</v>
      </c>
      <c r="C118" s="1">
        <v>1300.5940643500865</v>
      </c>
      <c r="D118" s="1">
        <v>108.38283869584053</v>
      </c>
      <c r="E118" s="1">
        <f t="shared" si="56"/>
        <v>820.59406435008646</v>
      </c>
      <c r="F118" s="1">
        <f t="shared" si="57"/>
        <v>480</v>
      </c>
      <c r="G118" s="2">
        <v>12</v>
      </c>
      <c r="H118" s="1">
        <v>68.382838695840533</v>
      </c>
      <c r="I118" s="1">
        <v>40</v>
      </c>
      <c r="J118" s="1">
        <f t="shared" si="59"/>
        <v>467261.84831500391</v>
      </c>
      <c r="K118" s="1">
        <f t="shared" si="60"/>
        <v>229809.84831500374</v>
      </c>
      <c r="N118">
        <f t="shared" si="58"/>
        <v>0</v>
      </c>
      <c r="O118">
        <f t="shared" si="58"/>
        <v>0</v>
      </c>
      <c r="P118">
        <f t="shared" si="58"/>
        <v>0</v>
      </c>
      <c r="Q118">
        <f t="shared" si="68"/>
        <v>1</v>
      </c>
      <c r="R118">
        <f t="shared" si="68"/>
        <v>0</v>
      </c>
      <c r="S118">
        <f t="shared" si="68"/>
        <v>0</v>
      </c>
      <c r="T118">
        <f t="shared" si="68"/>
        <v>0</v>
      </c>
      <c r="U118">
        <f t="shared" si="68"/>
        <v>0</v>
      </c>
      <c r="V118">
        <f t="shared" si="68"/>
        <v>0</v>
      </c>
      <c r="W118">
        <f t="shared" si="68"/>
        <v>0</v>
      </c>
      <c r="X118">
        <f t="shared" si="68"/>
        <v>0</v>
      </c>
      <c r="Y118">
        <f t="shared" si="68"/>
        <v>0</v>
      </c>
      <c r="Z118">
        <f t="shared" si="68"/>
        <v>0</v>
      </c>
      <c r="AA118">
        <f t="shared" si="68"/>
        <v>0</v>
      </c>
      <c r="AB118">
        <f t="shared" si="68"/>
        <v>0</v>
      </c>
      <c r="AC118">
        <f t="shared" si="68"/>
        <v>0</v>
      </c>
      <c r="AD118">
        <f t="shared" si="68"/>
        <v>0</v>
      </c>
      <c r="AE118">
        <f t="shared" si="68"/>
        <v>0</v>
      </c>
      <c r="AF118">
        <f t="shared" si="68"/>
        <v>0</v>
      </c>
      <c r="AG118">
        <f t="shared" si="67"/>
        <v>0</v>
      </c>
      <c r="AH118">
        <f t="shared" si="67"/>
        <v>0</v>
      </c>
      <c r="AI118">
        <f t="shared" si="67"/>
        <v>0</v>
      </c>
      <c r="AJ118">
        <f t="shared" si="67"/>
        <v>0</v>
      </c>
      <c r="AK118">
        <f t="shared" si="67"/>
        <v>0</v>
      </c>
      <c r="AL118">
        <f t="shared" si="67"/>
        <v>0</v>
      </c>
      <c r="AM118">
        <f t="shared" si="67"/>
        <v>0</v>
      </c>
      <c r="AN118">
        <f t="shared" si="67"/>
        <v>0</v>
      </c>
      <c r="AO118">
        <f t="shared" si="67"/>
        <v>0</v>
      </c>
      <c r="AP118">
        <f t="shared" si="67"/>
        <v>0</v>
      </c>
      <c r="AQ118">
        <f t="shared" si="67"/>
        <v>0</v>
      </c>
      <c r="AR118">
        <f t="shared" si="67"/>
        <v>0</v>
      </c>
      <c r="AS118">
        <f t="shared" si="67"/>
        <v>0</v>
      </c>
      <c r="AT118">
        <f t="shared" si="67"/>
        <v>0</v>
      </c>
      <c r="AU118">
        <f t="shared" si="67"/>
        <v>0</v>
      </c>
      <c r="AV118">
        <f t="shared" si="69"/>
        <v>0</v>
      </c>
      <c r="AW118">
        <f t="shared" si="69"/>
        <v>0</v>
      </c>
      <c r="AX118">
        <f t="shared" si="69"/>
        <v>0</v>
      </c>
      <c r="AY118">
        <f t="shared" si="69"/>
        <v>0</v>
      </c>
      <c r="AZ118">
        <f t="shared" si="69"/>
        <v>0</v>
      </c>
    </row>
    <row r="119" spans="1:52" x14ac:dyDescent="0.25">
      <c r="A119" t="s">
        <v>30</v>
      </c>
      <c r="B119" s="3">
        <v>43498</v>
      </c>
      <c r="C119" s="1">
        <v>2462.0207728639889</v>
      </c>
      <c r="D119" s="1">
        <v>87.92931331657104</v>
      </c>
      <c r="E119" s="1">
        <f t="shared" si="56"/>
        <v>1622.0207728639894</v>
      </c>
      <c r="F119" s="1">
        <f t="shared" si="57"/>
        <v>840</v>
      </c>
      <c r="G119" s="2">
        <v>28</v>
      </c>
      <c r="H119" s="1">
        <v>57.929313316571047</v>
      </c>
      <c r="I119" s="1">
        <v>30</v>
      </c>
      <c r="J119" s="1">
        <f t="shared" si="59"/>
        <v>469723.8690878679</v>
      </c>
      <c r="K119" s="1">
        <f t="shared" si="60"/>
        <v>231431.86908786773</v>
      </c>
      <c r="N119">
        <f t="shared" si="58"/>
        <v>0</v>
      </c>
      <c r="O119">
        <f t="shared" si="58"/>
        <v>0</v>
      </c>
      <c r="P119">
        <f t="shared" si="58"/>
        <v>0</v>
      </c>
      <c r="Q119">
        <f t="shared" si="68"/>
        <v>0</v>
      </c>
      <c r="R119">
        <f t="shared" si="68"/>
        <v>0</v>
      </c>
      <c r="S119">
        <f t="shared" si="68"/>
        <v>0</v>
      </c>
      <c r="T119">
        <f t="shared" si="68"/>
        <v>0</v>
      </c>
      <c r="U119">
        <f t="shared" si="68"/>
        <v>0</v>
      </c>
      <c r="V119">
        <f t="shared" si="68"/>
        <v>0</v>
      </c>
      <c r="W119">
        <f t="shared" si="68"/>
        <v>0</v>
      </c>
      <c r="X119">
        <f t="shared" si="68"/>
        <v>0</v>
      </c>
      <c r="Y119">
        <f t="shared" si="68"/>
        <v>0</v>
      </c>
      <c r="Z119">
        <f t="shared" si="68"/>
        <v>0</v>
      </c>
      <c r="AA119">
        <f t="shared" si="68"/>
        <v>0</v>
      </c>
      <c r="AB119">
        <f t="shared" si="68"/>
        <v>0</v>
      </c>
      <c r="AC119">
        <f t="shared" si="68"/>
        <v>0</v>
      </c>
      <c r="AD119">
        <f t="shared" si="68"/>
        <v>0</v>
      </c>
      <c r="AE119">
        <f t="shared" si="68"/>
        <v>0</v>
      </c>
      <c r="AF119">
        <f t="shared" si="68"/>
        <v>0</v>
      </c>
      <c r="AG119">
        <f t="shared" si="67"/>
        <v>0</v>
      </c>
      <c r="AH119">
        <f t="shared" si="67"/>
        <v>0</v>
      </c>
      <c r="AI119">
        <f t="shared" si="67"/>
        <v>0</v>
      </c>
      <c r="AJ119">
        <f t="shared" si="67"/>
        <v>0</v>
      </c>
      <c r="AK119">
        <f t="shared" si="67"/>
        <v>0</v>
      </c>
      <c r="AL119">
        <f t="shared" si="67"/>
        <v>0</v>
      </c>
      <c r="AM119">
        <f t="shared" si="67"/>
        <v>0</v>
      </c>
      <c r="AN119">
        <f t="shared" si="67"/>
        <v>0</v>
      </c>
      <c r="AO119">
        <f t="shared" si="67"/>
        <v>0</v>
      </c>
      <c r="AP119">
        <f t="shared" si="67"/>
        <v>0</v>
      </c>
      <c r="AQ119">
        <f t="shared" si="67"/>
        <v>0</v>
      </c>
      <c r="AR119">
        <f t="shared" si="67"/>
        <v>0</v>
      </c>
      <c r="AS119">
        <f t="shared" si="67"/>
        <v>0</v>
      </c>
      <c r="AT119">
        <f t="shared" si="67"/>
        <v>0</v>
      </c>
      <c r="AU119">
        <f t="shared" si="67"/>
        <v>0</v>
      </c>
      <c r="AV119">
        <f t="shared" si="69"/>
        <v>1</v>
      </c>
      <c r="AW119">
        <f t="shared" si="69"/>
        <v>0</v>
      </c>
      <c r="AX119">
        <f t="shared" si="69"/>
        <v>0</v>
      </c>
      <c r="AY119">
        <f t="shared" si="69"/>
        <v>0</v>
      </c>
      <c r="AZ119">
        <f t="shared" si="69"/>
        <v>0</v>
      </c>
    </row>
    <row r="120" spans="1:52" x14ac:dyDescent="0.25">
      <c r="A120" t="s">
        <v>28</v>
      </c>
      <c r="B120" s="3">
        <v>43466</v>
      </c>
      <c r="C120" s="1">
        <v>3426.3612612443781</v>
      </c>
      <c r="D120" s="1">
        <v>148.97222874975557</v>
      </c>
      <c r="E120" s="1">
        <f t="shared" si="56"/>
        <v>1563.3612612443781</v>
      </c>
      <c r="F120" s="1">
        <f t="shared" si="57"/>
        <v>1863</v>
      </c>
      <c r="G120" s="2">
        <v>23</v>
      </c>
      <c r="H120" s="1">
        <v>67.972228749755573</v>
      </c>
      <c r="I120" s="1">
        <v>81</v>
      </c>
      <c r="J120" s="1">
        <f t="shared" si="59"/>
        <v>473150.2303491123</v>
      </c>
      <c r="K120" s="1">
        <f t="shared" si="60"/>
        <v>232995.2303491121</v>
      </c>
      <c r="N120">
        <f t="shared" si="58"/>
        <v>0</v>
      </c>
      <c r="O120">
        <f t="shared" si="58"/>
        <v>0</v>
      </c>
      <c r="P120">
        <f t="shared" si="58"/>
        <v>0</v>
      </c>
      <c r="Q120">
        <f t="shared" si="68"/>
        <v>0</v>
      </c>
      <c r="R120">
        <f t="shared" si="68"/>
        <v>0</v>
      </c>
      <c r="S120">
        <f t="shared" si="68"/>
        <v>0</v>
      </c>
      <c r="T120">
        <f t="shared" si="68"/>
        <v>0</v>
      </c>
      <c r="U120">
        <f t="shared" si="68"/>
        <v>0</v>
      </c>
      <c r="V120">
        <f t="shared" si="68"/>
        <v>0</v>
      </c>
      <c r="W120">
        <f t="shared" si="68"/>
        <v>0</v>
      </c>
      <c r="X120">
        <f t="shared" si="68"/>
        <v>0</v>
      </c>
      <c r="Y120">
        <f t="shared" si="68"/>
        <v>0</v>
      </c>
      <c r="Z120">
        <f t="shared" si="68"/>
        <v>0</v>
      </c>
      <c r="AA120">
        <f t="shared" si="68"/>
        <v>0</v>
      </c>
      <c r="AB120">
        <f t="shared" si="68"/>
        <v>0</v>
      </c>
      <c r="AC120">
        <f t="shared" si="68"/>
        <v>0</v>
      </c>
      <c r="AD120">
        <f t="shared" si="68"/>
        <v>0</v>
      </c>
      <c r="AE120">
        <f t="shared" si="68"/>
        <v>0</v>
      </c>
      <c r="AF120">
        <f t="shared" si="68"/>
        <v>0</v>
      </c>
      <c r="AG120">
        <f t="shared" si="67"/>
        <v>0</v>
      </c>
      <c r="AH120">
        <f t="shared" si="67"/>
        <v>0</v>
      </c>
      <c r="AI120">
        <f t="shared" si="67"/>
        <v>0</v>
      </c>
      <c r="AJ120">
        <f t="shared" si="67"/>
        <v>0</v>
      </c>
      <c r="AK120">
        <f t="shared" si="67"/>
        <v>0</v>
      </c>
      <c r="AL120">
        <f t="shared" si="67"/>
        <v>0</v>
      </c>
      <c r="AM120">
        <f t="shared" si="67"/>
        <v>0</v>
      </c>
      <c r="AN120">
        <f t="shared" si="67"/>
        <v>0</v>
      </c>
      <c r="AO120">
        <f t="shared" si="67"/>
        <v>0</v>
      </c>
      <c r="AP120">
        <f t="shared" si="67"/>
        <v>0</v>
      </c>
      <c r="AQ120">
        <f t="shared" si="67"/>
        <v>0</v>
      </c>
      <c r="AR120">
        <f t="shared" si="67"/>
        <v>0</v>
      </c>
      <c r="AS120">
        <f t="shared" si="67"/>
        <v>0</v>
      </c>
      <c r="AT120">
        <f t="shared" si="67"/>
        <v>1</v>
      </c>
      <c r="AU120">
        <f t="shared" si="67"/>
        <v>0</v>
      </c>
      <c r="AV120">
        <f t="shared" si="69"/>
        <v>0</v>
      </c>
      <c r="AW120">
        <f t="shared" si="69"/>
        <v>0</v>
      </c>
      <c r="AX120">
        <f t="shared" si="69"/>
        <v>0</v>
      </c>
      <c r="AY120">
        <f t="shared" si="69"/>
        <v>0</v>
      </c>
      <c r="AZ120">
        <f t="shared" si="69"/>
        <v>0</v>
      </c>
    </row>
    <row r="121" spans="1:52" x14ac:dyDescent="0.25">
      <c r="A121" t="s">
        <v>34</v>
      </c>
      <c r="B121" s="3">
        <v>43463</v>
      </c>
      <c r="C121" s="1">
        <v>700.71371921657953</v>
      </c>
      <c r="D121" s="1">
        <v>116.78561986942992</v>
      </c>
      <c r="E121" s="1">
        <f t="shared" si="56"/>
        <v>280.71371921657959</v>
      </c>
      <c r="F121" s="1">
        <f t="shared" si="57"/>
        <v>420</v>
      </c>
      <c r="G121" s="2">
        <v>6</v>
      </c>
      <c r="H121" s="1">
        <v>46.785619869429929</v>
      </c>
      <c r="I121" s="1">
        <v>70</v>
      </c>
      <c r="J121" s="1">
        <f t="shared" si="59"/>
        <v>473850.94406832888</v>
      </c>
      <c r="K121" s="1">
        <f t="shared" si="60"/>
        <v>233275.94406832868</v>
      </c>
      <c r="N121">
        <f t="shared" si="58"/>
        <v>0</v>
      </c>
      <c r="O121">
        <f t="shared" si="58"/>
        <v>0</v>
      </c>
      <c r="P121">
        <f t="shared" si="58"/>
        <v>0</v>
      </c>
      <c r="Q121">
        <f t="shared" si="68"/>
        <v>0</v>
      </c>
      <c r="R121">
        <f t="shared" si="68"/>
        <v>0</v>
      </c>
      <c r="S121">
        <f t="shared" si="68"/>
        <v>0</v>
      </c>
      <c r="T121">
        <f t="shared" si="68"/>
        <v>0</v>
      </c>
      <c r="U121">
        <f t="shared" si="68"/>
        <v>0</v>
      </c>
      <c r="V121">
        <f t="shared" si="68"/>
        <v>0</v>
      </c>
      <c r="W121">
        <f t="shared" si="68"/>
        <v>0</v>
      </c>
      <c r="X121">
        <f t="shared" si="68"/>
        <v>0</v>
      </c>
      <c r="Y121">
        <f t="shared" si="68"/>
        <v>0</v>
      </c>
      <c r="Z121">
        <f t="shared" si="68"/>
        <v>0</v>
      </c>
      <c r="AA121">
        <f t="shared" si="68"/>
        <v>0</v>
      </c>
      <c r="AB121">
        <f t="shared" si="68"/>
        <v>0</v>
      </c>
      <c r="AC121">
        <f t="shared" si="68"/>
        <v>0</v>
      </c>
      <c r="AD121">
        <f t="shared" si="68"/>
        <v>0</v>
      </c>
      <c r="AE121">
        <f t="shared" si="68"/>
        <v>0</v>
      </c>
      <c r="AF121">
        <f t="shared" si="68"/>
        <v>1</v>
      </c>
      <c r="AG121">
        <f t="shared" si="67"/>
        <v>0</v>
      </c>
      <c r="AH121">
        <f t="shared" si="67"/>
        <v>0</v>
      </c>
      <c r="AI121">
        <f t="shared" si="67"/>
        <v>0</v>
      </c>
      <c r="AJ121">
        <f t="shared" si="67"/>
        <v>0</v>
      </c>
      <c r="AK121">
        <f t="shared" si="67"/>
        <v>0</v>
      </c>
      <c r="AL121">
        <f t="shared" si="67"/>
        <v>0</v>
      </c>
      <c r="AM121">
        <f t="shared" si="67"/>
        <v>0</v>
      </c>
      <c r="AN121">
        <f t="shared" si="67"/>
        <v>0</v>
      </c>
      <c r="AO121">
        <f t="shared" si="67"/>
        <v>0</v>
      </c>
      <c r="AP121">
        <f t="shared" si="67"/>
        <v>0</v>
      </c>
      <c r="AQ121">
        <f t="shared" si="67"/>
        <v>0</v>
      </c>
      <c r="AR121">
        <f t="shared" si="67"/>
        <v>0</v>
      </c>
      <c r="AS121">
        <f t="shared" si="67"/>
        <v>0</v>
      </c>
      <c r="AT121">
        <f t="shared" si="67"/>
        <v>0</v>
      </c>
      <c r="AU121">
        <f t="shared" si="67"/>
        <v>0</v>
      </c>
      <c r="AV121">
        <f t="shared" si="69"/>
        <v>0</v>
      </c>
      <c r="AW121">
        <f t="shared" si="69"/>
        <v>0</v>
      </c>
      <c r="AX121">
        <f t="shared" si="69"/>
        <v>0</v>
      </c>
      <c r="AY121">
        <f t="shared" si="69"/>
        <v>0</v>
      </c>
      <c r="AZ121">
        <f t="shared" si="69"/>
        <v>0</v>
      </c>
    </row>
    <row r="122" spans="1:52" x14ac:dyDescent="0.25">
      <c r="A122" t="s">
        <v>41</v>
      </c>
      <c r="B122" s="3">
        <v>43434</v>
      </c>
      <c r="C122" s="1">
        <v>5257.3957015789138</v>
      </c>
      <c r="D122" s="1">
        <v>73.01938474415158</v>
      </c>
      <c r="E122" s="1">
        <f t="shared" si="56"/>
        <v>3241.3957015789133</v>
      </c>
      <c r="F122" s="1">
        <f t="shared" si="57"/>
        <v>2016</v>
      </c>
      <c r="G122" s="2">
        <v>72</v>
      </c>
      <c r="H122" s="1">
        <v>45.019384744151573</v>
      </c>
      <c r="I122" s="1">
        <v>28</v>
      </c>
      <c r="J122" s="1">
        <f t="shared" si="59"/>
        <v>479108.33976990782</v>
      </c>
      <c r="K122" s="1">
        <f t="shared" si="60"/>
        <v>236517.33976990759</v>
      </c>
      <c r="N122">
        <f t="shared" si="58"/>
        <v>0</v>
      </c>
      <c r="O122">
        <f t="shared" si="58"/>
        <v>0</v>
      </c>
      <c r="P122">
        <f t="shared" si="58"/>
        <v>0</v>
      </c>
      <c r="Q122">
        <f t="shared" si="68"/>
        <v>1</v>
      </c>
      <c r="R122">
        <f t="shared" si="68"/>
        <v>0</v>
      </c>
      <c r="S122">
        <f t="shared" si="68"/>
        <v>0</v>
      </c>
      <c r="T122">
        <f t="shared" si="68"/>
        <v>0</v>
      </c>
      <c r="U122">
        <f t="shared" si="68"/>
        <v>0</v>
      </c>
      <c r="V122">
        <f t="shared" si="68"/>
        <v>0</v>
      </c>
      <c r="W122">
        <f t="shared" si="68"/>
        <v>0</v>
      </c>
      <c r="X122">
        <f t="shared" si="68"/>
        <v>0</v>
      </c>
      <c r="Y122">
        <f t="shared" si="68"/>
        <v>0</v>
      </c>
      <c r="Z122">
        <f t="shared" si="68"/>
        <v>0</v>
      </c>
      <c r="AA122">
        <f t="shared" si="68"/>
        <v>0</v>
      </c>
      <c r="AB122">
        <f t="shared" si="68"/>
        <v>0</v>
      </c>
      <c r="AC122">
        <f t="shared" si="68"/>
        <v>0</v>
      </c>
      <c r="AD122">
        <f t="shared" si="68"/>
        <v>0</v>
      </c>
      <c r="AE122">
        <f t="shared" si="68"/>
        <v>0</v>
      </c>
      <c r="AF122">
        <f t="shared" si="68"/>
        <v>0</v>
      </c>
      <c r="AG122">
        <f t="shared" si="67"/>
        <v>0</v>
      </c>
      <c r="AH122">
        <f t="shared" si="67"/>
        <v>0</v>
      </c>
      <c r="AI122">
        <f t="shared" si="67"/>
        <v>0</v>
      </c>
      <c r="AJ122">
        <f t="shared" si="67"/>
        <v>0</v>
      </c>
      <c r="AK122">
        <f t="shared" si="67"/>
        <v>0</v>
      </c>
      <c r="AL122">
        <f t="shared" si="67"/>
        <v>0</v>
      </c>
      <c r="AM122">
        <f t="shared" si="67"/>
        <v>0</v>
      </c>
      <c r="AN122">
        <f t="shared" si="67"/>
        <v>0</v>
      </c>
      <c r="AO122">
        <f t="shared" si="67"/>
        <v>0</v>
      </c>
      <c r="AP122">
        <f t="shared" si="67"/>
        <v>0</v>
      </c>
      <c r="AQ122">
        <f t="shared" si="67"/>
        <v>0</v>
      </c>
      <c r="AR122">
        <f t="shared" si="67"/>
        <v>0</v>
      </c>
      <c r="AS122">
        <f t="shared" si="67"/>
        <v>0</v>
      </c>
      <c r="AT122">
        <f t="shared" si="67"/>
        <v>0</v>
      </c>
      <c r="AU122">
        <f t="shared" si="67"/>
        <v>0</v>
      </c>
      <c r="AV122">
        <f t="shared" si="69"/>
        <v>0</v>
      </c>
      <c r="AW122">
        <f t="shared" si="69"/>
        <v>0</v>
      </c>
      <c r="AX122">
        <f t="shared" si="69"/>
        <v>0</v>
      </c>
      <c r="AY122">
        <f t="shared" si="69"/>
        <v>0</v>
      </c>
      <c r="AZ122">
        <f t="shared" si="69"/>
        <v>0</v>
      </c>
    </row>
    <row r="123" spans="1:52" x14ac:dyDescent="0.25">
      <c r="A123" t="s">
        <v>18</v>
      </c>
      <c r="B123" s="3">
        <v>43422</v>
      </c>
      <c r="C123" s="1">
        <v>392.5409800399384</v>
      </c>
      <c r="D123" s="1">
        <v>78.508196007987678</v>
      </c>
      <c r="E123" s="1">
        <f t="shared" si="56"/>
        <v>247.5409800399384</v>
      </c>
      <c r="F123" s="1">
        <f t="shared" si="57"/>
        <v>145</v>
      </c>
      <c r="G123" s="2">
        <v>5</v>
      </c>
      <c r="H123" s="1">
        <v>49.508196007987678</v>
      </c>
      <c r="I123" s="1">
        <v>29</v>
      </c>
      <c r="J123" s="1">
        <f t="shared" si="59"/>
        <v>479500.88074994774</v>
      </c>
      <c r="K123" s="1">
        <f t="shared" si="60"/>
        <v>236764.88074994754</v>
      </c>
      <c r="N123">
        <f t="shared" si="58"/>
        <v>0</v>
      </c>
      <c r="O123">
        <f t="shared" si="58"/>
        <v>0</v>
      </c>
      <c r="P123">
        <f t="shared" si="58"/>
        <v>0</v>
      </c>
      <c r="Q123">
        <f t="shared" si="68"/>
        <v>0</v>
      </c>
      <c r="R123">
        <f t="shared" si="68"/>
        <v>0</v>
      </c>
      <c r="S123">
        <f t="shared" si="68"/>
        <v>0</v>
      </c>
      <c r="T123">
        <f t="shared" si="68"/>
        <v>0</v>
      </c>
      <c r="U123">
        <f t="shared" si="68"/>
        <v>1</v>
      </c>
      <c r="V123">
        <f t="shared" si="68"/>
        <v>0</v>
      </c>
      <c r="W123">
        <f t="shared" si="68"/>
        <v>0</v>
      </c>
      <c r="X123">
        <f t="shared" si="68"/>
        <v>0</v>
      </c>
      <c r="Y123">
        <f t="shared" si="68"/>
        <v>0</v>
      </c>
      <c r="Z123">
        <f t="shared" si="68"/>
        <v>0</v>
      </c>
      <c r="AA123">
        <f t="shared" si="68"/>
        <v>0</v>
      </c>
      <c r="AB123">
        <f t="shared" si="68"/>
        <v>0</v>
      </c>
      <c r="AC123">
        <f t="shared" si="68"/>
        <v>0</v>
      </c>
      <c r="AD123">
        <f t="shared" si="68"/>
        <v>0</v>
      </c>
      <c r="AE123">
        <f t="shared" si="68"/>
        <v>0</v>
      </c>
      <c r="AF123">
        <f t="shared" si="68"/>
        <v>0</v>
      </c>
      <c r="AG123">
        <f t="shared" si="67"/>
        <v>0</v>
      </c>
      <c r="AH123">
        <f t="shared" si="67"/>
        <v>0</v>
      </c>
      <c r="AI123">
        <f t="shared" si="67"/>
        <v>0</v>
      </c>
      <c r="AJ123">
        <f t="shared" si="67"/>
        <v>0</v>
      </c>
      <c r="AK123">
        <f t="shared" si="67"/>
        <v>0</v>
      </c>
      <c r="AL123">
        <f t="shared" si="67"/>
        <v>0</v>
      </c>
      <c r="AM123">
        <f t="shared" si="67"/>
        <v>0</v>
      </c>
      <c r="AN123">
        <f t="shared" si="67"/>
        <v>0</v>
      </c>
      <c r="AO123">
        <f t="shared" si="67"/>
        <v>0</v>
      </c>
      <c r="AP123">
        <f t="shared" si="67"/>
        <v>0</v>
      </c>
      <c r="AQ123">
        <f t="shared" si="67"/>
        <v>0</v>
      </c>
      <c r="AR123">
        <f t="shared" si="67"/>
        <v>0</v>
      </c>
      <c r="AS123">
        <f t="shared" si="67"/>
        <v>0</v>
      </c>
      <c r="AT123">
        <f t="shared" si="67"/>
        <v>0</v>
      </c>
      <c r="AU123">
        <f t="shared" si="67"/>
        <v>0</v>
      </c>
      <c r="AV123">
        <f t="shared" si="69"/>
        <v>0</v>
      </c>
      <c r="AW123">
        <f t="shared" si="69"/>
        <v>0</v>
      </c>
      <c r="AX123">
        <f t="shared" si="69"/>
        <v>0</v>
      </c>
      <c r="AY123">
        <f t="shared" si="69"/>
        <v>0</v>
      </c>
      <c r="AZ123">
        <f t="shared" si="69"/>
        <v>0</v>
      </c>
    </row>
    <row r="124" spans="1:52" x14ac:dyDescent="0.25">
      <c r="A124" t="s">
        <v>39</v>
      </c>
      <c r="B124" s="3">
        <v>43420</v>
      </c>
      <c r="C124" s="1">
        <v>1874.6169731935945</v>
      </c>
      <c r="D124" s="1">
        <v>93.730848659679722</v>
      </c>
      <c r="E124" s="1">
        <f t="shared" si="56"/>
        <v>754.6169731935945</v>
      </c>
      <c r="F124" s="1">
        <f t="shared" si="57"/>
        <v>1120</v>
      </c>
      <c r="G124" s="2">
        <v>20</v>
      </c>
      <c r="H124" s="1">
        <v>37.730848659679722</v>
      </c>
      <c r="I124" s="1">
        <v>56</v>
      </c>
      <c r="J124" s="1">
        <f t="shared" si="59"/>
        <v>481375.49772314134</v>
      </c>
      <c r="K124" s="1">
        <f t="shared" si="60"/>
        <v>237519.49772314113</v>
      </c>
      <c r="N124">
        <f t="shared" si="58"/>
        <v>0</v>
      </c>
      <c r="O124">
        <f t="shared" si="58"/>
        <v>0</v>
      </c>
      <c r="P124">
        <f t="shared" si="58"/>
        <v>0</v>
      </c>
      <c r="Q124">
        <f t="shared" si="68"/>
        <v>0</v>
      </c>
      <c r="R124">
        <f t="shared" si="68"/>
        <v>0</v>
      </c>
      <c r="S124">
        <f t="shared" si="68"/>
        <v>0</v>
      </c>
      <c r="T124">
        <f t="shared" si="68"/>
        <v>0</v>
      </c>
      <c r="U124">
        <f t="shared" si="68"/>
        <v>0</v>
      </c>
      <c r="V124">
        <f t="shared" si="68"/>
        <v>0</v>
      </c>
      <c r="W124">
        <f t="shared" si="68"/>
        <v>0</v>
      </c>
      <c r="X124">
        <f t="shared" si="68"/>
        <v>0</v>
      </c>
      <c r="Y124">
        <f t="shared" si="68"/>
        <v>1</v>
      </c>
      <c r="Z124">
        <f t="shared" si="68"/>
        <v>0</v>
      </c>
      <c r="AA124">
        <f t="shared" si="68"/>
        <v>0</v>
      </c>
      <c r="AB124">
        <f t="shared" si="68"/>
        <v>0</v>
      </c>
      <c r="AC124">
        <f t="shared" si="68"/>
        <v>0</v>
      </c>
      <c r="AD124">
        <f t="shared" si="68"/>
        <v>0</v>
      </c>
      <c r="AE124">
        <f t="shared" si="68"/>
        <v>0</v>
      </c>
      <c r="AF124">
        <f t="shared" si="68"/>
        <v>0</v>
      </c>
      <c r="AG124">
        <f t="shared" si="67"/>
        <v>0</v>
      </c>
      <c r="AH124">
        <f t="shared" si="67"/>
        <v>0</v>
      </c>
      <c r="AI124">
        <f t="shared" si="67"/>
        <v>0</v>
      </c>
      <c r="AJ124">
        <f t="shared" si="67"/>
        <v>0</v>
      </c>
      <c r="AK124">
        <f t="shared" si="67"/>
        <v>0</v>
      </c>
      <c r="AL124">
        <f t="shared" si="67"/>
        <v>0</v>
      </c>
      <c r="AM124">
        <f t="shared" si="67"/>
        <v>0</v>
      </c>
      <c r="AN124">
        <f t="shared" si="67"/>
        <v>0</v>
      </c>
      <c r="AO124">
        <f t="shared" si="67"/>
        <v>0</v>
      </c>
      <c r="AP124">
        <f t="shared" si="67"/>
        <v>0</v>
      </c>
      <c r="AQ124">
        <f t="shared" si="67"/>
        <v>0</v>
      </c>
      <c r="AR124">
        <f t="shared" si="67"/>
        <v>0</v>
      </c>
      <c r="AS124">
        <f t="shared" si="67"/>
        <v>0</v>
      </c>
      <c r="AT124">
        <f t="shared" si="67"/>
        <v>0</v>
      </c>
      <c r="AU124">
        <f t="shared" si="67"/>
        <v>0</v>
      </c>
      <c r="AV124">
        <f t="shared" si="69"/>
        <v>0</v>
      </c>
      <c r="AW124">
        <f t="shared" si="69"/>
        <v>0</v>
      </c>
      <c r="AX124">
        <f t="shared" si="69"/>
        <v>0</v>
      </c>
      <c r="AY124">
        <f t="shared" si="69"/>
        <v>0</v>
      </c>
      <c r="AZ124">
        <f t="shared" si="69"/>
        <v>0</v>
      </c>
    </row>
    <row r="125" spans="1:52" x14ac:dyDescent="0.25">
      <c r="A125" t="s">
        <v>25</v>
      </c>
      <c r="B125" s="3">
        <v>43419</v>
      </c>
      <c r="C125" s="1">
        <v>1577.5780766739947</v>
      </c>
      <c r="D125" s="1">
        <v>65.732419861416446</v>
      </c>
      <c r="E125" s="1">
        <f t="shared" si="56"/>
        <v>713.57807667399459</v>
      </c>
      <c r="F125" s="1">
        <f t="shared" si="57"/>
        <v>864</v>
      </c>
      <c r="G125" s="2">
        <v>24</v>
      </c>
      <c r="H125" s="1">
        <v>29.732419861416442</v>
      </c>
      <c r="I125" s="1">
        <v>36</v>
      </c>
      <c r="J125" s="1">
        <f t="shared" si="59"/>
        <v>482953.07579981536</v>
      </c>
      <c r="K125" s="1">
        <f t="shared" si="60"/>
        <v>238233.07579981512</v>
      </c>
      <c r="N125">
        <f t="shared" si="58"/>
        <v>0</v>
      </c>
      <c r="O125">
        <f t="shared" si="58"/>
        <v>0</v>
      </c>
      <c r="P125">
        <f t="shared" si="58"/>
        <v>0</v>
      </c>
      <c r="Q125">
        <f t="shared" si="68"/>
        <v>0</v>
      </c>
      <c r="R125">
        <f t="shared" si="68"/>
        <v>0</v>
      </c>
      <c r="S125">
        <f t="shared" si="68"/>
        <v>1</v>
      </c>
      <c r="T125">
        <f t="shared" si="68"/>
        <v>0</v>
      </c>
      <c r="U125">
        <f t="shared" si="68"/>
        <v>0</v>
      </c>
      <c r="V125">
        <f t="shared" si="68"/>
        <v>0</v>
      </c>
      <c r="W125">
        <f t="shared" si="68"/>
        <v>0</v>
      </c>
      <c r="X125">
        <f t="shared" si="68"/>
        <v>0</v>
      </c>
      <c r="Y125">
        <f t="shared" si="68"/>
        <v>0</v>
      </c>
      <c r="Z125">
        <f t="shared" si="68"/>
        <v>0</v>
      </c>
      <c r="AA125">
        <f t="shared" si="68"/>
        <v>0</v>
      </c>
      <c r="AB125">
        <f t="shared" si="68"/>
        <v>0</v>
      </c>
      <c r="AC125">
        <f t="shared" si="68"/>
        <v>0</v>
      </c>
      <c r="AD125">
        <f t="shared" si="68"/>
        <v>0</v>
      </c>
      <c r="AE125">
        <f t="shared" si="68"/>
        <v>0</v>
      </c>
      <c r="AF125">
        <f t="shared" si="68"/>
        <v>0</v>
      </c>
      <c r="AG125">
        <f t="shared" si="67"/>
        <v>0</v>
      </c>
      <c r="AH125">
        <f t="shared" si="67"/>
        <v>0</v>
      </c>
      <c r="AI125">
        <f t="shared" si="67"/>
        <v>0</v>
      </c>
      <c r="AJ125">
        <f t="shared" si="67"/>
        <v>0</v>
      </c>
      <c r="AK125">
        <f t="shared" si="67"/>
        <v>0</v>
      </c>
      <c r="AL125">
        <f t="shared" si="67"/>
        <v>0</v>
      </c>
      <c r="AM125">
        <f t="shared" si="67"/>
        <v>0</v>
      </c>
      <c r="AN125">
        <f t="shared" si="67"/>
        <v>0</v>
      </c>
      <c r="AO125">
        <f t="shared" si="67"/>
        <v>0</v>
      </c>
      <c r="AP125">
        <f t="shared" si="67"/>
        <v>0</v>
      </c>
      <c r="AQ125">
        <f t="shared" si="67"/>
        <v>0</v>
      </c>
      <c r="AR125">
        <f t="shared" si="67"/>
        <v>0</v>
      </c>
      <c r="AS125">
        <f t="shared" si="67"/>
        <v>0</v>
      </c>
      <c r="AT125">
        <f t="shared" si="67"/>
        <v>0</v>
      </c>
      <c r="AU125">
        <f t="shared" si="67"/>
        <v>0</v>
      </c>
      <c r="AV125">
        <f t="shared" si="69"/>
        <v>0</v>
      </c>
      <c r="AW125">
        <f t="shared" si="69"/>
        <v>0</v>
      </c>
      <c r="AX125">
        <f t="shared" si="69"/>
        <v>0</v>
      </c>
      <c r="AY125">
        <f t="shared" si="69"/>
        <v>0</v>
      </c>
      <c r="AZ125">
        <f t="shared" si="69"/>
        <v>0</v>
      </c>
    </row>
    <row r="126" spans="1:52" x14ac:dyDescent="0.25">
      <c r="A126" t="s">
        <v>32</v>
      </c>
      <c r="B126" s="3">
        <v>43417</v>
      </c>
      <c r="C126" s="1">
        <v>5512.3920845569683</v>
      </c>
      <c r="D126" s="1">
        <v>112.49779764401976</v>
      </c>
      <c r="E126" s="1">
        <f t="shared" si="56"/>
        <v>2229.3920845569678</v>
      </c>
      <c r="F126" s="1">
        <f t="shared" si="57"/>
        <v>3283</v>
      </c>
      <c r="G126" s="2">
        <v>49</v>
      </c>
      <c r="H126" s="1">
        <v>45.497797644019755</v>
      </c>
      <c r="I126" s="1">
        <v>67</v>
      </c>
      <c r="J126" s="1">
        <f t="shared" si="59"/>
        <v>488465.46788437234</v>
      </c>
      <c r="K126" s="1">
        <f t="shared" si="60"/>
        <v>240462.4678843721</v>
      </c>
      <c r="N126">
        <f t="shared" si="58"/>
        <v>0</v>
      </c>
      <c r="O126">
        <f t="shared" si="58"/>
        <v>0</v>
      </c>
      <c r="P126">
        <f t="shared" si="58"/>
        <v>0</v>
      </c>
      <c r="Q126">
        <f t="shared" si="68"/>
        <v>0</v>
      </c>
      <c r="R126">
        <f t="shared" si="68"/>
        <v>0</v>
      </c>
      <c r="S126">
        <f t="shared" si="68"/>
        <v>0</v>
      </c>
      <c r="T126">
        <f t="shared" si="68"/>
        <v>0</v>
      </c>
      <c r="U126">
        <f t="shared" si="68"/>
        <v>0</v>
      </c>
      <c r="V126">
        <f t="shared" si="68"/>
        <v>0</v>
      </c>
      <c r="W126">
        <f t="shared" si="68"/>
        <v>0</v>
      </c>
      <c r="X126">
        <f t="shared" si="68"/>
        <v>0</v>
      </c>
      <c r="Y126">
        <f t="shared" si="68"/>
        <v>0</v>
      </c>
      <c r="Z126">
        <f t="shared" si="68"/>
        <v>0</v>
      </c>
      <c r="AA126">
        <f t="shared" si="68"/>
        <v>0</v>
      </c>
      <c r="AB126">
        <f t="shared" si="68"/>
        <v>0</v>
      </c>
      <c r="AC126">
        <f t="shared" si="68"/>
        <v>0</v>
      </c>
      <c r="AD126">
        <f t="shared" si="68"/>
        <v>0</v>
      </c>
      <c r="AE126">
        <f t="shared" si="68"/>
        <v>0</v>
      </c>
      <c r="AF126">
        <f t="shared" si="68"/>
        <v>0</v>
      </c>
      <c r="AG126">
        <f t="shared" si="67"/>
        <v>0</v>
      </c>
      <c r="AH126">
        <f t="shared" si="67"/>
        <v>1</v>
      </c>
      <c r="AI126">
        <f t="shared" si="67"/>
        <v>0</v>
      </c>
      <c r="AJ126">
        <f t="shared" si="67"/>
        <v>0</v>
      </c>
      <c r="AK126">
        <f t="shared" si="67"/>
        <v>0</v>
      </c>
      <c r="AL126">
        <f t="shared" si="67"/>
        <v>0</v>
      </c>
      <c r="AM126">
        <f t="shared" si="67"/>
        <v>0</v>
      </c>
      <c r="AN126">
        <f t="shared" si="67"/>
        <v>0</v>
      </c>
      <c r="AO126">
        <f t="shared" si="67"/>
        <v>0</v>
      </c>
      <c r="AP126">
        <f t="shared" si="67"/>
        <v>0</v>
      </c>
      <c r="AQ126">
        <f t="shared" si="67"/>
        <v>0</v>
      </c>
      <c r="AR126">
        <f t="shared" si="67"/>
        <v>0</v>
      </c>
      <c r="AS126">
        <f t="shared" si="67"/>
        <v>0</v>
      </c>
      <c r="AT126">
        <f t="shared" si="67"/>
        <v>0</v>
      </c>
      <c r="AU126">
        <f t="shared" si="67"/>
        <v>0</v>
      </c>
      <c r="AV126">
        <f t="shared" si="69"/>
        <v>0</v>
      </c>
      <c r="AW126">
        <f t="shared" si="69"/>
        <v>0</v>
      </c>
      <c r="AX126">
        <f t="shared" si="69"/>
        <v>0</v>
      </c>
      <c r="AY126">
        <f t="shared" si="69"/>
        <v>0</v>
      </c>
      <c r="AZ126">
        <f t="shared" si="69"/>
        <v>0</v>
      </c>
    </row>
    <row r="127" spans="1:52" x14ac:dyDescent="0.25">
      <c r="A127" t="s">
        <v>25</v>
      </c>
      <c r="B127" s="3">
        <v>43388</v>
      </c>
      <c r="C127" s="1">
        <v>7775.4113915813705</v>
      </c>
      <c r="D127" s="1">
        <v>73.352937656428026</v>
      </c>
      <c r="E127" s="1">
        <f t="shared" si="56"/>
        <v>4065.41139158137</v>
      </c>
      <c r="F127" s="1">
        <f t="shared" si="57"/>
        <v>3710</v>
      </c>
      <c r="G127" s="2">
        <v>106</v>
      </c>
      <c r="H127" s="1">
        <v>38.352937656428018</v>
      </c>
      <c r="I127" s="1">
        <v>35</v>
      </c>
      <c r="J127" s="1">
        <f t="shared" si="59"/>
        <v>496240.87927595369</v>
      </c>
      <c r="K127" s="1">
        <f t="shared" si="60"/>
        <v>244527.87927595348</v>
      </c>
      <c r="N127">
        <f t="shared" si="58"/>
        <v>0</v>
      </c>
      <c r="O127">
        <f t="shared" si="58"/>
        <v>0</v>
      </c>
      <c r="P127">
        <f t="shared" si="58"/>
        <v>0</v>
      </c>
      <c r="Q127">
        <f t="shared" si="68"/>
        <v>0</v>
      </c>
      <c r="R127">
        <f t="shared" si="68"/>
        <v>0</v>
      </c>
      <c r="S127">
        <f t="shared" si="68"/>
        <v>1</v>
      </c>
      <c r="T127">
        <f t="shared" si="68"/>
        <v>0</v>
      </c>
      <c r="U127">
        <f t="shared" si="68"/>
        <v>0</v>
      </c>
      <c r="V127">
        <f t="shared" si="68"/>
        <v>0</v>
      </c>
      <c r="W127">
        <f t="shared" si="68"/>
        <v>0</v>
      </c>
      <c r="X127">
        <f t="shared" si="68"/>
        <v>0</v>
      </c>
      <c r="Y127">
        <f t="shared" si="68"/>
        <v>0</v>
      </c>
      <c r="Z127">
        <f t="shared" si="68"/>
        <v>0</v>
      </c>
      <c r="AA127">
        <f t="shared" si="68"/>
        <v>0</v>
      </c>
      <c r="AB127">
        <f t="shared" si="68"/>
        <v>0</v>
      </c>
      <c r="AC127">
        <f t="shared" si="68"/>
        <v>0</v>
      </c>
      <c r="AD127">
        <f t="shared" si="68"/>
        <v>0</v>
      </c>
      <c r="AE127">
        <f t="shared" si="68"/>
        <v>0</v>
      </c>
      <c r="AF127">
        <f t="shared" ref="AF127:AU142" si="70">+IF(AF$5=$A127,1,0)</f>
        <v>0</v>
      </c>
      <c r="AG127">
        <f t="shared" si="70"/>
        <v>0</v>
      </c>
      <c r="AH127">
        <f t="shared" si="70"/>
        <v>0</v>
      </c>
      <c r="AI127">
        <f t="shared" si="70"/>
        <v>0</v>
      </c>
      <c r="AJ127">
        <f t="shared" si="70"/>
        <v>0</v>
      </c>
      <c r="AK127">
        <f t="shared" si="70"/>
        <v>0</v>
      </c>
      <c r="AL127">
        <f t="shared" si="70"/>
        <v>0</v>
      </c>
      <c r="AM127">
        <f t="shared" si="70"/>
        <v>0</v>
      </c>
      <c r="AN127">
        <f t="shared" si="70"/>
        <v>0</v>
      </c>
      <c r="AO127">
        <f t="shared" si="70"/>
        <v>0</v>
      </c>
      <c r="AP127">
        <f t="shared" si="70"/>
        <v>0</v>
      </c>
      <c r="AQ127">
        <f t="shared" si="70"/>
        <v>0</v>
      </c>
      <c r="AR127">
        <f t="shared" si="70"/>
        <v>0</v>
      </c>
      <c r="AS127">
        <f t="shared" si="70"/>
        <v>0</v>
      </c>
      <c r="AT127">
        <f t="shared" si="70"/>
        <v>0</v>
      </c>
      <c r="AU127">
        <f t="shared" si="70"/>
        <v>0</v>
      </c>
      <c r="AV127">
        <f t="shared" si="69"/>
        <v>0</v>
      </c>
      <c r="AW127">
        <f t="shared" si="69"/>
        <v>0</v>
      </c>
      <c r="AX127">
        <f t="shared" si="69"/>
        <v>0</v>
      </c>
      <c r="AY127">
        <f t="shared" si="69"/>
        <v>0</v>
      </c>
      <c r="AZ127">
        <f t="shared" si="69"/>
        <v>0</v>
      </c>
    </row>
    <row r="128" spans="1:52" x14ac:dyDescent="0.25">
      <c r="A128" t="s">
        <v>14</v>
      </c>
      <c r="B128" s="3">
        <v>43382</v>
      </c>
      <c r="C128" s="1">
        <v>596.95161546955455</v>
      </c>
      <c r="D128" s="1">
        <v>39.796774364636967</v>
      </c>
      <c r="E128" s="1">
        <f t="shared" si="56"/>
        <v>311.9516154695545</v>
      </c>
      <c r="F128" s="1">
        <f t="shared" si="57"/>
        <v>285</v>
      </c>
      <c r="G128" s="2">
        <v>15</v>
      </c>
      <c r="H128" s="1">
        <v>20.796774364636967</v>
      </c>
      <c r="I128" s="1">
        <v>19</v>
      </c>
      <c r="J128" s="1">
        <f t="shared" si="59"/>
        <v>496837.83089142322</v>
      </c>
      <c r="K128" s="1">
        <f t="shared" si="60"/>
        <v>244839.83089142304</v>
      </c>
      <c r="N128">
        <f t="shared" si="58"/>
        <v>0</v>
      </c>
      <c r="O128">
        <f t="shared" si="58"/>
        <v>0</v>
      </c>
      <c r="P128">
        <f t="shared" si="58"/>
        <v>0</v>
      </c>
      <c r="Q128">
        <f t="shared" ref="Q128:AF143" si="71">+IF(Q$5=$A128,1,0)</f>
        <v>0</v>
      </c>
      <c r="R128">
        <f t="shared" si="71"/>
        <v>0</v>
      </c>
      <c r="S128">
        <f t="shared" si="71"/>
        <v>0</v>
      </c>
      <c r="T128">
        <f t="shared" si="71"/>
        <v>0</v>
      </c>
      <c r="U128">
        <f t="shared" si="71"/>
        <v>0</v>
      </c>
      <c r="V128">
        <f t="shared" si="71"/>
        <v>0</v>
      </c>
      <c r="W128">
        <f t="shared" si="71"/>
        <v>0</v>
      </c>
      <c r="X128">
        <f t="shared" si="71"/>
        <v>0</v>
      </c>
      <c r="Y128">
        <f t="shared" si="71"/>
        <v>0</v>
      </c>
      <c r="Z128">
        <f t="shared" si="71"/>
        <v>0</v>
      </c>
      <c r="AA128">
        <f t="shared" si="71"/>
        <v>0</v>
      </c>
      <c r="AB128">
        <f t="shared" si="71"/>
        <v>0</v>
      </c>
      <c r="AC128">
        <f t="shared" si="71"/>
        <v>0</v>
      </c>
      <c r="AD128">
        <f t="shared" si="71"/>
        <v>0</v>
      </c>
      <c r="AE128">
        <f t="shared" si="71"/>
        <v>0</v>
      </c>
      <c r="AF128">
        <f t="shared" si="71"/>
        <v>0</v>
      </c>
      <c r="AG128">
        <f t="shared" si="70"/>
        <v>0</v>
      </c>
      <c r="AH128">
        <f t="shared" si="70"/>
        <v>0</v>
      </c>
      <c r="AI128">
        <f t="shared" si="70"/>
        <v>0</v>
      </c>
      <c r="AJ128">
        <f t="shared" si="70"/>
        <v>0</v>
      </c>
      <c r="AK128">
        <f t="shared" si="70"/>
        <v>0</v>
      </c>
      <c r="AL128">
        <f t="shared" si="70"/>
        <v>0</v>
      </c>
      <c r="AM128">
        <f t="shared" si="70"/>
        <v>0</v>
      </c>
      <c r="AN128">
        <f t="shared" si="70"/>
        <v>0</v>
      </c>
      <c r="AO128">
        <f t="shared" si="70"/>
        <v>0</v>
      </c>
      <c r="AP128">
        <f t="shared" si="70"/>
        <v>1</v>
      </c>
      <c r="AQ128">
        <f t="shared" si="70"/>
        <v>0</v>
      </c>
      <c r="AR128">
        <f t="shared" si="70"/>
        <v>0</v>
      </c>
      <c r="AS128">
        <f t="shared" si="70"/>
        <v>0</v>
      </c>
      <c r="AT128">
        <f t="shared" si="70"/>
        <v>0</v>
      </c>
      <c r="AU128">
        <f t="shared" si="70"/>
        <v>0</v>
      </c>
      <c r="AV128">
        <f t="shared" si="69"/>
        <v>0</v>
      </c>
      <c r="AW128">
        <f t="shared" si="69"/>
        <v>0</v>
      </c>
      <c r="AX128">
        <f t="shared" si="69"/>
        <v>0</v>
      </c>
      <c r="AY128">
        <f t="shared" si="69"/>
        <v>0</v>
      </c>
      <c r="AZ128">
        <f t="shared" si="69"/>
        <v>0</v>
      </c>
    </row>
    <row r="129" spans="1:52" x14ac:dyDescent="0.25">
      <c r="A129" t="s">
        <v>44</v>
      </c>
      <c r="B129" s="3">
        <v>43379</v>
      </c>
      <c r="C129" s="1">
        <v>2942.4128507480459</v>
      </c>
      <c r="D129" s="1">
        <v>196.16085671653639</v>
      </c>
      <c r="E129" s="1">
        <f t="shared" si="56"/>
        <v>1247.4128507480459</v>
      </c>
      <c r="F129" s="1">
        <f t="shared" si="57"/>
        <v>1695</v>
      </c>
      <c r="G129" s="2">
        <v>15</v>
      </c>
      <c r="H129" s="1">
        <v>83.160856716536401</v>
      </c>
      <c r="I129" s="1">
        <v>113</v>
      </c>
      <c r="J129" s="1">
        <f t="shared" si="59"/>
        <v>499780.24374217127</v>
      </c>
      <c r="K129" s="1">
        <f t="shared" si="60"/>
        <v>246087.24374217109</v>
      </c>
      <c r="N129">
        <f t="shared" si="58"/>
        <v>0</v>
      </c>
      <c r="O129">
        <f t="shared" si="58"/>
        <v>0</v>
      </c>
      <c r="P129">
        <f t="shared" si="58"/>
        <v>0</v>
      </c>
      <c r="Q129">
        <f t="shared" si="71"/>
        <v>0</v>
      </c>
      <c r="R129">
        <f t="shared" si="71"/>
        <v>0</v>
      </c>
      <c r="S129">
        <f t="shared" si="71"/>
        <v>0</v>
      </c>
      <c r="T129">
        <f t="shared" si="71"/>
        <v>0</v>
      </c>
      <c r="U129">
        <f t="shared" si="71"/>
        <v>0</v>
      </c>
      <c r="V129">
        <f t="shared" si="71"/>
        <v>0</v>
      </c>
      <c r="W129">
        <f t="shared" si="71"/>
        <v>0</v>
      </c>
      <c r="X129">
        <f t="shared" si="71"/>
        <v>0</v>
      </c>
      <c r="Y129">
        <f t="shared" si="71"/>
        <v>0</v>
      </c>
      <c r="Z129">
        <f t="shared" si="71"/>
        <v>0</v>
      </c>
      <c r="AA129">
        <f t="shared" si="71"/>
        <v>0</v>
      </c>
      <c r="AB129">
        <f t="shared" si="71"/>
        <v>0</v>
      </c>
      <c r="AC129">
        <f t="shared" si="71"/>
        <v>0</v>
      </c>
      <c r="AD129">
        <f t="shared" si="71"/>
        <v>0</v>
      </c>
      <c r="AE129">
        <f t="shared" si="71"/>
        <v>0</v>
      </c>
      <c r="AF129">
        <f t="shared" si="71"/>
        <v>0</v>
      </c>
      <c r="AG129">
        <f t="shared" si="70"/>
        <v>0</v>
      </c>
      <c r="AH129">
        <f t="shared" si="70"/>
        <v>0</v>
      </c>
      <c r="AI129">
        <f t="shared" si="70"/>
        <v>0</v>
      </c>
      <c r="AJ129">
        <f t="shared" si="70"/>
        <v>0</v>
      </c>
      <c r="AK129">
        <f t="shared" si="70"/>
        <v>0</v>
      </c>
      <c r="AL129">
        <f t="shared" si="70"/>
        <v>0</v>
      </c>
      <c r="AM129">
        <f t="shared" si="70"/>
        <v>0</v>
      </c>
      <c r="AN129">
        <f t="shared" si="70"/>
        <v>0</v>
      </c>
      <c r="AO129">
        <f t="shared" si="70"/>
        <v>0</v>
      </c>
      <c r="AP129">
        <f t="shared" si="70"/>
        <v>0</v>
      </c>
      <c r="AQ129">
        <f t="shared" si="70"/>
        <v>0</v>
      </c>
      <c r="AR129">
        <f t="shared" si="70"/>
        <v>0</v>
      </c>
      <c r="AS129">
        <f t="shared" si="70"/>
        <v>0</v>
      </c>
      <c r="AT129">
        <f t="shared" si="70"/>
        <v>0</v>
      </c>
      <c r="AU129">
        <f t="shared" si="70"/>
        <v>1</v>
      </c>
      <c r="AV129">
        <f t="shared" si="69"/>
        <v>0</v>
      </c>
      <c r="AW129">
        <f t="shared" si="69"/>
        <v>0</v>
      </c>
      <c r="AX129">
        <f t="shared" si="69"/>
        <v>0</v>
      </c>
      <c r="AY129">
        <f t="shared" si="69"/>
        <v>0</v>
      </c>
      <c r="AZ129">
        <f t="shared" si="69"/>
        <v>0</v>
      </c>
    </row>
    <row r="130" spans="1:52" x14ac:dyDescent="0.25">
      <c r="A130" t="s">
        <v>23</v>
      </c>
      <c r="B130" s="3">
        <v>43369</v>
      </c>
      <c r="C130" s="1">
        <v>825.28718633097947</v>
      </c>
      <c r="D130" s="1">
        <v>51.580449145686217</v>
      </c>
      <c r="E130" s="1">
        <f t="shared" si="56"/>
        <v>457.28718633097941</v>
      </c>
      <c r="F130" s="1">
        <f t="shared" si="57"/>
        <v>368</v>
      </c>
      <c r="G130" s="2">
        <v>16</v>
      </c>
      <c r="H130" s="1">
        <v>28.580449145686213</v>
      </c>
      <c r="I130" s="1">
        <v>23</v>
      </c>
      <c r="J130" s="1">
        <f t="shared" si="59"/>
        <v>500605.53092850227</v>
      </c>
      <c r="K130" s="1">
        <f t="shared" si="60"/>
        <v>246544.53092850206</v>
      </c>
      <c r="N130">
        <f t="shared" si="58"/>
        <v>0</v>
      </c>
      <c r="O130">
        <f t="shared" si="58"/>
        <v>0</v>
      </c>
      <c r="P130">
        <f t="shared" si="58"/>
        <v>0</v>
      </c>
      <c r="Q130">
        <f t="shared" si="71"/>
        <v>0</v>
      </c>
      <c r="R130">
        <f t="shared" si="71"/>
        <v>0</v>
      </c>
      <c r="S130">
        <f t="shared" si="71"/>
        <v>0</v>
      </c>
      <c r="T130">
        <f t="shared" si="71"/>
        <v>0</v>
      </c>
      <c r="U130">
        <f t="shared" si="71"/>
        <v>0</v>
      </c>
      <c r="V130">
        <f t="shared" si="71"/>
        <v>0</v>
      </c>
      <c r="W130">
        <f t="shared" si="71"/>
        <v>0</v>
      </c>
      <c r="X130">
        <f t="shared" si="71"/>
        <v>0</v>
      </c>
      <c r="Y130">
        <f t="shared" si="71"/>
        <v>0</v>
      </c>
      <c r="Z130">
        <f t="shared" si="71"/>
        <v>0</v>
      </c>
      <c r="AA130">
        <f t="shared" si="71"/>
        <v>0</v>
      </c>
      <c r="AB130">
        <f t="shared" si="71"/>
        <v>0</v>
      </c>
      <c r="AC130">
        <f t="shared" si="71"/>
        <v>0</v>
      </c>
      <c r="AD130">
        <f t="shared" si="71"/>
        <v>0</v>
      </c>
      <c r="AE130">
        <f t="shared" si="71"/>
        <v>0</v>
      </c>
      <c r="AF130">
        <f t="shared" si="71"/>
        <v>0</v>
      </c>
      <c r="AG130">
        <f t="shared" si="70"/>
        <v>0</v>
      </c>
      <c r="AH130">
        <f t="shared" si="70"/>
        <v>0</v>
      </c>
      <c r="AI130">
        <f t="shared" si="70"/>
        <v>0</v>
      </c>
      <c r="AJ130">
        <f t="shared" si="70"/>
        <v>0</v>
      </c>
      <c r="AK130">
        <f t="shared" si="70"/>
        <v>0</v>
      </c>
      <c r="AL130">
        <f t="shared" si="70"/>
        <v>0</v>
      </c>
      <c r="AM130">
        <f t="shared" si="70"/>
        <v>1</v>
      </c>
      <c r="AN130">
        <f t="shared" si="70"/>
        <v>0</v>
      </c>
      <c r="AO130">
        <f t="shared" si="70"/>
        <v>0</v>
      </c>
      <c r="AP130">
        <f t="shared" si="70"/>
        <v>0</v>
      </c>
      <c r="AQ130">
        <f t="shared" si="70"/>
        <v>0</v>
      </c>
      <c r="AR130">
        <f t="shared" si="70"/>
        <v>0</v>
      </c>
      <c r="AS130">
        <f t="shared" si="70"/>
        <v>0</v>
      </c>
      <c r="AT130">
        <f t="shared" si="70"/>
        <v>0</v>
      </c>
      <c r="AU130">
        <f t="shared" si="70"/>
        <v>0</v>
      </c>
      <c r="AV130">
        <f t="shared" si="69"/>
        <v>0</v>
      </c>
      <c r="AW130">
        <f t="shared" si="69"/>
        <v>0</v>
      </c>
      <c r="AX130">
        <f t="shared" si="69"/>
        <v>0</v>
      </c>
      <c r="AY130">
        <f t="shared" si="69"/>
        <v>0</v>
      </c>
      <c r="AZ130">
        <f t="shared" si="69"/>
        <v>0</v>
      </c>
    </row>
    <row r="131" spans="1:52" x14ac:dyDescent="0.25">
      <c r="A131" t="s">
        <v>12</v>
      </c>
      <c r="B131" s="3">
        <v>43315</v>
      </c>
      <c r="C131" s="1">
        <v>2746.4988104642903</v>
      </c>
      <c r="D131" s="1">
        <v>144.55256897180476</v>
      </c>
      <c r="E131" s="1">
        <f t="shared" si="56"/>
        <v>1663.4988104642903</v>
      </c>
      <c r="F131" s="1">
        <f t="shared" si="57"/>
        <v>1083</v>
      </c>
      <c r="G131" s="2">
        <v>19</v>
      </c>
      <c r="H131" s="1">
        <v>87.552568971804746</v>
      </c>
      <c r="I131" s="1">
        <v>57</v>
      </c>
      <c r="J131" s="1">
        <f t="shared" si="59"/>
        <v>503352.02973896655</v>
      </c>
      <c r="K131" s="1">
        <f t="shared" si="60"/>
        <v>248208.02973896635</v>
      </c>
      <c r="N131">
        <f t="shared" si="58"/>
        <v>0</v>
      </c>
      <c r="O131">
        <f t="shared" si="58"/>
        <v>0</v>
      </c>
      <c r="P131">
        <f t="shared" si="58"/>
        <v>0</v>
      </c>
      <c r="Q131">
        <f t="shared" si="71"/>
        <v>0</v>
      </c>
      <c r="R131">
        <f t="shared" si="71"/>
        <v>0</v>
      </c>
      <c r="S131">
        <f t="shared" si="71"/>
        <v>0</v>
      </c>
      <c r="T131">
        <f t="shared" si="71"/>
        <v>0</v>
      </c>
      <c r="U131">
        <f t="shared" si="71"/>
        <v>0</v>
      </c>
      <c r="V131">
        <f t="shared" si="71"/>
        <v>0</v>
      </c>
      <c r="W131">
        <f t="shared" si="71"/>
        <v>0</v>
      </c>
      <c r="X131">
        <f t="shared" si="71"/>
        <v>0</v>
      </c>
      <c r="Y131">
        <f t="shared" si="71"/>
        <v>0</v>
      </c>
      <c r="Z131">
        <f t="shared" si="71"/>
        <v>0</v>
      </c>
      <c r="AA131">
        <f t="shared" si="71"/>
        <v>0</v>
      </c>
      <c r="AB131">
        <f t="shared" si="71"/>
        <v>0</v>
      </c>
      <c r="AC131">
        <f t="shared" si="71"/>
        <v>0</v>
      </c>
      <c r="AD131">
        <f t="shared" si="71"/>
        <v>0</v>
      </c>
      <c r="AE131">
        <f t="shared" si="71"/>
        <v>0</v>
      </c>
      <c r="AF131">
        <f t="shared" si="71"/>
        <v>0</v>
      </c>
      <c r="AG131">
        <f t="shared" si="70"/>
        <v>0</v>
      </c>
      <c r="AH131">
        <f t="shared" si="70"/>
        <v>0</v>
      </c>
      <c r="AI131">
        <f t="shared" si="70"/>
        <v>0</v>
      </c>
      <c r="AJ131">
        <f t="shared" si="70"/>
        <v>0</v>
      </c>
      <c r="AK131">
        <f t="shared" si="70"/>
        <v>1</v>
      </c>
      <c r="AL131">
        <f t="shared" si="70"/>
        <v>0</v>
      </c>
      <c r="AM131">
        <f t="shared" si="70"/>
        <v>0</v>
      </c>
      <c r="AN131">
        <f t="shared" si="70"/>
        <v>0</v>
      </c>
      <c r="AO131">
        <f t="shared" si="70"/>
        <v>0</v>
      </c>
      <c r="AP131">
        <f t="shared" si="70"/>
        <v>0</v>
      </c>
      <c r="AQ131">
        <f t="shared" si="70"/>
        <v>0</v>
      </c>
      <c r="AR131">
        <f t="shared" si="70"/>
        <v>0</v>
      </c>
      <c r="AS131">
        <f t="shared" si="70"/>
        <v>0</v>
      </c>
      <c r="AT131">
        <f t="shared" si="70"/>
        <v>0</v>
      </c>
      <c r="AU131">
        <f t="shared" si="70"/>
        <v>0</v>
      </c>
      <c r="AV131">
        <f t="shared" si="69"/>
        <v>0</v>
      </c>
      <c r="AW131">
        <f t="shared" si="69"/>
        <v>0</v>
      </c>
      <c r="AX131">
        <f t="shared" si="69"/>
        <v>0</v>
      </c>
      <c r="AY131">
        <f t="shared" si="69"/>
        <v>0</v>
      </c>
      <c r="AZ131">
        <f t="shared" si="69"/>
        <v>0</v>
      </c>
    </row>
    <row r="132" spans="1:52" x14ac:dyDescent="0.25">
      <c r="A132" t="s">
        <v>20</v>
      </c>
      <c r="B132" s="3">
        <v>43309</v>
      </c>
      <c r="C132" s="1">
        <v>2884.3385247034385</v>
      </c>
      <c r="D132" s="1">
        <v>106.82735276679402</v>
      </c>
      <c r="E132" s="1">
        <f t="shared" si="56"/>
        <v>1750.3385247034387</v>
      </c>
      <c r="F132" s="1">
        <f t="shared" si="57"/>
        <v>1134</v>
      </c>
      <c r="G132" s="2">
        <v>27</v>
      </c>
      <c r="H132" s="1">
        <v>64.827352766794021</v>
      </c>
      <c r="I132" s="1">
        <v>42</v>
      </c>
      <c r="J132" s="1">
        <f t="shared" si="59"/>
        <v>506236.36826367001</v>
      </c>
      <c r="K132" s="1">
        <f t="shared" si="60"/>
        <v>249958.36826366978</v>
      </c>
      <c r="N132">
        <f t="shared" si="58"/>
        <v>0</v>
      </c>
      <c r="O132">
        <f t="shared" si="58"/>
        <v>0</v>
      </c>
      <c r="P132">
        <f t="shared" si="58"/>
        <v>0</v>
      </c>
      <c r="Q132">
        <f t="shared" si="71"/>
        <v>0</v>
      </c>
      <c r="R132">
        <f t="shared" si="71"/>
        <v>0</v>
      </c>
      <c r="S132">
        <f t="shared" si="71"/>
        <v>0</v>
      </c>
      <c r="T132">
        <f t="shared" si="71"/>
        <v>0</v>
      </c>
      <c r="U132">
        <f t="shared" si="71"/>
        <v>0</v>
      </c>
      <c r="V132">
        <f t="shared" si="71"/>
        <v>0</v>
      </c>
      <c r="W132">
        <f t="shared" si="71"/>
        <v>0</v>
      </c>
      <c r="X132">
        <f t="shared" si="71"/>
        <v>0</v>
      </c>
      <c r="Y132">
        <f t="shared" si="71"/>
        <v>0</v>
      </c>
      <c r="Z132">
        <f t="shared" si="71"/>
        <v>0</v>
      </c>
      <c r="AA132">
        <f t="shared" si="71"/>
        <v>0</v>
      </c>
      <c r="AB132">
        <f t="shared" si="71"/>
        <v>0</v>
      </c>
      <c r="AC132">
        <f t="shared" si="71"/>
        <v>0</v>
      </c>
      <c r="AD132">
        <f t="shared" si="71"/>
        <v>0</v>
      </c>
      <c r="AE132">
        <f t="shared" si="71"/>
        <v>1</v>
      </c>
      <c r="AF132">
        <f t="shared" si="71"/>
        <v>0</v>
      </c>
      <c r="AG132">
        <f t="shared" si="70"/>
        <v>0</v>
      </c>
      <c r="AH132">
        <f t="shared" si="70"/>
        <v>0</v>
      </c>
      <c r="AI132">
        <f t="shared" si="70"/>
        <v>0</v>
      </c>
      <c r="AJ132">
        <f t="shared" si="70"/>
        <v>0</v>
      </c>
      <c r="AK132">
        <f t="shared" si="70"/>
        <v>0</v>
      </c>
      <c r="AL132">
        <f t="shared" si="70"/>
        <v>0</v>
      </c>
      <c r="AM132">
        <f t="shared" si="70"/>
        <v>0</v>
      </c>
      <c r="AN132">
        <f t="shared" si="70"/>
        <v>0</v>
      </c>
      <c r="AO132">
        <f t="shared" si="70"/>
        <v>0</v>
      </c>
      <c r="AP132">
        <f t="shared" si="70"/>
        <v>0</v>
      </c>
      <c r="AQ132">
        <f t="shared" si="70"/>
        <v>0</v>
      </c>
      <c r="AR132">
        <f t="shared" si="70"/>
        <v>0</v>
      </c>
      <c r="AS132">
        <f t="shared" si="70"/>
        <v>0</v>
      </c>
      <c r="AT132">
        <f t="shared" si="70"/>
        <v>0</v>
      </c>
      <c r="AU132">
        <f t="shared" si="70"/>
        <v>0</v>
      </c>
      <c r="AV132">
        <f t="shared" si="69"/>
        <v>0</v>
      </c>
      <c r="AW132">
        <f t="shared" si="69"/>
        <v>0</v>
      </c>
      <c r="AX132">
        <f t="shared" si="69"/>
        <v>0</v>
      </c>
      <c r="AY132">
        <f t="shared" si="69"/>
        <v>0</v>
      </c>
      <c r="AZ132">
        <f t="shared" si="69"/>
        <v>0</v>
      </c>
    </row>
    <row r="133" spans="1:52" x14ac:dyDescent="0.25">
      <c r="A133" t="s">
        <v>24</v>
      </c>
      <c r="B133" s="3">
        <v>43308</v>
      </c>
      <c r="C133" s="1">
        <v>2814.1654899540249</v>
      </c>
      <c r="D133" s="1">
        <v>93.805516331800831</v>
      </c>
      <c r="E133" s="1">
        <f t="shared" si="56"/>
        <v>1794.1654899540249</v>
      </c>
      <c r="F133" s="1">
        <f t="shared" si="57"/>
        <v>1020</v>
      </c>
      <c r="G133" s="2">
        <v>30</v>
      </c>
      <c r="H133" s="1">
        <v>59.805516331800831</v>
      </c>
      <c r="I133" s="1">
        <v>34</v>
      </c>
      <c r="J133" s="1">
        <f t="shared" si="59"/>
        <v>509050.53375362401</v>
      </c>
      <c r="K133" s="1">
        <f t="shared" si="60"/>
        <v>251752.53375362381</v>
      </c>
      <c r="N133">
        <f t="shared" si="58"/>
        <v>0</v>
      </c>
      <c r="O133">
        <f t="shared" si="58"/>
        <v>0</v>
      </c>
      <c r="P133">
        <f t="shared" si="58"/>
        <v>0</v>
      </c>
      <c r="Q133">
        <f t="shared" si="71"/>
        <v>0</v>
      </c>
      <c r="R133">
        <f t="shared" si="71"/>
        <v>0</v>
      </c>
      <c r="S133">
        <f t="shared" si="71"/>
        <v>0</v>
      </c>
      <c r="T133">
        <f t="shared" si="71"/>
        <v>0</v>
      </c>
      <c r="U133">
        <f t="shared" si="71"/>
        <v>0</v>
      </c>
      <c r="V133">
        <f t="shared" si="71"/>
        <v>1</v>
      </c>
      <c r="W133">
        <f t="shared" si="71"/>
        <v>0</v>
      </c>
      <c r="X133">
        <f t="shared" si="71"/>
        <v>0</v>
      </c>
      <c r="Y133">
        <f t="shared" si="71"/>
        <v>0</v>
      </c>
      <c r="Z133">
        <f t="shared" si="71"/>
        <v>0</v>
      </c>
      <c r="AA133">
        <f t="shared" si="71"/>
        <v>0</v>
      </c>
      <c r="AB133">
        <f t="shared" si="71"/>
        <v>0</v>
      </c>
      <c r="AC133">
        <f t="shared" si="71"/>
        <v>0</v>
      </c>
      <c r="AD133">
        <f t="shared" si="71"/>
        <v>0</v>
      </c>
      <c r="AE133">
        <f t="shared" si="71"/>
        <v>0</v>
      </c>
      <c r="AF133">
        <f t="shared" si="71"/>
        <v>0</v>
      </c>
      <c r="AG133">
        <f t="shared" si="70"/>
        <v>0</v>
      </c>
      <c r="AH133">
        <f t="shared" si="70"/>
        <v>0</v>
      </c>
      <c r="AI133">
        <f t="shared" si="70"/>
        <v>0</v>
      </c>
      <c r="AJ133">
        <f t="shared" si="70"/>
        <v>0</v>
      </c>
      <c r="AK133">
        <f t="shared" si="70"/>
        <v>0</v>
      </c>
      <c r="AL133">
        <f t="shared" si="70"/>
        <v>0</v>
      </c>
      <c r="AM133">
        <f t="shared" si="70"/>
        <v>0</v>
      </c>
      <c r="AN133">
        <f t="shared" si="70"/>
        <v>0</v>
      </c>
      <c r="AO133">
        <f t="shared" si="70"/>
        <v>0</v>
      </c>
      <c r="AP133">
        <f t="shared" si="70"/>
        <v>0</v>
      </c>
      <c r="AQ133">
        <f t="shared" si="70"/>
        <v>0</v>
      </c>
      <c r="AR133">
        <f t="shared" si="70"/>
        <v>0</v>
      </c>
      <c r="AS133">
        <f t="shared" si="70"/>
        <v>0</v>
      </c>
      <c r="AT133">
        <f t="shared" si="70"/>
        <v>0</v>
      </c>
      <c r="AU133">
        <f t="shared" si="70"/>
        <v>0</v>
      </c>
      <c r="AV133">
        <f t="shared" si="69"/>
        <v>0</v>
      </c>
      <c r="AW133">
        <f t="shared" si="69"/>
        <v>0</v>
      </c>
      <c r="AX133">
        <f t="shared" si="69"/>
        <v>0</v>
      </c>
      <c r="AY133">
        <f t="shared" si="69"/>
        <v>0</v>
      </c>
      <c r="AZ133">
        <f t="shared" si="69"/>
        <v>0</v>
      </c>
    </row>
    <row r="134" spans="1:52" x14ac:dyDescent="0.25">
      <c r="A134" t="s">
        <v>34</v>
      </c>
      <c r="B134" s="3">
        <v>43302</v>
      </c>
      <c r="C134" s="1">
        <v>4750.2478058214983</v>
      </c>
      <c r="D134" s="1">
        <v>115.85970258101214</v>
      </c>
      <c r="E134" s="1">
        <f t="shared" si="56"/>
        <v>2741.2478058214979</v>
      </c>
      <c r="F134" s="1">
        <f t="shared" si="57"/>
        <v>2009</v>
      </c>
      <c r="G134" s="2">
        <v>41</v>
      </c>
      <c r="H134" s="1">
        <v>66.859702581012144</v>
      </c>
      <c r="I134" s="1">
        <v>49</v>
      </c>
      <c r="J134" s="1">
        <f t="shared" si="59"/>
        <v>513800.78155944549</v>
      </c>
      <c r="K134" s="1">
        <f t="shared" si="60"/>
        <v>254493.78155944531</v>
      </c>
      <c r="N134">
        <f t="shared" si="58"/>
        <v>0</v>
      </c>
      <c r="O134">
        <f t="shared" si="58"/>
        <v>0</v>
      </c>
      <c r="P134">
        <f t="shared" si="58"/>
        <v>0</v>
      </c>
      <c r="Q134">
        <f t="shared" si="71"/>
        <v>0</v>
      </c>
      <c r="R134">
        <f t="shared" si="71"/>
        <v>0</v>
      </c>
      <c r="S134">
        <f t="shared" si="71"/>
        <v>0</v>
      </c>
      <c r="T134">
        <f t="shared" si="71"/>
        <v>0</v>
      </c>
      <c r="U134">
        <f t="shared" si="71"/>
        <v>0</v>
      </c>
      <c r="V134">
        <f t="shared" si="71"/>
        <v>0</v>
      </c>
      <c r="W134">
        <f t="shared" si="71"/>
        <v>0</v>
      </c>
      <c r="X134">
        <f t="shared" si="71"/>
        <v>0</v>
      </c>
      <c r="Y134">
        <f t="shared" si="71"/>
        <v>0</v>
      </c>
      <c r="Z134">
        <f t="shared" si="71"/>
        <v>0</v>
      </c>
      <c r="AA134">
        <f t="shared" si="71"/>
        <v>0</v>
      </c>
      <c r="AB134">
        <f t="shared" si="71"/>
        <v>0</v>
      </c>
      <c r="AC134">
        <f t="shared" si="71"/>
        <v>0</v>
      </c>
      <c r="AD134">
        <f t="shared" si="71"/>
        <v>0</v>
      </c>
      <c r="AE134">
        <f t="shared" si="71"/>
        <v>0</v>
      </c>
      <c r="AF134">
        <f t="shared" si="71"/>
        <v>1</v>
      </c>
      <c r="AG134">
        <f t="shared" si="70"/>
        <v>0</v>
      </c>
      <c r="AH134">
        <f t="shared" si="70"/>
        <v>0</v>
      </c>
      <c r="AI134">
        <f t="shared" si="70"/>
        <v>0</v>
      </c>
      <c r="AJ134">
        <f t="shared" si="70"/>
        <v>0</v>
      </c>
      <c r="AK134">
        <f t="shared" si="70"/>
        <v>0</v>
      </c>
      <c r="AL134">
        <f t="shared" si="70"/>
        <v>0</v>
      </c>
      <c r="AM134">
        <f t="shared" si="70"/>
        <v>0</v>
      </c>
      <c r="AN134">
        <f t="shared" si="70"/>
        <v>0</v>
      </c>
      <c r="AO134">
        <f t="shared" si="70"/>
        <v>0</v>
      </c>
      <c r="AP134">
        <f t="shared" si="70"/>
        <v>0</v>
      </c>
      <c r="AQ134">
        <f t="shared" si="70"/>
        <v>0</v>
      </c>
      <c r="AR134">
        <f t="shared" si="70"/>
        <v>0</v>
      </c>
      <c r="AS134">
        <f t="shared" si="70"/>
        <v>0</v>
      </c>
      <c r="AT134">
        <f t="shared" si="70"/>
        <v>0</v>
      </c>
      <c r="AU134">
        <f t="shared" si="70"/>
        <v>0</v>
      </c>
      <c r="AV134">
        <f t="shared" si="69"/>
        <v>0</v>
      </c>
      <c r="AW134">
        <f t="shared" si="69"/>
        <v>0</v>
      </c>
      <c r="AX134">
        <f t="shared" si="69"/>
        <v>0</v>
      </c>
      <c r="AY134">
        <f t="shared" si="69"/>
        <v>0</v>
      </c>
      <c r="AZ134">
        <f t="shared" si="69"/>
        <v>0</v>
      </c>
    </row>
    <row r="135" spans="1:52" x14ac:dyDescent="0.25">
      <c r="A135" t="s">
        <v>41</v>
      </c>
      <c r="B135" s="3">
        <v>43297</v>
      </c>
      <c r="C135" s="1">
        <v>22115.504774785724</v>
      </c>
      <c r="D135" s="1">
        <v>153.57989426934532</v>
      </c>
      <c r="E135" s="1">
        <f t="shared" ref="E135:E198" si="72">+G135*H135</f>
        <v>14051.504774785726</v>
      </c>
      <c r="F135" s="1">
        <f t="shared" ref="F135:F198" si="73">+G135*I135</f>
        <v>8064</v>
      </c>
      <c r="G135" s="2">
        <v>144</v>
      </c>
      <c r="H135" s="1">
        <v>97.579894269345317</v>
      </c>
      <c r="I135" s="1">
        <v>56</v>
      </c>
      <c r="J135" s="1">
        <f t="shared" si="59"/>
        <v>535916.28633423126</v>
      </c>
      <c r="K135" s="1">
        <f t="shared" si="60"/>
        <v>268545.28633423103</v>
      </c>
      <c r="N135">
        <f t="shared" ref="N135:AC198" si="74">+IF(N$5=$A135,1,0)</f>
        <v>0</v>
      </c>
      <c r="O135">
        <f t="shared" si="74"/>
        <v>0</v>
      </c>
      <c r="P135">
        <f t="shared" si="74"/>
        <v>0</v>
      </c>
      <c r="Q135">
        <f t="shared" si="71"/>
        <v>1</v>
      </c>
      <c r="R135">
        <f t="shared" si="71"/>
        <v>0</v>
      </c>
      <c r="S135">
        <f t="shared" si="71"/>
        <v>0</v>
      </c>
      <c r="T135">
        <f t="shared" si="71"/>
        <v>0</v>
      </c>
      <c r="U135">
        <f t="shared" si="71"/>
        <v>0</v>
      </c>
      <c r="V135">
        <f t="shared" si="71"/>
        <v>0</v>
      </c>
      <c r="W135">
        <f t="shared" si="71"/>
        <v>0</v>
      </c>
      <c r="X135">
        <f t="shared" si="71"/>
        <v>0</v>
      </c>
      <c r="Y135">
        <f t="shared" si="71"/>
        <v>0</v>
      </c>
      <c r="Z135">
        <f t="shared" si="71"/>
        <v>0</v>
      </c>
      <c r="AA135">
        <f t="shared" si="71"/>
        <v>0</v>
      </c>
      <c r="AB135">
        <f t="shared" si="71"/>
        <v>0</v>
      </c>
      <c r="AC135">
        <f t="shared" si="71"/>
        <v>0</v>
      </c>
      <c r="AD135">
        <f t="shared" si="71"/>
        <v>0</v>
      </c>
      <c r="AE135">
        <f t="shared" si="71"/>
        <v>0</v>
      </c>
      <c r="AF135">
        <f t="shared" si="71"/>
        <v>0</v>
      </c>
      <c r="AG135">
        <f t="shared" si="70"/>
        <v>0</v>
      </c>
      <c r="AH135">
        <f t="shared" si="70"/>
        <v>0</v>
      </c>
      <c r="AI135">
        <f t="shared" si="70"/>
        <v>0</v>
      </c>
      <c r="AJ135">
        <f t="shared" si="70"/>
        <v>0</v>
      </c>
      <c r="AK135">
        <f t="shared" si="70"/>
        <v>0</v>
      </c>
      <c r="AL135">
        <f t="shared" si="70"/>
        <v>0</v>
      </c>
      <c r="AM135">
        <f t="shared" si="70"/>
        <v>0</v>
      </c>
      <c r="AN135">
        <f t="shared" si="70"/>
        <v>0</v>
      </c>
      <c r="AO135">
        <f t="shared" si="70"/>
        <v>0</v>
      </c>
      <c r="AP135">
        <f t="shared" si="70"/>
        <v>0</v>
      </c>
      <c r="AQ135">
        <f t="shared" si="70"/>
        <v>0</v>
      </c>
      <c r="AR135">
        <f t="shared" si="70"/>
        <v>0</v>
      </c>
      <c r="AS135">
        <f t="shared" si="70"/>
        <v>0</v>
      </c>
      <c r="AT135">
        <f t="shared" si="70"/>
        <v>0</v>
      </c>
      <c r="AU135">
        <f t="shared" si="70"/>
        <v>0</v>
      </c>
      <c r="AV135">
        <f t="shared" si="69"/>
        <v>0</v>
      </c>
      <c r="AW135">
        <f t="shared" si="69"/>
        <v>0</v>
      </c>
      <c r="AX135">
        <f t="shared" si="69"/>
        <v>0</v>
      </c>
      <c r="AY135">
        <f t="shared" si="69"/>
        <v>0</v>
      </c>
      <c r="AZ135">
        <f t="shared" si="69"/>
        <v>0</v>
      </c>
    </row>
    <row r="136" spans="1:52" x14ac:dyDescent="0.25">
      <c r="A136" t="s">
        <v>35</v>
      </c>
      <c r="B136" s="3">
        <v>43281</v>
      </c>
      <c r="C136" s="1">
        <v>259.02571836581632</v>
      </c>
      <c r="D136" s="1">
        <v>129.51285918290816</v>
      </c>
      <c r="E136" s="1">
        <f t="shared" si="72"/>
        <v>119.02571836581633</v>
      </c>
      <c r="F136" s="1">
        <f t="shared" si="73"/>
        <v>140</v>
      </c>
      <c r="G136" s="2">
        <v>2</v>
      </c>
      <c r="H136" s="1">
        <v>59.512859182908166</v>
      </c>
      <c r="I136" s="1">
        <v>70</v>
      </c>
      <c r="J136" s="1">
        <f t="shared" ref="J136:J199" si="75">+J135+C136</f>
        <v>536175.31205259706</v>
      </c>
      <c r="K136" s="1">
        <f t="shared" ref="K136:K199" si="76">+K135+E136</f>
        <v>268664.31205259683</v>
      </c>
      <c r="N136">
        <f t="shared" si="74"/>
        <v>0</v>
      </c>
      <c r="O136">
        <f t="shared" si="74"/>
        <v>0</v>
      </c>
      <c r="P136">
        <f t="shared" si="74"/>
        <v>0</v>
      </c>
      <c r="Q136">
        <f t="shared" si="71"/>
        <v>0</v>
      </c>
      <c r="R136">
        <f t="shared" si="71"/>
        <v>0</v>
      </c>
      <c r="S136">
        <f t="shared" si="71"/>
        <v>0</v>
      </c>
      <c r="T136">
        <f t="shared" si="71"/>
        <v>0</v>
      </c>
      <c r="U136">
        <f t="shared" si="71"/>
        <v>0</v>
      </c>
      <c r="V136">
        <f t="shared" si="71"/>
        <v>0</v>
      </c>
      <c r="W136">
        <f t="shared" si="71"/>
        <v>0</v>
      </c>
      <c r="X136">
        <f t="shared" si="71"/>
        <v>0</v>
      </c>
      <c r="Y136">
        <f t="shared" si="71"/>
        <v>0</v>
      </c>
      <c r="Z136">
        <f t="shared" si="71"/>
        <v>0</v>
      </c>
      <c r="AA136">
        <f t="shared" si="71"/>
        <v>0</v>
      </c>
      <c r="AB136">
        <f t="shared" si="71"/>
        <v>0</v>
      </c>
      <c r="AC136">
        <f t="shared" si="71"/>
        <v>0</v>
      </c>
      <c r="AD136">
        <f t="shared" si="71"/>
        <v>0</v>
      </c>
      <c r="AE136">
        <f t="shared" si="71"/>
        <v>0</v>
      </c>
      <c r="AF136">
        <f t="shared" si="71"/>
        <v>0</v>
      </c>
      <c r="AG136">
        <f t="shared" si="70"/>
        <v>0</v>
      </c>
      <c r="AH136">
        <f t="shared" si="70"/>
        <v>0</v>
      </c>
      <c r="AI136">
        <f t="shared" si="70"/>
        <v>0</v>
      </c>
      <c r="AJ136">
        <f t="shared" si="70"/>
        <v>0</v>
      </c>
      <c r="AK136">
        <f t="shared" si="70"/>
        <v>0</v>
      </c>
      <c r="AL136">
        <f t="shared" si="70"/>
        <v>1</v>
      </c>
      <c r="AM136">
        <f t="shared" si="70"/>
        <v>0</v>
      </c>
      <c r="AN136">
        <f t="shared" si="70"/>
        <v>0</v>
      </c>
      <c r="AO136">
        <f t="shared" si="70"/>
        <v>0</v>
      </c>
      <c r="AP136">
        <f t="shared" si="70"/>
        <v>0</v>
      </c>
      <c r="AQ136">
        <f t="shared" si="70"/>
        <v>0</v>
      </c>
      <c r="AR136">
        <f t="shared" si="70"/>
        <v>0</v>
      </c>
      <c r="AS136">
        <f t="shared" si="70"/>
        <v>0</v>
      </c>
      <c r="AT136">
        <f t="shared" si="70"/>
        <v>0</v>
      </c>
      <c r="AU136">
        <f t="shared" si="70"/>
        <v>0</v>
      </c>
      <c r="AV136">
        <f t="shared" si="69"/>
        <v>0</v>
      </c>
      <c r="AW136">
        <f t="shared" si="69"/>
        <v>0</v>
      </c>
      <c r="AX136">
        <f t="shared" si="69"/>
        <v>0</v>
      </c>
      <c r="AY136">
        <f t="shared" si="69"/>
        <v>0</v>
      </c>
      <c r="AZ136">
        <f t="shared" si="69"/>
        <v>0</v>
      </c>
    </row>
    <row r="137" spans="1:52" x14ac:dyDescent="0.25">
      <c r="A137" t="s">
        <v>44</v>
      </c>
      <c r="B137" s="3">
        <v>43279</v>
      </c>
      <c r="C137" s="1">
        <v>2753.0073997998525</v>
      </c>
      <c r="D137" s="1">
        <v>196.64338569998947</v>
      </c>
      <c r="E137" s="1">
        <f t="shared" si="72"/>
        <v>1507.0073997998525</v>
      </c>
      <c r="F137" s="1">
        <f t="shared" si="73"/>
        <v>1246</v>
      </c>
      <c r="G137" s="2">
        <v>14</v>
      </c>
      <c r="H137" s="1">
        <v>107.64338569998947</v>
      </c>
      <c r="I137" s="1">
        <v>89</v>
      </c>
      <c r="J137" s="1">
        <f t="shared" si="75"/>
        <v>538928.31945239694</v>
      </c>
      <c r="K137" s="1">
        <f t="shared" si="76"/>
        <v>270171.31945239665</v>
      </c>
      <c r="N137">
        <f t="shared" si="74"/>
        <v>0</v>
      </c>
      <c r="O137">
        <f t="shared" si="74"/>
        <v>0</v>
      </c>
      <c r="P137">
        <f t="shared" si="74"/>
        <v>0</v>
      </c>
      <c r="Q137">
        <f t="shared" si="71"/>
        <v>0</v>
      </c>
      <c r="R137">
        <f t="shared" si="71"/>
        <v>0</v>
      </c>
      <c r="S137">
        <f t="shared" si="71"/>
        <v>0</v>
      </c>
      <c r="T137">
        <f t="shared" si="71"/>
        <v>0</v>
      </c>
      <c r="U137">
        <f t="shared" si="71"/>
        <v>0</v>
      </c>
      <c r="V137">
        <f t="shared" si="71"/>
        <v>0</v>
      </c>
      <c r="W137">
        <f t="shared" si="71"/>
        <v>0</v>
      </c>
      <c r="X137">
        <f t="shared" si="71"/>
        <v>0</v>
      </c>
      <c r="Y137">
        <f t="shared" si="71"/>
        <v>0</v>
      </c>
      <c r="Z137">
        <f t="shared" si="71"/>
        <v>0</v>
      </c>
      <c r="AA137">
        <f t="shared" si="71"/>
        <v>0</v>
      </c>
      <c r="AB137">
        <f t="shared" si="71"/>
        <v>0</v>
      </c>
      <c r="AC137">
        <f t="shared" si="71"/>
        <v>0</v>
      </c>
      <c r="AD137">
        <f t="shared" si="71"/>
        <v>0</v>
      </c>
      <c r="AE137">
        <f t="shared" si="71"/>
        <v>0</v>
      </c>
      <c r="AF137">
        <f t="shared" si="71"/>
        <v>0</v>
      </c>
      <c r="AG137">
        <f t="shared" si="70"/>
        <v>0</v>
      </c>
      <c r="AH137">
        <f t="shared" si="70"/>
        <v>0</v>
      </c>
      <c r="AI137">
        <f t="shared" si="70"/>
        <v>0</v>
      </c>
      <c r="AJ137">
        <f t="shared" si="70"/>
        <v>0</v>
      </c>
      <c r="AK137">
        <f t="shared" si="70"/>
        <v>0</v>
      </c>
      <c r="AL137">
        <f t="shared" si="70"/>
        <v>0</v>
      </c>
      <c r="AM137">
        <f t="shared" si="70"/>
        <v>0</v>
      </c>
      <c r="AN137">
        <f t="shared" si="70"/>
        <v>0</v>
      </c>
      <c r="AO137">
        <f t="shared" si="70"/>
        <v>0</v>
      </c>
      <c r="AP137">
        <f t="shared" si="70"/>
        <v>0</v>
      </c>
      <c r="AQ137">
        <f t="shared" si="70"/>
        <v>0</v>
      </c>
      <c r="AR137">
        <f t="shared" si="70"/>
        <v>0</v>
      </c>
      <c r="AS137">
        <f t="shared" si="70"/>
        <v>0</v>
      </c>
      <c r="AT137">
        <f t="shared" si="70"/>
        <v>0</v>
      </c>
      <c r="AU137">
        <f t="shared" si="70"/>
        <v>1</v>
      </c>
      <c r="AV137">
        <f t="shared" si="69"/>
        <v>0</v>
      </c>
      <c r="AW137">
        <f t="shared" si="69"/>
        <v>0</v>
      </c>
      <c r="AX137">
        <f t="shared" si="69"/>
        <v>0</v>
      </c>
      <c r="AY137">
        <f t="shared" si="69"/>
        <v>0</v>
      </c>
      <c r="AZ137">
        <f t="shared" si="69"/>
        <v>0</v>
      </c>
    </row>
    <row r="138" spans="1:52" x14ac:dyDescent="0.25">
      <c r="A138" t="s">
        <v>22</v>
      </c>
      <c r="B138" s="3">
        <v>43262</v>
      </c>
      <c r="C138" s="1">
        <v>3833.0908229322672</v>
      </c>
      <c r="D138" s="1">
        <v>95.827270573306677</v>
      </c>
      <c r="E138" s="1">
        <f t="shared" si="72"/>
        <v>2233.0908229322672</v>
      </c>
      <c r="F138" s="1">
        <f t="shared" si="73"/>
        <v>1600</v>
      </c>
      <c r="G138" s="2">
        <v>40</v>
      </c>
      <c r="H138" s="1">
        <v>55.827270573306677</v>
      </c>
      <c r="I138" s="1">
        <v>40</v>
      </c>
      <c r="J138" s="1">
        <f t="shared" si="75"/>
        <v>542761.41027532925</v>
      </c>
      <c r="K138" s="1">
        <f t="shared" si="76"/>
        <v>272404.4102753289</v>
      </c>
      <c r="N138">
        <f t="shared" si="74"/>
        <v>0</v>
      </c>
      <c r="O138">
        <f t="shared" si="74"/>
        <v>0</v>
      </c>
      <c r="P138">
        <f t="shared" si="74"/>
        <v>0</v>
      </c>
      <c r="Q138">
        <f t="shared" si="71"/>
        <v>0</v>
      </c>
      <c r="R138">
        <f t="shared" si="71"/>
        <v>0</v>
      </c>
      <c r="S138">
        <f t="shared" si="71"/>
        <v>0</v>
      </c>
      <c r="T138">
        <f t="shared" si="71"/>
        <v>0</v>
      </c>
      <c r="U138">
        <f t="shared" si="71"/>
        <v>0</v>
      </c>
      <c r="V138">
        <f t="shared" si="71"/>
        <v>0</v>
      </c>
      <c r="W138">
        <f t="shared" si="71"/>
        <v>0</v>
      </c>
      <c r="X138">
        <f t="shared" si="71"/>
        <v>0</v>
      </c>
      <c r="Y138">
        <f t="shared" si="71"/>
        <v>0</v>
      </c>
      <c r="Z138">
        <f t="shared" si="71"/>
        <v>0</v>
      </c>
      <c r="AA138">
        <f t="shared" si="71"/>
        <v>0</v>
      </c>
      <c r="AB138">
        <f t="shared" si="71"/>
        <v>0</v>
      </c>
      <c r="AC138">
        <f t="shared" si="71"/>
        <v>0</v>
      </c>
      <c r="AD138">
        <f t="shared" si="71"/>
        <v>0</v>
      </c>
      <c r="AE138">
        <f t="shared" si="71"/>
        <v>0</v>
      </c>
      <c r="AF138">
        <f t="shared" si="71"/>
        <v>0</v>
      </c>
      <c r="AG138">
        <f t="shared" si="70"/>
        <v>0</v>
      </c>
      <c r="AH138">
        <f t="shared" si="70"/>
        <v>0</v>
      </c>
      <c r="AI138">
        <f t="shared" si="70"/>
        <v>0</v>
      </c>
      <c r="AJ138">
        <f t="shared" si="70"/>
        <v>0</v>
      </c>
      <c r="AK138">
        <f t="shared" si="70"/>
        <v>0</v>
      </c>
      <c r="AL138">
        <f t="shared" si="70"/>
        <v>0</v>
      </c>
      <c r="AM138">
        <f t="shared" si="70"/>
        <v>0</v>
      </c>
      <c r="AN138">
        <f t="shared" si="70"/>
        <v>0</v>
      </c>
      <c r="AO138">
        <f t="shared" si="70"/>
        <v>0</v>
      </c>
      <c r="AP138">
        <f t="shared" si="70"/>
        <v>0</v>
      </c>
      <c r="AQ138">
        <f t="shared" si="70"/>
        <v>0</v>
      </c>
      <c r="AR138">
        <f t="shared" si="70"/>
        <v>0</v>
      </c>
      <c r="AS138">
        <f t="shared" si="70"/>
        <v>0</v>
      </c>
      <c r="AT138">
        <f t="shared" si="70"/>
        <v>0</v>
      </c>
      <c r="AU138">
        <f t="shared" si="70"/>
        <v>0</v>
      </c>
      <c r="AV138">
        <f t="shared" si="69"/>
        <v>0</v>
      </c>
      <c r="AW138">
        <f t="shared" si="69"/>
        <v>0</v>
      </c>
      <c r="AX138">
        <f t="shared" si="69"/>
        <v>1</v>
      </c>
      <c r="AY138">
        <f t="shared" si="69"/>
        <v>0</v>
      </c>
      <c r="AZ138">
        <f t="shared" si="69"/>
        <v>0</v>
      </c>
    </row>
    <row r="139" spans="1:52" x14ac:dyDescent="0.25">
      <c r="A139" t="s">
        <v>15</v>
      </c>
      <c r="B139" s="3">
        <v>43252</v>
      </c>
      <c r="C139" s="1">
        <v>1634.1862208005614</v>
      </c>
      <c r="D139" s="1">
        <v>116.72758720004009</v>
      </c>
      <c r="E139" s="1">
        <f t="shared" si="72"/>
        <v>780.18622080056116</v>
      </c>
      <c r="F139" s="1">
        <f t="shared" si="73"/>
        <v>854</v>
      </c>
      <c r="G139" s="2">
        <v>14</v>
      </c>
      <c r="H139" s="1">
        <v>55.727587200040084</v>
      </c>
      <c r="I139" s="1">
        <v>61</v>
      </c>
      <c r="J139" s="1">
        <f t="shared" si="75"/>
        <v>544395.59649612976</v>
      </c>
      <c r="K139" s="1">
        <f t="shared" si="76"/>
        <v>273184.59649612947</v>
      </c>
      <c r="N139">
        <f t="shared" si="74"/>
        <v>0</v>
      </c>
      <c r="O139">
        <f t="shared" si="74"/>
        <v>0</v>
      </c>
      <c r="P139">
        <f t="shared" si="74"/>
        <v>0</v>
      </c>
      <c r="Q139">
        <f t="shared" si="71"/>
        <v>0</v>
      </c>
      <c r="R139">
        <f t="shared" si="71"/>
        <v>0</v>
      </c>
      <c r="S139">
        <f t="shared" si="71"/>
        <v>0</v>
      </c>
      <c r="T139">
        <f t="shared" si="71"/>
        <v>0</v>
      </c>
      <c r="U139">
        <f t="shared" si="71"/>
        <v>0</v>
      </c>
      <c r="V139">
        <f t="shared" si="71"/>
        <v>0</v>
      </c>
      <c r="W139">
        <f t="shared" si="71"/>
        <v>0</v>
      </c>
      <c r="X139">
        <f t="shared" si="71"/>
        <v>0</v>
      </c>
      <c r="Y139">
        <f t="shared" si="71"/>
        <v>0</v>
      </c>
      <c r="Z139">
        <f t="shared" si="71"/>
        <v>0</v>
      </c>
      <c r="AA139">
        <f t="shared" si="71"/>
        <v>0</v>
      </c>
      <c r="AB139">
        <f t="shared" si="71"/>
        <v>0</v>
      </c>
      <c r="AC139">
        <f t="shared" si="71"/>
        <v>0</v>
      </c>
      <c r="AD139">
        <f t="shared" si="71"/>
        <v>0</v>
      </c>
      <c r="AE139">
        <f t="shared" si="71"/>
        <v>0</v>
      </c>
      <c r="AF139">
        <f t="shared" si="71"/>
        <v>0</v>
      </c>
      <c r="AG139">
        <f t="shared" si="70"/>
        <v>0</v>
      </c>
      <c r="AH139">
        <f t="shared" si="70"/>
        <v>0</v>
      </c>
      <c r="AI139">
        <f t="shared" si="70"/>
        <v>0</v>
      </c>
      <c r="AJ139">
        <f t="shared" si="70"/>
        <v>0</v>
      </c>
      <c r="AK139">
        <f t="shared" si="70"/>
        <v>0</v>
      </c>
      <c r="AL139">
        <f t="shared" si="70"/>
        <v>0</v>
      </c>
      <c r="AM139">
        <f t="shared" si="70"/>
        <v>0</v>
      </c>
      <c r="AN139">
        <f t="shared" si="70"/>
        <v>0</v>
      </c>
      <c r="AO139">
        <f t="shared" si="70"/>
        <v>0</v>
      </c>
      <c r="AP139">
        <f t="shared" si="70"/>
        <v>0</v>
      </c>
      <c r="AQ139">
        <f t="shared" si="70"/>
        <v>0</v>
      </c>
      <c r="AR139">
        <f t="shared" si="70"/>
        <v>1</v>
      </c>
      <c r="AS139">
        <f t="shared" si="70"/>
        <v>0</v>
      </c>
      <c r="AT139">
        <f t="shared" si="70"/>
        <v>0</v>
      </c>
      <c r="AU139">
        <f t="shared" si="70"/>
        <v>0</v>
      </c>
      <c r="AV139">
        <f t="shared" si="69"/>
        <v>0</v>
      </c>
      <c r="AW139">
        <f t="shared" si="69"/>
        <v>0</v>
      </c>
      <c r="AX139">
        <f t="shared" si="69"/>
        <v>0</v>
      </c>
      <c r="AY139">
        <f t="shared" si="69"/>
        <v>0</v>
      </c>
      <c r="AZ139">
        <f t="shared" si="69"/>
        <v>0</v>
      </c>
    </row>
    <row r="140" spans="1:52" x14ac:dyDescent="0.25">
      <c r="A140" t="s">
        <v>34</v>
      </c>
      <c r="B140" s="3">
        <v>43233</v>
      </c>
      <c r="C140" s="1">
        <v>7351.4824416208494</v>
      </c>
      <c r="D140" s="1">
        <v>147.029648832417</v>
      </c>
      <c r="E140" s="1">
        <f t="shared" si="72"/>
        <v>3851.4824416208498</v>
      </c>
      <c r="F140" s="1">
        <f t="shared" si="73"/>
        <v>3500</v>
      </c>
      <c r="G140" s="2">
        <v>50</v>
      </c>
      <c r="H140" s="1">
        <v>77.029648832416996</v>
      </c>
      <c r="I140" s="1">
        <v>70</v>
      </c>
      <c r="J140" s="1">
        <f t="shared" si="75"/>
        <v>551747.07893775066</v>
      </c>
      <c r="K140" s="1">
        <f t="shared" si="76"/>
        <v>277036.07893775031</v>
      </c>
      <c r="N140">
        <f t="shared" si="74"/>
        <v>0</v>
      </c>
      <c r="O140">
        <f t="shared" si="74"/>
        <v>0</v>
      </c>
      <c r="P140">
        <f t="shared" si="74"/>
        <v>0</v>
      </c>
      <c r="Q140">
        <f t="shared" si="71"/>
        <v>0</v>
      </c>
      <c r="R140">
        <f t="shared" si="71"/>
        <v>0</v>
      </c>
      <c r="S140">
        <f t="shared" si="71"/>
        <v>0</v>
      </c>
      <c r="T140">
        <f t="shared" si="71"/>
        <v>0</v>
      </c>
      <c r="U140">
        <f t="shared" si="71"/>
        <v>0</v>
      </c>
      <c r="V140">
        <f t="shared" si="71"/>
        <v>0</v>
      </c>
      <c r="W140">
        <f t="shared" si="71"/>
        <v>0</v>
      </c>
      <c r="X140">
        <f t="shared" si="71"/>
        <v>0</v>
      </c>
      <c r="Y140">
        <f t="shared" si="71"/>
        <v>0</v>
      </c>
      <c r="Z140">
        <f t="shared" si="71"/>
        <v>0</v>
      </c>
      <c r="AA140">
        <f t="shared" si="71"/>
        <v>0</v>
      </c>
      <c r="AB140">
        <f t="shared" si="71"/>
        <v>0</v>
      </c>
      <c r="AC140">
        <f t="shared" si="71"/>
        <v>0</v>
      </c>
      <c r="AD140">
        <f t="shared" si="71"/>
        <v>0</v>
      </c>
      <c r="AE140">
        <f t="shared" si="71"/>
        <v>0</v>
      </c>
      <c r="AF140">
        <f t="shared" si="71"/>
        <v>1</v>
      </c>
      <c r="AG140">
        <f t="shared" si="70"/>
        <v>0</v>
      </c>
      <c r="AH140">
        <f t="shared" si="70"/>
        <v>0</v>
      </c>
      <c r="AI140">
        <f t="shared" si="70"/>
        <v>0</v>
      </c>
      <c r="AJ140">
        <f t="shared" si="70"/>
        <v>0</v>
      </c>
      <c r="AK140">
        <f t="shared" si="70"/>
        <v>0</v>
      </c>
      <c r="AL140">
        <f t="shared" si="70"/>
        <v>0</v>
      </c>
      <c r="AM140">
        <f t="shared" si="70"/>
        <v>0</v>
      </c>
      <c r="AN140">
        <f t="shared" si="70"/>
        <v>0</v>
      </c>
      <c r="AO140">
        <f t="shared" si="70"/>
        <v>0</v>
      </c>
      <c r="AP140">
        <f t="shared" si="70"/>
        <v>0</v>
      </c>
      <c r="AQ140">
        <f t="shared" si="70"/>
        <v>0</v>
      </c>
      <c r="AR140">
        <f t="shared" si="70"/>
        <v>0</v>
      </c>
      <c r="AS140">
        <f t="shared" si="70"/>
        <v>0</v>
      </c>
      <c r="AT140">
        <f t="shared" si="70"/>
        <v>0</v>
      </c>
      <c r="AU140">
        <f t="shared" si="70"/>
        <v>0</v>
      </c>
      <c r="AV140">
        <f t="shared" si="69"/>
        <v>0</v>
      </c>
      <c r="AW140">
        <f t="shared" si="69"/>
        <v>0</v>
      </c>
      <c r="AX140">
        <f t="shared" si="69"/>
        <v>0</v>
      </c>
      <c r="AY140">
        <f t="shared" si="69"/>
        <v>0</v>
      </c>
      <c r="AZ140">
        <f t="shared" si="69"/>
        <v>0</v>
      </c>
    </row>
    <row r="141" spans="1:52" x14ac:dyDescent="0.25">
      <c r="A141" t="s">
        <v>36</v>
      </c>
      <c r="B141" s="3">
        <v>43233</v>
      </c>
      <c r="C141" s="1">
        <v>1073.162996821387</v>
      </c>
      <c r="D141" s="1">
        <v>63.127235107140407</v>
      </c>
      <c r="E141" s="1">
        <f t="shared" si="72"/>
        <v>444.16299682138697</v>
      </c>
      <c r="F141" s="1">
        <f t="shared" si="73"/>
        <v>629</v>
      </c>
      <c r="G141" s="2">
        <v>17</v>
      </c>
      <c r="H141" s="1">
        <v>26.127235107140411</v>
      </c>
      <c r="I141" s="1">
        <v>37</v>
      </c>
      <c r="J141" s="1">
        <f t="shared" si="75"/>
        <v>552820.241934572</v>
      </c>
      <c r="K141" s="1">
        <f t="shared" si="76"/>
        <v>277480.24193457171</v>
      </c>
      <c r="N141">
        <f t="shared" si="74"/>
        <v>0</v>
      </c>
      <c r="O141">
        <f t="shared" si="74"/>
        <v>0</v>
      </c>
      <c r="P141">
        <f t="shared" si="74"/>
        <v>0</v>
      </c>
      <c r="Q141">
        <f t="shared" si="71"/>
        <v>0</v>
      </c>
      <c r="R141">
        <f t="shared" si="71"/>
        <v>0</v>
      </c>
      <c r="S141">
        <f t="shared" si="71"/>
        <v>0</v>
      </c>
      <c r="T141">
        <f t="shared" si="71"/>
        <v>0</v>
      </c>
      <c r="U141">
        <f t="shared" si="71"/>
        <v>0</v>
      </c>
      <c r="V141">
        <f t="shared" si="71"/>
        <v>0</v>
      </c>
      <c r="W141">
        <f t="shared" si="71"/>
        <v>0</v>
      </c>
      <c r="X141">
        <f t="shared" si="71"/>
        <v>0</v>
      </c>
      <c r="Y141">
        <f t="shared" si="71"/>
        <v>0</v>
      </c>
      <c r="Z141">
        <f t="shared" si="71"/>
        <v>0</v>
      </c>
      <c r="AA141">
        <f t="shared" si="71"/>
        <v>0</v>
      </c>
      <c r="AB141">
        <f t="shared" si="71"/>
        <v>0</v>
      </c>
      <c r="AC141">
        <f t="shared" si="71"/>
        <v>0</v>
      </c>
      <c r="AD141">
        <f t="shared" si="71"/>
        <v>0</v>
      </c>
      <c r="AE141">
        <f t="shared" si="71"/>
        <v>0</v>
      </c>
      <c r="AF141">
        <f t="shared" si="71"/>
        <v>0</v>
      </c>
      <c r="AG141">
        <f t="shared" si="70"/>
        <v>0</v>
      </c>
      <c r="AH141">
        <f t="shared" si="70"/>
        <v>0</v>
      </c>
      <c r="AI141">
        <f t="shared" si="70"/>
        <v>0</v>
      </c>
      <c r="AJ141">
        <f t="shared" si="70"/>
        <v>0</v>
      </c>
      <c r="AK141">
        <f t="shared" si="70"/>
        <v>0</v>
      </c>
      <c r="AL141">
        <f t="shared" si="70"/>
        <v>0</v>
      </c>
      <c r="AM141">
        <f t="shared" si="70"/>
        <v>0</v>
      </c>
      <c r="AN141">
        <f t="shared" si="70"/>
        <v>0</v>
      </c>
      <c r="AO141">
        <f t="shared" si="70"/>
        <v>1</v>
      </c>
      <c r="AP141">
        <f t="shared" si="70"/>
        <v>0</v>
      </c>
      <c r="AQ141">
        <f t="shared" si="70"/>
        <v>0</v>
      </c>
      <c r="AR141">
        <f t="shared" si="70"/>
        <v>0</v>
      </c>
      <c r="AS141">
        <f t="shared" si="70"/>
        <v>0</v>
      </c>
      <c r="AT141">
        <f t="shared" si="70"/>
        <v>0</v>
      </c>
      <c r="AU141">
        <f t="shared" si="70"/>
        <v>0</v>
      </c>
      <c r="AV141">
        <f t="shared" si="69"/>
        <v>0</v>
      </c>
      <c r="AW141">
        <f t="shared" si="69"/>
        <v>0</v>
      </c>
      <c r="AX141">
        <f t="shared" si="69"/>
        <v>0</v>
      </c>
      <c r="AY141">
        <f t="shared" si="69"/>
        <v>0</v>
      </c>
      <c r="AZ141">
        <f t="shared" si="69"/>
        <v>0</v>
      </c>
    </row>
    <row r="142" spans="1:52" x14ac:dyDescent="0.25">
      <c r="A142" t="s">
        <v>49</v>
      </c>
      <c r="B142" s="3">
        <v>43220</v>
      </c>
      <c r="C142" s="1">
        <v>6465.0474129829954</v>
      </c>
      <c r="D142" s="1">
        <v>93.696339318594141</v>
      </c>
      <c r="E142" s="1">
        <f t="shared" si="72"/>
        <v>2739.0474129829954</v>
      </c>
      <c r="F142" s="1">
        <f t="shared" si="73"/>
        <v>3726</v>
      </c>
      <c r="G142" s="2">
        <v>69</v>
      </c>
      <c r="H142" s="1">
        <v>39.696339318594134</v>
      </c>
      <c r="I142" s="1">
        <v>54</v>
      </c>
      <c r="J142" s="1">
        <f t="shared" si="75"/>
        <v>559285.28934755502</v>
      </c>
      <c r="K142" s="1">
        <f t="shared" si="76"/>
        <v>280219.28934755467</v>
      </c>
      <c r="N142">
        <f t="shared" si="74"/>
        <v>0</v>
      </c>
      <c r="O142">
        <f t="shared" si="74"/>
        <v>0</v>
      </c>
      <c r="P142">
        <f t="shared" si="74"/>
        <v>0</v>
      </c>
      <c r="Q142">
        <f t="shared" si="71"/>
        <v>0</v>
      </c>
      <c r="R142">
        <f t="shared" si="71"/>
        <v>0</v>
      </c>
      <c r="S142">
        <f t="shared" si="71"/>
        <v>0</v>
      </c>
      <c r="T142">
        <f t="shared" si="71"/>
        <v>0</v>
      </c>
      <c r="U142">
        <f t="shared" si="71"/>
        <v>0</v>
      </c>
      <c r="V142">
        <f t="shared" si="71"/>
        <v>0</v>
      </c>
      <c r="W142">
        <f t="shared" si="71"/>
        <v>0</v>
      </c>
      <c r="X142">
        <f t="shared" si="71"/>
        <v>0</v>
      </c>
      <c r="Y142">
        <f t="shared" si="71"/>
        <v>0</v>
      </c>
      <c r="Z142">
        <f t="shared" si="71"/>
        <v>0</v>
      </c>
      <c r="AA142">
        <f t="shared" si="71"/>
        <v>1</v>
      </c>
      <c r="AB142">
        <f t="shared" si="71"/>
        <v>0</v>
      </c>
      <c r="AC142">
        <f t="shared" si="71"/>
        <v>0</v>
      </c>
      <c r="AD142">
        <f t="shared" si="71"/>
        <v>0</v>
      </c>
      <c r="AE142">
        <f t="shared" si="71"/>
        <v>0</v>
      </c>
      <c r="AF142">
        <f t="shared" si="71"/>
        <v>0</v>
      </c>
      <c r="AG142">
        <f t="shared" si="70"/>
        <v>0</v>
      </c>
      <c r="AH142">
        <f t="shared" si="70"/>
        <v>0</v>
      </c>
      <c r="AI142">
        <f t="shared" si="70"/>
        <v>0</v>
      </c>
      <c r="AJ142">
        <f t="shared" si="70"/>
        <v>0</v>
      </c>
      <c r="AK142">
        <f t="shared" si="70"/>
        <v>0</v>
      </c>
      <c r="AL142">
        <f t="shared" si="70"/>
        <v>0</v>
      </c>
      <c r="AM142">
        <f t="shared" si="70"/>
        <v>0</v>
      </c>
      <c r="AN142">
        <f t="shared" si="70"/>
        <v>0</v>
      </c>
      <c r="AO142">
        <f t="shared" si="70"/>
        <v>0</v>
      </c>
      <c r="AP142">
        <f t="shared" si="70"/>
        <v>0</v>
      </c>
      <c r="AQ142">
        <f t="shared" si="70"/>
        <v>0</v>
      </c>
      <c r="AR142">
        <f t="shared" si="70"/>
        <v>0</v>
      </c>
      <c r="AS142">
        <f t="shared" si="70"/>
        <v>0</v>
      </c>
      <c r="AT142">
        <f t="shared" si="70"/>
        <v>0</v>
      </c>
      <c r="AU142">
        <f t="shared" si="70"/>
        <v>0</v>
      </c>
      <c r="AV142">
        <f t="shared" si="69"/>
        <v>0</v>
      </c>
      <c r="AW142">
        <f t="shared" si="69"/>
        <v>0</v>
      </c>
      <c r="AX142">
        <f t="shared" si="69"/>
        <v>0</v>
      </c>
      <c r="AY142">
        <f t="shared" si="69"/>
        <v>0</v>
      </c>
      <c r="AZ142">
        <f t="shared" si="69"/>
        <v>0</v>
      </c>
    </row>
    <row r="143" spans="1:52" x14ac:dyDescent="0.25">
      <c r="A143" t="s">
        <v>18</v>
      </c>
      <c r="B143" s="3">
        <v>43219</v>
      </c>
      <c r="C143" s="1">
        <v>3876.0739985129139</v>
      </c>
      <c r="D143" s="1">
        <v>76.001450951233608</v>
      </c>
      <c r="E143" s="1">
        <f t="shared" si="72"/>
        <v>1887.0739985129137</v>
      </c>
      <c r="F143" s="1">
        <f t="shared" si="73"/>
        <v>1989</v>
      </c>
      <c r="G143" s="2">
        <v>51</v>
      </c>
      <c r="H143" s="1">
        <v>37.001450951233601</v>
      </c>
      <c r="I143" s="1">
        <v>39</v>
      </c>
      <c r="J143" s="1">
        <f t="shared" si="75"/>
        <v>563161.36334606796</v>
      </c>
      <c r="K143" s="1">
        <f t="shared" si="76"/>
        <v>282106.36334606761</v>
      </c>
      <c r="N143">
        <f t="shared" si="74"/>
        <v>0</v>
      </c>
      <c r="O143">
        <f t="shared" si="74"/>
        <v>0</v>
      </c>
      <c r="P143">
        <f t="shared" si="74"/>
        <v>0</v>
      </c>
      <c r="Q143">
        <f t="shared" si="71"/>
        <v>0</v>
      </c>
      <c r="R143">
        <f t="shared" si="71"/>
        <v>0</v>
      </c>
      <c r="S143">
        <f t="shared" si="71"/>
        <v>0</v>
      </c>
      <c r="T143">
        <f t="shared" si="71"/>
        <v>0</v>
      </c>
      <c r="U143">
        <f t="shared" si="71"/>
        <v>1</v>
      </c>
      <c r="V143">
        <f t="shared" si="71"/>
        <v>0</v>
      </c>
      <c r="W143">
        <f t="shared" si="71"/>
        <v>0</v>
      </c>
      <c r="X143">
        <f t="shared" si="71"/>
        <v>0</v>
      </c>
      <c r="Y143">
        <f t="shared" si="71"/>
        <v>0</v>
      </c>
      <c r="Z143">
        <f t="shared" si="71"/>
        <v>0</v>
      </c>
      <c r="AA143">
        <f t="shared" si="71"/>
        <v>0</v>
      </c>
      <c r="AB143">
        <f t="shared" si="71"/>
        <v>0</v>
      </c>
      <c r="AC143">
        <f t="shared" si="71"/>
        <v>0</v>
      </c>
      <c r="AD143">
        <f t="shared" si="71"/>
        <v>0</v>
      </c>
      <c r="AE143">
        <f t="shared" si="71"/>
        <v>0</v>
      </c>
      <c r="AF143">
        <f t="shared" ref="AF143:AU163" si="77">+IF(AF$5=$A143,1,0)</f>
        <v>0</v>
      </c>
      <c r="AG143">
        <f t="shared" si="77"/>
        <v>0</v>
      </c>
      <c r="AH143">
        <f t="shared" si="77"/>
        <v>0</v>
      </c>
      <c r="AI143">
        <f t="shared" si="77"/>
        <v>0</v>
      </c>
      <c r="AJ143">
        <f t="shared" si="77"/>
        <v>0</v>
      </c>
      <c r="AK143">
        <f t="shared" si="77"/>
        <v>0</v>
      </c>
      <c r="AL143">
        <f t="shared" si="77"/>
        <v>0</v>
      </c>
      <c r="AM143">
        <f t="shared" si="77"/>
        <v>0</v>
      </c>
      <c r="AN143">
        <f t="shared" si="77"/>
        <v>0</v>
      </c>
      <c r="AO143">
        <f t="shared" si="77"/>
        <v>0</v>
      </c>
      <c r="AP143">
        <f t="shared" si="77"/>
        <v>0</v>
      </c>
      <c r="AQ143">
        <f t="shared" si="77"/>
        <v>0</v>
      </c>
      <c r="AR143">
        <f t="shared" si="77"/>
        <v>0</v>
      </c>
      <c r="AS143">
        <f t="shared" si="77"/>
        <v>0</v>
      </c>
      <c r="AT143">
        <f t="shared" si="77"/>
        <v>0</v>
      </c>
      <c r="AU143">
        <f t="shared" si="77"/>
        <v>0</v>
      </c>
      <c r="AV143">
        <f t="shared" si="69"/>
        <v>0</v>
      </c>
      <c r="AW143">
        <f t="shared" si="69"/>
        <v>0</v>
      </c>
      <c r="AX143">
        <f t="shared" si="69"/>
        <v>0</v>
      </c>
      <c r="AY143">
        <f t="shared" si="69"/>
        <v>0</v>
      </c>
      <c r="AZ143">
        <f t="shared" si="69"/>
        <v>0</v>
      </c>
    </row>
    <row r="144" spans="1:52" x14ac:dyDescent="0.25">
      <c r="A144" t="s">
        <v>28</v>
      </c>
      <c r="B144" s="3">
        <v>43208</v>
      </c>
      <c r="C144" s="1">
        <v>1019.420725502142</v>
      </c>
      <c r="D144" s="1">
        <v>35.152438810418687</v>
      </c>
      <c r="E144" s="1">
        <f t="shared" si="72"/>
        <v>584.42072550214198</v>
      </c>
      <c r="F144" s="1">
        <f t="shared" si="73"/>
        <v>435</v>
      </c>
      <c r="G144" s="2">
        <v>29</v>
      </c>
      <c r="H144" s="1">
        <v>20.15243881041869</v>
      </c>
      <c r="I144" s="1">
        <v>15</v>
      </c>
      <c r="J144" s="1">
        <f t="shared" si="75"/>
        <v>564180.78407157015</v>
      </c>
      <c r="K144" s="1">
        <f t="shared" si="76"/>
        <v>282690.78407156974</v>
      </c>
      <c r="N144">
        <f t="shared" si="74"/>
        <v>0</v>
      </c>
      <c r="O144">
        <f t="shared" si="74"/>
        <v>0</v>
      </c>
      <c r="P144">
        <f t="shared" si="74"/>
        <v>0</v>
      </c>
      <c r="Q144">
        <f t="shared" si="74"/>
        <v>0</v>
      </c>
      <c r="R144">
        <f t="shared" si="74"/>
        <v>0</v>
      </c>
      <c r="S144">
        <f t="shared" si="74"/>
        <v>0</v>
      </c>
      <c r="T144">
        <f t="shared" si="74"/>
        <v>0</v>
      </c>
      <c r="U144">
        <f t="shared" si="74"/>
        <v>0</v>
      </c>
      <c r="V144">
        <f t="shared" si="74"/>
        <v>0</v>
      </c>
      <c r="W144">
        <f t="shared" si="74"/>
        <v>0</v>
      </c>
      <c r="X144">
        <f t="shared" si="74"/>
        <v>0</v>
      </c>
      <c r="Y144">
        <f t="shared" si="74"/>
        <v>0</v>
      </c>
      <c r="Z144">
        <f t="shared" si="74"/>
        <v>0</v>
      </c>
      <c r="AA144">
        <f t="shared" si="74"/>
        <v>0</v>
      </c>
      <c r="AB144">
        <f t="shared" si="74"/>
        <v>0</v>
      </c>
      <c r="AC144">
        <f t="shared" si="74"/>
        <v>0</v>
      </c>
      <c r="AD144">
        <f t="shared" ref="AD144:AS163" si="78">+IF(AD$5=$A144,1,0)</f>
        <v>0</v>
      </c>
      <c r="AE144">
        <f t="shared" si="78"/>
        <v>0</v>
      </c>
      <c r="AF144">
        <f t="shared" si="78"/>
        <v>0</v>
      </c>
      <c r="AG144">
        <f t="shared" si="78"/>
        <v>0</v>
      </c>
      <c r="AH144">
        <f t="shared" si="78"/>
        <v>0</v>
      </c>
      <c r="AI144">
        <f t="shared" si="78"/>
        <v>0</v>
      </c>
      <c r="AJ144">
        <f t="shared" si="78"/>
        <v>0</v>
      </c>
      <c r="AK144">
        <f t="shared" si="78"/>
        <v>0</v>
      </c>
      <c r="AL144">
        <f t="shared" si="78"/>
        <v>0</v>
      </c>
      <c r="AM144">
        <f t="shared" si="78"/>
        <v>0</v>
      </c>
      <c r="AN144">
        <f t="shared" si="78"/>
        <v>0</v>
      </c>
      <c r="AO144">
        <f t="shared" si="78"/>
        <v>0</v>
      </c>
      <c r="AP144">
        <f t="shared" si="78"/>
        <v>0</v>
      </c>
      <c r="AQ144">
        <f t="shared" si="78"/>
        <v>0</v>
      </c>
      <c r="AR144">
        <f t="shared" si="78"/>
        <v>0</v>
      </c>
      <c r="AS144">
        <f t="shared" si="78"/>
        <v>0</v>
      </c>
      <c r="AT144">
        <f t="shared" si="77"/>
        <v>1</v>
      </c>
      <c r="AU144">
        <f t="shared" si="77"/>
        <v>0</v>
      </c>
      <c r="AV144">
        <f t="shared" si="69"/>
        <v>0</v>
      </c>
      <c r="AW144">
        <f t="shared" si="69"/>
        <v>0</v>
      </c>
      <c r="AX144">
        <f t="shared" si="69"/>
        <v>0</v>
      </c>
      <c r="AY144">
        <f t="shared" si="69"/>
        <v>0</v>
      </c>
      <c r="AZ144">
        <f t="shared" si="69"/>
        <v>0</v>
      </c>
    </row>
    <row r="145" spans="1:52" x14ac:dyDescent="0.25">
      <c r="A145" t="s">
        <v>37</v>
      </c>
      <c r="B145" s="3">
        <v>43205</v>
      </c>
      <c r="C145" s="1">
        <v>1967.0181764401029</v>
      </c>
      <c r="D145" s="1">
        <v>89.409917110913767</v>
      </c>
      <c r="E145" s="1">
        <f t="shared" si="72"/>
        <v>845.01817644010293</v>
      </c>
      <c r="F145" s="1">
        <f t="shared" si="73"/>
        <v>1122</v>
      </c>
      <c r="G145" s="2">
        <v>22</v>
      </c>
      <c r="H145" s="1">
        <v>38.409917110913767</v>
      </c>
      <c r="I145" s="1">
        <v>51</v>
      </c>
      <c r="J145" s="1">
        <f t="shared" si="75"/>
        <v>566147.8022480103</v>
      </c>
      <c r="K145" s="1">
        <f t="shared" si="76"/>
        <v>283535.80224800983</v>
      </c>
      <c r="N145">
        <f t="shared" si="74"/>
        <v>0</v>
      </c>
      <c r="O145">
        <f t="shared" si="74"/>
        <v>0</v>
      </c>
      <c r="P145">
        <f t="shared" si="74"/>
        <v>0</v>
      </c>
      <c r="Q145">
        <f t="shared" si="74"/>
        <v>0</v>
      </c>
      <c r="R145">
        <f t="shared" si="74"/>
        <v>0</v>
      </c>
      <c r="S145">
        <f t="shared" si="74"/>
        <v>0</v>
      </c>
      <c r="T145">
        <f t="shared" si="74"/>
        <v>0</v>
      </c>
      <c r="U145">
        <f t="shared" si="74"/>
        <v>0</v>
      </c>
      <c r="V145">
        <f t="shared" si="74"/>
        <v>0</v>
      </c>
      <c r="W145">
        <f t="shared" si="74"/>
        <v>0</v>
      </c>
      <c r="X145">
        <f t="shared" si="74"/>
        <v>0</v>
      </c>
      <c r="Y145">
        <f t="shared" si="74"/>
        <v>0</v>
      </c>
      <c r="Z145">
        <f t="shared" si="74"/>
        <v>0</v>
      </c>
      <c r="AA145">
        <f t="shared" si="74"/>
        <v>0</v>
      </c>
      <c r="AB145">
        <f t="shared" si="74"/>
        <v>0</v>
      </c>
      <c r="AC145">
        <f t="shared" si="74"/>
        <v>0</v>
      </c>
      <c r="AD145">
        <f t="shared" si="78"/>
        <v>1</v>
      </c>
      <c r="AE145">
        <f t="shared" si="78"/>
        <v>0</v>
      </c>
      <c r="AF145">
        <f t="shared" si="78"/>
        <v>0</v>
      </c>
      <c r="AG145">
        <f t="shared" si="78"/>
        <v>0</v>
      </c>
      <c r="AH145">
        <f t="shared" si="78"/>
        <v>0</v>
      </c>
      <c r="AI145">
        <f t="shared" si="78"/>
        <v>0</v>
      </c>
      <c r="AJ145">
        <f t="shared" si="78"/>
        <v>0</v>
      </c>
      <c r="AK145">
        <f t="shared" si="78"/>
        <v>0</v>
      </c>
      <c r="AL145">
        <f t="shared" si="78"/>
        <v>0</v>
      </c>
      <c r="AM145">
        <f t="shared" si="78"/>
        <v>0</v>
      </c>
      <c r="AN145">
        <f t="shared" si="78"/>
        <v>0</v>
      </c>
      <c r="AO145">
        <f t="shared" si="78"/>
        <v>0</v>
      </c>
      <c r="AP145">
        <f t="shared" si="78"/>
        <v>0</v>
      </c>
      <c r="AQ145">
        <f t="shared" si="78"/>
        <v>0</v>
      </c>
      <c r="AR145">
        <f t="shared" si="78"/>
        <v>0</v>
      </c>
      <c r="AS145">
        <f t="shared" si="78"/>
        <v>0</v>
      </c>
      <c r="AT145">
        <f t="shared" si="77"/>
        <v>0</v>
      </c>
      <c r="AU145">
        <f t="shared" si="77"/>
        <v>0</v>
      </c>
      <c r="AV145">
        <f t="shared" si="69"/>
        <v>0</v>
      </c>
      <c r="AW145">
        <f t="shared" si="69"/>
        <v>0</v>
      </c>
      <c r="AX145">
        <f t="shared" si="69"/>
        <v>0</v>
      </c>
      <c r="AY145">
        <f t="shared" si="69"/>
        <v>0</v>
      </c>
      <c r="AZ145">
        <f t="shared" si="69"/>
        <v>0</v>
      </c>
    </row>
    <row r="146" spans="1:52" x14ac:dyDescent="0.25">
      <c r="A146" t="s">
        <v>25</v>
      </c>
      <c r="B146" s="3">
        <v>43185</v>
      </c>
      <c r="C146" s="1">
        <v>4760.9758926075783</v>
      </c>
      <c r="D146" s="1">
        <v>95.219517852151569</v>
      </c>
      <c r="E146" s="1">
        <f t="shared" si="72"/>
        <v>2610.9758926075779</v>
      </c>
      <c r="F146" s="1">
        <f t="shared" si="73"/>
        <v>2150</v>
      </c>
      <c r="G146" s="2">
        <v>50</v>
      </c>
      <c r="H146" s="1">
        <v>52.219517852151561</v>
      </c>
      <c r="I146" s="1">
        <v>43</v>
      </c>
      <c r="J146" s="1">
        <f t="shared" si="75"/>
        <v>570908.77814061788</v>
      </c>
      <c r="K146" s="1">
        <f t="shared" si="76"/>
        <v>286146.77814061742</v>
      </c>
      <c r="N146">
        <f t="shared" si="74"/>
        <v>0</v>
      </c>
      <c r="O146">
        <f t="shared" si="74"/>
        <v>0</v>
      </c>
      <c r="P146">
        <f t="shared" si="74"/>
        <v>0</v>
      </c>
      <c r="Q146">
        <f t="shared" si="74"/>
        <v>0</v>
      </c>
      <c r="R146">
        <f t="shared" si="74"/>
        <v>0</v>
      </c>
      <c r="S146">
        <f t="shared" si="74"/>
        <v>1</v>
      </c>
      <c r="T146">
        <f t="shared" si="74"/>
        <v>0</v>
      </c>
      <c r="U146">
        <f t="shared" si="74"/>
        <v>0</v>
      </c>
      <c r="V146">
        <f t="shared" si="74"/>
        <v>0</v>
      </c>
      <c r="W146">
        <f t="shared" si="74"/>
        <v>0</v>
      </c>
      <c r="X146">
        <f t="shared" si="74"/>
        <v>0</v>
      </c>
      <c r="Y146">
        <f t="shared" si="74"/>
        <v>0</v>
      </c>
      <c r="Z146">
        <f t="shared" si="74"/>
        <v>0</v>
      </c>
      <c r="AA146">
        <f t="shared" si="74"/>
        <v>0</v>
      </c>
      <c r="AB146">
        <f t="shared" si="74"/>
        <v>0</v>
      </c>
      <c r="AC146">
        <f t="shared" si="74"/>
        <v>0</v>
      </c>
      <c r="AD146">
        <f t="shared" si="78"/>
        <v>0</v>
      </c>
      <c r="AE146">
        <f t="shared" si="78"/>
        <v>0</v>
      </c>
      <c r="AF146">
        <f t="shared" si="78"/>
        <v>0</v>
      </c>
      <c r="AG146">
        <f t="shared" si="78"/>
        <v>0</v>
      </c>
      <c r="AH146">
        <f t="shared" si="78"/>
        <v>0</v>
      </c>
      <c r="AI146">
        <f t="shared" si="78"/>
        <v>0</v>
      </c>
      <c r="AJ146">
        <f t="shared" si="78"/>
        <v>0</v>
      </c>
      <c r="AK146">
        <f t="shared" si="78"/>
        <v>0</v>
      </c>
      <c r="AL146">
        <f t="shared" si="78"/>
        <v>0</v>
      </c>
      <c r="AM146">
        <f t="shared" si="78"/>
        <v>0</v>
      </c>
      <c r="AN146">
        <f t="shared" si="78"/>
        <v>0</v>
      </c>
      <c r="AO146">
        <f t="shared" si="78"/>
        <v>0</v>
      </c>
      <c r="AP146">
        <f t="shared" si="78"/>
        <v>0</v>
      </c>
      <c r="AQ146">
        <f t="shared" si="78"/>
        <v>0</v>
      </c>
      <c r="AR146">
        <f t="shared" si="78"/>
        <v>0</v>
      </c>
      <c r="AS146">
        <f t="shared" si="78"/>
        <v>0</v>
      </c>
      <c r="AT146">
        <f t="shared" si="77"/>
        <v>0</v>
      </c>
      <c r="AU146">
        <f t="shared" si="77"/>
        <v>0</v>
      </c>
      <c r="AV146">
        <f t="shared" si="69"/>
        <v>0</v>
      </c>
      <c r="AW146">
        <f t="shared" si="69"/>
        <v>0</v>
      </c>
      <c r="AX146">
        <f t="shared" si="69"/>
        <v>0</v>
      </c>
      <c r="AY146">
        <f t="shared" si="69"/>
        <v>0</v>
      </c>
      <c r="AZ146">
        <f t="shared" si="69"/>
        <v>0</v>
      </c>
    </row>
    <row r="147" spans="1:52" x14ac:dyDescent="0.25">
      <c r="A147" t="s">
        <v>20</v>
      </c>
      <c r="B147" s="3">
        <v>43177</v>
      </c>
      <c r="C147" s="1">
        <v>873.80047125785586</v>
      </c>
      <c r="D147" s="1">
        <v>218.45011781446397</v>
      </c>
      <c r="E147" s="1">
        <f t="shared" si="72"/>
        <v>353.80047125785592</v>
      </c>
      <c r="F147" s="1">
        <f t="shared" si="73"/>
        <v>520</v>
      </c>
      <c r="G147" s="2">
        <v>4</v>
      </c>
      <c r="H147" s="1">
        <v>88.450117814463979</v>
      </c>
      <c r="I147" s="1">
        <v>130</v>
      </c>
      <c r="J147" s="1">
        <f t="shared" si="75"/>
        <v>571782.57861187577</v>
      </c>
      <c r="K147" s="1">
        <f t="shared" si="76"/>
        <v>286500.5786118753</v>
      </c>
      <c r="N147">
        <f t="shared" si="74"/>
        <v>0</v>
      </c>
      <c r="O147">
        <f t="shared" si="74"/>
        <v>0</v>
      </c>
      <c r="P147">
        <f t="shared" si="74"/>
        <v>0</v>
      </c>
      <c r="Q147">
        <f t="shared" si="74"/>
        <v>0</v>
      </c>
      <c r="R147">
        <f t="shared" si="74"/>
        <v>0</v>
      </c>
      <c r="S147">
        <f t="shared" si="74"/>
        <v>0</v>
      </c>
      <c r="T147">
        <f t="shared" si="74"/>
        <v>0</v>
      </c>
      <c r="U147">
        <f t="shared" si="74"/>
        <v>0</v>
      </c>
      <c r="V147">
        <f t="shared" si="74"/>
        <v>0</v>
      </c>
      <c r="W147">
        <f t="shared" si="74"/>
        <v>0</v>
      </c>
      <c r="X147">
        <f t="shared" si="74"/>
        <v>0</v>
      </c>
      <c r="Y147">
        <f t="shared" si="74"/>
        <v>0</v>
      </c>
      <c r="Z147">
        <f t="shared" si="74"/>
        <v>0</v>
      </c>
      <c r="AA147">
        <f t="shared" si="74"/>
        <v>0</v>
      </c>
      <c r="AB147">
        <f t="shared" si="74"/>
        <v>0</v>
      </c>
      <c r="AC147">
        <f t="shared" si="74"/>
        <v>0</v>
      </c>
      <c r="AD147">
        <f t="shared" si="78"/>
        <v>0</v>
      </c>
      <c r="AE147">
        <f t="shared" si="78"/>
        <v>1</v>
      </c>
      <c r="AF147">
        <f t="shared" si="78"/>
        <v>0</v>
      </c>
      <c r="AG147">
        <f t="shared" si="78"/>
        <v>0</v>
      </c>
      <c r="AH147">
        <f t="shared" si="78"/>
        <v>0</v>
      </c>
      <c r="AI147">
        <f t="shared" si="78"/>
        <v>0</v>
      </c>
      <c r="AJ147">
        <f t="shared" si="78"/>
        <v>0</v>
      </c>
      <c r="AK147">
        <f t="shared" si="78"/>
        <v>0</v>
      </c>
      <c r="AL147">
        <f t="shared" si="78"/>
        <v>0</v>
      </c>
      <c r="AM147">
        <f t="shared" si="78"/>
        <v>0</v>
      </c>
      <c r="AN147">
        <f t="shared" si="78"/>
        <v>0</v>
      </c>
      <c r="AO147">
        <f t="shared" si="78"/>
        <v>0</v>
      </c>
      <c r="AP147">
        <f t="shared" si="78"/>
        <v>0</v>
      </c>
      <c r="AQ147">
        <f t="shared" si="78"/>
        <v>0</v>
      </c>
      <c r="AR147">
        <f t="shared" si="78"/>
        <v>0</v>
      </c>
      <c r="AS147">
        <f t="shared" si="78"/>
        <v>0</v>
      </c>
      <c r="AT147">
        <f t="shared" si="77"/>
        <v>0</v>
      </c>
      <c r="AU147">
        <f t="shared" si="77"/>
        <v>0</v>
      </c>
      <c r="AV147">
        <f t="shared" si="69"/>
        <v>0</v>
      </c>
      <c r="AW147">
        <f t="shared" si="69"/>
        <v>0</v>
      </c>
      <c r="AX147">
        <f t="shared" si="69"/>
        <v>0</v>
      </c>
      <c r="AY147">
        <f t="shared" si="69"/>
        <v>0</v>
      </c>
      <c r="AZ147">
        <f t="shared" si="69"/>
        <v>0</v>
      </c>
    </row>
    <row r="148" spans="1:52" x14ac:dyDescent="0.25">
      <c r="A148" t="s">
        <v>11</v>
      </c>
      <c r="B148" s="3">
        <v>43174</v>
      </c>
      <c r="C148" s="1">
        <v>310.52477364548162</v>
      </c>
      <c r="D148" s="1">
        <v>77.631193411370404</v>
      </c>
      <c r="E148" s="1">
        <f t="shared" si="72"/>
        <v>130.52477364548162</v>
      </c>
      <c r="F148" s="1">
        <f t="shared" si="73"/>
        <v>180</v>
      </c>
      <c r="G148" s="2">
        <v>4</v>
      </c>
      <c r="H148" s="1">
        <v>32.631193411370404</v>
      </c>
      <c r="I148" s="1">
        <v>45</v>
      </c>
      <c r="J148" s="1">
        <f t="shared" si="75"/>
        <v>572093.10338552122</v>
      </c>
      <c r="K148" s="1">
        <f t="shared" si="76"/>
        <v>286631.10338552081</v>
      </c>
      <c r="N148">
        <f t="shared" si="74"/>
        <v>0</v>
      </c>
      <c r="O148">
        <f t="shared" si="74"/>
        <v>0</v>
      </c>
      <c r="P148">
        <f t="shared" si="74"/>
        <v>1</v>
      </c>
      <c r="Q148">
        <f t="shared" si="74"/>
        <v>0</v>
      </c>
      <c r="R148">
        <f t="shared" si="74"/>
        <v>0</v>
      </c>
      <c r="S148">
        <f t="shared" si="74"/>
        <v>0</v>
      </c>
      <c r="T148">
        <f t="shared" si="74"/>
        <v>0</v>
      </c>
      <c r="U148">
        <f t="shared" si="74"/>
        <v>0</v>
      </c>
      <c r="V148">
        <f t="shared" si="74"/>
        <v>0</v>
      </c>
      <c r="W148">
        <f t="shared" si="74"/>
        <v>0</v>
      </c>
      <c r="X148">
        <f t="shared" si="74"/>
        <v>0</v>
      </c>
      <c r="Y148">
        <f t="shared" si="74"/>
        <v>0</v>
      </c>
      <c r="Z148">
        <f t="shared" si="74"/>
        <v>0</v>
      </c>
      <c r="AA148">
        <f t="shared" si="74"/>
        <v>0</v>
      </c>
      <c r="AB148">
        <f t="shared" ref="AB148:AQ163" si="79">+IF(AB$5=$A148,1,0)</f>
        <v>0</v>
      </c>
      <c r="AC148">
        <f t="shared" si="79"/>
        <v>0</v>
      </c>
      <c r="AD148">
        <f t="shared" si="79"/>
        <v>0</v>
      </c>
      <c r="AE148">
        <f t="shared" si="79"/>
        <v>0</v>
      </c>
      <c r="AF148">
        <f t="shared" si="79"/>
        <v>0</v>
      </c>
      <c r="AG148">
        <f t="shared" si="79"/>
        <v>0</v>
      </c>
      <c r="AH148">
        <f t="shared" si="79"/>
        <v>0</v>
      </c>
      <c r="AI148">
        <f t="shared" si="79"/>
        <v>0</v>
      </c>
      <c r="AJ148">
        <f t="shared" si="79"/>
        <v>0</v>
      </c>
      <c r="AK148">
        <f t="shared" si="79"/>
        <v>0</v>
      </c>
      <c r="AL148">
        <f t="shared" si="79"/>
        <v>0</v>
      </c>
      <c r="AM148">
        <f t="shared" si="79"/>
        <v>0</v>
      </c>
      <c r="AN148">
        <f t="shared" si="79"/>
        <v>0</v>
      </c>
      <c r="AO148">
        <f t="shared" si="79"/>
        <v>0</v>
      </c>
      <c r="AP148">
        <f t="shared" si="79"/>
        <v>0</v>
      </c>
      <c r="AQ148">
        <f t="shared" si="79"/>
        <v>0</v>
      </c>
      <c r="AR148">
        <f t="shared" si="78"/>
        <v>0</v>
      </c>
      <c r="AS148">
        <f t="shared" si="78"/>
        <v>0</v>
      </c>
      <c r="AT148">
        <f t="shared" si="77"/>
        <v>0</v>
      </c>
      <c r="AU148">
        <f t="shared" si="77"/>
        <v>0</v>
      </c>
      <c r="AV148">
        <f t="shared" si="69"/>
        <v>0</v>
      </c>
      <c r="AW148">
        <f t="shared" si="69"/>
        <v>0</v>
      </c>
      <c r="AX148">
        <f t="shared" si="69"/>
        <v>0</v>
      </c>
      <c r="AY148">
        <f t="shared" si="69"/>
        <v>0</v>
      </c>
      <c r="AZ148">
        <f t="shared" si="69"/>
        <v>0</v>
      </c>
    </row>
    <row r="149" spans="1:52" x14ac:dyDescent="0.25">
      <c r="A149" t="s">
        <v>24</v>
      </c>
      <c r="B149" s="3">
        <v>43166</v>
      </c>
      <c r="C149" s="1">
        <v>506.52455944013673</v>
      </c>
      <c r="D149" s="1">
        <v>101.30491188802735</v>
      </c>
      <c r="E149" s="1">
        <f t="shared" si="72"/>
        <v>216.52455944013673</v>
      </c>
      <c r="F149" s="1">
        <f t="shared" si="73"/>
        <v>290</v>
      </c>
      <c r="G149" s="2">
        <v>5</v>
      </c>
      <c r="H149" s="1">
        <v>43.304911888027348</v>
      </c>
      <c r="I149" s="1">
        <v>58</v>
      </c>
      <c r="J149" s="1">
        <f t="shared" si="75"/>
        <v>572599.62794496131</v>
      </c>
      <c r="K149" s="1">
        <f t="shared" si="76"/>
        <v>286847.62794496096</v>
      </c>
      <c r="N149">
        <f t="shared" si="74"/>
        <v>0</v>
      </c>
      <c r="O149">
        <f t="shared" si="74"/>
        <v>0</v>
      </c>
      <c r="P149">
        <f t="shared" si="74"/>
        <v>0</v>
      </c>
      <c r="Q149">
        <f t="shared" ref="Q149:AF164" si="80">+IF(Q$5=$A149,1,0)</f>
        <v>0</v>
      </c>
      <c r="R149">
        <f t="shared" si="80"/>
        <v>0</v>
      </c>
      <c r="S149">
        <f t="shared" si="80"/>
        <v>0</v>
      </c>
      <c r="T149">
        <f t="shared" si="80"/>
        <v>0</v>
      </c>
      <c r="U149">
        <f t="shared" si="80"/>
        <v>0</v>
      </c>
      <c r="V149">
        <f t="shared" si="80"/>
        <v>1</v>
      </c>
      <c r="W149">
        <f t="shared" si="80"/>
        <v>0</v>
      </c>
      <c r="X149">
        <f t="shared" si="80"/>
        <v>0</v>
      </c>
      <c r="Y149">
        <f t="shared" si="80"/>
        <v>0</v>
      </c>
      <c r="Z149">
        <f t="shared" si="80"/>
        <v>0</v>
      </c>
      <c r="AA149">
        <f t="shared" si="80"/>
        <v>0</v>
      </c>
      <c r="AB149">
        <f t="shared" si="80"/>
        <v>0</v>
      </c>
      <c r="AC149">
        <f t="shared" si="80"/>
        <v>0</v>
      </c>
      <c r="AD149">
        <f t="shared" si="80"/>
        <v>0</v>
      </c>
      <c r="AE149">
        <f t="shared" si="80"/>
        <v>0</v>
      </c>
      <c r="AF149">
        <f t="shared" si="80"/>
        <v>0</v>
      </c>
      <c r="AG149">
        <f t="shared" si="79"/>
        <v>0</v>
      </c>
      <c r="AH149">
        <f t="shared" si="79"/>
        <v>0</v>
      </c>
      <c r="AI149">
        <f t="shared" si="79"/>
        <v>0</v>
      </c>
      <c r="AJ149">
        <f t="shared" si="79"/>
        <v>0</v>
      </c>
      <c r="AK149">
        <f t="shared" si="79"/>
        <v>0</v>
      </c>
      <c r="AL149">
        <f t="shared" si="79"/>
        <v>0</v>
      </c>
      <c r="AM149">
        <f t="shared" si="79"/>
        <v>0</v>
      </c>
      <c r="AN149">
        <f t="shared" si="79"/>
        <v>0</v>
      </c>
      <c r="AO149">
        <f t="shared" si="79"/>
        <v>0</v>
      </c>
      <c r="AP149">
        <f t="shared" si="79"/>
        <v>0</v>
      </c>
      <c r="AQ149">
        <f t="shared" si="79"/>
        <v>0</v>
      </c>
      <c r="AR149">
        <f t="shared" si="78"/>
        <v>0</v>
      </c>
      <c r="AS149">
        <f t="shared" si="78"/>
        <v>0</v>
      </c>
      <c r="AT149">
        <f t="shared" si="77"/>
        <v>0</v>
      </c>
      <c r="AU149">
        <f t="shared" si="77"/>
        <v>0</v>
      </c>
      <c r="AV149">
        <f t="shared" si="69"/>
        <v>0</v>
      </c>
      <c r="AW149">
        <f t="shared" si="69"/>
        <v>0</v>
      </c>
      <c r="AX149">
        <f t="shared" si="69"/>
        <v>0</v>
      </c>
      <c r="AY149">
        <f t="shared" si="69"/>
        <v>0</v>
      </c>
      <c r="AZ149">
        <f t="shared" si="69"/>
        <v>0</v>
      </c>
    </row>
    <row r="150" spans="1:52" x14ac:dyDescent="0.25">
      <c r="A150" t="s">
        <v>32</v>
      </c>
      <c r="B150" s="3">
        <v>43161</v>
      </c>
      <c r="C150" s="1">
        <v>808.77758520966279</v>
      </c>
      <c r="D150" s="1">
        <v>115.53965502995183</v>
      </c>
      <c r="E150" s="1">
        <f t="shared" si="72"/>
        <v>360.77758520966285</v>
      </c>
      <c r="F150" s="1">
        <f t="shared" si="73"/>
        <v>448</v>
      </c>
      <c r="G150" s="2">
        <v>7</v>
      </c>
      <c r="H150" s="1">
        <v>51.539655029951838</v>
      </c>
      <c r="I150" s="1">
        <v>64</v>
      </c>
      <c r="J150" s="1">
        <f t="shared" si="75"/>
        <v>573408.405530171</v>
      </c>
      <c r="K150" s="1">
        <f t="shared" si="76"/>
        <v>287208.4055301706</v>
      </c>
      <c r="N150">
        <f t="shared" si="74"/>
        <v>0</v>
      </c>
      <c r="O150">
        <f t="shared" si="74"/>
        <v>0</v>
      </c>
      <c r="P150">
        <f t="shared" si="74"/>
        <v>0</v>
      </c>
      <c r="Q150">
        <f t="shared" si="80"/>
        <v>0</v>
      </c>
      <c r="R150">
        <f t="shared" si="80"/>
        <v>0</v>
      </c>
      <c r="S150">
        <f t="shared" si="80"/>
        <v>0</v>
      </c>
      <c r="T150">
        <f t="shared" si="80"/>
        <v>0</v>
      </c>
      <c r="U150">
        <f t="shared" si="80"/>
        <v>0</v>
      </c>
      <c r="V150">
        <f t="shared" si="80"/>
        <v>0</v>
      </c>
      <c r="W150">
        <f t="shared" si="80"/>
        <v>0</v>
      </c>
      <c r="X150">
        <f t="shared" si="80"/>
        <v>0</v>
      </c>
      <c r="Y150">
        <f t="shared" si="80"/>
        <v>0</v>
      </c>
      <c r="Z150">
        <f t="shared" si="80"/>
        <v>0</v>
      </c>
      <c r="AA150">
        <f t="shared" si="80"/>
        <v>0</v>
      </c>
      <c r="AB150">
        <f t="shared" si="80"/>
        <v>0</v>
      </c>
      <c r="AC150">
        <f t="shared" si="80"/>
        <v>0</v>
      </c>
      <c r="AD150">
        <f t="shared" si="80"/>
        <v>0</v>
      </c>
      <c r="AE150">
        <f t="shared" si="80"/>
        <v>0</v>
      </c>
      <c r="AF150">
        <f t="shared" si="80"/>
        <v>0</v>
      </c>
      <c r="AG150">
        <f t="shared" si="79"/>
        <v>0</v>
      </c>
      <c r="AH150">
        <f t="shared" si="79"/>
        <v>1</v>
      </c>
      <c r="AI150">
        <f t="shared" si="79"/>
        <v>0</v>
      </c>
      <c r="AJ150">
        <f t="shared" si="79"/>
        <v>0</v>
      </c>
      <c r="AK150">
        <f t="shared" si="79"/>
        <v>0</v>
      </c>
      <c r="AL150">
        <f t="shared" si="79"/>
        <v>0</v>
      </c>
      <c r="AM150">
        <f t="shared" si="79"/>
        <v>0</v>
      </c>
      <c r="AN150">
        <f t="shared" si="79"/>
        <v>0</v>
      </c>
      <c r="AO150">
        <f t="shared" si="79"/>
        <v>0</v>
      </c>
      <c r="AP150">
        <f t="shared" si="79"/>
        <v>0</v>
      </c>
      <c r="AQ150">
        <f t="shared" si="79"/>
        <v>0</v>
      </c>
      <c r="AR150">
        <f t="shared" si="78"/>
        <v>0</v>
      </c>
      <c r="AS150">
        <f t="shared" si="78"/>
        <v>0</v>
      </c>
      <c r="AT150">
        <f t="shared" si="77"/>
        <v>0</v>
      </c>
      <c r="AU150">
        <f t="shared" si="77"/>
        <v>0</v>
      </c>
      <c r="AV150">
        <f t="shared" si="69"/>
        <v>0</v>
      </c>
      <c r="AW150">
        <f t="shared" si="69"/>
        <v>0</v>
      </c>
      <c r="AX150">
        <f t="shared" si="69"/>
        <v>0</v>
      </c>
      <c r="AY150">
        <f t="shared" si="69"/>
        <v>0</v>
      </c>
      <c r="AZ150">
        <f t="shared" si="69"/>
        <v>0</v>
      </c>
    </row>
    <row r="151" spans="1:52" x14ac:dyDescent="0.25">
      <c r="A151" t="s">
        <v>46</v>
      </c>
      <c r="B151" s="3">
        <v>43160</v>
      </c>
      <c r="C151" s="1">
        <v>3465.7147289993686</v>
      </c>
      <c r="D151" s="1">
        <v>192.53970716663159</v>
      </c>
      <c r="E151" s="1">
        <f t="shared" si="72"/>
        <v>1539.7147289993686</v>
      </c>
      <c r="F151" s="1">
        <f t="shared" si="73"/>
        <v>1926</v>
      </c>
      <c r="G151" s="2">
        <v>18</v>
      </c>
      <c r="H151" s="1">
        <v>85.539707166631587</v>
      </c>
      <c r="I151" s="1">
        <v>107</v>
      </c>
      <c r="J151" s="1">
        <f t="shared" si="75"/>
        <v>576874.12025917042</v>
      </c>
      <c r="K151" s="1">
        <f t="shared" si="76"/>
        <v>288748.12025916995</v>
      </c>
      <c r="N151">
        <f t="shared" si="74"/>
        <v>0</v>
      </c>
      <c r="O151">
        <f t="shared" si="74"/>
        <v>1</v>
      </c>
      <c r="P151">
        <f t="shared" si="74"/>
        <v>0</v>
      </c>
      <c r="Q151">
        <f t="shared" si="80"/>
        <v>0</v>
      </c>
      <c r="R151">
        <f t="shared" si="80"/>
        <v>0</v>
      </c>
      <c r="S151">
        <f t="shared" si="80"/>
        <v>0</v>
      </c>
      <c r="T151">
        <f t="shared" si="80"/>
        <v>0</v>
      </c>
      <c r="U151">
        <f t="shared" si="80"/>
        <v>0</v>
      </c>
      <c r="V151">
        <f t="shared" si="80"/>
        <v>0</v>
      </c>
      <c r="W151">
        <f t="shared" si="80"/>
        <v>0</v>
      </c>
      <c r="X151">
        <f t="shared" si="80"/>
        <v>0</v>
      </c>
      <c r="Y151">
        <f t="shared" si="80"/>
        <v>0</v>
      </c>
      <c r="Z151">
        <f t="shared" si="80"/>
        <v>0</v>
      </c>
      <c r="AA151">
        <f t="shared" si="80"/>
        <v>0</v>
      </c>
      <c r="AB151">
        <f t="shared" si="80"/>
        <v>0</v>
      </c>
      <c r="AC151">
        <f t="shared" si="80"/>
        <v>0</v>
      </c>
      <c r="AD151">
        <f t="shared" si="80"/>
        <v>0</v>
      </c>
      <c r="AE151">
        <f t="shared" si="80"/>
        <v>0</v>
      </c>
      <c r="AF151">
        <f t="shared" si="80"/>
        <v>0</v>
      </c>
      <c r="AG151">
        <f t="shared" si="79"/>
        <v>0</v>
      </c>
      <c r="AH151">
        <f t="shared" si="79"/>
        <v>0</v>
      </c>
      <c r="AI151">
        <f t="shared" si="79"/>
        <v>0</v>
      </c>
      <c r="AJ151">
        <f t="shared" si="79"/>
        <v>0</v>
      </c>
      <c r="AK151">
        <f t="shared" si="79"/>
        <v>0</v>
      </c>
      <c r="AL151">
        <f t="shared" si="79"/>
        <v>0</v>
      </c>
      <c r="AM151">
        <f t="shared" si="79"/>
        <v>0</v>
      </c>
      <c r="AN151">
        <f t="shared" si="79"/>
        <v>0</v>
      </c>
      <c r="AO151">
        <f t="shared" si="79"/>
        <v>0</v>
      </c>
      <c r="AP151">
        <f t="shared" si="79"/>
        <v>0</v>
      </c>
      <c r="AQ151">
        <f t="shared" si="79"/>
        <v>0</v>
      </c>
      <c r="AR151">
        <f t="shared" si="78"/>
        <v>0</v>
      </c>
      <c r="AS151">
        <f t="shared" si="78"/>
        <v>0</v>
      </c>
      <c r="AT151">
        <f t="shared" si="77"/>
        <v>0</v>
      </c>
      <c r="AU151">
        <f t="shared" si="77"/>
        <v>0</v>
      </c>
      <c r="AV151">
        <f t="shared" si="69"/>
        <v>0</v>
      </c>
      <c r="AW151">
        <f t="shared" si="69"/>
        <v>0</v>
      </c>
      <c r="AX151">
        <f t="shared" si="69"/>
        <v>0</v>
      </c>
      <c r="AY151">
        <f t="shared" si="69"/>
        <v>0</v>
      </c>
      <c r="AZ151">
        <f t="shared" si="69"/>
        <v>0</v>
      </c>
    </row>
    <row r="152" spans="1:52" x14ac:dyDescent="0.25">
      <c r="A152" t="s">
        <v>12</v>
      </c>
      <c r="B152" s="3">
        <v>43158</v>
      </c>
      <c r="C152" s="1">
        <v>1473.1296069700884</v>
      </c>
      <c r="D152" s="1">
        <v>122.76080058084069</v>
      </c>
      <c r="E152" s="1">
        <f t="shared" si="72"/>
        <v>753.12960697008839</v>
      </c>
      <c r="F152" s="1">
        <f t="shared" si="73"/>
        <v>720</v>
      </c>
      <c r="G152" s="2">
        <v>12</v>
      </c>
      <c r="H152" s="1">
        <v>62.760800580840694</v>
      </c>
      <c r="I152" s="1">
        <v>60</v>
      </c>
      <c r="J152" s="1">
        <f t="shared" si="75"/>
        <v>578347.24986614054</v>
      </c>
      <c r="K152" s="1">
        <f t="shared" si="76"/>
        <v>289501.24986614002</v>
      </c>
      <c r="N152">
        <f t="shared" si="74"/>
        <v>0</v>
      </c>
      <c r="O152">
        <f t="shared" si="74"/>
        <v>0</v>
      </c>
      <c r="P152">
        <f t="shared" si="74"/>
        <v>0</v>
      </c>
      <c r="Q152">
        <f t="shared" si="80"/>
        <v>0</v>
      </c>
      <c r="R152">
        <f t="shared" si="80"/>
        <v>0</v>
      </c>
      <c r="S152">
        <f t="shared" si="80"/>
        <v>0</v>
      </c>
      <c r="T152">
        <f t="shared" si="80"/>
        <v>0</v>
      </c>
      <c r="U152">
        <f t="shared" si="80"/>
        <v>0</v>
      </c>
      <c r="V152">
        <f t="shared" si="80"/>
        <v>0</v>
      </c>
      <c r="W152">
        <f t="shared" si="80"/>
        <v>0</v>
      </c>
      <c r="X152">
        <f t="shared" si="80"/>
        <v>0</v>
      </c>
      <c r="Y152">
        <f t="shared" si="80"/>
        <v>0</v>
      </c>
      <c r="Z152">
        <f t="shared" si="80"/>
        <v>0</v>
      </c>
      <c r="AA152">
        <f t="shared" si="80"/>
        <v>0</v>
      </c>
      <c r="AB152">
        <f t="shared" si="80"/>
        <v>0</v>
      </c>
      <c r="AC152">
        <f t="shared" si="80"/>
        <v>0</v>
      </c>
      <c r="AD152">
        <f t="shared" si="80"/>
        <v>0</v>
      </c>
      <c r="AE152">
        <f t="shared" si="80"/>
        <v>0</v>
      </c>
      <c r="AF152">
        <f t="shared" si="80"/>
        <v>0</v>
      </c>
      <c r="AG152">
        <f t="shared" si="79"/>
        <v>0</v>
      </c>
      <c r="AH152">
        <f t="shared" si="79"/>
        <v>0</v>
      </c>
      <c r="AI152">
        <f t="shared" si="79"/>
        <v>0</v>
      </c>
      <c r="AJ152">
        <f t="shared" si="79"/>
        <v>0</v>
      </c>
      <c r="AK152">
        <f t="shared" si="79"/>
        <v>1</v>
      </c>
      <c r="AL152">
        <f t="shared" si="79"/>
        <v>0</v>
      </c>
      <c r="AM152">
        <f t="shared" si="79"/>
        <v>0</v>
      </c>
      <c r="AN152">
        <f t="shared" si="79"/>
        <v>0</v>
      </c>
      <c r="AO152">
        <f t="shared" si="79"/>
        <v>0</v>
      </c>
      <c r="AP152">
        <f t="shared" si="79"/>
        <v>0</v>
      </c>
      <c r="AQ152">
        <f t="shared" si="79"/>
        <v>0</v>
      </c>
      <c r="AR152">
        <f t="shared" si="78"/>
        <v>0</v>
      </c>
      <c r="AS152">
        <f t="shared" si="78"/>
        <v>0</v>
      </c>
      <c r="AT152">
        <f t="shared" si="77"/>
        <v>0</v>
      </c>
      <c r="AU152">
        <f t="shared" si="77"/>
        <v>0</v>
      </c>
      <c r="AV152">
        <f t="shared" si="69"/>
        <v>0</v>
      </c>
      <c r="AW152">
        <f t="shared" si="69"/>
        <v>0</v>
      </c>
      <c r="AX152">
        <f t="shared" si="69"/>
        <v>0</v>
      </c>
      <c r="AY152">
        <f t="shared" si="69"/>
        <v>0</v>
      </c>
      <c r="AZ152">
        <f t="shared" si="69"/>
        <v>0</v>
      </c>
    </row>
    <row r="153" spans="1:52" x14ac:dyDescent="0.25">
      <c r="A153" t="s">
        <v>36</v>
      </c>
      <c r="B153" s="3">
        <v>43147</v>
      </c>
      <c r="C153" s="1">
        <v>11839.86370584257</v>
      </c>
      <c r="D153" s="1">
        <v>105.71306880216581</v>
      </c>
      <c r="E153" s="1">
        <f t="shared" si="72"/>
        <v>6015.8637058425702</v>
      </c>
      <c r="F153" s="1">
        <f t="shared" si="73"/>
        <v>5824</v>
      </c>
      <c r="G153" s="2">
        <v>112</v>
      </c>
      <c r="H153" s="1">
        <v>53.713068802165807</v>
      </c>
      <c r="I153" s="1">
        <v>52</v>
      </c>
      <c r="J153" s="1">
        <f t="shared" si="75"/>
        <v>590187.11357198306</v>
      </c>
      <c r="K153" s="1">
        <f t="shared" si="76"/>
        <v>295517.1135719826</v>
      </c>
      <c r="N153">
        <f t="shared" si="74"/>
        <v>0</v>
      </c>
      <c r="O153">
        <f t="shared" si="74"/>
        <v>0</v>
      </c>
      <c r="P153">
        <f t="shared" si="74"/>
        <v>0</v>
      </c>
      <c r="Q153">
        <f t="shared" si="80"/>
        <v>0</v>
      </c>
      <c r="R153">
        <f t="shared" si="80"/>
        <v>0</v>
      </c>
      <c r="S153">
        <f t="shared" si="80"/>
        <v>0</v>
      </c>
      <c r="T153">
        <f t="shared" si="80"/>
        <v>0</v>
      </c>
      <c r="U153">
        <f t="shared" si="80"/>
        <v>0</v>
      </c>
      <c r="V153">
        <f t="shared" si="80"/>
        <v>0</v>
      </c>
      <c r="W153">
        <f t="shared" si="80"/>
        <v>0</v>
      </c>
      <c r="X153">
        <f t="shared" si="80"/>
        <v>0</v>
      </c>
      <c r="Y153">
        <f t="shared" si="80"/>
        <v>0</v>
      </c>
      <c r="Z153">
        <f t="shared" si="80"/>
        <v>0</v>
      </c>
      <c r="AA153">
        <f t="shared" si="80"/>
        <v>0</v>
      </c>
      <c r="AB153">
        <f t="shared" si="80"/>
        <v>0</v>
      </c>
      <c r="AC153">
        <f t="shared" si="80"/>
        <v>0</v>
      </c>
      <c r="AD153">
        <f t="shared" si="80"/>
        <v>0</v>
      </c>
      <c r="AE153">
        <f t="shared" si="80"/>
        <v>0</v>
      </c>
      <c r="AF153">
        <f t="shared" si="80"/>
        <v>0</v>
      </c>
      <c r="AG153">
        <f t="shared" si="79"/>
        <v>0</v>
      </c>
      <c r="AH153">
        <f t="shared" si="79"/>
        <v>0</v>
      </c>
      <c r="AI153">
        <f t="shared" si="79"/>
        <v>0</v>
      </c>
      <c r="AJ153">
        <f t="shared" si="79"/>
        <v>0</v>
      </c>
      <c r="AK153">
        <f t="shared" si="79"/>
        <v>0</v>
      </c>
      <c r="AL153">
        <f t="shared" si="79"/>
        <v>0</v>
      </c>
      <c r="AM153">
        <f t="shared" si="79"/>
        <v>0</v>
      </c>
      <c r="AN153">
        <f t="shared" si="79"/>
        <v>0</v>
      </c>
      <c r="AO153">
        <f t="shared" si="79"/>
        <v>1</v>
      </c>
      <c r="AP153">
        <f t="shared" si="79"/>
        <v>0</v>
      </c>
      <c r="AQ153">
        <f t="shared" si="79"/>
        <v>0</v>
      </c>
      <c r="AR153">
        <f t="shared" si="78"/>
        <v>0</v>
      </c>
      <c r="AS153">
        <f t="shared" si="78"/>
        <v>0</v>
      </c>
      <c r="AT153">
        <f t="shared" si="77"/>
        <v>0</v>
      </c>
      <c r="AU153">
        <f t="shared" si="77"/>
        <v>0</v>
      </c>
      <c r="AV153">
        <f t="shared" si="69"/>
        <v>0</v>
      </c>
      <c r="AW153">
        <f t="shared" si="69"/>
        <v>0</v>
      </c>
      <c r="AX153">
        <f t="shared" si="69"/>
        <v>0</v>
      </c>
      <c r="AY153">
        <f t="shared" si="69"/>
        <v>0</v>
      </c>
      <c r="AZ153">
        <f t="shared" si="69"/>
        <v>0</v>
      </c>
    </row>
    <row r="154" spans="1:52" x14ac:dyDescent="0.25">
      <c r="A154" t="s">
        <v>44</v>
      </c>
      <c r="B154" s="3">
        <v>43130</v>
      </c>
      <c r="C154" s="1">
        <v>3867.6585419562316</v>
      </c>
      <c r="D154" s="1">
        <v>67.853658630811083</v>
      </c>
      <c r="E154" s="1">
        <f t="shared" si="72"/>
        <v>1872.6585419562321</v>
      </c>
      <c r="F154" s="1">
        <f t="shared" si="73"/>
        <v>1995</v>
      </c>
      <c r="G154" s="2">
        <v>57</v>
      </c>
      <c r="H154" s="1">
        <v>32.85365863081109</v>
      </c>
      <c r="I154" s="1">
        <v>35</v>
      </c>
      <c r="J154" s="1">
        <f t="shared" si="75"/>
        <v>594054.77211393928</v>
      </c>
      <c r="K154" s="1">
        <f t="shared" si="76"/>
        <v>297389.77211393882</v>
      </c>
      <c r="N154">
        <f t="shared" si="74"/>
        <v>0</v>
      </c>
      <c r="O154">
        <f t="shared" si="74"/>
        <v>0</v>
      </c>
      <c r="P154">
        <f t="shared" si="74"/>
        <v>0</v>
      </c>
      <c r="Q154">
        <f t="shared" si="80"/>
        <v>0</v>
      </c>
      <c r="R154">
        <f t="shared" si="80"/>
        <v>0</v>
      </c>
      <c r="S154">
        <f t="shared" si="80"/>
        <v>0</v>
      </c>
      <c r="T154">
        <f t="shared" si="80"/>
        <v>0</v>
      </c>
      <c r="U154">
        <f t="shared" si="80"/>
        <v>0</v>
      </c>
      <c r="V154">
        <f t="shared" si="80"/>
        <v>0</v>
      </c>
      <c r="W154">
        <f t="shared" si="80"/>
        <v>0</v>
      </c>
      <c r="X154">
        <f t="shared" si="80"/>
        <v>0</v>
      </c>
      <c r="Y154">
        <f t="shared" si="80"/>
        <v>0</v>
      </c>
      <c r="Z154">
        <f t="shared" si="80"/>
        <v>0</v>
      </c>
      <c r="AA154">
        <f t="shared" si="80"/>
        <v>0</v>
      </c>
      <c r="AB154">
        <f t="shared" si="80"/>
        <v>0</v>
      </c>
      <c r="AC154">
        <f t="shared" si="80"/>
        <v>0</v>
      </c>
      <c r="AD154">
        <f t="shared" si="80"/>
        <v>0</v>
      </c>
      <c r="AE154">
        <f t="shared" si="80"/>
        <v>0</v>
      </c>
      <c r="AF154">
        <f t="shared" si="80"/>
        <v>0</v>
      </c>
      <c r="AG154">
        <f t="shared" si="79"/>
        <v>0</v>
      </c>
      <c r="AH154">
        <f t="shared" si="79"/>
        <v>0</v>
      </c>
      <c r="AI154">
        <f t="shared" si="79"/>
        <v>0</v>
      </c>
      <c r="AJ154">
        <f t="shared" si="79"/>
        <v>0</v>
      </c>
      <c r="AK154">
        <f t="shared" si="79"/>
        <v>0</v>
      </c>
      <c r="AL154">
        <f t="shared" si="79"/>
        <v>0</v>
      </c>
      <c r="AM154">
        <f t="shared" si="79"/>
        <v>0</v>
      </c>
      <c r="AN154">
        <f t="shared" si="79"/>
        <v>0</v>
      </c>
      <c r="AO154">
        <f t="shared" si="79"/>
        <v>0</v>
      </c>
      <c r="AP154">
        <f t="shared" si="79"/>
        <v>0</v>
      </c>
      <c r="AQ154">
        <f t="shared" si="79"/>
        <v>0</v>
      </c>
      <c r="AR154">
        <f t="shared" si="78"/>
        <v>0</v>
      </c>
      <c r="AS154">
        <f t="shared" si="78"/>
        <v>0</v>
      </c>
      <c r="AT154">
        <f t="shared" si="77"/>
        <v>0</v>
      </c>
      <c r="AU154">
        <f t="shared" si="77"/>
        <v>1</v>
      </c>
      <c r="AV154">
        <f t="shared" si="69"/>
        <v>0</v>
      </c>
      <c r="AW154">
        <f t="shared" si="69"/>
        <v>0</v>
      </c>
      <c r="AX154">
        <f t="shared" si="69"/>
        <v>0</v>
      </c>
      <c r="AY154">
        <f t="shared" si="69"/>
        <v>0</v>
      </c>
      <c r="AZ154">
        <f t="shared" si="69"/>
        <v>0</v>
      </c>
    </row>
    <row r="155" spans="1:52" x14ac:dyDescent="0.25">
      <c r="A155" t="s">
        <v>17</v>
      </c>
      <c r="B155" s="3">
        <v>43130</v>
      </c>
      <c r="C155" s="1">
        <v>1310.7658480416037</v>
      </c>
      <c r="D155" s="1">
        <v>327.69146201040093</v>
      </c>
      <c r="E155" s="1">
        <f t="shared" si="72"/>
        <v>554.7658480416037</v>
      </c>
      <c r="F155" s="1">
        <f t="shared" si="73"/>
        <v>756</v>
      </c>
      <c r="G155" s="2">
        <v>4</v>
      </c>
      <c r="H155" s="1">
        <v>138.69146201040093</v>
      </c>
      <c r="I155" s="1">
        <v>189</v>
      </c>
      <c r="J155" s="1">
        <f t="shared" si="75"/>
        <v>595365.53796198091</v>
      </c>
      <c r="K155" s="1">
        <f t="shared" si="76"/>
        <v>297944.53796198044</v>
      </c>
      <c r="N155">
        <f t="shared" si="74"/>
        <v>0</v>
      </c>
      <c r="O155">
        <f t="shared" si="74"/>
        <v>0</v>
      </c>
      <c r="P155">
        <f t="shared" si="74"/>
        <v>0</v>
      </c>
      <c r="Q155">
        <f t="shared" si="80"/>
        <v>0</v>
      </c>
      <c r="R155">
        <f t="shared" si="80"/>
        <v>0</v>
      </c>
      <c r="S155">
        <f t="shared" si="80"/>
        <v>0</v>
      </c>
      <c r="T155">
        <f t="shared" si="80"/>
        <v>0</v>
      </c>
      <c r="U155">
        <f t="shared" si="80"/>
        <v>0</v>
      </c>
      <c r="V155">
        <f t="shared" si="80"/>
        <v>0</v>
      </c>
      <c r="W155">
        <f t="shared" si="80"/>
        <v>0</v>
      </c>
      <c r="X155">
        <f t="shared" si="80"/>
        <v>0</v>
      </c>
      <c r="Y155">
        <f t="shared" si="80"/>
        <v>0</v>
      </c>
      <c r="Z155">
        <f t="shared" si="80"/>
        <v>0</v>
      </c>
      <c r="AA155">
        <f t="shared" si="80"/>
        <v>0</v>
      </c>
      <c r="AB155">
        <f t="shared" si="80"/>
        <v>0</v>
      </c>
      <c r="AC155">
        <f t="shared" si="80"/>
        <v>0</v>
      </c>
      <c r="AD155">
        <f t="shared" si="80"/>
        <v>0</v>
      </c>
      <c r="AE155">
        <f t="shared" si="80"/>
        <v>0</v>
      </c>
      <c r="AF155">
        <f t="shared" si="80"/>
        <v>0</v>
      </c>
      <c r="AG155">
        <f t="shared" si="79"/>
        <v>1</v>
      </c>
      <c r="AH155">
        <f t="shared" si="79"/>
        <v>0</v>
      </c>
      <c r="AI155">
        <f t="shared" si="79"/>
        <v>0</v>
      </c>
      <c r="AJ155">
        <f t="shared" si="79"/>
        <v>0</v>
      </c>
      <c r="AK155">
        <f t="shared" si="79"/>
        <v>0</v>
      </c>
      <c r="AL155">
        <f t="shared" si="79"/>
        <v>0</v>
      </c>
      <c r="AM155">
        <f t="shared" si="79"/>
        <v>0</v>
      </c>
      <c r="AN155">
        <f t="shared" si="79"/>
        <v>0</v>
      </c>
      <c r="AO155">
        <f t="shared" si="79"/>
        <v>0</v>
      </c>
      <c r="AP155">
        <f t="shared" si="79"/>
        <v>0</v>
      </c>
      <c r="AQ155">
        <f t="shared" si="79"/>
        <v>0</v>
      </c>
      <c r="AR155">
        <f t="shared" si="78"/>
        <v>0</v>
      </c>
      <c r="AS155">
        <f t="shared" si="78"/>
        <v>0</v>
      </c>
      <c r="AT155">
        <f t="shared" si="77"/>
        <v>0</v>
      </c>
      <c r="AU155">
        <f t="shared" si="77"/>
        <v>0</v>
      </c>
      <c r="AV155">
        <f t="shared" si="69"/>
        <v>0</v>
      </c>
      <c r="AW155">
        <f t="shared" si="69"/>
        <v>0</v>
      </c>
      <c r="AX155">
        <f t="shared" si="69"/>
        <v>0</v>
      </c>
      <c r="AY155">
        <f t="shared" si="69"/>
        <v>0</v>
      </c>
      <c r="AZ155">
        <f t="shared" si="69"/>
        <v>0</v>
      </c>
    </row>
    <row r="156" spans="1:52" x14ac:dyDescent="0.25">
      <c r="A156" t="s">
        <v>48</v>
      </c>
      <c r="B156" s="3">
        <v>43129</v>
      </c>
      <c r="C156" s="1">
        <v>4821.5925266114655</v>
      </c>
      <c r="D156" s="1">
        <v>76.533214708118493</v>
      </c>
      <c r="E156" s="1">
        <f t="shared" si="72"/>
        <v>2616.592526611465</v>
      </c>
      <c r="F156" s="1">
        <f t="shared" si="73"/>
        <v>2205</v>
      </c>
      <c r="G156" s="2">
        <v>63</v>
      </c>
      <c r="H156" s="1">
        <v>41.533214708118493</v>
      </c>
      <c r="I156" s="1">
        <v>35</v>
      </c>
      <c r="J156" s="1">
        <f t="shared" si="75"/>
        <v>600187.13048859243</v>
      </c>
      <c r="K156" s="1">
        <f t="shared" si="76"/>
        <v>300561.13048859191</v>
      </c>
      <c r="N156">
        <f t="shared" si="74"/>
        <v>0</v>
      </c>
      <c r="O156">
        <f t="shared" si="74"/>
        <v>0</v>
      </c>
      <c r="P156">
        <f t="shared" si="74"/>
        <v>0</v>
      </c>
      <c r="Q156">
        <f t="shared" si="80"/>
        <v>0</v>
      </c>
      <c r="R156">
        <f t="shared" si="80"/>
        <v>0</v>
      </c>
      <c r="S156">
        <f t="shared" si="80"/>
        <v>0</v>
      </c>
      <c r="T156">
        <f t="shared" si="80"/>
        <v>0</v>
      </c>
      <c r="U156">
        <f t="shared" si="80"/>
        <v>0</v>
      </c>
      <c r="V156">
        <f t="shared" si="80"/>
        <v>0</v>
      </c>
      <c r="W156">
        <f t="shared" si="80"/>
        <v>0</v>
      </c>
      <c r="X156">
        <f t="shared" si="80"/>
        <v>0</v>
      </c>
      <c r="Y156">
        <f t="shared" si="80"/>
        <v>0</v>
      </c>
      <c r="Z156">
        <f t="shared" si="80"/>
        <v>0</v>
      </c>
      <c r="AA156">
        <f t="shared" si="80"/>
        <v>0</v>
      </c>
      <c r="AB156">
        <f t="shared" si="80"/>
        <v>0</v>
      </c>
      <c r="AC156">
        <f t="shared" si="80"/>
        <v>0</v>
      </c>
      <c r="AD156">
        <f t="shared" si="80"/>
        <v>0</v>
      </c>
      <c r="AE156">
        <f t="shared" si="80"/>
        <v>0</v>
      </c>
      <c r="AF156">
        <f t="shared" si="80"/>
        <v>0</v>
      </c>
      <c r="AG156">
        <f t="shared" si="79"/>
        <v>0</v>
      </c>
      <c r="AH156">
        <f t="shared" si="79"/>
        <v>0</v>
      </c>
      <c r="AI156">
        <f t="shared" si="79"/>
        <v>1</v>
      </c>
      <c r="AJ156">
        <f t="shared" si="79"/>
        <v>0</v>
      </c>
      <c r="AK156">
        <f t="shared" si="79"/>
        <v>0</v>
      </c>
      <c r="AL156">
        <f t="shared" si="79"/>
        <v>0</v>
      </c>
      <c r="AM156">
        <f t="shared" si="79"/>
        <v>0</v>
      </c>
      <c r="AN156">
        <f t="shared" si="79"/>
        <v>0</v>
      </c>
      <c r="AO156">
        <f t="shared" si="79"/>
        <v>0</v>
      </c>
      <c r="AP156">
        <f t="shared" si="79"/>
        <v>0</v>
      </c>
      <c r="AQ156">
        <f t="shared" si="79"/>
        <v>0</v>
      </c>
      <c r="AR156">
        <f t="shared" si="78"/>
        <v>0</v>
      </c>
      <c r="AS156">
        <f t="shared" si="78"/>
        <v>0</v>
      </c>
      <c r="AT156">
        <f t="shared" si="77"/>
        <v>0</v>
      </c>
      <c r="AU156">
        <f t="shared" si="77"/>
        <v>0</v>
      </c>
      <c r="AV156">
        <f t="shared" si="69"/>
        <v>0</v>
      </c>
      <c r="AW156">
        <f t="shared" si="69"/>
        <v>0</v>
      </c>
      <c r="AX156">
        <f t="shared" si="69"/>
        <v>0</v>
      </c>
      <c r="AY156">
        <f t="shared" si="69"/>
        <v>0</v>
      </c>
      <c r="AZ156">
        <f t="shared" si="69"/>
        <v>0</v>
      </c>
    </row>
    <row r="157" spans="1:52" x14ac:dyDescent="0.25">
      <c r="A157" t="s">
        <v>27</v>
      </c>
      <c r="B157" s="3">
        <v>43120</v>
      </c>
      <c r="C157" s="1">
        <v>25477.307176838989</v>
      </c>
      <c r="D157" s="1">
        <v>105.714967538751</v>
      </c>
      <c r="E157" s="1">
        <f t="shared" si="72"/>
        <v>15837.307176838991</v>
      </c>
      <c r="F157" s="1">
        <f t="shared" si="73"/>
        <v>9640</v>
      </c>
      <c r="G157" s="2">
        <v>241</v>
      </c>
      <c r="H157" s="1">
        <v>65.714967538750997</v>
      </c>
      <c r="I157" s="1">
        <v>40</v>
      </c>
      <c r="J157" s="1">
        <f t="shared" si="75"/>
        <v>625664.43766543141</v>
      </c>
      <c r="K157" s="1">
        <f t="shared" si="76"/>
        <v>316398.43766543089</v>
      </c>
      <c r="N157">
        <f t="shared" si="74"/>
        <v>0</v>
      </c>
      <c r="O157">
        <f t="shared" si="74"/>
        <v>0</v>
      </c>
      <c r="P157">
        <f t="shared" si="74"/>
        <v>0</v>
      </c>
      <c r="Q157">
        <f t="shared" si="80"/>
        <v>0</v>
      </c>
      <c r="R157">
        <f t="shared" si="80"/>
        <v>0</v>
      </c>
      <c r="S157">
        <f t="shared" si="80"/>
        <v>0</v>
      </c>
      <c r="T157">
        <f t="shared" si="80"/>
        <v>0</v>
      </c>
      <c r="U157">
        <f t="shared" si="80"/>
        <v>0</v>
      </c>
      <c r="V157">
        <f t="shared" si="80"/>
        <v>0</v>
      </c>
      <c r="W157">
        <f t="shared" si="80"/>
        <v>0</v>
      </c>
      <c r="X157">
        <f t="shared" si="80"/>
        <v>0</v>
      </c>
      <c r="Y157">
        <f t="shared" si="80"/>
        <v>0</v>
      </c>
      <c r="Z157">
        <f t="shared" si="80"/>
        <v>0</v>
      </c>
      <c r="AA157">
        <f t="shared" si="80"/>
        <v>0</v>
      </c>
      <c r="AB157">
        <f t="shared" si="80"/>
        <v>0</v>
      </c>
      <c r="AC157">
        <f t="shared" si="80"/>
        <v>1</v>
      </c>
      <c r="AD157">
        <f t="shared" si="80"/>
        <v>0</v>
      </c>
      <c r="AE157">
        <f t="shared" si="80"/>
        <v>0</v>
      </c>
      <c r="AF157">
        <f t="shared" si="80"/>
        <v>0</v>
      </c>
      <c r="AG157">
        <f t="shared" si="79"/>
        <v>0</v>
      </c>
      <c r="AH157">
        <f t="shared" si="79"/>
        <v>0</v>
      </c>
      <c r="AI157">
        <f t="shared" si="79"/>
        <v>0</v>
      </c>
      <c r="AJ157">
        <f t="shared" si="79"/>
        <v>0</v>
      </c>
      <c r="AK157">
        <f t="shared" si="79"/>
        <v>0</v>
      </c>
      <c r="AL157">
        <f t="shared" si="79"/>
        <v>0</v>
      </c>
      <c r="AM157">
        <f t="shared" si="79"/>
        <v>0</v>
      </c>
      <c r="AN157">
        <f t="shared" si="79"/>
        <v>0</v>
      </c>
      <c r="AO157">
        <f t="shared" si="79"/>
        <v>0</v>
      </c>
      <c r="AP157">
        <f t="shared" si="79"/>
        <v>0</v>
      </c>
      <c r="AQ157">
        <f t="shared" si="79"/>
        <v>0</v>
      </c>
      <c r="AR157">
        <f t="shared" si="78"/>
        <v>0</v>
      </c>
      <c r="AS157">
        <f t="shared" si="78"/>
        <v>0</v>
      </c>
      <c r="AT157">
        <f t="shared" si="77"/>
        <v>0</v>
      </c>
      <c r="AU157">
        <f t="shared" si="77"/>
        <v>0</v>
      </c>
      <c r="AV157">
        <f t="shared" si="69"/>
        <v>0</v>
      </c>
      <c r="AW157">
        <f t="shared" si="69"/>
        <v>0</v>
      </c>
      <c r="AX157">
        <f t="shared" si="69"/>
        <v>0</v>
      </c>
      <c r="AY157">
        <f t="shared" si="69"/>
        <v>0</v>
      </c>
      <c r="AZ157">
        <f t="shared" si="69"/>
        <v>0</v>
      </c>
    </row>
    <row r="158" spans="1:52" x14ac:dyDescent="0.25">
      <c r="A158" t="s">
        <v>27</v>
      </c>
      <c r="B158" s="3">
        <v>43113</v>
      </c>
      <c r="C158" s="1">
        <v>979.10156736937495</v>
      </c>
      <c r="D158" s="1">
        <v>75.315505182259614</v>
      </c>
      <c r="E158" s="1">
        <f t="shared" si="72"/>
        <v>602.10156736937483</v>
      </c>
      <c r="F158" s="1">
        <f t="shared" si="73"/>
        <v>377</v>
      </c>
      <c r="G158" s="2">
        <v>13</v>
      </c>
      <c r="H158" s="1">
        <v>46.315505182259606</v>
      </c>
      <c r="I158" s="1">
        <v>29</v>
      </c>
      <c r="J158" s="1">
        <f t="shared" si="75"/>
        <v>626643.53923280083</v>
      </c>
      <c r="K158" s="1">
        <f t="shared" si="76"/>
        <v>317000.53923280025</v>
      </c>
      <c r="N158">
        <f t="shared" si="74"/>
        <v>0</v>
      </c>
      <c r="O158">
        <f t="shared" si="74"/>
        <v>0</v>
      </c>
      <c r="P158">
        <f t="shared" si="74"/>
        <v>0</v>
      </c>
      <c r="Q158">
        <f t="shared" si="80"/>
        <v>0</v>
      </c>
      <c r="R158">
        <f t="shared" si="80"/>
        <v>0</v>
      </c>
      <c r="S158">
        <f t="shared" si="80"/>
        <v>0</v>
      </c>
      <c r="T158">
        <f t="shared" si="80"/>
        <v>0</v>
      </c>
      <c r="U158">
        <f t="shared" si="80"/>
        <v>0</v>
      </c>
      <c r="V158">
        <f t="shared" si="80"/>
        <v>0</v>
      </c>
      <c r="W158">
        <f t="shared" si="80"/>
        <v>0</v>
      </c>
      <c r="X158">
        <f t="shared" si="80"/>
        <v>0</v>
      </c>
      <c r="Y158">
        <f t="shared" si="80"/>
        <v>0</v>
      </c>
      <c r="Z158">
        <f t="shared" si="80"/>
        <v>0</v>
      </c>
      <c r="AA158">
        <f t="shared" si="80"/>
        <v>0</v>
      </c>
      <c r="AB158">
        <f t="shared" si="80"/>
        <v>0</v>
      </c>
      <c r="AC158">
        <f t="shared" si="80"/>
        <v>1</v>
      </c>
      <c r="AD158">
        <f t="shared" si="80"/>
        <v>0</v>
      </c>
      <c r="AE158">
        <f t="shared" si="80"/>
        <v>0</v>
      </c>
      <c r="AF158">
        <f t="shared" si="80"/>
        <v>0</v>
      </c>
      <c r="AG158">
        <f t="shared" si="79"/>
        <v>0</v>
      </c>
      <c r="AH158">
        <f t="shared" si="79"/>
        <v>0</v>
      </c>
      <c r="AI158">
        <f t="shared" si="79"/>
        <v>0</v>
      </c>
      <c r="AJ158">
        <f t="shared" si="79"/>
        <v>0</v>
      </c>
      <c r="AK158">
        <f t="shared" si="79"/>
        <v>0</v>
      </c>
      <c r="AL158">
        <f t="shared" si="79"/>
        <v>0</v>
      </c>
      <c r="AM158">
        <f t="shared" si="79"/>
        <v>0</v>
      </c>
      <c r="AN158">
        <f t="shared" si="79"/>
        <v>0</v>
      </c>
      <c r="AO158">
        <f t="shared" si="79"/>
        <v>0</v>
      </c>
      <c r="AP158">
        <f t="shared" si="79"/>
        <v>0</v>
      </c>
      <c r="AQ158">
        <f t="shared" si="79"/>
        <v>0</v>
      </c>
      <c r="AR158">
        <f t="shared" si="78"/>
        <v>0</v>
      </c>
      <c r="AS158">
        <f t="shared" si="78"/>
        <v>0</v>
      </c>
      <c r="AT158">
        <f t="shared" si="77"/>
        <v>0</v>
      </c>
      <c r="AU158">
        <f t="shared" si="77"/>
        <v>0</v>
      </c>
      <c r="AV158">
        <f t="shared" si="69"/>
        <v>0</v>
      </c>
      <c r="AW158">
        <f t="shared" si="69"/>
        <v>0</v>
      </c>
      <c r="AX158">
        <f t="shared" si="69"/>
        <v>0</v>
      </c>
      <c r="AY158">
        <f t="shared" si="69"/>
        <v>0</v>
      </c>
      <c r="AZ158">
        <f t="shared" si="69"/>
        <v>0</v>
      </c>
    </row>
    <row r="159" spans="1:52" x14ac:dyDescent="0.25">
      <c r="A159" t="s">
        <v>11</v>
      </c>
      <c r="B159" s="3">
        <v>43105</v>
      </c>
      <c r="C159" s="1">
        <v>2745.8765185528346</v>
      </c>
      <c r="D159" s="1">
        <v>98.067018519744096</v>
      </c>
      <c r="E159" s="1">
        <f t="shared" si="72"/>
        <v>1709.8765185528346</v>
      </c>
      <c r="F159" s="1">
        <f t="shared" si="73"/>
        <v>1036</v>
      </c>
      <c r="G159" s="2">
        <v>28</v>
      </c>
      <c r="H159" s="1">
        <v>61.067018519744096</v>
      </c>
      <c r="I159" s="1">
        <v>37</v>
      </c>
      <c r="J159" s="1">
        <f t="shared" si="75"/>
        <v>629389.41575135372</v>
      </c>
      <c r="K159" s="1">
        <f t="shared" si="76"/>
        <v>318710.41575135308</v>
      </c>
      <c r="N159">
        <f t="shared" si="74"/>
        <v>0</v>
      </c>
      <c r="O159">
        <f t="shared" si="74"/>
        <v>0</v>
      </c>
      <c r="P159">
        <f t="shared" si="74"/>
        <v>1</v>
      </c>
      <c r="Q159">
        <f t="shared" si="80"/>
        <v>0</v>
      </c>
      <c r="R159">
        <f t="shared" si="80"/>
        <v>0</v>
      </c>
      <c r="S159">
        <f t="shared" si="80"/>
        <v>0</v>
      </c>
      <c r="T159">
        <f t="shared" si="80"/>
        <v>0</v>
      </c>
      <c r="U159">
        <f t="shared" si="80"/>
        <v>0</v>
      </c>
      <c r="V159">
        <f t="shared" si="80"/>
        <v>0</v>
      </c>
      <c r="W159">
        <f t="shared" si="80"/>
        <v>0</v>
      </c>
      <c r="X159">
        <f t="shared" si="80"/>
        <v>0</v>
      </c>
      <c r="Y159">
        <f t="shared" si="80"/>
        <v>0</v>
      </c>
      <c r="Z159">
        <f t="shared" si="80"/>
        <v>0</v>
      </c>
      <c r="AA159">
        <f t="shared" si="80"/>
        <v>0</v>
      </c>
      <c r="AB159">
        <f t="shared" si="80"/>
        <v>0</v>
      </c>
      <c r="AC159">
        <f t="shared" si="80"/>
        <v>0</v>
      </c>
      <c r="AD159">
        <f t="shared" si="80"/>
        <v>0</v>
      </c>
      <c r="AE159">
        <f t="shared" si="80"/>
        <v>0</v>
      </c>
      <c r="AF159">
        <f t="shared" si="80"/>
        <v>0</v>
      </c>
      <c r="AG159">
        <f t="shared" si="79"/>
        <v>0</v>
      </c>
      <c r="AH159">
        <f t="shared" si="79"/>
        <v>0</v>
      </c>
      <c r="AI159">
        <f t="shared" si="79"/>
        <v>0</v>
      </c>
      <c r="AJ159">
        <f t="shared" si="79"/>
        <v>0</v>
      </c>
      <c r="AK159">
        <f t="shared" si="79"/>
        <v>0</v>
      </c>
      <c r="AL159">
        <f t="shared" si="79"/>
        <v>0</v>
      </c>
      <c r="AM159">
        <f t="shared" si="79"/>
        <v>0</v>
      </c>
      <c r="AN159">
        <f t="shared" si="79"/>
        <v>0</v>
      </c>
      <c r="AO159">
        <f t="shared" si="79"/>
        <v>0</v>
      </c>
      <c r="AP159">
        <f t="shared" si="79"/>
        <v>0</v>
      </c>
      <c r="AQ159">
        <f t="shared" si="79"/>
        <v>0</v>
      </c>
      <c r="AR159">
        <f t="shared" si="78"/>
        <v>0</v>
      </c>
      <c r="AS159">
        <f t="shared" si="78"/>
        <v>0</v>
      </c>
      <c r="AT159">
        <f t="shared" si="77"/>
        <v>0</v>
      </c>
      <c r="AU159">
        <f t="shared" si="77"/>
        <v>0</v>
      </c>
      <c r="AV159">
        <f t="shared" si="69"/>
        <v>0</v>
      </c>
      <c r="AW159">
        <f t="shared" si="69"/>
        <v>0</v>
      </c>
      <c r="AX159">
        <f t="shared" si="69"/>
        <v>0</v>
      </c>
      <c r="AY159">
        <f t="shared" si="69"/>
        <v>0</v>
      </c>
      <c r="AZ159">
        <f t="shared" si="69"/>
        <v>0</v>
      </c>
    </row>
    <row r="160" spans="1:52" x14ac:dyDescent="0.25">
      <c r="A160" t="s">
        <v>37</v>
      </c>
      <c r="B160" s="3">
        <v>43101</v>
      </c>
      <c r="C160" s="1">
        <v>966.51978069120753</v>
      </c>
      <c r="D160" s="1">
        <v>87.865434608291594</v>
      </c>
      <c r="E160" s="1">
        <f t="shared" si="72"/>
        <v>526.51978069120742</v>
      </c>
      <c r="F160" s="1">
        <f t="shared" si="73"/>
        <v>440</v>
      </c>
      <c r="G160" s="2">
        <v>11</v>
      </c>
      <c r="H160" s="1">
        <v>47.865434608291586</v>
      </c>
      <c r="I160" s="1">
        <v>40</v>
      </c>
      <c r="J160" s="1">
        <f t="shared" si="75"/>
        <v>630355.93553204497</v>
      </c>
      <c r="K160" s="1">
        <f t="shared" si="76"/>
        <v>319236.93553204427</v>
      </c>
      <c r="N160">
        <f t="shared" si="74"/>
        <v>0</v>
      </c>
      <c r="O160">
        <f t="shared" si="74"/>
        <v>0</v>
      </c>
      <c r="P160">
        <f t="shared" si="74"/>
        <v>0</v>
      </c>
      <c r="Q160">
        <f t="shared" si="80"/>
        <v>0</v>
      </c>
      <c r="R160">
        <f t="shared" si="80"/>
        <v>0</v>
      </c>
      <c r="S160">
        <f t="shared" si="80"/>
        <v>0</v>
      </c>
      <c r="T160">
        <f t="shared" si="80"/>
        <v>0</v>
      </c>
      <c r="U160">
        <f t="shared" si="80"/>
        <v>0</v>
      </c>
      <c r="V160">
        <f t="shared" si="80"/>
        <v>0</v>
      </c>
      <c r="W160">
        <f t="shared" si="80"/>
        <v>0</v>
      </c>
      <c r="X160">
        <f t="shared" si="80"/>
        <v>0</v>
      </c>
      <c r="Y160">
        <f t="shared" si="80"/>
        <v>0</v>
      </c>
      <c r="Z160">
        <f t="shared" si="80"/>
        <v>0</v>
      </c>
      <c r="AA160">
        <f t="shared" si="80"/>
        <v>0</v>
      </c>
      <c r="AB160">
        <f t="shared" si="80"/>
        <v>0</v>
      </c>
      <c r="AC160">
        <f t="shared" si="80"/>
        <v>0</v>
      </c>
      <c r="AD160">
        <f t="shared" si="80"/>
        <v>1</v>
      </c>
      <c r="AE160">
        <f t="shared" si="80"/>
        <v>0</v>
      </c>
      <c r="AF160">
        <f t="shared" si="80"/>
        <v>0</v>
      </c>
      <c r="AG160">
        <f t="shared" si="79"/>
        <v>0</v>
      </c>
      <c r="AH160">
        <f t="shared" si="79"/>
        <v>0</v>
      </c>
      <c r="AI160">
        <f t="shared" si="79"/>
        <v>0</v>
      </c>
      <c r="AJ160">
        <f t="shared" si="79"/>
        <v>0</v>
      </c>
      <c r="AK160">
        <f t="shared" si="79"/>
        <v>0</v>
      </c>
      <c r="AL160">
        <f t="shared" si="79"/>
        <v>0</v>
      </c>
      <c r="AM160">
        <f t="shared" si="79"/>
        <v>0</v>
      </c>
      <c r="AN160">
        <f t="shared" si="79"/>
        <v>0</v>
      </c>
      <c r="AO160">
        <f t="shared" si="79"/>
        <v>0</v>
      </c>
      <c r="AP160">
        <f t="shared" si="79"/>
        <v>0</v>
      </c>
      <c r="AQ160">
        <f t="shared" si="79"/>
        <v>0</v>
      </c>
      <c r="AR160">
        <f t="shared" si="78"/>
        <v>0</v>
      </c>
      <c r="AS160">
        <f t="shared" si="78"/>
        <v>0</v>
      </c>
      <c r="AT160">
        <f t="shared" si="77"/>
        <v>0</v>
      </c>
      <c r="AU160">
        <f t="shared" si="77"/>
        <v>0</v>
      </c>
      <c r="AV160">
        <f t="shared" si="69"/>
        <v>0</v>
      </c>
      <c r="AW160">
        <f t="shared" si="69"/>
        <v>0</v>
      </c>
      <c r="AX160">
        <f t="shared" si="69"/>
        <v>0</v>
      </c>
      <c r="AY160">
        <f t="shared" si="69"/>
        <v>0</v>
      </c>
      <c r="AZ160">
        <f t="shared" si="69"/>
        <v>0</v>
      </c>
    </row>
    <row r="161" spans="1:52" x14ac:dyDescent="0.25">
      <c r="A161" t="s">
        <v>40</v>
      </c>
      <c r="B161" s="3">
        <v>43092</v>
      </c>
      <c r="C161" s="1">
        <v>1188.3477426038623</v>
      </c>
      <c r="D161" s="1">
        <v>84.881981614561596</v>
      </c>
      <c r="E161" s="1">
        <f t="shared" si="72"/>
        <v>754.34774260386234</v>
      </c>
      <c r="F161" s="1">
        <f t="shared" si="73"/>
        <v>434</v>
      </c>
      <c r="G161" s="2">
        <v>14</v>
      </c>
      <c r="H161" s="1">
        <v>53.881981614561596</v>
      </c>
      <c r="I161" s="1">
        <v>31</v>
      </c>
      <c r="J161" s="1">
        <f t="shared" si="75"/>
        <v>631544.28327464883</v>
      </c>
      <c r="K161" s="1">
        <f t="shared" si="76"/>
        <v>319991.28327464813</v>
      </c>
      <c r="N161">
        <f t="shared" si="74"/>
        <v>0</v>
      </c>
      <c r="O161">
        <f t="shared" si="74"/>
        <v>0</v>
      </c>
      <c r="P161">
        <f t="shared" si="74"/>
        <v>0</v>
      </c>
      <c r="Q161">
        <f t="shared" si="80"/>
        <v>0</v>
      </c>
      <c r="R161">
        <f t="shared" si="80"/>
        <v>0</v>
      </c>
      <c r="S161">
        <f t="shared" si="80"/>
        <v>0</v>
      </c>
      <c r="T161">
        <f t="shared" si="80"/>
        <v>0</v>
      </c>
      <c r="U161">
        <f t="shared" si="80"/>
        <v>0</v>
      </c>
      <c r="V161">
        <f t="shared" si="80"/>
        <v>0</v>
      </c>
      <c r="W161">
        <f t="shared" si="80"/>
        <v>0</v>
      </c>
      <c r="X161">
        <f t="shared" si="80"/>
        <v>1</v>
      </c>
      <c r="Y161">
        <f t="shared" si="80"/>
        <v>0</v>
      </c>
      <c r="Z161">
        <f t="shared" si="80"/>
        <v>0</v>
      </c>
      <c r="AA161">
        <f t="shared" si="80"/>
        <v>0</v>
      </c>
      <c r="AB161">
        <f t="shared" si="80"/>
        <v>0</v>
      </c>
      <c r="AC161">
        <f t="shared" si="80"/>
        <v>0</v>
      </c>
      <c r="AD161">
        <f t="shared" si="80"/>
        <v>0</v>
      </c>
      <c r="AE161">
        <f t="shared" si="80"/>
        <v>0</v>
      </c>
      <c r="AF161">
        <f t="shared" si="80"/>
        <v>0</v>
      </c>
      <c r="AG161">
        <f t="shared" si="79"/>
        <v>0</v>
      </c>
      <c r="AH161">
        <f t="shared" si="79"/>
        <v>0</v>
      </c>
      <c r="AI161">
        <f t="shared" si="79"/>
        <v>0</v>
      </c>
      <c r="AJ161">
        <f t="shared" si="79"/>
        <v>0</v>
      </c>
      <c r="AK161">
        <f t="shared" si="79"/>
        <v>0</v>
      </c>
      <c r="AL161">
        <f t="shared" si="79"/>
        <v>0</v>
      </c>
      <c r="AM161">
        <f t="shared" si="79"/>
        <v>0</v>
      </c>
      <c r="AN161">
        <f t="shared" si="79"/>
        <v>0</v>
      </c>
      <c r="AO161">
        <f t="shared" si="79"/>
        <v>0</v>
      </c>
      <c r="AP161">
        <f t="shared" si="79"/>
        <v>0</v>
      </c>
      <c r="AQ161">
        <f t="shared" si="79"/>
        <v>0</v>
      </c>
      <c r="AR161">
        <f t="shared" si="78"/>
        <v>0</v>
      </c>
      <c r="AS161">
        <f t="shared" si="78"/>
        <v>0</v>
      </c>
      <c r="AT161">
        <f t="shared" si="77"/>
        <v>0</v>
      </c>
      <c r="AU161">
        <f t="shared" si="77"/>
        <v>0</v>
      </c>
      <c r="AV161">
        <f t="shared" si="69"/>
        <v>0</v>
      </c>
      <c r="AW161">
        <f t="shared" si="69"/>
        <v>0</v>
      </c>
      <c r="AX161">
        <f t="shared" si="69"/>
        <v>0</v>
      </c>
      <c r="AY161">
        <f t="shared" si="69"/>
        <v>0</v>
      </c>
      <c r="AZ161">
        <f t="shared" si="69"/>
        <v>0</v>
      </c>
    </row>
    <row r="162" spans="1:52" x14ac:dyDescent="0.25">
      <c r="A162" t="s">
        <v>12</v>
      </c>
      <c r="B162" s="3">
        <v>43070</v>
      </c>
      <c r="C162" s="1">
        <v>431.81127863149942</v>
      </c>
      <c r="D162" s="1">
        <v>215.90563931574971</v>
      </c>
      <c r="E162" s="1">
        <f t="shared" si="72"/>
        <v>233.81127863149942</v>
      </c>
      <c r="F162" s="1">
        <f t="shared" si="73"/>
        <v>198</v>
      </c>
      <c r="G162" s="2">
        <v>2</v>
      </c>
      <c r="H162" s="1">
        <v>116.90563931574971</v>
      </c>
      <c r="I162" s="1">
        <v>99</v>
      </c>
      <c r="J162" s="1">
        <f t="shared" si="75"/>
        <v>631976.09455328027</v>
      </c>
      <c r="K162" s="1">
        <f t="shared" si="76"/>
        <v>320225.09455327963</v>
      </c>
      <c r="N162">
        <f t="shared" si="74"/>
        <v>0</v>
      </c>
      <c r="O162">
        <f t="shared" si="74"/>
        <v>0</v>
      </c>
      <c r="P162">
        <f t="shared" si="74"/>
        <v>0</v>
      </c>
      <c r="Q162">
        <f t="shared" si="80"/>
        <v>0</v>
      </c>
      <c r="R162">
        <f t="shared" si="80"/>
        <v>0</v>
      </c>
      <c r="S162">
        <f t="shared" si="80"/>
        <v>0</v>
      </c>
      <c r="T162">
        <f t="shared" si="80"/>
        <v>0</v>
      </c>
      <c r="U162">
        <f t="shared" si="80"/>
        <v>0</v>
      </c>
      <c r="V162">
        <f t="shared" si="80"/>
        <v>0</v>
      </c>
      <c r="W162">
        <f t="shared" si="80"/>
        <v>0</v>
      </c>
      <c r="X162">
        <f t="shared" si="80"/>
        <v>0</v>
      </c>
      <c r="Y162">
        <f t="shared" si="80"/>
        <v>0</v>
      </c>
      <c r="Z162">
        <f t="shared" si="80"/>
        <v>0</v>
      </c>
      <c r="AA162">
        <f t="shared" si="80"/>
        <v>0</v>
      </c>
      <c r="AB162">
        <f t="shared" si="80"/>
        <v>0</v>
      </c>
      <c r="AC162">
        <f t="shared" si="80"/>
        <v>0</v>
      </c>
      <c r="AD162">
        <f t="shared" si="80"/>
        <v>0</v>
      </c>
      <c r="AE162">
        <f t="shared" si="80"/>
        <v>0</v>
      </c>
      <c r="AF162">
        <f t="shared" si="80"/>
        <v>0</v>
      </c>
      <c r="AG162">
        <f t="shared" si="79"/>
        <v>0</v>
      </c>
      <c r="AH162">
        <f t="shared" si="79"/>
        <v>0</v>
      </c>
      <c r="AI162">
        <f t="shared" si="79"/>
        <v>0</v>
      </c>
      <c r="AJ162">
        <f t="shared" si="79"/>
        <v>0</v>
      </c>
      <c r="AK162">
        <f t="shared" si="79"/>
        <v>1</v>
      </c>
      <c r="AL162">
        <f t="shared" si="79"/>
        <v>0</v>
      </c>
      <c r="AM162">
        <f t="shared" si="79"/>
        <v>0</v>
      </c>
      <c r="AN162">
        <f t="shared" si="79"/>
        <v>0</v>
      </c>
      <c r="AO162">
        <f t="shared" si="79"/>
        <v>0</v>
      </c>
      <c r="AP162">
        <f t="shared" si="79"/>
        <v>0</v>
      </c>
      <c r="AQ162">
        <f t="shared" si="79"/>
        <v>0</v>
      </c>
      <c r="AR162">
        <f t="shared" si="78"/>
        <v>0</v>
      </c>
      <c r="AS162">
        <f t="shared" si="78"/>
        <v>0</v>
      </c>
      <c r="AT162">
        <f t="shared" si="77"/>
        <v>0</v>
      </c>
      <c r="AU162">
        <f t="shared" si="77"/>
        <v>0</v>
      </c>
      <c r="AV162">
        <f t="shared" si="69"/>
        <v>0</v>
      </c>
      <c r="AW162">
        <f t="shared" si="69"/>
        <v>0</v>
      </c>
      <c r="AX162">
        <f t="shared" si="69"/>
        <v>0</v>
      </c>
      <c r="AY162">
        <f t="shared" si="69"/>
        <v>0</v>
      </c>
      <c r="AZ162">
        <f t="shared" si="69"/>
        <v>0</v>
      </c>
    </row>
    <row r="163" spans="1:52" x14ac:dyDescent="0.25">
      <c r="A163" t="s">
        <v>15</v>
      </c>
      <c r="B163" s="3">
        <v>43068</v>
      </c>
      <c r="C163" s="1">
        <v>1202.2844480722106</v>
      </c>
      <c r="D163" s="1">
        <v>100.19037067268422</v>
      </c>
      <c r="E163" s="1">
        <f t="shared" si="72"/>
        <v>602.28444807221069</v>
      </c>
      <c r="F163" s="1">
        <f t="shared" si="73"/>
        <v>600</v>
      </c>
      <c r="G163" s="2">
        <v>12</v>
      </c>
      <c r="H163" s="1">
        <v>50.190370672684224</v>
      </c>
      <c r="I163" s="1">
        <v>50</v>
      </c>
      <c r="J163" s="1">
        <f t="shared" si="75"/>
        <v>633178.37900135247</v>
      </c>
      <c r="K163" s="1">
        <f t="shared" si="76"/>
        <v>320827.37900135183</v>
      </c>
      <c r="N163">
        <f t="shared" si="74"/>
        <v>0</v>
      </c>
      <c r="O163">
        <f t="shared" si="74"/>
        <v>0</v>
      </c>
      <c r="P163">
        <f t="shared" si="74"/>
        <v>0</v>
      </c>
      <c r="Q163">
        <f t="shared" si="80"/>
        <v>0</v>
      </c>
      <c r="R163">
        <f t="shared" si="80"/>
        <v>0</v>
      </c>
      <c r="S163">
        <f t="shared" si="80"/>
        <v>0</v>
      </c>
      <c r="T163">
        <f t="shared" si="80"/>
        <v>0</v>
      </c>
      <c r="U163">
        <f t="shared" si="80"/>
        <v>0</v>
      </c>
      <c r="V163">
        <f t="shared" si="80"/>
        <v>0</v>
      </c>
      <c r="W163">
        <f t="shared" si="80"/>
        <v>0</v>
      </c>
      <c r="X163">
        <f t="shared" si="80"/>
        <v>0</v>
      </c>
      <c r="Y163">
        <f t="shared" si="80"/>
        <v>0</v>
      </c>
      <c r="Z163">
        <f t="shared" si="80"/>
        <v>0</v>
      </c>
      <c r="AA163">
        <f t="shared" si="80"/>
        <v>0</v>
      </c>
      <c r="AB163">
        <f t="shared" si="80"/>
        <v>0</v>
      </c>
      <c r="AC163">
        <f t="shared" si="80"/>
        <v>0</v>
      </c>
      <c r="AD163">
        <f t="shared" si="80"/>
        <v>0</v>
      </c>
      <c r="AE163">
        <f t="shared" si="80"/>
        <v>0</v>
      </c>
      <c r="AF163">
        <f t="shared" si="80"/>
        <v>0</v>
      </c>
      <c r="AG163">
        <f t="shared" si="79"/>
        <v>0</v>
      </c>
      <c r="AH163">
        <f t="shared" si="79"/>
        <v>0</v>
      </c>
      <c r="AI163">
        <f t="shared" si="79"/>
        <v>0</v>
      </c>
      <c r="AJ163">
        <f t="shared" si="79"/>
        <v>0</v>
      </c>
      <c r="AK163">
        <f t="shared" si="79"/>
        <v>0</v>
      </c>
      <c r="AL163">
        <f t="shared" si="79"/>
        <v>0</v>
      </c>
      <c r="AM163">
        <f t="shared" si="79"/>
        <v>0</v>
      </c>
      <c r="AN163">
        <f t="shared" si="79"/>
        <v>0</v>
      </c>
      <c r="AO163">
        <f t="shared" si="79"/>
        <v>0</v>
      </c>
      <c r="AP163">
        <f t="shared" si="79"/>
        <v>0</v>
      </c>
      <c r="AQ163">
        <f t="shared" si="79"/>
        <v>0</v>
      </c>
      <c r="AR163">
        <f t="shared" si="78"/>
        <v>1</v>
      </c>
      <c r="AS163">
        <f t="shared" si="78"/>
        <v>0</v>
      </c>
      <c r="AT163">
        <f t="shared" si="77"/>
        <v>0</v>
      </c>
      <c r="AU163">
        <f t="shared" si="77"/>
        <v>0</v>
      </c>
      <c r="AV163">
        <f t="shared" si="69"/>
        <v>0</v>
      </c>
      <c r="AW163">
        <f t="shared" si="69"/>
        <v>0</v>
      </c>
      <c r="AX163">
        <f t="shared" si="69"/>
        <v>0</v>
      </c>
      <c r="AY163">
        <f t="shared" si="69"/>
        <v>0</v>
      </c>
      <c r="AZ163">
        <f t="shared" si="69"/>
        <v>0</v>
      </c>
    </row>
    <row r="164" spans="1:52" x14ac:dyDescent="0.25">
      <c r="A164" t="s">
        <v>46</v>
      </c>
      <c r="B164" s="3">
        <v>43065</v>
      </c>
      <c r="C164" s="1">
        <v>422.31963628779653</v>
      </c>
      <c r="D164" s="1">
        <v>84.463927257559305</v>
      </c>
      <c r="E164" s="1">
        <f t="shared" si="72"/>
        <v>267.31963628779653</v>
      </c>
      <c r="F164" s="1">
        <f t="shared" si="73"/>
        <v>155</v>
      </c>
      <c r="G164" s="2">
        <v>5</v>
      </c>
      <c r="H164" s="1">
        <v>53.463927257559305</v>
      </c>
      <c r="I164" s="1">
        <v>31</v>
      </c>
      <c r="J164" s="1">
        <f t="shared" si="75"/>
        <v>633600.69863764022</v>
      </c>
      <c r="K164" s="1">
        <f t="shared" si="76"/>
        <v>321094.69863763964</v>
      </c>
      <c r="N164">
        <f t="shared" si="74"/>
        <v>0</v>
      </c>
      <c r="O164">
        <f t="shared" si="74"/>
        <v>1</v>
      </c>
      <c r="P164">
        <f t="shared" si="74"/>
        <v>0</v>
      </c>
      <c r="Q164">
        <f t="shared" si="80"/>
        <v>0</v>
      </c>
      <c r="R164">
        <f t="shared" si="80"/>
        <v>0</v>
      </c>
      <c r="S164">
        <f t="shared" si="80"/>
        <v>0</v>
      </c>
      <c r="T164">
        <f t="shared" si="80"/>
        <v>0</v>
      </c>
      <c r="U164">
        <f t="shared" si="80"/>
        <v>0</v>
      </c>
      <c r="V164">
        <f t="shared" si="80"/>
        <v>0</v>
      </c>
      <c r="W164">
        <f t="shared" si="80"/>
        <v>0</v>
      </c>
      <c r="X164">
        <f t="shared" si="80"/>
        <v>0</v>
      </c>
      <c r="Y164">
        <f t="shared" si="80"/>
        <v>0</v>
      </c>
      <c r="Z164">
        <f t="shared" si="80"/>
        <v>0</v>
      </c>
      <c r="AA164">
        <f t="shared" si="80"/>
        <v>0</v>
      </c>
      <c r="AB164">
        <f t="shared" si="80"/>
        <v>0</v>
      </c>
      <c r="AC164">
        <f t="shared" si="80"/>
        <v>0</v>
      </c>
      <c r="AD164">
        <f t="shared" si="80"/>
        <v>0</v>
      </c>
      <c r="AE164">
        <f t="shared" si="80"/>
        <v>0</v>
      </c>
      <c r="AF164">
        <f t="shared" ref="AF164:AU179" si="81">+IF(AF$5=$A164,1,0)</f>
        <v>0</v>
      </c>
      <c r="AG164">
        <f t="shared" si="81"/>
        <v>0</v>
      </c>
      <c r="AH164">
        <f t="shared" si="81"/>
        <v>0</v>
      </c>
      <c r="AI164">
        <f t="shared" si="81"/>
        <v>0</v>
      </c>
      <c r="AJ164">
        <f t="shared" si="81"/>
        <v>0</v>
      </c>
      <c r="AK164">
        <f t="shared" si="81"/>
        <v>0</v>
      </c>
      <c r="AL164">
        <f t="shared" si="81"/>
        <v>0</v>
      </c>
      <c r="AM164">
        <f t="shared" si="81"/>
        <v>0</v>
      </c>
      <c r="AN164">
        <f t="shared" si="81"/>
        <v>0</v>
      </c>
      <c r="AO164">
        <f t="shared" si="81"/>
        <v>0</v>
      </c>
      <c r="AP164">
        <f t="shared" si="81"/>
        <v>0</v>
      </c>
      <c r="AQ164">
        <f t="shared" si="81"/>
        <v>0</v>
      </c>
      <c r="AR164">
        <f t="shared" si="81"/>
        <v>0</v>
      </c>
      <c r="AS164">
        <f t="shared" si="81"/>
        <v>0</v>
      </c>
      <c r="AT164">
        <f t="shared" si="81"/>
        <v>0</v>
      </c>
      <c r="AU164">
        <f t="shared" si="81"/>
        <v>0</v>
      </c>
      <c r="AV164">
        <f t="shared" si="69"/>
        <v>0</v>
      </c>
      <c r="AW164">
        <f t="shared" si="69"/>
        <v>0</v>
      </c>
      <c r="AX164">
        <f t="shared" si="69"/>
        <v>0</v>
      </c>
      <c r="AY164">
        <f t="shared" si="69"/>
        <v>0</v>
      </c>
      <c r="AZ164">
        <f t="shared" si="69"/>
        <v>0</v>
      </c>
    </row>
    <row r="165" spans="1:52" x14ac:dyDescent="0.25">
      <c r="A165" t="s">
        <v>16</v>
      </c>
      <c r="B165" s="3">
        <v>43041</v>
      </c>
      <c r="C165" s="1">
        <v>358.5108401146112</v>
      </c>
      <c r="D165" s="1">
        <v>51.215834302087316</v>
      </c>
      <c r="E165" s="1">
        <f t="shared" si="72"/>
        <v>197.5108401146112</v>
      </c>
      <c r="F165" s="1">
        <f t="shared" si="73"/>
        <v>161</v>
      </c>
      <c r="G165" s="2">
        <v>7</v>
      </c>
      <c r="H165" s="1">
        <v>28.215834302087313</v>
      </c>
      <c r="I165" s="1">
        <v>23</v>
      </c>
      <c r="J165" s="1">
        <f t="shared" si="75"/>
        <v>633959.20947775478</v>
      </c>
      <c r="K165" s="1">
        <f t="shared" si="76"/>
        <v>321292.20947775425</v>
      </c>
      <c r="N165">
        <f t="shared" si="74"/>
        <v>0</v>
      </c>
      <c r="O165">
        <f t="shared" si="74"/>
        <v>0</v>
      </c>
      <c r="P165">
        <f t="shared" si="74"/>
        <v>0</v>
      </c>
      <c r="Q165">
        <f t="shared" ref="Q165:AF180" si="82">+IF(Q$5=$A165,1,0)</f>
        <v>0</v>
      </c>
      <c r="R165">
        <f t="shared" si="82"/>
        <v>0</v>
      </c>
      <c r="S165">
        <f t="shared" si="82"/>
        <v>0</v>
      </c>
      <c r="T165">
        <f t="shared" si="82"/>
        <v>0</v>
      </c>
      <c r="U165">
        <f t="shared" si="82"/>
        <v>0</v>
      </c>
      <c r="V165">
        <f t="shared" si="82"/>
        <v>0</v>
      </c>
      <c r="W165">
        <f t="shared" si="82"/>
        <v>0</v>
      </c>
      <c r="X165">
        <f t="shared" si="82"/>
        <v>0</v>
      </c>
      <c r="Y165">
        <f t="shared" si="82"/>
        <v>0</v>
      </c>
      <c r="Z165">
        <f t="shared" si="82"/>
        <v>0</v>
      </c>
      <c r="AA165">
        <f t="shared" si="82"/>
        <v>0</v>
      </c>
      <c r="AB165">
        <f t="shared" si="82"/>
        <v>0</v>
      </c>
      <c r="AC165">
        <f t="shared" si="82"/>
        <v>0</v>
      </c>
      <c r="AD165">
        <f t="shared" si="82"/>
        <v>0</v>
      </c>
      <c r="AE165">
        <f t="shared" si="82"/>
        <v>0</v>
      </c>
      <c r="AF165">
        <f t="shared" si="82"/>
        <v>0</v>
      </c>
      <c r="AG165">
        <f t="shared" si="81"/>
        <v>0</v>
      </c>
      <c r="AH165">
        <f t="shared" si="81"/>
        <v>0</v>
      </c>
      <c r="AI165">
        <f t="shared" si="81"/>
        <v>0</v>
      </c>
      <c r="AJ165">
        <f t="shared" si="81"/>
        <v>0</v>
      </c>
      <c r="AK165">
        <f t="shared" si="81"/>
        <v>0</v>
      </c>
      <c r="AL165">
        <f t="shared" si="81"/>
        <v>0</v>
      </c>
      <c r="AM165">
        <f t="shared" si="81"/>
        <v>0</v>
      </c>
      <c r="AN165">
        <f t="shared" si="81"/>
        <v>1</v>
      </c>
      <c r="AO165">
        <f t="shared" si="81"/>
        <v>0</v>
      </c>
      <c r="AP165">
        <f t="shared" si="81"/>
        <v>0</v>
      </c>
      <c r="AQ165">
        <f t="shared" si="81"/>
        <v>0</v>
      </c>
      <c r="AR165">
        <f t="shared" si="81"/>
        <v>0</v>
      </c>
      <c r="AS165">
        <f t="shared" si="81"/>
        <v>0</v>
      </c>
      <c r="AT165">
        <f t="shared" si="81"/>
        <v>0</v>
      </c>
      <c r="AU165">
        <f t="shared" si="81"/>
        <v>0</v>
      </c>
      <c r="AV165">
        <f t="shared" ref="AV165:AZ215" si="83">+IF(AV$5=$A165,1,0)</f>
        <v>0</v>
      </c>
      <c r="AW165">
        <f t="shared" si="83"/>
        <v>0</v>
      </c>
      <c r="AX165">
        <f t="shared" si="83"/>
        <v>0</v>
      </c>
      <c r="AY165">
        <f t="shared" si="83"/>
        <v>0</v>
      </c>
      <c r="AZ165">
        <f t="shared" si="83"/>
        <v>0</v>
      </c>
    </row>
    <row r="166" spans="1:52" x14ac:dyDescent="0.25">
      <c r="A166" t="s">
        <v>39</v>
      </c>
      <c r="B166" s="3">
        <v>43041</v>
      </c>
      <c r="C166" s="1">
        <v>1860.3549452933262</v>
      </c>
      <c r="D166" s="1">
        <v>206.70610503259181</v>
      </c>
      <c r="E166" s="1">
        <f t="shared" si="72"/>
        <v>1203.3549452933262</v>
      </c>
      <c r="F166" s="1">
        <f t="shared" si="73"/>
        <v>657</v>
      </c>
      <c r="G166" s="2">
        <v>9</v>
      </c>
      <c r="H166" s="1">
        <v>133.70610503259181</v>
      </c>
      <c r="I166" s="1">
        <v>73</v>
      </c>
      <c r="J166" s="1">
        <f t="shared" si="75"/>
        <v>635819.56442304805</v>
      </c>
      <c r="K166" s="1">
        <f t="shared" si="76"/>
        <v>322495.56442304759</v>
      </c>
      <c r="N166">
        <f t="shared" si="74"/>
        <v>0</v>
      </c>
      <c r="O166">
        <f t="shared" si="74"/>
        <v>0</v>
      </c>
      <c r="P166">
        <f t="shared" si="74"/>
        <v>0</v>
      </c>
      <c r="Q166">
        <f t="shared" si="82"/>
        <v>0</v>
      </c>
      <c r="R166">
        <f t="shared" si="82"/>
        <v>0</v>
      </c>
      <c r="S166">
        <f t="shared" si="82"/>
        <v>0</v>
      </c>
      <c r="T166">
        <f t="shared" si="82"/>
        <v>0</v>
      </c>
      <c r="U166">
        <f t="shared" si="82"/>
        <v>0</v>
      </c>
      <c r="V166">
        <f t="shared" si="82"/>
        <v>0</v>
      </c>
      <c r="W166">
        <f t="shared" si="82"/>
        <v>0</v>
      </c>
      <c r="X166">
        <f t="shared" si="82"/>
        <v>0</v>
      </c>
      <c r="Y166">
        <f t="shared" si="82"/>
        <v>1</v>
      </c>
      <c r="Z166">
        <f t="shared" si="82"/>
        <v>0</v>
      </c>
      <c r="AA166">
        <f t="shared" si="82"/>
        <v>0</v>
      </c>
      <c r="AB166">
        <f t="shared" si="82"/>
        <v>0</v>
      </c>
      <c r="AC166">
        <f t="shared" si="82"/>
        <v>0</v>
      </c>
      <c r="AD166">
        <f t="shared" si="82"/>
        <v>0</v>
      </c>
      <c r="AE166">
        <f t="shared" si="82"/>
        <v>0</v>
      </c>
      <c r="AF166">
        <f t="shared" si="82"/>
        <v>0</v>
      </c>
      <c r="AG166">
        <f t="shared" si="81"/>
        <v>0</v>
      </c>
      <c r="AH166">
        <f t="shared" si="81"/>
        <v>0</v>
      </c>
      <c r="AI166">
        <f t="shared" si="81"/>
        <v>0</v>
      </c>
      <c r="AJ166">
        <f t="shared" si="81"/>
        <v>0</v>
      </c>
      <c r="AK166">
        <f t="shared" si="81"/>
        <v>0</v>
      </c>
      <c r="AL166">
        <f t="shared" si="81"/>
        <v>0</v>
      </c>
      <c r="AM166">
        <f t="shared" si="81"/>
        <v>0</v>
      </c>
      <c r="AN166">
        <f t="shared" si="81"/>
        <v>0</v>
      </c>
      <c r="AO166">
        <f t="shared" si="81"/>
        <v>0</v>
      </c>
      <c r="AP166">
        <f t="shared" si="81"/>
        <v>0</v>
      </c>
      <c r="AQ166">
        <f t="shared" si="81"/>
        <v>0</v>
      </c>
      <c r="AR166">
        <f t="shared" si="81"/>
        <v>0</v>
      </c>
      <c r="AS166">
        <f t="shared" si="81"/>
        <v>0</v>
      </c>
      <c r="AT166">
        <f t="shared" si="81"/>
        <v>0</v>
      </c>
      <c r="AU166">
        <f t="shared" si="81"/>
        <v>0</v>
      </c>
      <c r="AV166">
        <f t="shared" si="83"/>
        <v>0</v>
      </c>
      <c r="AW166">
        <f t="shared" si="83"/>
        <v>0</v>
      </c>
      <c r="AX166">
        <f t="shared" si="83"/>
        <v>0</v>
      </c>
      <c r="AY166">
        <f t="shared" si="83"/>
        <v>0</v>
      </c>
      <c r="AZ166">
        <f t="shared" si="83"/>
        <v>0</v>
      </c>
    </row>
    <row r="167" spans="1:52" x14ac:dyDescent="0.25">
      <c r="A167" t="s">
        <v>29</v>
      </c>
      <c r="B167" s="3">
        <v>43026</v>
      </c>
      <c r="C167" s="1">
        <v>1798.42054531753</v>
      </c>
      <c r="D167" s="1">
        <v>119.89470302116867</v>
      </c>
      <c r="E167" s="1">
        <f t="shared" si="72"/>
        <v>823.42054531753001</v>
      </c>
      <c r="F167" s="1">
        <f t="shared" si="73"/>
        <v>975</v>
      </c>
      <c r="G167" s="2">
        <v>15</v>
      </c>
      <c r="H167" s="1">
        <v>54.894703021168667</v>
      </c>
      <c r="I167" s="1">
        <v>65</v>
      </c>
      <c r="J167" s="1">
        <f t="shared" si="75"/>
        <v>637617.98496836564</v>
      </c>
      <c r="K167" s="1">
        <f t="shared" si="76"/>
        <v>323318.98496836511</v>
      </c>
      <c r="N167">
        <f t="shared" si="74"/>
        <v>0</v>
      </c>
      <c r="O167">
        <f t="shared" si="74"/>
        <v>0</v>
      </c>
      <c r="P167">
        <f t="shared" si="74"/>
        <v>0</v>
      </c>
      <c r="Q167">
        <f t="shared" si="82"/>
        <v>0</v>
      </c>
      <c r="R167">
        <f t="shared" si="82"/>
        <v>0</v>
      </c>
      <c r="S167">
        <f t="shared" si="82"/>
        <v>0</v>
      </c>
      <c r="T167">
        <f t="shared" si="82"/>
        <v>0</v>
      </c>
      <c r="U167">
        <f t="shared" si="82"/>
        <v>0</v>
      </c>
      <c r="V167">
        <f t="shared" si="82"/>
        <v>0</v>
      </c>
      <c r="W167">
        <f t="shared" si="82"/>
        <v>0</v>
      </c>
      <c r="X167">
        <f t="shared" si="82"/>
        <v>0</v>
      </c>
      <c r="Y167">
        <f t="shared" si="82"/>
        <v>0</v>
      </c>
      <c r="Z167">
        <f t="shared" si="82"/>
        <v>0</v>
      </c>
      <c r="AA167">
        <f t="shared" si="82"/>
        <v>0</v>
      </c>
      <c r="AB167">
        <f t="shared" si="82"/>
        <v>0</v>
      </c>
      <c r="AC167">
        <f t="shared" si="82"/>
        <v>0</v>
      </c>
      <c r="AD167">
        <f t="shared" si="82"/>
        <v>0</v>
      </c>
      <c r="AE167">
        <f t="shared" si="82"/>
        <v>0</v>
      </c>
      <c r="AF167">
        <f t="shared" si="82"/>
        <v>0</v>
      </c>
      <c r="AG167">
        <f t="shared" si="81"/>
        <v>0</v>
      </c>
      <c r="AH167">
        <f t="shared" si="81"/>
        <v>0</v>
      </c>
      <c r="AI167">
        <f t="shared" si="81"/>
        <v>0</v>
      </c>
      <c r="AJ167">
        <f t="shared" si="81"/>
        <v>0</v>
      </c>
      <c r="AK167">
        <f t="shared" si="81"/>
        <v>0</v>
      </c>
      <c r="AL167">
        <f t="shared" si="81"/>
        <v>0</v>
      </c>
      <c r="AM167">
        <f t="shared" si="81"/>
        <v>0</v>
      </c>
      <c r="AN167">
        <f t="shared" si="81"/>
        <v>0</v>
      </c>
      <c r="AO167">
        <f t="shared" si="81"/>
        <v>0</v>
      </c>
      <c r="AP167">
        <f t="shared" si="81"/>
        <v>0</v>
      </c>
      <c r="AQ167">
        <f t="shared" si="81"/>
        <v>0</v>
      </c>
      <c r="AR167">
        <f t="shared" si="81"/>
        <v>0</v>
      </c>
      <c r="AS167">
        <f t="shared" si="81"/>
        <v>1</v>
      </c>
      <c r="AT167">
        <f t="shared" si="81"/>
        <v>0</v>
      </c>
      <c r="AU167">
        <f t="shared" si="81"/>
        <v>0</v>
      </c>
      <c r="AV167">
        <f t="shared" si="83"/>
        <v>0</v>
      </c>
      <c r="AW167">
        <f t="shared" si="83"/>
        <v>0</v>
      </c>
      <c r="AX167">
        <f t="shared" si="83"/>
        <v>0</v>
      </c>
      <c r="AY167">
        <f t="shared" si="83"/>
        <v>0</v>
      </c>
      <c r="AZ167">
        <f t="shared" si="83"/>
        <v>0</v>
      </c>
    </row>
    <row r="168" spans="1:52" x14ac:dyDescent="0.25">
      <c r="A168" t="s">
        <v>35</v>
      </c>
      <c r="B168" s="3">
        <v>43020</v>
      </c>
      <c r="C168" s="1">
        <v>289.56841207814108</v>
      </c>
      <c r="D168" s="1">
        <v>57.913682415628216</v>
      </c>
      <c r="E168" s="1">
        <f t="shared" si="72"/>
        <v>189.56841207814108</v>
      </c>
      <c r="F168" s="1">
        <f t="shared" si="73"/>
        <v>100</v>
      </c>
      <c r="G168" s="2">
        <v>5</v>
      </c>
      <c r="H168" s="1">
        <v>37.913682415628216</v>
      </c>
      <c r="I168" s="1">
        <v>20</v>
      </c>
      <c r="J168" s="1">
        <f t="shared" si="75"/>
        <v>637907.55338044383</v>
      </c>
      <c r="K168" s="1">
        <f t="shared" si="76"/>
        <v>323508.55338044325</v>
      </c>
      <c r="N168">
        <f t="shared" si="74"/>
        <v>0</v>
      </c>
      <c r="O168">
        <f t="shared" si="74"/>
        <v>0</v>
      </c>
      <c r="P168">
        <f t="shared" si="74"/>
        <v>0</v>
      </c>
      <c r="Q168">
        <f t="shared" si="82"/>
        <v>0</v>
      </c>
      <c r="R168">
        <f t="shared" si="82"/>
        <v>0</v>
      </c>
      <c r="S168">
        <f t="shared" si="82"/>
        <v>0</v>
      </c>
      <c r="T168">
        <f t="shared" si="82"/>
        <v>0</v>
      </c>
      <c r="U168">
        <f t="shared" si="82"/>
        <v>0</v>
      </c>
      <c r="V168">
        <f t="shared" si="82"/>
        <v>0</v>
      </c>
      <c r="W168">
        <f t="shared" si="82"/>
        <v>0</v>
      </c>
      <c r="X168">
        <f t="shared" si="82"/>
        <v>0</v>
      </c>
      <c r="Y168">
        <f t="shared" si="82"/>
        <v>0</v>
      </c>
      <c r="Z168">
        <f t="shared" si="82"/>
        <v>0</v>
      </c>
      <c r="AA168">
        <f t="shared" si="82"/>
        <v>0</v>
      </c>
      <c r="AB168">
        <f t="shared" si="82"/>
        <v>0</v>
      </c>
      <c r="AC168">
        <f t="shared" si="82"/>
        <v>0</v>
      </c>
      <c r="AD168">
        <f t="shared" si="82"/>
        <v>0</v>
      </c>
      <c r="AE168">
        <f t="shared" si="82"/>
        <v>0</v>
      </c>
      <c r="AF168">
        <f t="shared" si="82"/>
        <v>0</v>
      </c>
      <c r="AG168">
        <f t="shared" si="81"/>
        <v>0</v>
      </c>
      <c r="AH168">
        <f t="shared" si="81"/>
        <v>0</v>
      </c>
      <c r="AI168">
        <f t="shared" si="81"/>
        <v>0</v>
      </c>
      <c r="AJ168">
        <f t="shared" si="81"/>
        <v>0</v>
      </c>
      <c r="AK168">
        <f t="shared" si="81"/>
        <v>0</v>
      </c>
      <c r="AL168">
        <f t="shared" si="81"/>
        <v>1</v>
      </c>
      <c r="AM168">
        <f t="shared" si="81"/>
        <v>0</v>
      </c>
      <c r="AN168">
        <f t="shared" si="81"/>
        <v>0</v>
      </c>
      <c r="AO168">
        <f t="shared" si="81"/>
        <v>0</v>
      </c>
      <c r="AP168">
        <f t="shared" si="81"/>
        <v>0</v>
      </c>
      <c r="AQ168">
        <f t="shared" si="81"/>
        <v>0</v>
      </c>
      <c r="AR168">
        <f t="shared" si="81"/>
        <v>0</v>
      </c>
      <c r="AS168">
        <f t="shared" si="81"/>
        <v>0</v>
      </c>
      <c r="AT168">
        <f t="shared" si="81"/>
        <v>0</v>
      </c>
      <c r="AU168">
        <f t="shared" si="81"/>
        <v>0</v>
      </c>
      <c r="AV168">
        <f t="shared" si="83"/>
        <v>0</v>
      </c>
      <c r="AW168">
        <f t="shared" si="83"/>
        <v>0</v>
      </c>
      <c r="AX168">
        <f t="shared" si="83"/>
        <v>0</v>
      </c>
      <c r="AY168">
        <f t="shared" si="83"/>
        <v>0</v>
      </c>
      <c r="AZ168">
        <f t="shared" si="83"/>
        <v>0</v>
      </c>
    </row>
    <row r="169" spans="1:52" x14ac:dyDescent="0.25">
      <c r="A169" t="s">
        <v>15</v>
      </c>
      <c r="B169" s="3">
        <v>43020</v>
      </c>
      <c r="C169" s="1">
        <v>1527.1190597880798</v>
      </c>
      <c r="D169" s="1">
        <v>117.47069690677537</v>
      </c>
      <c r="E169" s="1">
        <f t="shared" si="72"/>
        <v>877.11905978807988</v>
      </c>
      <c r="F169" s="1">
        <f t="shared" si="73"/>
        <v>650</v>
      </c>
      <c r="G169" s="2">
        <v>13</v>
      </c>
      <c r="H169" s="1">
        <v>67.470696906775373</v>
      </c>
      <c r="I169" s="1">
        <v>50</v>
      </c>
      <c r="J169" s="1">
        <f t="shared" si="75"/>
        <v>639434.67244023189</v>
      </c>
      <c r="K169" s="1">
        <f t="shared" si="76"/>
        <v>324385.67244023131</v>
      </c>
      <c r="N169">
        <f t="shared" si="74"/>
        <v>0</v>
      </c>
      <c r="O169">
        <f t="shared" si="74"/>
        <v>0</v>
      </c>
      <c r="P169">
        <f t="shared" si="74"/>
        <v>0</v>
      </c>
      <c r="Q169">
        <f t="shared" si="82"/>
        <v>0</v>
      </c>
      <c r="R169">
        <f t="shared" si="82"/>
        <v>0</v>
      </c>
      <c r="S169">
        <f t="shared" si="82"/>
        <v>0</v>
      </c>
      <c r="T169">
        <f t="shared" si="82"/>
        <v>0</v>
      </c>
      <c r="U169">
        <f t="shared" si="82"/>
        <v>0</v>
      </c>
      <c r="V169">
        <f t="shared" si="82"/>
        <v>0</v>
      </c>
      <c r="W169">
        <f t="shared" si="82"/>
        <v>0</v>
      </c>
      <c r="X169">
        <f t="shared" si="82"/>
        <v>0</v>
      </c>
      <c r="Y169">
        <f t="shared" si="82"/>
        <v>0</v>
      </c>
      <c r="Z169">
        <f t="shared" si="82"/>
        <v>0</v>
      </c>
      <c r="AA169">
        <f t="shared" si="82"/>
        <v>0</v>
      </c>
      <c r="AB169">
        <f t="shared" si="82"/>
        <v>0</v>
      </c>
      <c r="AC169">
        <f t="shared" si="82"/>
        <v>0</v>
      </c>
      <c r="AD169">
        <f t="shared" si="82"/>
        <v>0</v>
      </c>
      <c r="AE169">
        <f t="shared" si="82"/>
        <v>0</v>
      </c>
      <c r="AF169">
        <f t="shared" si="82"/>
        <v>0</v>
      </c>
      <c r="AG169">
        <f t="shared" si="81"/>
        <v>0</v>
      </c>
      <c r="AH169">
        <f t="shared" si="81"/>
        <v>0</v>
      </c>
      <c r="AI169">
        <f t="shared" si="81"/>
        <v>0</v>
      </c>
      <c r="AJ169">
        <f t="shared" si="81"/>
        <v>0</v>
      </c>
      <c r="AK169">
        <f t="shared" si="81"/>
        <v>0</v>
      </c>
      <c r="AL169">
        <f t="shared" si="81"/>
        <v>0</v>
      </c>
      <c r="AM169">
        <f t="shared" si="81"/>
        <v>0</v>
      </c>
      <c r="AN169">
        <f t="shared" si="81"/>
        <v>0</v>
      </c>
      <c r="AO169">
        <f t="shared" si="81"/>
        <v>0</v>
      </c>
      <c r="AP169">
        <f t="shared" si="81"/>
        <v>0</v>
      </c>
      <c r="AQ169">
        <f t="shared" si="81"/>
        <v>0</v>
      </c>
      <c r="AR169">
        <f t="shared" si="81"/>
        <v>1</v>
      </c>
      <c r="AS169">
        <f t="shared" si="81"/>
        <v>0</v>
      </c>
      <c r="AT169">
        <f t="shared" si="81"/>
        <v>0</v>
      </c>
      <c r="AU169">
        <f t="shared" si="81"/>
        <v>0</v>
      </c>
      <c r="AV169">
        <f t="shared" si="83"/>
        <v>0</v>
      </c>
      <c r="AW169">
        <f t="shared" si="83"/>
        <v>0</v>
      </c>
      <c r="AX169">
        <f t="shared" si="83"/>
        <v>0</v>
      </c>
      <c r="AY169">
        <f t="shared" si="83"/>
        <v>0</v>
      </c>
      <c r="AZ169">
        <f t="shared" si="83"/>
        <v>0</v>
      </c>
    </row>
    <row r="170" spans="1:52" x14ac:dyDescent="0.25">
      <c r="A170" t="s">
        <v>21</v>
      </c>
      <c r="B170" s="3">
        <v>43012</v>
      </c>
      <c r="C170" s="1">
        <v>1635.7920266463836</v>
      </c>
      <c r="D170" s="1">
        <v>90.87733481368798</v>
      </c>
      <c r="E170" s="1">
        <f t="shared" si="72"/>
        <v>1059.7920266463839</v>
      </c>
      <c r="F170" s="1">
        <f t="shared" si="73"/>
        <v>576</v>
      </c>
      <c r="G170" s="2">
        <v>18</v>
      </c>
      <c r="H170" s="1">
        <v>58.877334813687987</v>
      </c>
      <c r="I170" s="1">
        <v>32</v>
      </c>
      <c r="J170" s="1">
        <f t="shared" si="75"/>
        <v>641070.46446687833</v>
      </c>
      <c r="K170" s="1">
        <f t="shared" si="76"/>
        <v>325445.46446687769</v>
      </c>
      <c r="N170">
        <f t="shared" si="74"/>
        <v>0</v>
      </c>
      <c r="O170">
        <f t="shared" si="74"/>
        <v>0</v>
      </c>
      <c r="P170">
        <f t="shared" si="74"/>
        <v>0</v>
      </c>
      <c r="Q170">
        <f t="shared" si="82"/>
        <v>0</v>
      </c>
      <c r="R170">
        <f t="shared" si="82"/>
        <v>0</v>
      </c>
      <c r="S170">
        <f t="shared" si="82"/>
        <v>0</v>
      </c>
      <c r="T170">
        <f t="shared" si="82"/>
        <v>1</v>
      </c>
      <c r="U170">
        <f t="shared" si="82"/>
        <v>0</v>
      </c>
      <c r="V170">
        <f t="shared" si="82"/>
        <v>0</v>
      </c>
      <c r="W170">
        <f t="shared" si="82"/>
        <v>0</v>
      </c>
      <c r="X170">
        <f t="shared" si="82"/>
        <v>0</v>
      </c>
      <c r="Y170">
        <f t="shared" si="82"/>
        <v>0</v>
      </c>
      <c r="Z170">
        <f t="shared" si="82"/>
        <v>0</v>
      </c>
      <c r="AA170">
        <f t="shared" si="82"/>
        <v>0</v>
      </c>
      <c r="AB170">
        <f t="shared" si="82"/>
        <v>0</v>
      </c>
      <c r="AC170">
        <f t="shared" si="82"/>
        <v>0</v>
      </c>
      <c r="AD170">
        <f t="shared" si="82"/>
        <v>0</v>
      </c>
      <c r="AE170">
        <f t="shared" si="82"/>
        <v>0</v>
      </c>
      <c r="AF170">
        <f t="shared" si="82"/>
        <v>0</v>
      </c>
      <c r="AG170">
        <f t="shared" si="81"/>
        <v>0</v>
      </c>
      <c r="AH170">
        <f t="shared" si="81"/>
        <v>0</v>
      </c>
      <c r="AI170">
        <f t="shared" si="81"/>
        <v>0</v>
      </c>
      <c r="AJ170">
        <f t="shared" si="81"/>
        <v>0</v>
      </c>
      <c r="AK170">
        <f t="shared" si="81"/>
        <v>0</v>
      </c>
      <c r="AL170">
        <f t="shared" si="81"/>
        <v>0</v>
      </c>
      <c r="AM170">
        <f t="shared" si="81"/>
        <v>0</v>
      </c>
      <c r="AN170">
        <f t="shared" si="81"/>
        <v>0</v>
      </c>
      <c r="AO170">
        <f t="shared" si="81"/>
        <v>0</v>
      </c>
      <c r="AP170">
        <f t="shared" si="81"/>
        <v>0</v>
      </c>
      <c r="AQ170">
        <f t="shared" si="81"/>
        <v>0</v>
      </c>
      <c r="AR170">
        <f t="shared" si="81"/>
        <v>0</v>
      </c>
      <c r="AS170">
        <f t="shared" si="81"/>
        <v>0</v>
      </c>
      <c r="AT170">
        <f t="shared" si="81"/>
        <v>0</v>
      </c>
      <c r="AU170">
        <f t="shared" si="81"/>
        <v>0</v>
      </c>
      <c r="AV170">
        <f t="shared" si="83"/>
        <v>0</v>
      </c>
      <c r="AW170">
        <f t="shared" si="83"/>
        <v>0</v>
      </c>
      <c r="AX170">
        <f t="shared" si="83"/>
        <v>0</v>
      </c>
      <c r="AY170">
        <f t="shared" si="83"/>
        <v>0</v>
      </c>
      <c r="AZ170">
        <f t="shared" si="83"/>
        <v>0</v>
      </c>
    </row>
    <row r="171" spans="1:52" x14ac:dyDescent="0.25">
      <c r="A171" t="s">
        <v>25</v>
      </c>
      <c r="B171" s="3">
        <v>43008</v>
      </c>
      <c r="C171" s="1">
        <v>989.3713685888689</v>
      </c>
      <c r="D171" s="1">
        <v>47.112922313755661</v>
      </c>
      <c r="E171" s="1">
        <f t="shared" si="72"/>
        <v>401.37136858886879</v>
      </c>
      <c r="F171" s="1">
        <f t="shared" si="73"/>
        <v>588</v>
      </c>
      <c r="G171" s="2">
        <v>21</v>
      </c>
      <c r="H171" s="1">
        <v>19.112922313755657</v>
      </c>
      <c r="I171" s="1">
        <v>28</v>
      </c>
      <c r="J171" s="1">
        <f t="shared" si="75"/>
        <v>642059.83583546721</v>
      </c>
      <c r="K171" s="1">
        <f t="shared" si="76"/>
        <v>325846.83583546657</v>
      </c>
      <c r="N171">
        <f t="shared" si="74"/>
        <v>0</v>
      </c>
      <c r="O171">
        <f t="shared" si="74"/>
        <v>0</v>
      </c>
      <c r="P171">
        <f t="shared" si="74"/>
        <v>0</v>
      </c>
      <c r="Q171">
        <f t="shared" si="82"/>
        <v>0</v>
      </c>
      <c r="R171">
        <f t="shared" si="82"/>
        <v>0</v>
      </c>
      <c r="S171">
        <f t="shared" si="82"/>
        <v>1</v>
      </c>
      <c r="T171">
        <f t="shared" si="82"/>
        <v>0</v>
      </c>
      <c r="U171">
        <f t="shared" si="82"/>
        <v>0</v>
      </c>
      <c r="V171">
        <f t="shared" si="82"/>
        <v>0</v>
      </c>
      <c r="W171">
        <f t="shared" si="82"/>
        <v>0</v>
      </c>
      <c r="X171">
        <f t="shared" si="82"/>
        <v>0</v>
      </c>
      <c r="Y171">
        <f t="shared" si="82"/>
        <v>0</v>
      </c>
      <c r="Z171">
        <f t="shared" si="82"/>
        <v>0</v>
      </c>
      <c r="AA171">
        <f t="shared" si="82"/>
        <v>0</v>
      </c>
      <c r="AB171">
        <f t="shared" si="82"/>
        <v>0</v>
      </c>
      <c r="AC171">
        <f t="shared" si="82"/>
        <v>0</v>
      </c>
      <c r="AD171">
        <f t="shared" si="82"/>
        <v>0</v>
      </c>
      <c r="AE171">
        <f t="shared" si="82"/>
        <v>0</v>
      </c>
      <c r="AF171">
        <f t="shared" si="82"/>
        <v>0</v>
      </c>
      <c r="AG171">
        <f t="shared" si="81"/>
        <v>0</v>
      </c>
      <c r="AH171">
        <f t="shared" si="81"/>
        <v>0</v>
      </c>
      <c r="AI171">
        <f t="shared" si="81"/>
        <v>0</v>
      </c>
      <c r="AJ171">
        <f t="shared" si="81"/>
        <v>0</v>
      </c>
      <c r="AK171">
        <f t="shared" si="81"/>
        <v>0</v>
      </c>
      <c r="AL171">
        <f t="shared" si="81"/>
        <v>0</v>
      </c>
      <c r="AM171">
        <f t="shared" si="81"/>
        <v>0</v>
      </c>
      <c r="AN171">
        <f t="shared" si="81"/>
        <v>0</v>
      </c>
      <c r="AO171">
        <f t="shared" si="81"/>
        <v>0</v>
      </c>
      <c r="AP171">
        <f t="shared" si="81"/>
        <v>0</v>
      </c>
      <c r="AQ171">
        <f t="shared" si="81"/>
        <v>0</v>
      </c>
      <c r="AR171">
        <f t="shared" si="81"/>
        <v>0</v>
      </c>
      <c r="AS171">
        <f t="shared" si="81"/>
        <v>0</v>
      </c>
      <c r="AT171">
        <f t="shared" si="81"/>
        <v>0</v>
      </c>
      <c r="AU171">
        <f t="shared" si="81"/>
        <v>0</v>
      </c>
      <c r="AV171">
        <f t="shared" si="83"/>
        <v>0</v>
      </c>
      <c r="AW171">
        <f t="shared" si="83"/>
        <v>0</v>
      </c>
      <c r="AX171">
        <f t="shared" si="83"/>
        <v>0</v>
      </c>
      <c r="AY171">
        <f t="shared" si="83"/>
        <v>0</v>
      </c>
      <c r="AZ171">
        <f t="shared" si="83"/>
        <v>0</v>
      </c>
    </row>
    <row r="172" spans="1:52" x14ac:dyDescent="0.25">
      <c r="A172" t="s">
        <v>32</v>
      </c>
      <c r="B172" s="3">
        <v>42991</v>
      </c>
      <c r="C172" s="1">
        <v>2868.1466123142663</v>
      </c>
      <c r="D172" s="1">
        <v>143.40733061571331</v>
      </c>
      <c r="E172" s="1">
        <f t="shared" si="72"/>
        <v>1628.1466123142661</v>
      </c>
      <c r="F172" s="1">
        <f t="shared" si="73"/>
        <v>1240</v>
      </c>
      <c r="G172" s="2">
        <v>20</v>
      </c>
      <c r="H172" s="1">
        <v>81.407330615713306</v>
      </c>
      <c r="I172" s="1">
        <v>62</v>
      </c>
      <c r="J172" s="1">
        <f t="shared" si="75"/>
        <v>644927.98244778148</v>
      </c>
      <c r="K172" s="1">
        <f t="shared" si="76"/>
        <v>327474.98244778084</v>
      </c>
      <c r="N172">
        <f t="shared" si="74"/>
        <v>0</v>
      </c>
      <c r="O172">
        <f t="shared" si="74"/>
        <v>0</v>
      </c>
      <c r="P172">
        <f t="shared" si="74"/>
        <v>0</v>
      </c>
      <c r="Q172">
        <f t="shared" si="82"/>
        <v>0</v>
      </c>
      <c r="R172">
        <f t="shared" si="82"/>
        <v>0</v>
      </c>
      <c r="S172">
        <f t="shared" si="82"/>
        <v>0</v>
      </c>
      <c r="T172">
        <f t="shared" si="82"/>
        <v>0</v>
      </c>
      <c r="U172">
        <f t="shared" si="82"/>
        <v>0</v>
      </c>
      <c r="V172">
        <f t="shared" si="82"/>
        <v>0</v>
      </c>
      <c r="W172">
        <f t="shared" si="82"/>
        <v>0</v>
      </c>
      <c r="X172">
        <f t="shared" si="82"/>
        <v>0</v>
      </c>
      <c r="Y172">
        <f t="shared" si="82"/>
        <v>0</v>
      </c>
      <c r="Z172">
        <f t="shared" si="82"/>
        <v>0</v>
      </c>
      <c r="AA172">
        <f t="shared" si="82"/>
        <v>0</v>
      </c>
      <c r="AB172">
        <f t="shared" si="82"/>
        <v>0</v>
      </c>
      <c r="AC172">
        <f t="shared" si="82"/>
        <v>0</v>
      </c>
      <c r="AD172">
        <f t="shared" si="82"/>
        <v>0</v>
      </c>
      <c r="AE172">
        <f t="shared" si="82"/>
        <v>0</v>
      </c>
      <c r="AF172">
        <f t="shared" si="82"/>
        <v>0</v>
      </c>
      <c r="AG172">
        <f t="shared" si="81"/>
        <v>0</v>
      </c>
      <c r="AH172">
        <f t="shared" si="81"/>
        <v>1</v>
      </c>
      <c r="AI172">
        <f t="shared" si="81"/>
        <v>0</v>
      </c>
      <c r="AJ172">
        <f t="shared" si="81"/>
        <v>0</v>
      </c>
      <c r="AK172">
        <f t="shared" si="81"/>
        <v>0</v>
      </c>
      <c r="AL172">
        <f t="shared" si="81"/>
        <v>0</v>
      </c>
      <c r="AM172">
        <f t="shared" si="81"/>
        <v>0</v>
      </c>
      <c r="AN172">
        <f t="shared" si="81"/>
        <v>0</v>
      </c>
      <c r="AO172">
        <f t="shared" si="81"/>
        <v>0</v>
      </c>
      <c r="AP172">
        <f t="shared" si="81"/>
        <v>0</v>
      </c>
      <c r="AQ172">
        <f t="shared" si="81"/>
        <v>0</v>
      </c>
      <c r="AR172">
        <f t="shared" si="81"/>
        <v>0</v>
      </c>
      <c r="AS172">
        <f t="shared" si="81"/>
        <v>0</v>
      </c>
      <c r="AT172">
        <f t="shared" si="81"/>
        <v>0</v>
      </c>
      <c r="AU172">
        <f t="shared" si="81"/>
        <v>0</v>
      </c>
      <c r="AV172">
        <f t="shared" si="83"/>
        <v>0</v>
      </c>
      <c r="AW172">
        <f t="shared" si="83"/>
        <v>0</v>
      </c>
      <c r="AX172">
        <f t="shared" si="83"/>
        <v>0</v>
      </c>
      <c r="AY172">
        <f t="shared" si="83"/>
        <v>0</v>
      </c>
      <c r="AZ172">
        <f t="shared" si="83"/>
        <v>0</v>
      </c>
    </row>
    <row r="173" spans="1:52" x14ac:dyDescent="0.25">
      <c r="A173" t="s">
        <v>28</v>
      </c>
      <c r="B173" s="3">
        <v>42988</v>
      </c>
      <c r="C173" s="1">
        <v>1845.3760131126269</v>
      </c>
      <c r="D173" s="1">
        <v>153.78133442605224</v>
      </c>
      <c r="E173" s="1">
        <f t="shared" si="72"/>
        <v>765.37601311262677</v>
      </c>
      <c r="F173" s="1">
        <f t="shared" si="73"/>
        <v>1080</v>
      </c>
      <c r="G173" s="2">
        <v>12</v>
      </c>
      <c r="H173" s="1">
        <v>63.781334426052233</v>
      </c>
      <c r="I173" s="1">
        <v>90</v>
      </c>
      <c r="J173" s="1">
        <f t="shared" si="75"/>
        <v>646773.35846089409</v>
      </c>
      <c r="K173" s="1">
        <f t="shared" si="76"/>
        <v>328240.35846089345</v>
      </c>
      <c r="N173">
        <f t="shared" si="74"/>
        <v>0</v>
      </c>
      <c r="O173">
        <f t="shared" si="74"/>
        <v>0</v>
      </c>
      <c r="P173">
        <f t="shared" si="74"/>
        <v>0</v>
      </c>
      <c r="Q173">
        <f t="shared" si="82"/>
        <v>0</v>
      </c>
      <c r="R173">
        <f t="shared" si="82"/>
        <v>0</v>
      </c>
      <c r="S173">
        <f t="shared" si="82"/>
        <v>0</v>
      </c>
      <c r="T173">
        <f t="shared" si="82"/>
        <v>0</v>
      </c>
      <c r="U173">
        <f t="shared" si="82"/>
        <v>0</v>
      </c>
      <c r="V173">
        <f t="shared" si="82"/>
        <v>0</v>
      </c>
      <c r="W173">
        <f t="shared" si="82"/>
        <v>0</v>
      </c>
      <c r="X173">
        <f t="shared" si="82"/>
        <v>0</v>
      </c>
      <c r="Y173">
        <f t="shared" si="82"/>
        <v>0</v>
      </c>
      <c r="Z173">
        <f t="shared" si="82"/>
        <v>0</v>
      </c>
      <c r="AA173">
        <f t="shared" si="82"/>
        <v>0</v>
      </c>
      <c r="AB173">
        <f t="shared" si="82"/>
        <v>0</v>
      </c>
      <c r="AC173">
        <f t="shared" si="82"/>
        <v>0</v>
      </c>
      <c r="AD173">
        <f t="shared" si="82"/>
        <v>0</v>
      </c>
      <c r="AE173">
        <f t="shared" si="82"/>
        <v>0</v>
      </c>
      <c r="AF173">
        <f t="shared" si="82"/>
        <v>0</v>
      </c>
      <c r="AG173">
        <f t="shared" si="81"/>
        <v>0</v>
      </c>
      <c r="AH173">
        <f t="shared" si="81"/>
        <v>0</v>
      </c>
      <c r="AI173">
        <f t="shared" si="81"/>
        <v>0</v>
      </c>
      <c r="AJ173">
        <f t="shared" si="81"/>
        <v>0</v>
      </c>
      <c r="AK173">
        <f t="shared" si="81"/>
        <v>0</v>
      </c>
      <c r="AL173">
        <f t="shared" si="81"/>
        <v>0</v>
      </c>
      <c r="AM173">
        <f t="shared" si="81"/>
        <v>0</v>
      </c>
      <c r="AN173">
        <f t="shared" si="81"/>
        <v>0</v>
      </c>
      <c r="AO173">
        <f t="shared" si="81"/>
        <v>0</v>
      </c>
      <c r="AP173">
        <f t="shared" si="81"/>
        <v>0</v>
      </c>
      <c r="AQ173">
        <f t="shared" si="81"/>
        <v>0</v>
      </c>
      <c r="AR173">
        <f t="shared" si="81"/>
        <v>0</v>
      </c>
      <c r="AS173">
        <f t="shared" si="81"/>
        <v>0</v>
      </c>
      <c r="AT173">
        <f t="shared" si="81"/>
        <v>1</v>
      </c>
      <c r="AU173">
        <f t="shared" si="81"/>
        <v>0</v>
      </c>
      <c r="AV173">
        <f t="shared" si="83"/>
        <v>0</v>
      </c>
      <c r="AW173">
        <f t="shared" si="83"/>
        <v>0</v>
      </c>
      <c r="AX173">
        <f t="shared" si="83"/>
        <v>0</v>
      </c>
      <c r="AY173">
        <f t="shared" si="83"/>
        <v>0</v>
      </c>
      <c r="AZ173">
        <f t="shared" si="83"/>
        <v>0</v>
      </c>
    </row>
    <row r="174" spans="1:52" x14ac:dyDescent="0.25">
      <c r="A174" t="s">
        <v>21</v>
      </c>
      <c r="B174" s="3">
        <v>42984</v>
      </c>
      <c r="C174" s="1">
        <v>5440.3274404616941</v>
      </c>
      <c r="D174" s="1">
        <v>97.148704293958829</v>
      </c>
      <c r="E174" s="1">
        <f t="shared" si="72"/>
        <v>2640.3274404616946</v>
      </c>
      <c r="F174" s="1">
        <f t="shared" si="73"/>
        <v>2800</v>
      </c>
      <c r="G174" s="2">
        <v>56</v>
      </c>
      <c r="H174" s="1">
        <v>47.148704293958829</v>
      </c>
      <c r="I174" s="1">
        <v>50</v>
      </c>
      <c r="J174" s="1">
        <f t="shared" si="75"/>
        <v>652213.68590135581</v>
      </c>
      <c r="K174" s="1">
        <f t="shared" si="76"/>
        <v>330880.68590135511</v>
      </c>
      <c r="N174">
        <f t="shared" si="74"/>
        <v>0</v>
      </c>
      <c r="O174">
        <f t="shared" si="74"/>
        <v>0</v>
      </c>
      <c r="P174">
        <f t="shared" si="74"/>
        <v>0</v>
      </c>
      <c r="Q174">
        <f t="shared" si="82"/>
        <v>0</v>
      </c>
      <c r="R174">
        <f t="shared" si="82"/>
        <v>0</v>
      </c>
      <c r="S174">
        <f t="shared" si="82"/>
        <v>0</v>
      </c>
      <c r="T174">
        <f t="shared" si="82"/>
        <v>1</v>
      </c>
      <c r="U174">
        <f t="shared" si="82"/>
        <v>0</v>
      </c>
      <c r="V174">
        <f t="shared" si="82"/>
        <v>0</v>
      </c>
      <c r="W174">
        <f t="shared" si="82"/>
        <v>0</v>
      </c>
      <c r="X174">
        <f t="shared" si="82"/>
        <v>0</v>
      </c>
      <c r="Y174">
        <f t="shared" si="82"/>
        <v>0</v>
      </c>
      <c r="Z174">
        <f t="shared" si="82"/>
        <v>0</v>
      </c>
      <c r="AA174">
        <f t="shared" si="82"/>
        <v>0</v>
      </c>
      <c r="AB174">
        <f t="shared" si="82"/>
        <v>0</v>
      </c>
      <c r="AC174">
        <f t="shared" si="82"/>
        <v>0</v>
      </c>
      <c r="AD174">
        <f t="shared" si="82"/>
        <v>0</v>
      </c>
      <c r="AE174">
        <f t="shared" si="82"/>
        <v>0</v>
      </c>
      <c r="AF174">
        <f t="shared" si="82"/>
        <v>0</v>
      </c>
      <c r="AG174">
        <f t="shared" si="81"/>
        <v>0</v>
      </c>
      <c r="AH174">
        <f t="shared" si="81"/>
        <v>0</v>
      </c>
      <c r="AI174">
        <f t="shared" si="81"/>
        <v>0</v>
      </c>
      <c r="AJ174">
        <f t="shared" si="81"/>
        <v>0</v>
      </c>
      <c r="AK174">
        <f t="shared" si="81"/>
        <v>0</v>
      </c>
      <c r="AL174">
        <f t="shared" si="81"/>
        <v>0</v>
      </c>
      <c r="AM174">
        <f t="shared" si="81"/>
        <v>0</v>
      </c>
      <c r="AN174">
        <f t="shared" si="81"/>
        <v>0</v>
      </c>
      <c r="AO174">
        <f t="shared" si="81"/>
        <v>0</v>
      </c>
      <c r="AP174">
        <f t="shared" si="81"/>
        <v>0</v>
      </c>
      <c r="AQ174">
        <f t="shared" si="81"/>
        <v>0</v>
      </c>
      <c r="AR174">
        <f t="shared" si="81"/>
        <v>0</v>
      </c>
      <c r="AS174">
        <f t="shared" si="81"/>
        <v>0</v>
      </c>
      <c r="AT174">
        <f t="shared" si="81"/>
        <v>0</v>
      </c>
      <c r="AU174">
        <f t="shared" si="81"/>
        <v>0</v>
      </c>
      <c r="AV174">
        <f t="shared" si="83"/>
        <v>0</v>
      </c>
      <c r="AW174">
        <f t="shared" si="83"/>
        <v>0</v>
      </c>
      <c r="AX174">
        <f t="shared" si="83"/>
        <v>0</v>
      </c>
      <c r="AY174">
        <f t="shared" si="83"/>
        <v>0</v>
      </c>
      <c r="AZ174">
        <f t="shared" si="83"/>
        <v>0</v>
      </c>
    </row>
    <row r="175" spans="1:52" x14ac:dyDescent="0.25">
      <c r="A175" t="s">
        <v>20</v>
      </c>
      <c r="B175" s="3">
        <v>42977</v>
      </c>
      <c r="C175" s="1">
        <v>8119.5054826808191</v>
      </c>
      <c r="D175" s="1">
        <v>261.91953169938125</v>
      </c>
      <c r="E175" s="1">
        <f t="shared" si="72"/>
        <v>3469.5054826808187</v>
      </c>
      <c r="F175" s="1">
        <f t="shared" si="73"/>
        <v>4650</v>
      </c>
      <c r="G175" s="2">
        <v>31</v>
      </c>
      <c r="H175" s="1">
        <v>111.91953169938125</v>
      </c>
      <c r="I175" s="1">
        <v>150</v>
      </c>
      <c r="J175" s="1">
        <f t="shared" si="75"/>
        <v>660333.19138403668</v>
      </c>
      <c r="K175" s="1">
        <f t="shared" si="76"/>
        <v>334350.19138403592</v>
      </c>
      <c r="N175">
        <f t="shared" si="74"/>
        <v>0</v>
      </c>
      <c r="O175">
        <f t="shared" si="74"/>
        <v>0</v>
      </c>
      <c r="P175">
        <f t="shared" si="74"/>
        <v>0</v>
      </c>
      <c r="Q175">
        <f t="shared" si="82"/>
        <v>0</v>
      </c>
      <c r="R175">
        <f t="shared" si="82"/>
        <v>0</v>
      </c>
      <c r="S175">
        <f t="shared" si="82"/>
        <v>0</v>
      </c>
      <c r="T175">
        <f t="shared" si="82"/>
        <v>0</v>
      </c>
      <c r="U175">
        <f t="shared" si="82"/>
        <v>0</v>
      </c>
      <c r="V175">
        <f t="shared" si="82"/>
        <v>0</v>
      </c>
      <c r="W175">
        <f t="shared" si="82"/>
        <v>0</v>
      </c>
      <c r="X175">
        <f t="shared" si="82"/>
        <v>0</v>
      </c>
      <c r="Y175">
        <f t="shared" si="82"/>
        <v>0</v>
      </c>
      <c r="Z175">
        <f t="shared" si="82"/>
        <v>0</v>
      </c>
      <c r="AA175">
        <f t="shared" si="82"/>
        <v>0</v>
      </c>
      <c r="AB175">
        <f t="shared" si="82"/>
        <v>0</v>
      </c>
      <c r="AC175">
        <f t="shared" si="82"/>
        <v>0</v>
      </c>
      <c r="AD175">
        <f t="shared" si="82"/>
        <v>0</v>
      </c>
      <c r="AE175">
        <f t="shared" si="82"/>
        <v>1</v>
      </c>
      <c r="AF175">
        <f t="shared" si="82"/>
        <v>0</v>
      </c>
      <c r="AG175">
        <f t="shared" si="81"/>
        <v>0</v>
      </c>
      <c r="AH175">
        <f t="shared" si="81"/>
        <v>0</v>
      </c>
      <c r="AI175">
        <f t="shared" si="81"/>
        <v>0</v>
      </c>
      <c r="AJ175">
        <f t="shared" si="81"/>
        <v>0</v>
      </c>
      <c r="AK175">
        <f t="shared" si="81"/>
        <v>0</v>
      </c>
      <c r="AL175">
        <f t="shared" si="81"/>
        <v>0</v>
      </c>
      <c r="AM175">
        <f t="shared" si="81"/>
        <v>0</v>
      </c>
      <c r="AN175">
        <f t="shared" si="81"/>
        <v>0</v>
      </c>
      <c r="AO175">
        <f t="shared" si="81"/>
        <v>0</v>
      </c>
      <c r="AP175">
        <f t="shared" si="81"/>
        <v>0</v>
      </c>
      <c r="AQ175">
        <f t="shared" si="81"/>
        <v>0</v>
      </c>
      <c r="AR175">
        <f t="shared" si="81"/>
        <v>0</v>
      </c>
      <c r="AS175">
        <f t="shared" si="81"/>
        <v>0</v>
      </c>
      <c r="AT175">
        <f t="shared" si="81"/>
        <v>0</v>
      </c>
      <c r="AU175">
        <f t="shared" si="81"/>
        <v>0</v>
      </c>
      <c r="AV175">
        <f t="shared" si="83"/>
        <v>0</v>
      </c>
      <c r="AW175">
        <f t="shared" si="83"/>
        <v>0</v>
      </c>
      <c r="AX175">
        <f t="shared" si="83"/>
        <v>0</v>
      </c>
      <c r="AY175">
        <f t="shared" si="83"/>
        <v>0</v>
      </c>
      <c r="AZ175">
        <f t="shared" si="83"/>
        <v>0</v>
      </c>
    </row>
    <row r="176" spans="1:52" x14ac:dyDescent="0.25">
      <c r="A176" t="s">
        <v>14</v>
      </c>
      <c r="B176" s="3">
        <v>42961</v>
      </c>
      <c r="C176" s="1">
        <v>2423.190643401223</v>
      </c>
      <c r="D176" s="1">
        <v>134.62170241117906</v>
      </c>
      <c r="E176" s="1">
        <f t="shared" si="72"/>
        <v>1019.1906434012233</v>
      </c>
      <c r="F176" s="1">
        <f t="shared" si="73"/>
        <v>1404</v>
      </c>
      <c r="G176" s="2">
        <v>18</v>
      </c>
      <c r="H176" s="1">
        <v>56.621702411179072</v>
      </c>
      <c r="I176" s="1">
        <v>78</v>
      </c>
      <c r="J176" s="1">
        <f t="shared" si="75"/>
        <v>662756.38202743791</v>
      </c>
      <c r="K176" s="1">
        <f t="shared" si="76"/>
        <v>335369.38202743715</v>
      </c>
      <c r="N176">
        <f t="shared" si="74"/>
        <v>0</v>
      </c>
      <c r="O176">
        <f t="shared" si="74"/>
        <v>0</v>
      </c>
      <c r="P176">
        <f t="shared" si="74"/>
        <v>0</v>
      </c>
      <c r="Q176">
        <f t="shared" si="82"/>
        <v>0</v>
      </c>
      <c r="R176">
        <f t="shared" si="82"/>
        <v>0</v>
      </c>
      <c r="S176">
        <f t="shared" si="82"/>
        <v>0</v>
      </c>
      <c r="T176">
        <f t="shared" si="82"/>
        <v>0</v>
      </c>
      <c r="U176">
        <f t="shared" si="82"/>
        <v>0</v>
      </c>
      <c r="V176">
        <f t="shared" si="82"/>
        <v>0</v>
      </c>
      <c r="W176">
        <f t="shared" si="82"/>
        <v>0</v>
      </c>
      <c r="X176">
        <f t="shared" si="82"/>
        <v>0</v>
      </c>
      <c r="Y176">
        <f t="shared" si="82"/>
        <v>0</v>
      </c>
      <c r="Z176">
        <f t="shared" si="82"/>
        <v>0</v>
      </c>
      <c r="AA176">
        <f t="shared" si="82"/>
        <v>0</v>
      </c>
      <c r="AB176">
        <f t="shared" si="82"/>
        <v>0</v>
      </c>
      <c r="AC176">
        <f t="shared" si="82"/>
        <v>0</v>
      </c>
      <c r="AD176">
        <f t="shared" si="82"/>
        <v>0</v>
      </c>
      <c r="AE176">
        <f t="shared" si="82"/>
        <v>0</v>
      </c>
      <c r="AF176">
        <f t="shared" si="82"/>
        <v>0</v>
      </c>
      <c r="AG176">
        <f t="shared" si="81"/>
        <v>0</v>
      </c>
      <c r="AH176">
        <f t="shared" si="81"/>
        <v>0</v>
      </c>
      <c r="AI176">
        <f t="shared" si="81"/>
        <v>0</v>
      </c>
      <c r="AJ176">
        <f t="shared" si="81"/>
        <v>0</v>
      </c>
      <c r="AK176">
        <f t="shared" si="81"/>
        <v>0</v>
      </c>
      <c r="AL176">
        <f t="shared" si="81"/>
        <v>0</v>
      </c>
      <c r="AM176">
        <f t="shared" si="81"/>
        <v>0</v>
      </c>
      <c r="AN176">
        <f t="shared" si="81"/>
        <v>0</v>
      </c>
      <c r="AO176">
        <f t="shared" si="81"/>
        <v>0</v>
      </c>
      <c r="AP176">
        <f t="shared" si="81"/>
        <v>1</v>
      </c>
      <c r="AQ176">
        <f t="shared" si="81"/>
        <v>0</v>
      </c>
      <c r="AR176">
        <f t="shared" si="81"/>
        <v>0</v>
      </c>
      <c r="AS176">
        <f t="shared" si="81"/>
        <v>0</v>
      </c>
      <c r="AT176">
        <f t="shared" si="81"/>
        <v>0</v>
      </c>
      <c r="AU176">
        <f t="shared" si="81"/>
        <v>0</v>
      </c>
      <c r="AV176">
        <f t="shared" si="83"/>
        <v>0</v>
      </c>
      <c r="AW176">
        <f t="shared" si="83"/>
        <v>0</v>
      </c>
      <c r="AX176">
        <f t="shared" si="83"/>
        <v>0</v>
      </c>
      <c r="AY176">
        <f t="shared" si="83"/>
        <v>0</v>
      </c>
      <c r="AZ176">
        <f t="shared" si="83"/>
        <v>0</v>
      </c>
    </row>
    <row r="177" spans="1:52" x14ac:dyDescent="0.25">
      <c r="A177" t="s">
        <v>49</v>
      </c>
      <c r="B177" s="3">
        <v>42951</v>
      </c>
      <c r="C177" s="1">
        <v>2901.0457929713875</v>
      </c>
      <c r="D177" s="1">
        <v>223.15736869010672</v>
      </c>
      <c r="E177" s="1">
        <f t="shared" si="72"/>
        <v>1185.0457929713873</v>
      </c>
      <c r="F177" s="1">
        <f t="shared" si="73"/>
        <v>1716</v>
      </c>
      <c r="G177" s="2">
        <v>13</v>
      </c>
      <c r="H177" s="1">
        <v>91.157368690106722</v>
      </c>
      <c r="I177" s="1">
        <v>132</v>
      </c>
      <c r="J177" s="1">
        <f t="shared" si="75"/>
        <v>665657.4278204093</v>
      </c>
      <c r="K177" s="1">
        <f t="shared" si="76"/>
        <v>336554.42782040854</v>
      </c>
      <c r="N177">
        <f t="shared" si="74"/>
        <v>0</v>
      </c>
      <c r="O177">
        <f t="shared" si="74"/>
        <v>0</v>
      </c>
      <c r="P177">
        <f t="shared" si="74"/>
        <v>0</v>
      </c>
      <c r="Q177">
        <f t="shared" si="82"/>
        <v>0</v>
      </c>
      <c r="R177">
        <f t="shared" si="82"/>
        <v>0</v>
      </c>
      <c r="S177">
        <f t="shared" si="82"/>
        <v>0</v>
      </c>
      <c r="T177">
        <f t="shared" si="82"/>
        <v>0</v>
      </c>
      <c r="U177">
        <f t="shared" si="82"/>
        <v>0</v>
      </c>
      <c r="V177">
        <f t="shared" si="82"/>
        <v>0</v>
      </c>
      <c r="W177">
        <f t="shared" si="82"/>
        <v>0</v>
      </c>
      <c r="X177">
        <f t="shared" si="82"/>
        <v>0</v>
      </c>
      <c r="Y177">
        <f t="shared" si="82"/>
        <v>0</v>
      </c>
      <c r="Z177">
        <f t="shared" si="82"/>
        <v>0</v>
      </c>
      <c r="AA177">
        <f t="shared" si="82"/>
        <v>1</v>
      </c>
      <c r="AB177">
        <f t="shared" si="82"/>
        <v>0</v>
      </c>
      <c r="AC177">
        <f t="shared" si="82"/>
        <v>0</v>
      </c>
      <c r="AD177">
        <f t="shared" si="82"/>
        <v>0</v>
      </c>
      <c r="AE177">
        <f t="shared" si="82"/>
        <v>0</v>
      </c>
      <c r="AF177">
        <f t="shared" si="82"/>
        <v>0</v>
      </c>
      <c r="AG177">
        <f t="shared" si="81"/>
        <v>0</v>
      </c>
      <c r="AH177">
        <f t="shared" si="81"/>
        <v>0</v>
      </c>
      <c r="AI177">
        <f t="shared" si="81"/>
        <v>0</v>
      </c>
      <c r="AJ177">
        <f t="shared" si="81"/>
        <v>0</v>
      </c>
      <c r="AK177">
        <f t="shared" si="81"/>
        <v>0</v>
      </c>
      <c r="AL177">
        <f t="shared" si="81"/>
        <v>0</v>
      </c>
      <c r="AM177">
        <f t="shared" si="81"/>
        <v>0</v>
      </c>
      <c r="AN177">
        <f t="shared" si="81"/>
        <v>0</v>
      </c>
      <c r="AO177">
        <f t="shared" si="81"/>
        <v>0</v>
      </c>
      <c r="AP177">
        <f t="shared" si="81"/>
        <v>0</v>
      </c>
      <c r="AQ177">
        <f t="shared" si="81"/>
        <v>0</v>
      </c>
      <c r="AR177">
        <f t="shared" si="81"/>
        <v>0</v>
      </c>
      <c r="AS177">
        <f t="shared" si="81"/>
        <v>0</v>
      </c>
      <c r="AT177">
        <f t="shared" si="81"/>
        <v>0</v>
      </c>
      <c r="AU177">
        <f t="shared" si="81"/>
        <v>0</v>
      </c>
      <c r="AV177">
        <f t="shared" si="83"/>
        <v>0</v>
      </c>
      <c r="AW177">
        <f t="shared" si="83"/>
        <v>0</v>
      </c>
      <c r="AX177">
        <f t="shared" si="83"/>
        <v>0</v>
      </c>
      <c r="AY177">
        <f t="shared" si="83"/>
        <v>0</v>
      </c>
      <c r="AZ177">
        <f t="shared" si="83"/>
        <v>0</v>
      </c>
    </row>
    <row r="178" spans="1:52" x14ac:dyDescent="0.25">
      <c r="A178" t="s">
        <v>49</v>
      </c>
      <c r="B178" s="3">
        <v>42949</v>
      </c>
      <c r="C178" s="1">
        <v>18840.841067063695</v>
      </c>
      <c r="D178" s="1">
        <v>94.677593301827613</v>
      </c>
      <c r="E178" s="1">
        <f t="shared" si="72"/>
        <v>8691.8410670636931</v>
      </c>
      <c r="F178" s="1">
        <f t="shared" si="73"/>
        <v>10149</v>
      </c>
      <c r="G178" s="2">
        <v>199</v>
      </c>
      <c r="H178" s="1">
        <v>43.677593301827606</v>
      </c>
      <c r="I178" s="1">
        <v>51</v>
      </c>
      <c r="J178" s="1">
        <f t="shared" si="75"/>
        <v>684498.26888747304</v>
      </c>
      <c r="K178" s="1">
        <f t="shared" si="76"/>
        <v>345246.26888747222</v>
      </c>
      <c r="N178">
        <f t="shared" si="74"/>
        <v>0</v>
      </c>
      <c r="O178">
        <f t="shared" si="74"/>
        <v>0</v>
      </c>
      <c r="P178">
        <f t="shared" si="74"/>
        <v>0</v>
      </c>
      <c r="Q178">
        <f t="shared" si="82"/>
        <v>0</v>
      </c>
      <c r="R178">
        <f t="shared" si="82"/>
        <v>0</v>
      </c>
      <c r="S178">
        <f t="shared" si="82"/>
        <v>0</v>
      </c>
      <c r="T178">
        <f t="shared" si="82"/>
        <v>0</v>
      </c>
      <c r="U178">
        <f t="shared" si="82"/>
        <v>0</v>
      </c>
      <c r="V178">
        <f t="shared" si="82"/>
        <v>0</v>
      </c>
      <c r="W178">
        <f t="shared" si="82"/>
        <v>0</v>
      </c>
      <c r="X178">
        <f t="shared" si="82"/>
        <v>0</v>
      </c>
      <c r="Y178">
        <f t="shared" si="82"/>
        <v>0</v>
      </c>
      <c r="Z178">
        <f t="shared" si="82"/>
        <v>0</v>
      </c>
      <c r="AA178">
        <f t="shared" si="82"/>
        <v>1</v>
      </c>
      <c r="AB178">
        <f t="shared" si="82"/>
        <v>0</v>
      </c>
      <c r="AC178">
        <f t="shared" si="82"/>
        <v>0</v>
      </c>
      <c r="AD178">
        <f t="shared" si="82"/>
        <v>0</v>
      </c>
      <c r="AE178">
        <f t="shared" si="82"/>
        <v>0</v>
      </c>
      <c r="AF178">
        <f t="shared" si="82"/>
        <v>0</v>
      </c>
      <c r="AG178">
        <f t="shared" si="81"/>
        <v>0</v>
      </c>
      <c r="AH178">
        <f t="shared" si="81"/>
        <v>0</v>
      </c>
      <c r="AI178">
        <f t="shared" si="81"/>
        <v>0</v>
      </c>
      <c r="AJ178">
        <f t="shared" si="81"/>
        <v>0</v>
      </c>
      <c r="AK178">
        <f t="shared" si="81"/>
        <v>0</v>
      </c>
      <c r="AL178">
        <f t="shared" si="81"/>
        <v>0</v>
      </c>
      <c r="AM178">
        <f t="shared" si="81"/>
        <v>0</v>
      </c>
      <c r="AN178">
        <f t="shared" si="81"/>
        <v>0</v>
      </c>
      <c r="AO178">
        <f t="shared" si="81"/>
        <v>0</v>
      </c>
      <c r="AP178">
        <f t="shared" si="81"/>
        <v>0</v>
      </c>
      <c r="AQ178">
        <f t="shared" si="81"/>
        <v>0</v>
      </c>
      <c r="AR178">
        <f t="shared" si="81"/>
        <v>0</v>
      </c>
      <c r="AS178">
        <f t="shared" si="81"/>
        <v>0</v>
      </c>
      <c r="AT178">
        <f t="shared" si="81"/>
        <v>0</v>
      </c>
      <c r="AU178">
        <f t="shared" si="81"/>
        <v>0</v>
      </c>
      <c r="AV178">
        <f t="shared" si="83"/>
        <v>0</v>
      </c>
      <c r="AW178">
        <f t="shared" si="83"/>
        <v>0</v>
      </c>
      <c r="AX178">
        <f t="shared" si="83"/>
        <v>0</v>
      </c>
      <c r="AY178">
        <f t="shared" si="83"/>
        <v>0</v>
      </c>
      <c r="AZ178">
        <f t="shared" si="83"/>
        <v>0</v>
      </c>
    </row>
    <row r="179" spans="1:52" x14ac:dyDescent="0.25">
      <c r="A179" t="s">
        <v>33</v>
      </c>
      <c r="B179" s="3">
        <v>42937</v>
      </c>
      <c r="C179" s="1">
        <v>798.03788830279143</v>
      </c>
      <c r="D179" s="1">
        <v>114.00541261468449</v>
      </c>
      <c r="E179" s="1">
        <f t="shared" si="72"/>
        <v>427.03788830279143</v>
      </c>
      <c r="F179" s="1">
        <f t="shared" si="73"/>
        <v>371</v>
      </c>
      <c r="G179" s="2">
        <v>7</v>
      </c>
      <c r="H179" s="1">
        <v>61.005412614684488</v>
      </c>
      <c r="I179" s="1">
        <v>53</v>
      </c>
      <c r="J179" s="1">
        <f t="shared" si="75"/>
        <v>685296.30677577585</v>
      </c>
      <c r="K179" s="1">
        <f t="shared" si="76"/>
        <v>345673.30677577504</v>
      </c>
      <c r="N179">
        <f t="shared" si="74"/>
        <v>0</v>
      </c>
      <c r="O179">
        <f t="shared" si="74"/>
        <v>0</v>
      </c>
      <c r="P179">
        <f t="shared" si="74"/>
        <v>0</v>
      </c>
      <c r="Q179">
        <f t="shared" si="82"/>
        <v>0</v>
      </c>
      <c r="R179">
        <f t="shared" si="82"/>
        <v>0</v>
      </c>
      <c r="S179">
        <f t="shared" si="82"/>
        <v>0</v>
      </c>
      <c r="T179">
        <f t="shared" si="82"/>
        <v>0</v>
      </c>
      <c r="U179">
        <f t="shared" si="82"/>
        <v>0</v>
      </c>
      <c r="V179">
        <f t="shared" si="82"/>
        <v>0</v>
      </c>
      <c r="W179">
        <f t="shared" si="82"/>
        <v>0</v>
      </c>
      <c r="X179">
        <f t="shared" si="82"/>
        <v>0</v>
      </c>
      <c r="Y179">
        <f t="shared" si="82"/>
        <v>0</v>
      </c>
      <c r="Z179">
        <f t="shared" si="82"/>
        <v>0</v>
      </c>
      <c r="AA179">
        <f t="shared" si="82"/>
        <v>0</v>
      </c>
      <c r="AB179">
        <f t="shared" si="82"/>
        <v>0</v>
      </c>
      <c r="AC179">
        <f t="shared" si="82"/>
        <v>0</v>
      </c>
      <c r="AD179">
        <f t="shared" si="82"/>
        <v>0</v>
      </c>
      <c r="AE179">
        <f t="shared" si="82"/>
        <v>0</v>
      </c>
      <c r="AF179">
        <f t="shared" si="82"/>
        <v>0</v>
      </c>
      <c r="AG179">
        <f t="shared" si="81"/>
        <v>0</v>
      </c>
      <c r="AH179">
        <f t="shared" si="81"/>
        <v>0</v>
      </c>
      <c r="AI179">
        <f t="shared" si="81"/>
        <v>0</v>
      </c>
      <c r="AJ179">
        <f t="shared" si="81"/>
        <v>0</v>
      </c>
      <c r="AK179">
        <f t="shared" si="81"/>
        <v>0</v>
      </c>
      <c r="AL179">
        <f t="shared" si="81"/>
        <v>0</v>
      </c>
      <c r="AM179">
        <f t="shared" si="81"/>
        <v>0</v>
      </c>
      <c r="AN179">
        <f t="shared" si="81"/>
        <v>0</v>
      </c>
      <c r="AO179">
        <f t="shared" si="81"/>
        <v>0</v>
      </c>
      <c r="AP179">
        <f t="shared" si="81"/>
        <v>0</v>
      </c>
      <c r="AQ179">
        <f t="shared" si="81"/>
        <v>1</v>
      </c>
      <c r="AR179">
        <f t="shared" si="81"/>
        <v>0</v>
      </c>
      <c r="AS179">
        <f t="shared" si="81"/>
        <v>0</v>
      </c>
      <c r="AT179">
        <f t="shared" si="81"/>
        <v>0</v>
      </c>
      <c r="AU179">
        <f t="shared" si="81"/>
        <v>0</v>
      </c>
      <c r="AV179">
        <f t="shared" si="83"/>
        <v>0</v>
      </c>
      <c r="AW179">
        <f t="shared" si="83"/>
        <v>0</v>
      </c>
      <c r="AX179">
        <f t="shared" si="83"/>
        <v>0</v>
      </c>
      <c r="AY179">
        <f t="shared" si="83"/>
        <v>0</v>
      </c>
      <c r="AZ179">
        <f t="shared" si="83"/>
        <v>0</v>
      </c>
    </row>
    <row r="180" spans="1:52" x14ac:dyDescent="0.25">
      <c r="A180" t="s">
        <v>49</v>
      </c>
      <c r="B180" s="3">
        <v>42919</v>
      </c>
      <c r="C180" s="1">
        <v>6037.753451149938</v>
      </c>
      <c r="D180" s="1">
        <v>125.78653023229037</v>
      </c>
      <c r="E180" s="1">
        <f t="shared" si="72"/>
        <v>3301.753451149938</v>
      </c>
      <c r="F180" s="1">
        <f t="shared" si="73"/>
        <v>2736</v>
      </c>
      <c r="G180" s="2">
        <v>48</v>
      </c>
      <c r="H180" s="1">
        <v>68.786530232290374</v>
      </c>
      <c r="I180" s="1">
        <v>57</v>
      </c>
      <c r="J180" s="1">
        <f t="shared" si="75"/>
        <v>691334.06022692577</v>
      </c>
      <c r="K180" s="1">
        <f t="shared" si="76"/>
        <v>348975.06022692495</v>
      </c>
      <c r="N180">
        <f t="shared" si="74"/>
        <v>0</v>
      </c>
      <c r="O180">
        <f t="shared" si="74"/>
        <v>0</v>
      </c>
      <c r="P180">
        <f t="shared" si="74"/>
        <v>0</v>
      </c>
      <c r="Q180">
        <f t="shared" si="82"/>
        <v>0</v>
      </c>
      <c r="R180">
        <f t="shared" si="82"/>
        <v>0</v>
      </c>
      <c r="S180">
        <f t="shared" si="82"/>
        <v>0</v>
      </c>
      <c r="T180">
        <f t="shared" si="82"/>
        <v>0</v>
      </c>
      <c r="U180">
        <f t="shared" si="82"/>
        <v>0</v>
      </c>
      <c r="V180">
        <f t="shared" si="82"/>
        <v>0</v>
      </c>
      <c r="W180">
        <f t="shared" si="82"/>
        <v>0</v>
      </c>
      <c r="X180">
        <f t="shared" si="82"/>
        <v>0</v>
      </c>
      <c r="Y180">
        <f t="shared" si="82"/>
        <v>0</v>
      </c>
      <c r="Z180">
        <f t="shared" si="82"/>
        <v>0</v>
      </c>
      <c r="AA180">
        <f t="shared" si="82"/>
        <v>1</v>
      </c>
      <c r="AB180">
        <f t="shared" si="82"/>
        <v>0</v>
      </c>
      <c r="AC180">
        <f t="shared" si="82"/>
        <v>0</v>
      </c>
      <c r="AD180">
        <f t="shared" si="82"/>
        <v>0</v>
      </c>
      <c r="AE180">
        <f t="shared" si="82"/>
        <v>0</v>
      </c>
      <c r="AF180">
        <f t="shared" ref="AF180:AU195" si="84">+IF(AF$5=$A180,1,0)</f>
        <v>0</v>
      </c>
      <c r="AG180">
        <f t="shared" si="84"/>
        <v>0</v>
      </c>
      <c r="AH180">
        <f t="shared" si="84"/>
        <v>0</v>
      </c>
      <c r="AI180">
        <f t="shared" si="84"/>
        <v>0</v>
      </c>
      <c r="AJ180">
        <f t="shared" si="84"/>
        <v>0</v>
      </c>
      <c r="AK180">
        <f t="shared" si="84"/>
        <v>0</v>
      </c>
      <c r="AL180">
        <f t="shared" si="84"/>
        <v>0</v>
      </c>
      <c r="AM180">
        <f t="shared" si="84"/>
        <v>0</v>
      </c>
      <c r="AN180">
        <f t="shared" si="84"/>
        <v>0</v>
      </c>
      <c r="AO180">
        <f t="shared" si="84"/>
        <v>0</v>
      </c>
      <c r="AP180">
        <f t="shared" si="84"/>
        <v>0</v>
      </c>
      <c r="AQ180">
        <f t="shared" si="84"/>
        <v>0</v>
      </c>
      <c r="AR180">
        <f t="shared" si="84"/>
        <v>0</v>
      </c>
      <c r="AS180">
        <f t="shared" si="84"/>
        <v>0</v>
      </c>
      <c r="AT180">
        <f t="shared" si="84"/>
        <v>0</v>
      </c>
      <c r="AU180">
        <f t="shared" si="84"/>
        <v>0</v>
      </c>
      <c r="AV180">
        <f t="shared" si="83"/>
        <v>0</v>
      </c>
      <c r="AW180">
        <f t="shared" si="83"/>
        <v>0</v>
      </c>
      <c r="AX180">
        <f t="shared" si="83"/>
        <v>0</v>
      </c>
      <c r="AY180">
        <f t="shared" si="83"/>
        <v>0</v>
      </c>
      <c r="AZ180">
        <f t="shared" si="83"/>
        <v>0</v>
      </c>
    </row>
    <row r="181" spans="1:52" x14ac:dyDescent="0.25">
      <c r="A181" t="s">
        <v>15</v>
      </c>
      <c r="B181" s="3">
        <v>42918</v>
      </c>
      <c r="C181" s="1">
        <v>1549.0976529277016</v>
      </c>
      <c r="D181" s="1">
        <v>110.64983235197869</v>
      </c>
      <c r="E181" s="1">
        <f t="shared" si="72"/>
        <v>919.09765292770157</v>
      </c>
      <c r="F181" s="1">
        <f t="shared" si="73"/>
        <v>630</v>
      </c>
      <c r="G181" s="2">
        <v>14</v>
      </c>
      <c r="H181" s="1">
        <v>65.649832351978688</v>
      </c>
      <c r="I181" s="1">
        <v>45</v>
      </c>
      <c r="J181" s="1">
        <f t="shared" si="75"/>
        <v>692883.1578798535</v>
      </c>
      <c r="K181" s="1">
        <f t="shared" si="76"/>
        <v>349894.15787985263</v>
      </c>
      <c r="N181">
        <f t="shared" si="74"/>
        <v>0</v>
      </c>
      <c r="O181">
        <f t="shared" si="74"/>
        <v>0</v>
      </c>
      <c r="P181">
        <f t="shared" si="74"/>
        <v>0</v>
      </c>
      <c r="Q181">
        <f t="shared" ref="Q181:AF196" si="85">+IF(Q$5=$A181,1,0)</f>
        <v>0</v>
      </c>
      <c r="R181">
        <f t="shared" si="85"/>
        <v>0</v>
      </c>
      <c r="S181">
        <f t="shared" si="85"/>
        <v>0</v>
      </c>
      <c r="T181">
        <f t="shared" si="85"/>
        <v>0</v>
      </c>
      <c r="U181">
        <f t="shared" si="85"/>
        <v>0</v>
      </c>
      <c r="V181">
        <f t="shared" si="85"/>
        <v>0</v>
      </c>
      <c r="W181">
        <f t="shared" si="85"/>
        <v>0</v>
      </c>
      <c r="X181">
        <f t="shared" si="85"/>
        <v>0</v>
      </c>
      <c r="Y181">
        <f t="shared" si="85"/>
        <v>0</v>
      </c>
      <c r="Z181">
        <f t="shared" si="85"/>
        <v>0</v>
      </c>
      <c r="AA181">
        <f t="shared" si="85"/>
        <v>0</v>
      </c>
      <c r="AB181">
        <f t="shared" si="85"/>
        <v>0</v>
      </c>
      <c r="AC181">
        <f t="shared" si="85"/>
        <v>0</v>
      </c>
      <c r="AD181">
        <f t="shared" si="85"/>
        <v>0</v>
      </c>
      <c r="AE181">
        <f t="shared" si="85"/>
        <v>0</v>
      </c>
      <c r="AF181">
        <f t="shared" si="85"/>
        <v>0</v>
      </c>
      <c r="AG181">
        <f t="shared" si="84"/>
        <v>0</v>
      </c>
      <c r="AH181">
        <f t="shared" si="84"/>
        <v>0</v>
      </c>
      <c r="AI181">
        <f t="shared" si="84"/>
        <v>0</v>
      </c>
      <c r="AJ181">
        <f t="shared" si="84"/>
        <v>0</v>
      </c>
      <c r="AK181">
        <f t="shared" si="84"/>
        <v>0</v>
      </c>
      <c r="AL181">
        <f t="shared" si="84"/>
        <v>0</v>
      </c>
      <c r="AM181">
        <f t="shared" si="84"/>
        <v>0</v>
      </c>
      <c r="AN181">
        <f t="shared" si="84"/>
        <v>0</v>
      </c>
      <c r="AO181">
        <f t="shared" si="84"/>
        <v>0</v>
      </c>
      <c r="AP181">
        <f t="shared" si="84"/>
        <v>0</v>
      </c>
      <c r="AQ181">
        <f t="shared" si="84"/>
        <v>0</v>
      </c>
      <c r="AR181">
        <f t="shared" si="84"/>
        <v>1</v>
      </c>
      <c r="AS181">
        <f t="shared" si="84"/>
        <v>0</v>
      </c>
      <c r="AT181">
        <f t="shared" si="84"/>
        <v>0</v>
      </c>
      <c r="AU181">
        <f t="shared" si="84"/>
        <v>0</v>
      </c>
      <c r="AV181">
        <f t="shared" si="83"/>
        <v>0</v>
      </c>
      <c r="AW181">
        <f t="shared" si="83"/>
        <v>0</v>
      </c>
      <c r="AX181">
        <f t="shared" si="83"/>
        <v>0</v>
      </c>
      <c r="AY181">
        <f t="shared" si="83"/>
        <v>0</v>
      </c>
      <c r="AZ181">
        <f t="shared" si="83"/>
        <v>0</v>
      </c>
    </row>
    <row r="182" spans="1:52" x14ac:dyDescent="0.25">
      <c r="A182" t="s">
        <v>44</v>
      </c>
      <c r="B182" s="3">
        <v>42913</v>
      </c>
      <c r="C182" s="1">
        <v>2620.4472330269018</v>
      </c>
      <c r="D182" s="1">
        <v>124.78320157270961</v>
      </c>
      <c r="E182" s="1">
        <f t="shared" si="72"/>
        <v>1087.4472330269018</v>
      </c>
      <c r="F182" s="1">
        <f t="shared" si="73"/>
        <v>1533</v>
      </c>
      <c r="G182" s="2">
        <v>21</v>
      </c>
      <c r="H182" s="1">
        <v>51.783201572709615</v>
      </c>
      <c r="I182" s="1">
        <v>73</v>
      </c>
      <c r="J182" s="1">
        <f t="shared" si="75"/>
        <v>695503.60511288035</v>
      </c>
      <c r="K182" s="1">
        <f t="shared" si="76"/>
        <v>350981.60511287954</v>
      </c>
      <c r="N182">
        <f t="shared" si="74"/>
        <v>0</v>
      </c>
      <c r="O182">
        <f t="shared" si="74"/>
        <v>0</v>
      </c>
      <c r="P182">
        <f t="shared" si="74"/>
        <v>0</v>
      </c>
      <c r="Q182">
        <f t="shared" si="85"/>
        <v>0</v>
      </c>
      <c r="R182">
        <f t="shared" si="85"/>
        <v>0</v>
      </c>
      <c r="S182">
        <f t="shared" si="85"/>
        <v>0</v>
      </c>
      <c r="T182">
        <f t="shared" si="85"/>
        <v>0</v>
      </c>
      <c r="U182">
        <f t="shared" si="85"/>
        <v>0</v>
      </c>
      <c r="V182">
        <f t="shared" si="85"/>
        <v>0</v>
      </c>
      <c r="W182">
        <f t="shared" si="85"/>
        <v>0</v>
      </c>
      <c r="X182">
        <f t="shared" si="85"/>
        <v>0</v>
      </c>
      <c r="Y182">
        <f t="shared" si="85"/>
        <v>0</v>
      </c>
      <c r="Z182">
        <f t="shared" si="85"/>
        <v>0</v>
      </c>
      <c r="AA182">
        <f t="shared" si="85"/>
        <v>0</v>
      </c>
      <c r="AB182">
        <f t="shared" si="85"/>
        <v>0</v>
      </c>
      <c r="AC182">
        <f t="shared" si="85"/>
        <v>0</v>
      </c>
      <c r="AD182">
        <f t="shared" si="85"/>
        <v>0</v>
      </c>
      <c r="AE182">
        <f t="shared" si="85"/>
        <v>0</v>
      </c>
      <c r="AF182">
        <f t="shared" si="85"/>
        <v>0</v>
      </c>
      <c r="AG182">
        <f t="shared" si="84"/>
        <v>0</v>
      </c>
      <c r="AH182">
        <f t="shared" si="84"/>
        <v>0</v>
      </c>
      <c r="AI182">
        <f t="shared" si="84"/>
        <v>0</v>
      </c>
      <c r="AJ182">
        <f t="shared" si="84"/>
        <v>0</v>
      </c>
      <c r="AK182">
        <f t="shared" si="84"/>
        <v>0</v>
      </c>
      <c r="AL182">
        <f t="shared" si="84"/>
        <v>0</v>
      </c>
      <c r="AM182">
        <f t="shared" si="84"/>
        <v>0</v>
      </c>
      <c r="AN182">
        <f t="shared" si="84"/>
        <v>0</v>
      </c>
      <c r="AO182">
        <f t="shared" si="84"/>
        <v>0</v>
      </c>
      <c r="AP182">
        <f t="shared" si="84"/>
        <v>0</v>
      </c>
      <c r="AQ182">
        <f t="shared" si="84"/>
        <v>0</v>
      </c>
      <c r="AR182">
        <f t="shared" si="84"/>
        <v>0</v>
      </c>
      <c r="AS182">
        <f t="shared" si="84"/>
        <v>0</v>
      </c>
      <c r="AT182">
        <f t="shared" si="84"/>
        <v>0</v>
      </c>
      <c r="AU182">
        <f t="shared" si="84"/>
        <v>1</v>
      </c>
      <c r="AV182">
        <f t="shared" si="83"/>
        <v>0</v>
      </c>
      <c r="AW182">
        <f t="shared" si="83"/>
        <v>0</v>
      </c>
      <c r="AX182">
        <f t="shared" si="83"/>
        <v>0</v>
      </c>
      <c r="AY182">
        <f t="shared" si="83"/>
        <v>0</v>
      </c>
      <c r="AZ182">
        <f t="shared" si="83"/>
        <v>0</v>
      </c>
    </row>
    <row r="183" spans="1:52" x14ac:dyDescent="0.25">
      <c r="A183" t="s">
        <v>34</v>
      </c>
      <c r="B183" s="3">
        <v>42912</v>
      </c>
      <c r="C183" s="1">
        <v>12637.808043010031</v>
      </c>
      <c r="D183" s="1">
        <v>131.64383378135449</v>
      </c>
      <c r="E183" s="1">
        <f t="shared" si="72"/>
        <v>7837.808043010029</v>
      </c>
      <c r="F183" s="1">
        <f t="shared" si="73"/>
        <v>4800</v>
      </c>
      <c r="G183" s="2">
        <v>96</v>
      </c>
      <c r="H183" s="1">
        <v>81.643833781354473</v>
      </c>
      <c r="I183" s="1">
        <v>50</v>
      </c>
      <c r="J183" s="1">
        <f t="shared" si="75"/>
        <v>708141.41315589042</v>
      </c>
      <c r="K183" s="1">
        <f t="shared" si="76"/>
        <v>358819.41315588955</v>
      </c>
      <c r="N183">
        <f t="shared" si="74"/>
        <v>0</v>
      </c>
      <c r="O183">
        <f t="shared" si="74"/>
        <v>0</v>
      </c>
      <c r="P183">
        <f t="shared" si="74"/>
        <v>0</v>
      </c>
      <c r="Q183">
        <f t="shared" si="85"/>
        <v>0</v>
      </c>
      <c r="R183">
        <f t="shared" si="85"/>
        <v>0</v>
      </c>
      <c r="S183">
        <f t="shared" si="85"/>
        <v>0</v>
      </c>
      <c r="T183">
        <f t="shared" si="85"/>
        <v>0</v>
      </c>
      <c r="U183">
        <f t="shared" si="85"/>
        <v>0</v>
      </c>
      <c r="V183">
        <f t="shared" si="85"/>
        <v>0</v>
      </c>
      <c r="W183">
        <f t="shared" si="85"/>
        <v>0</v>
      </c>
      <c r="X183">
        <f t="shared" si="85"/>
        <v>0</v>
      </c>
      <c r="Y183">
        <f t="shared" si="85"/>
        <v>0</v>
      </c>
      <c r="Z183">
        <f t="shared" si="85"/>
        <v>0</v>
      </c>
      <c r="AA183">
        <f t="shared" si="85"/>
        <v>0</v>
      </c>
      <c r="AB183">
        <f t="shared" si="85"/>
        <v>0</v>
      </c>
      <c r="AC183">
        <f t="shared" si="85"/>
        <v>0</v>
      </c>
      <c r="AD183">
        <f t="shared" si="85"/>
        <v>0</v>
      </c>
      <c r="AE183">
        <f t="shared" si="85"/>
        <v>0</v>
      </c>
      <c r="AF183">
        <f t="shared" si="85"/>
        <v>1</v>
      </c>
      <c r="AG183">
        <f t="shared" si="84"/>
        <v>0</v>
      </c>
      <c r="AH183">
        <f t="shared" si="84"/>
        <v>0</v>
      </c>
      <c r="AI183">
        <f t="shared" si="84"/>
        <v>0</v>
      </c>
      <c r="AJ183">
        <f t="shared" si="84"/>
        <v>0</v>
      </c>
      <c r="AK183">
        <f t="shared" si="84"/>
        <v>0</v>
      </c>
      <c r="AL183">
        <f t="shared" si="84"/>
        <v>0</v>
      </c>
      <c r="AM183">
        <f t="shared" si="84"/>
        <v>0</v>
      </c>
      <c r="AN183">
        <f t="shared" si="84"/>
        <v>0</v>
      </c>
      <c r="AO183">
        <f t="shared" si="84"/>
        <v>0</v>
      </c>
      <c r="AP183">
        <f t="shared" si="84"/>
        <v>0</v>
      </c>
      <c r="AQ183">
        <f t="shared" si="84"/>
        <v>0</v>
      </c>
      <c r="AR183">
        <f t="shared" si="84"/>
        <v>0</v>
      </c>
      <c r="AS183">
        <f t="shared" si="84"/>
        <v>0</v>
      </c>
      <c r="AT183">
        <f t="shared" si="84"/>
        <v>0</v>
      </c>
      <c r="AU183">
        <f t="shared" si="84"/>
        <v>0</v>
      </c>
      <c r="AV183">
        <f t="shared" si="83"/>
        <v>0</v>
      </c>
      <c r="AW183">
        <f t="shared" si="83"/>
        <v>0</v>
      </c>
      <c r="AX183">
        <f t="shared" si="83"/>
        <v>0</v>
      </c>
      <c r="AY183">
        <f t="shared" si="83"/>
        <v>0</v>
      </c>
      <c r="AZ183">
        <f t="shared" si="83"/>
        <v>0</v>
      </c>
    </row>
    <row r="184" spans="1:52" x14ac:dyDescent="0.25">
      <c r="A184" t="s">
        <v>32</v>
      </c>
      <c r="B184" s="3">
        <v>42892</v>
      </c>
      <c r="C184" s="1">
        <v>982.20268738348364</v>
      </c>
      <c r="D184" s="1">
        <v>89.291153398498508</v>
      </c>
      <c r="E184" s="1">
        <f t="shared" si="72"/>
        <v>586.20268738348364</v>
      </c>
      <c r="F184" s="1">
        <f t="shared" si="73"/>
        <v>396</v>
      </c>
      <c r="G184" s="2">
        <v>11</v>
      </c>
      <c r="H184" s="1">
        <v>53.291153398498508</v>
      </c>
      <c r="I184" s="1">
        <v>36</v>
      </c>
      <c r="J184" s="1">
        <f t="shared" si="75"/>
        <v>709123.61584327393</v>
      </c>
      <c r="K184" s="1">
        <f t="shared" si="76"/>
        <v>359405.615843273</v>
      </c>
      <c r="N184">
        <f t="shared" si="74"/>
        <v>0</v>
      </c>
      <c r="O184">
        <f t="shared" si="74"/>
        <v>0</v>
      </c>
      <c r="P184">
        <f t="shared" si="74"/>
        <v>0</v>
      </c>
      <c r="Q184">
        <f t="shared" si="85"/>
        <v>0</v>
      </c>
      <c r="R184">
        <f t="shared" si="85"/>
        <v>0</v>
      </c>
      <c r="S184">
        <f t="shared" si="85"/>
        <v>0</v>
      </c>
      <c r="T184">
        <f t="shared" si="85"/>
        <v>0</v>
      </c>
      <c r="U184">
        <f t="shared" si="85"/>
        <v>0</v>
      </c>
      <c r="V184">
        <f t="shared" si="85"/>
        <v>0</v>
      </c>
      <c r="W184">
        <f t="shared" si="85"/>
        <v>0</v>
      </c>
      <c r="X184">
        <f t="shared" si="85"/>
        <v>0</v>
      </c>
      <c r="Y184">
        <f t="shared" si="85"/>
        <v>0</v>
      </c>
      <c r="Z184">
        <f t="shared" si="85"/>
        <v>0</v>
      </c>
      <c r="AA184">
        <f t="shared" si="85"/>
        <v>0</v>
      </c>
      <c r="AB184">
        <f t="shared" si="85"/>
        <v>0</v>
      </c>
      <c r="AC184">
        <f t="shared" si="85"/>
        <v>0</v>
      </c>
      <c r="AD184">
        <f t="shared" si="85"/>
        <v>0</v>
      </c>
      <c r="AE184">
        <f t="shared" si="85"/>
        <v>0</v>
      </c>
      <c r="AF184">
        <f t="shared" si="85"/>
        <v>0</v>
      </c>
      <c r="AG184">
        <f t="shared" si="84"/>
        <v>0</v>
      </c>
      <c r="AH184">
        <f t="shared" si="84"/>
        <v>1</v>
      </c>
      <c r="AI184">
        <f t="shared" si="84"/>
        <v>0</v>
      </c>
      <c r="AJ184">
        <f t="shared" si="84"/>
        <v>0</v>
      </c>
      <c r="AK184">
        <f t="shared" si="84"/>
        <v>0</v>
      </c>
      <c r="AL184">
        <f t="shared" si="84"/>
        <v>0</v>
      </c>
      <c r="AM184">
        <f t="shared" si="84"/>
        <v>0</v>
      </c>
      <c r="AN184">
        <f t="shared" si="84"/>
        <v>0</v>
      </c>
      <c r="AO184">
        <f t="shared" si="84"/>
        <v>0</v>
      </c>
      <c r="AP184">
        <f t="shared" si="84"/>
        <v>0</v>
      </c>
      <c r="AQ184">
        <f t="shared" si="84"/>
        <v>0</v>
      </c>
      <c r="AR184">
        <f t="shared" si="84"/>
        <v>0</v>
      </c>
      <c r="AS184">
        <f t="shared" si="84"/>
        <v>0</v>
      </c>
      <c r="AT184">
        <f t="shared" si="84"/>
        <v>0</v>
      </c>
      <c r="AU184">
        <f t="shared" si="84"/>
        <v>0</v>
      </c>
      <c r="AV184">
        <f t="shared" si="83"/>
        <v>0</v>
      </c>
      <c r="AW184">
        <f t="shared" si="83"/>
        <v>0</v>
      </c>
      <c r="AX184">
        <f t="shared" si="83"/>
        <v>0</v>
      </c>
      <c r="AY184">
        <f t="shared" si="83"/>
        <v>0</v>
      </c>
      <c r="AZ184">
        <f t="shared" si="83"/>
        <v>0</v>
      </c>
    </row>
    <row r="185" spans="1:52" x14ac:dyDescent="0.25">
      <c r="A185" t="s">
        <v>19</v>
      </c>
      <c r="B185" s="3">
        <v>42888</v>
      </c>
      <c r="C185" s="1">
        <v>4445.1735525561853</v>
      </c>
      <c r="D185" s="1">
        <v>87.160265736395786</v>
      </c>
      <c r="E185" s="1">
        <f t="shared" si="72"/>
        <v>2660.1735525561853</v>
      </c>
      <c r="F185" s="1">
        <f t="shared" si="73"/>
        <v>1785</v>
      </c>
      <c r="G185" s="2">
        <v>51</v>
      </c>
      <c r="H185" s="1">
        <v>52.160265736395793</v>
      </c>
      <c r="I185" s="1">
        <v>35</v>
      </c>
      <c r="J185" s="1">
        <f t="shared" si="75"/>
        <v>713568.78939583013</v>
      </c>
      <c r="K185" s="1">
        <f t="shared" si="76"/>
        <v>362065.7893958292</v>
      </c>
      <c r="N185">
        <f t="shared" si="74"/>
        <v>0</v>
      </c>
      <c r="O185">
        <f t="shared" si="74"/>
        <v>0</v>
      </c>
      <c r="P185">
        <f t="shared" si="74"/>
        <v>0</v>
      </c>
      <c r="Q185">
        <f t="shared" si="85"/>
        <v>0</v>
      </c>
      <c r="R185">
        <f t="shared" si="85"/>
        <v>0</v>
      </c>
      <c r="S185">
        <f t="shared" si="85"/>
        <v>0</v>
      </c>
      <c r="T185">
        <f t="shared" si="85"/>
        <v>0</v>
      </c>
      <c r="U185">
        <f t="shared" si="85"/>
        <v>0</v>
      </c>
      <c r="V185">
        <f t="shared" si="85"/>
        <v>0</v>
      </c>
      <c r="W185">
        <f t="shared" si="85"/>
        <v>0</v>
      </c>
      <c r="X185">
        <f t="shared" si="85"/>
        <v>0</v>
      </c>
      <c r="Y185">
        <f t="shared" si="85"/>
        <v>0</v>
      </c>
      <c r="Z185">
        <f t="shared" si="85"/>
        <v>0</v>
      </c>
      <c r="AA185">
        <f t="shared" si="85"/>
        <v>0</v>
      </c>
      <c r="AB185">
        <f t="shared" si="85"/>
        <v>0</v>
      </c>
      <c r="AC185">
        <f t="shared" si="85"/>
        <v>0</v>
      </c>
      <c r="AD185">
        <f t="shared" si="85"/>
        <v>0</v>
      </c>
      <c r="AE185">
        <f t="shared" si="85"/>
        <v>0</v>
      </c>
      <c r="AF185">
        <f t="shared" si="85"/>
        <v>0</v>
      </c>
      <c r="AG185">
        <f t="shared" si="84"/>
        <v>0</v>
      </c>
      <c r="AH185">
        <f t="shared" si="84"/>
        <v>0</v>
      </c>
      <c r="AI185">
        <f t="shared" si="84"/>
        <v>0</v>
      </c>
      <c r="AJ185">
        <f t="shared" si="84"/>
        <v>0</v>
      </c>
      <c r="AK185">
        <f t="shared" si="84"/>
        <v>0</v>
      </c>
      <c r="AL185">
        <f t="shared" si="84"/>
        <v>0</v>
      </c>
      <c r="AM185">
        <f t="shared" si="84"/>
        <v>0</v>
      </c>
      <c r="AN185">
        <f t="shared" si="84"/>
        <v>0</v>
      </c>
      <c r="AO185">
        <f t="shared" si="84"/>
        <v>0</v>
      </c>
      <c r="AP185">
        <f t="shared" si="84"/>
        <v>0</v>
      </c>
      <c r="AQ185">
        <f t="shared" si="84"/>
        <v>0</v>
      </c>
      <c r="AR185">
        <f t="shared" si="84"/>
        <v>0</v>
      </c>
      <c r="AS185">
        <f t="shared" si="84"/>
        <v>0</v>
      </c>
      <c r="AT185">
        <f t="shared" si="84"/>
        <v>0</v>
      </c>
      <c r="AU185">
        <f t="shared" si="84"/>
        <v>0</v>
      </c>
      <c r="AV185">
        <f t="shared" si="83"/>
        <v>0</v>
      </c>
      <c r="AW185">
        <f t="shared" si="83"/>
        <v>1</v>
      </c>
      <c r="AX185">
        <f t="shared" si="83"/>
        <v>0</v>
      </c>
      <c r="AY185">
        <f t="shared" si="83"/>
        <v>0</v>
      </c>
      <c r="AZ185">
        <f t="shared" si="83"/>
        <v>0</v>
      </c>
    </row>
    <row r="186" spans="1:52" x14ac:dyDescent="0.25">
      <c r="A186" t="s">
        <v>36</v>
      </c>
      <c r="B186" s="3">
        <v>42887</v>
      </c>
      <c r="C186" s="1">
        <v>6669.147323824739</v>
      </c>
      <c r="D186" s="1">
        <v>82.335152145984438</v>
      </c>
      <c r="E186" s="1">
        <f t="shared" si="72"/>
        <v>3024.1473238247395</v>
      </c>
      <c r="F186" s="1">
        <f t="shared" si="73"/>
        <v>3645</v>
      </c>
      <c r="G186" s="2">
        <v>81</v>
      </c>
      <c r="H186" s="1">
        <v>37.335152145984438</v>
      </c>
      <c r="I186" s="1">
        <v>45</v>
      </c>
      <c r="J186" s="1">
        <f t="shared" si="75"/>
        <v>720237.93671965483</v>
      </c>
      <c r="K186" s="1">
        <f t="shared" si="76"/>
        <v>365089.93671965395</v>
      </c>
      <c r="N186">
        <f t="shared" si="74"/>
        <v>0</v>
      </c>
      <c r="O186">
        <f t="shared" si="74"/>
        <v>0</v>
      </c>
      <c r="P186">
        <f t="shared" si="74"/>
        <v>0</v>
      </c>
      <c r="Q186">
        <f t="shared" si="85"/>
        <v>0</v>
      </c>
      <c r="R186">
        <f t="shared" si="85"/>
        <v>0</v>
      </c>
      <c r="S186">
        <f t="shared" si="85"/>
        <v>0</v>
      </c>
      <c r="T186">
        <f t="shared" si="85"/>
        <v>0</v>
      </c>
      <c r="U186">
        <f t="shared" si="85"/>
        <v>0</v>
      </c>
      <c r="V186">
        <f t="shared" si="85"/>
        <v>0</v>
      </c>
      <c r="W186">
        <f t="shared" si="85"/>
        <v>0</v>
      </c>
      <c r="X186">
        <f t="shared" si="85"/>
        <v>0</v>
      </c>
      <c r="Y186">
        <f t="shared" si="85"/>
        <v>0</v>
      </c>
      <c r="Z186">
        <f t="shared" si="85"/>
        <v>0</v>
      </c>
      <c r="AA186">
        <f t="shared" si="85"/>
        <v>0</v>
      </c>
      <c r="AB186">
        <f t="shared" si="85"/>
        <v>0</v>
      </c>
      <c r="AC186">
        <f t="shared" si="85"/>
        <v>0</v>
      </c>
      <c r="AD186">
        <f t="shared" si="85"/>
        <v>0</v>
      </c>
      <c r="AE186">
        <f t="shared" si="85"/>
        <v>0</v>
      </c>
      <c r="AF186">
        <f t="shared" si="85"/>
        <v>0</v>
      </c>
      <c r="AG186">
        <f t="shared" si="84"/>
        <v>0</v>
      </c>
      <c r="AH186">
        <f t="shared" si="84"/>
        <v>0</v>
      </c>
      <c r="AI186">
        <f t="shared" si="84"/>
        <v>0</v>
      </c>
      <c r="AJ186">
        <f t="shared" si="84"/>
        <v>0</v>
      </c>
      <c r="AK186">
        <f t="shared" si="84"/>
        <v>0</v>
      </c>
      <c r="AL186">
        <f t="shared" si="84"/>
        <v>0</v>
      </c>
      <c r="AM186">
        <f t="shared" si="84"/>
        <v>0</v>
      </c>
      <c r="AN186">
        <f t="shared" si="84"/>
        <v>0</v>
      </c>
      <c r="AO186">
        <f t="shared" si="84"/>
        <v>1</v>
      </c>
      <c r="AP186">
        <f t="shared" si="84"/>
        <v>0</v>
      </c>
      <c r="AQ186">
        <f t="shared" si="84"/>
        <v>0</v>
      </c>
      <c r="AR186">
        <f t="shared" si="84"/>
        <v>0</v>
      </c>
      <c r="AS186">
        <f t="shared" si="84"/>
        <v>0</v>
      </c>
      <c r="AT186">
        <f t="shared" si="84"/>
        <v>0</v>
      </c>
      <c r="AU186">
        <f t="shared" si="84"/>
        <v>0</v>
      </c>
      <c r="AV186">
        <f t="shared" si="83"/>
        <v>0</v>
      </c>
      <c r="AW186">
        <f t="shared" si="83"/>
        <v>0</v>
      </c>
      <c r="AX186">
        <f t="shared" si="83"/>
        <v>0</v>
      </c>
      <c r="AY186">
        <f t="shared" si="83"/>
        <v>0</v>
      </c>
      <c r="AZ186">
        <f t="shared" si="83"/>
        <v>0</v>
      </c>
    </row>
    <row r="187" spans="1:52" x14ac:dyDescent="0.25">
      <c r="A187" t="s">
        <v>11</v>
      </c>
      <c r="B187" s="3">
        <v>42874</v>
      </c>
      <c r="C187" s="1">
        <v>2360.778611844602</v>
      </c>
      <c r="D187" s="1">
        <v>90.799177378638547</v>
      </c>
      <c r="E187" s="1">
        <f t="shared" si="72"/>
        <v>1372.7786118446024</v>
      </c>
      <c r="F187" s="1">
        <f t="shared" si="73"/>
        <v>988</v>
      </c>
      <c r="G187" s="2">
        <v>26</v>
      </c>
      <c r="H187" s="1">
        <v>52.799177378638554</v>
      </c>
      <c r="I187" s="1">
        <v>38</v>
      </c>
      <c r="J187" s="1">
        <f t="shared" si="75"/>
        <v>722598.71533149946</v>
      </c>
      <c r="K187" s="1">
        <f t="shared" si="76"/>
        <v>366462.71533149853</v>
      </c>
      <c r="N187">
        <f t="shared" si="74"/>
        <v>0</v>
      </c>
      <c r="O187">
        <f t="shared" si="74"/>
        <v>0</v>
      </c>
      <c r="P187">
        <f t="shared" si="74"/>
        <v>1</v>
      </c>
      <c r="Q187">
        <f t="shared" si="85"/>
        <v>0</v>
      </c>
      <c r="R187">
        <f t="shared" si="85"/>
        <v>0</v>
      </c>
      <c r="S187">
        <f t="shared" si="85"/>
        <v>0</v>
      </c>
      <c r="T187">
        <f t="shared" si="85"/>
        <v>0</v>
      </c>
      <c r="U187">
        <f t="shared" si="85"/>
        <v>0</v>
      </c>
      <c r="V187">
        <f t="shared" si="85"/>
        <v>0</v>
      </c>
      <c r="W187">
        <f t="shared" si="85"/>
        <v>0</v>
      </c>
      <c r="X187">
        <f t="shared" si="85"/>
        <v>0</v>
      </c>
      <c r="Y187">
        <f t="shared" si="85"/>
        <v>0</v>
      </c>
      <c r="Z187">
        <f t="shared" si="85"/>
        <v>0</v>
      </c>
      <c r="AA187">
        <f t="shared" si="85"/>
        <v>0</v>
      </c>
      <c r="AB187">
        <f t="shared" si="85"/>
        <v>0</v>
      </c>
      <c r="AC187">
        <f t="shared" si="85"/>
        <v>0</v>
      </c>
      <c r="AD187">
        <f t="shared" si="85"/>
        <v>0</v>
      </c>
      <c r="AE187">
        <f t="shared" si="85"/>
        <v>0</v>
      </c>
      <c r="AF187">
        <f t="shared" si="85"/>
        <v>0</v>
      </c>
      <c r="AG187">
        <f t="shared" si="84"/>
        <v>0</v>
      </c>
      <c r="AH187">
        <f t="shared" si="84"/>
        <v>0</v>
      </c>
      <c r="AI187">
        <f t="shared" si="84"/>
        <v>0</v>
      </c>
      <c r="AJ187">
        <f t="shared" si="84"/>
        <v>0</v>
      </c>
      <c r="AK187">
        <f t="shared" si="84"/>
        <v>0</v>
      </c>
      <c r="AL187">
        <f t="shared" si="84"/>
        <v>0</v>
      </c>
      <c r="AM187">
        <f t="shared" si="84"/>
        <v>0</v>
      </c>
      <c r="AN187">
        <f t="shared" si="84"/>
        <v>0</v>
      </c>
      <c r="AO187">
        <f t="shared" si="84"/>
        <v>0</v>
      </c>
      <c r="AP187">
        <f t="shared" si="84"/>
        <v>0</v>
      </c>
      <c r="AQ187">
        <f t="shared" si="84"/>
        <v>0</v>
      </c>
      <c r="AR187">
        <f t="shared" si="84"/>
        <v>0</v>
      </c>
      <c r="AS187">
        <f t="shared" si="84"/>
        <v>0</v>
      </c>
      <c r="AT187">
        <f t="shared" si="84"/>
        <v>0</v>
      </c>
      <c r="AU187">
        <f t="shared" si="84"/>
        <v>0</v>
      </c>
      <c r="AV187">
        <f t="shared" si="83"/>
        <v>0</v>
      </c>
      <c r="AW187">
        <f t="shared" si="83"/>
        <v>0</v>
      </c>
      <c r="AX187">
        <f t="shared" si="83"/>
        <v>0</v>
      </c>
      <c r="AY187">
        <f t="shared" si="83"/>
        <v>0</v>
      </c>
      <c r="AZ187">
        <f t="shared" si="83"/>
        <v>0</v>
      </c>
    </row>
    <row r="188" spans="1:52" x14ac:dyDescent="0.25">
      <c r="A188" t="s">
        <v>37</v>
      </c>
      <c r="B188" s="3">
        <v>42869</v>
      </c>
      <c r="C188" s="1">
        <v>1514.9028517219742</v>
      </c>
      <c r="D188" s="1">
        <v>94.681428232623389</v>
      </c>
      <c r="E188" s="1">
        <f t="shared" si="72"/>
        <v>730.90285172197423</v>
      </c>
      <c r="F188" s="1">
        <f t="shared" si="73"/>
        <v>784</v>
      </c>
      <c r="G188" s="2">
        <v>16</v>
      </c>
      <c r="H188" s="1">
        <v>45.681428232623389</v>
      </c>
      <c r="I188" s="1">
        <v>49</v>
      </c>
      <c r="J188" s="1">
        <f t="shared" si="75"/>
        <v>724113.61818322144</v>
      </c>
      <c r="K188" s="1">
        <f t="shared" si="76"/>
        <v>367193.6181832205</v>
      </c>
      <c r="N188">
        <f t="shared" si="74"/>
        <v>0</v>
      </c>
      <c r="O188">
        <f t="shared" si="74"/>
        <v>0</v>
      </c>
      <c r="P188">
        <f t="shared" si="74"/>
        <v>0</v>
      </c>
      <c r="Q188">
        <f t="shared" si="85"/>
        <v>0</v>
      </c>
      <c r="R188">
        <f t="shared" si="85"/>
        <v>0</v>
      </c>
      <c r="S188">
        <f t="shared" si="85"/>
        <v>0</v>
      </c>
      <c r="T188">
        <f t="shared" si="85"/>
        <v>0</v>
      </c>
      <c r="U188">
        <f t="shared" si="85"/>
        <v>0</v>
      </c>
      <c r="V188">
        <f t="shared" si="85"/>
        <v>0</v>
      </c>
      <c r="W188">
        <f t="shared" si="85"/>
        <v>0</v>
      </c>
      <c r="X188">
        <f t="shared" si="85"/>
        <v>0</v>
      </c>
      <c r="Y188">
        <f t="shared" si="85"/>
        <v>0</v>
      </c>
      <c r="Z188">
        <f t="shared" si="85"/>
        <v>0</v>
      </c>
      <c r="AA188">
        <f t="shared" si="85"/>
        <v>0</v>
      </c>
      <c r="AB188">
        <f t="shared" si="85"/>
        <v>0</v>
      </c>
      <c r="AC188">
        <f t="shared" si="85"/>
        <v>0</v>
      </c>
      <c r="AD188">
        <f t="shared" si="85"/>
        <v>1</v>
      </c>
      <c r="AE188">
        <f t="shared" si="85"/>
        <v>0</v>
      </c>
      <c r="AF188">
        <f t="shared" si="85"/>
        <v>0</v>
      </c>
      <c r="AG188">
        <f t="shared" si="84"/>
        <v>0</v>
      </c>
      <c r="AH188">
        <f t="shared" si="84"/>
        <v>0</v>
      </c>
      <c r="AI188">
        <f t="shared" si="84"/>
        <v>0</v>
      </c>
      <c r="AJ188">
        <f t="shared" si="84"/>
        <v>0</v>
      </c>
      <c r="AK188">
        <f t="shared" si="84"/>
        <v>0</v>
      </c>
      <c r="AL188">
        <f t="shared" si="84"/>
        <v>0</v>
      </c>
      <c r="AM188">
        <f t="shared" si="84"/>
        <v>0</v>
      </c>
      <c r="AN188">
        <f t="shared" si="84"/>
        <v>0</v>
      </c>
      <c r="AO188">
        <f t="shared" si="84"/>
        <v>0</v>
      </c>
      <c r="AP188">
        <f t="shared" si="84"/>
        <v>0</v>
      </c>
      <c r="AQ188">
        <f t="shared" si="84"/>
        <v>0</v>
      </c>
      <c r="AR188">
        <f t="shared" si="84"/>
        <v>0</v>
      </c>
      <c r="AS188">
        <f t="shared" si="84"/>
        <v>0</v>
      </c>
      <c r="AT188">
        <f t="shared" si="84"/>
        <v>0</v>
      </c>
      <c r="AU188">
        <f t="shared" si="84"/>
        <v>0</v>
      </c>
      <c r="AV188">
        <f t="shared" si="83"/>
        <v>0</v>
      </c>
      <c r="AW188">
        <f t="shared" si="83"/>
        <v>0</v>
      </c>
      <c r="AX188">
        <f t="shared" si="83"/>
        <v>0</v>
      </c>
      <c r="AY188">
        <f t="shared" si="83"/>
        <v>0</v>
      </c>
      <c r="AZ188">
        <f t="shared" si="83"/>
        <v>0</v>
      </c>
    </row>
    <row r="189" spans="1:52" x14ac:dyDescent="0.25">
      <c r="A189" t="s">
        <v>41</v>
      </c>
      <c r="B189" s="3">
        <v>42866</v>
      </c>
      <c r="C189" s="1">
        <v>2596.475708350551</v>
      </c>
      <c r="D189" s="1">
        <v>103.85902833402204</v>
      </c>
      <c r="E189" s="1">
        <f t="shared" si="72"/>
        <v>1446.4757083505508</v>
      </c>
      <c r="F189" s="1">
        <f t="shared" si="73"/>
        <v>1150</v>
      </c>
      <c r="G189" s="2">
        <v>25</v>
      </c>
      <c r="H189" s="1">
        <v>57.859028334022035</v>
      </c>
      <c r="I189" s="1">
        <v>46</v>
      </c>
      <c r="J189" s="1">
        <f t="shared" si="75"/>
        <v>726710.09389157197</v>
      </c>
      <c r="K189" s="1">
        <f t="shared" si="76"/>
        <v>368640.09389157104</v>
      </c>
      <c r="N189">
        <f t="shared" si="74"/>
        <v>0</v>
      </c>
      <c r="O189">
        <f t="shared" si="74"/>
        <v>0</v>
      </c>
      <c r="P189">
        <f t="shared" si="74"/>
        <v>0</v>
      </c>
      <c r="Q189">
        <f t="shared" si="85"/>
        <v>1</v>
      </c>
      <c r="R189">
        <f t="shared" si="85"/>
        <v>0</v>
      </c>
      <c r="S189">
        <f t="shared" si="85"/>
        <v>0</v>
      </c>
      <c r="T189">
        <f t="shared" si="85"/>
        <v>0</v>
      </c>
      <c r="U189">
        <f t="shared" si="85"/>
        <v>0</v>
      </c>
      <c r="V189">
        <f t="shared" si="85"/>
        <v>0</v>
      </c>
      <c r="W189">
        <f t="shared" si="85"/>
        <v>0</v>
      </c>
      <c r="X189">
        <f t="shared" si="85"/>
        <v>0</v>
      </c>
      <c r="Y189">
        <f t="shared" si="85"/>
        <v>0</v>
      </c>
      <c r="Z189">
        <f t="shared" si="85"/>
        <v>0</v>
      </c>
      <c r="AA189">
        <f t="shared" si="85"/>
        <v>0</v>
      </c>
      <c r="AB189">
        <f t="shared" si="85"/>
        <v>0</v>
      </c>
      <c r="AC189">
        <f t="shared" si="85"/>
        <v>0</v>
      </c>
      <c r="AD189">
        <f t="shared" si="85"/>
        <v>0</v>
      </c>
      <c r="AE189">
        <f t="shared" si="85"/>
        <v>0</v>
      </c>
      <c r="AF189">
        <f t="shared" si="85"/>
        <v>0</v>
      </c>
      <c r="AG189">
        <f t="shared" si="84"/>
        <v>0</v>
      </c>
      <c r="AH189">
        <f t="shared" si="84"/>
        <v>0</v>
      </c>
      <c r="AI189">
        <f t="shared" si="84"/>
        <v>0</v>
      </c>
      <c r="AJ189">
        <f t="shared" si="84"/>
        <v>0</v>
      </c>
      <c r="AK189">
        <f t="shared" si="84"/>
        <v>0</v>
      </c>
      <c r="AL189">
        <f t="shared" si="84"/>
        <v>0</v>
      </c>
      <c r="AM189">
        <f t="shared" si="84"/>
        <v>0</v>
      </c>
      <c r="AN189">
        <f t="shared" si="84"/>
        <v>0</v>
      </c>
      <c r="AO189">
        <f t="shared" si="84"/>
        <v>0</v>
      </c>
      <c r="AP189">
        <f t="shared" si="84"/>
        <v>0</v>
      </c>
      <c r="AQ189">
        <f t="shared" si="84"/>
        <v>0</v>
      </c>
      <c r="AR189">
        <f t="shared" si="84"/>
        <v>0</v>
      </c>
      <c r="AS189">
        <f t="shared" si="84"/>
        <v>0</v>
      </c>
      <c r="AT189">
        <f t="shared" si="84"/>
        <v>0</v>
      </c>
      <c r="AU189">
        <f t="shared" si="84"/>
        <v>0</v>
      </c>
      <c r="AV189">
        <f t="shared" si="83"/>
        <v>0</v>
      </c>
      <c r="AW189">
        <f t="shared" si="83"/>
        <v>0</v>
      </c>
      <c r="AX189">
        <f t="shared" si="83"/>
        <v>0</v>
      </c>
      <c r="AY189">
        <f t="shared" si="83"/>
        <v>0</v>
      </c>
      <c r="AZ189">
        <f t="shared" si="83"/>
        <v>0</v>
      </c>
    </row>
    <row r="190" spans="1:52" x14ac:dyDescent="0.25">
      <c r="A190" t="s">
        <v>44</v>
      </c>
      <c r="B190" s="3">
        <v>42856</v>
      </c>
      <c r="C190" s="1">
        <v>209.76800721511574</v>
      </c>
      <c r="D190" s="1">
        <v>69.922669071705243</v>
      </c>
      <c r="E190" s="1">
        <f t="shared" si="72"/>
        <v>110.76800721511573</v>
      </c>
      <c r="F190" s="1">
        <f t="shared" si="73"/>
        <v>99</v>
      </c>
      <c r="G190" s="2">
        <v>3</v>
      </c>
      <c r="H190" s="1">
        <v>36.922669071705243</v>
      </c>
      <c r="I190" s="1">
        <v>33</v>
      </c>
      <c r="J190" s="1">
        <f t="shared" si="75"/>
        <v>726919.86189878709</v>
      </c>
      <c r="K190" s="1">
        <f t="shared" si="76"/>
        <v>368750.86189878616</v>
      </c>
      <c r="N190">
        <f t="shared" si="74"/>
        <v>0</v>
      </c>
      <c r="O190">
        <f t="shared" si="74"/>
        <v>0</v>
      </c>
      <c r="P190">
        <f t="shared" si="74"/>
        <v>0</v>
      </c>
      <c r="Q190">
        <f t="shared" si="85"/>
        <v>0</v>
      </c>
      <c r="R190">
        <f t="shared" si="85"/>
        <v>0</v>
      </c>
      <c r="S190">
        <f t="shared" si="85"/>
        <v>0</v>
      </c>
      <c r="T190">
        <f t="shared" si="85"/>
        <v>0</v>
      </c>
      <c r="U190">
        <f t="shared" si="85"/>
        <v>0</v>
      </c>
      <c r="V190">
        <f t="shared" si="85"/>
        <v>0</v>
      </c>
      <c r="W190">
        <f t="shared" si="85"/>
        <v>0</v>
      </c>
      <c r="X190">
        <f t="shared" si="85"/>
        <v>0</v>
      </c>
      <c r="Y190">
        <f t="shared" si="85"/>
        <v>0</v>
      </c>
      <c r="Z190">
        <f t="shared" si="85"/>
        <v>0</v>
      </c>
      <c r="AA190">
        <f t="shared" si="85"/>
        <v>0</v>
      </c>
      <c r="AB190">
        <f t="shared" si="85"/>
        <v>0</v>
      </c>
      <c r="AC190">
        <f t="shared" si="85"/>
        <v>0</v>
      </c>
      <c r="AD190">
        <f t="shared" si="85"/>
        <v>0</v>
      </c>
      <c r="AE190">
        <f t="shared" si="85"/>
        <v>0</v>
      </c>
      <c r="AF190">
        <f t="shared" si="85"/>
        <v>0</v>
      </c>
      <c r="AG190">
        <f t="shared" si="84"/>
        <v>0</v>
      </c>
      <c r="AH190">
        <f t="shared" si="84"/>
        <v>0</v>
      </c>
      <c r="AI190">
        <f t="shared" si="84"/>
        <v>0</v>
      </c>
      <c r="AJ190">
        <f t="shared" si="84"/>
        <v>0</v>
      </c>
      <c r="AK190">
        <f t="shared" si="84"/>
        <v>0</v>
      </c>
      <c r="AL190">
        <f t="shared" si="84"/>
        <v>0</v>
      </c>
      <c r="AM190">
        <f t="shared" si="84"/>
        <v>0</v>
      </c>
      <c r="AN190">
        <f t="shared" si="84"/>
        <v>0</v>
      </c>
      <c r="AO190">
        <f t="shared" si="84"/>
        <v>0</v>
      </c>
      <c r="AP190">
        <f t="shared" si="84"/>
        <v>0</v>
      </c>
      <c r="AQ190">
        <f t="shared" si="84"/>
        <v>0</v>
      </c>
      <c r="AR190">
        <f t="shared" si="84"/>
        <v>0</v>
      </c>
      <c r="AS190">
        <f t="shared" si="84"/>
        <v>0</v>
      </c>
      <c r="AT190">
        <f t="shared" si="84"/>
        <v>0</v>
      </c>
      <c r="AU190">
        <f t="shared" si="84"/>
        <v>1</v>
      </c>
      <c r="AV190">
        <f t="shared" si="83"/>
        <v>0</v>
      </c>
      <c r="AW190">
        <f t="shared" si="83"/>
        <v>0</v>
      </c>
      <c r="AX190">
        <f t="shared" si="83"/>
        <v>0</v>
      </c>
      <c r="AY190">
        <f t="shared" si="83"/>
        <v>0</v>
      </c>
      <c r="AZ190">
        <f t="shared" si="83"/>
        <v>0</v>
      </c>
    </row>
    <row r="191" spans="1:52" x14ac:dyDescent="0.25">
      <c r="A191" t="s">
        <v>48</v>
      </c>
      <c r="B191" s="3">
        <v>42837</v>
      </c>
      <c r="C191" s="1">
        <v>3516.0738020989584</v>
      </c>
      <c r="D191" s="1">
        <v>159.82153645904356</v>
      </c>
      <c r="E191" s="1">
        <f t="shared" si="72"/>
        <v>1558.0738020989586</v>
      </c>
      <c r="F191" s="1">
        <f t="shared" si="73"/>
        <v>1958</v>
      </c>
      <c r="G191" s="2">
        <v>22</v>
      </c>
      <c r="H191" s="1">
        <v>70.821536459043571</v>
      </c>
      <c r="I191" s="1">
        <v>89</v>
      </c>
      <c r="J191" s="1">
        <f t="shared" si="75"/>
        <v>730435.93570088607</v>
      </c>
      <c r="K191" s="1">
        <f t="shared" si="76"/>
        <v>370308.93570088514</v>
      </c>
      <c r="N191">
        <f t="shared" si="74"/>
        <v>0</v>
      </c>
      <c r="O191">
        <f t="shared" si="74"/>
        <v>0</v>
      </c>
      <c r="P191">
        <f t="shared" si="74"/>
        <v>0</v>
      </c>
      <c r="Q191">
        <f t="shared" si="85"/>
        <v>0</v>
      </c>
      <c r="R191">
        <f t="shared" si="85"/>
        <v>0</v>
      </c>
      <c r="S191">
        <f t="shared" si="85"/>
        <v>0</v>
      </c>
      <c r="T191">
        <f t="shared" si="85"/>
        <v>0</v>
      </c>
      <c r="U191">
        <f t="shared" si="85"/>
        <v>0</v>
      </c>
      <c r="V191">
        <f t="shared" si="85"/>
        <v>0</v>
      </c>
      <c r="W191">
        <f t="shared" si="85"/>
        <v>0</v>
      </c>
      <c r="X191">
        <f t="shared" si="85"/>
        <v>0</v>
      </c>
      <c r="Y191">
        <f t="shared" si="85"/>
        <v>0</v>
      </c>
      <c r="Z191">
        <f t="shared" si="85"/>
        <v>0</v>
      </c>
      <c r="AA191">
        <f t="shared" si="85"/>
        <v>0</v>
      </c>
      <c r="AB191">
        <f t="shared" si="85"/>
        <v>0</v>
      </c>
      <c r="AC191">
        <f t="shared" si="85"/>
        <v>0</v>
      </c>
      <c r="AD191">
        <f t="shared" si="85"/>
        <v>0</v>
      </c>
      <c r="AE191">
        <f t="shared" si="85"/>
        <v>0</v>
      </c>
      <c r="AF191">
        <f t="shared" si="85"/>
        <v>0</v>
      </c>
      <c r="AG191">
        <f t="shared" si="84"/>
        <v>0</v>
      </c>
      <c r="AH191">
        <f t="shared" si="84"/>
        <v>0</v>
      </c>
      <c r="AI191">
        <f t="shared" si="84"/>
        <v>1</v>
      </c>
      <c r="AJ191">
        <f t="shared" si="84"/>
        <v>0</v>
      </c>
      <c r="AK191">
        <f t="shared" si="84"/>
        <v>0</v>
      </c>
      <c r="AL191">
        <f t="shared" si="84"/>
        <v>0</v>
      </c>
      <c r="AM191">
        <f t="shared" si="84"/>
        <v>0</v>
      </c>
      <c r="AN191">
        <f t="shared" si="84"/>
        <v>0</v>
      </c>
      <c r="AO191">
        <f t="shared" si="84"/>
        <v>0</v>
      </c>
      <c r="AP191">
        <f t="shared" si="84"/>
        <v>0</v>
      </c>
      <c r="AQ191">
        <f t="shared" si="84"/>
        <v>0</v>
      </c>
      <c r="AR191">
        <f t="shared" si="84"/>
        <v>0</v>
      </c>
      <c r="AS191">
        <f t="shared" si="84"/>
        <v>0</v>
      </c>
      <c r="AT191">
        <f t="shared" si="84"/>
        <v>0</v>
      </c>
      <c r="AU191">
        <f t="shared" si="84"/>
        <v>0</v>
      </c>
      <c r="AV191">
        <f t="shared" si="83"/>
        <v>0</v>
      </c>
      <c r="AW191">
        <f t="shared" si="83"/>
        <v>0</v>
      </c>
      <c r="AX191">
        <f t="shared" si="83"/>
        <v>0</v>
      </c>
      <c r="AY191">
        <f t="shared" si="83"/>
        <v>0</v>
      </c>
      <c r="AZ191">
        <f t="shared" si="83"/>
        <v>0</v>
      </c>
    </row>
    <row r="192" spans="1:52" x14ac:dyDescent="0.25">
      <c r="A192" t="s">
        <v>42</v>
      </c>
      <c r="B192" s="3">
        <v>42822</v>
      </c>
      <c r="C192" s="1">
        <v>3123.3379875602322</v>
      </c>
      <c r="D192" s="1">
        <v>195.20862422251452</v>
      </c>
      <c r="E192" s="1">
        <f t="shared" si="72"/>
        <v>1795.3379875602325</v>
      </c>
      <c r="F192" s="1">
        <f t="shared" si="73"/>
        <v>1328</v>
      </c>
      <c r="G192" s="2">
        <v>16</v>
      </c>
      <c r="H192" s="1">
        <v>112.20862422251453</v>
      </c>
      <c r="I192" s="1">
        <v>83</v>
      </c>
      <c r="J192" s="1">
        <f t="shared" si="75"/>
        <v>733559.27368844626</v>
      </c>
      <c r="K192" s="1">
        <f t="shared" si="76"/>
        <v>372104.27368844539</v>
      </c>
      <c r="N192">
        <f t="shared" si="74"/>
        <v>0</v>
      </c>
      <c r="O192">
        <f t="shared" si="74"/>
        <v>0</v>
      </c>
      <c r="P192">
        <f t="shared" si="74"/>
        <v>0</v>
      </c>
      <c r="Q192">
        <f t="shared" si="85"/>
        <v>0</v>
      </c>
      <c r="R192">
        <f t="shared" si="85"/>
        <v>0</v>
      </c>
      <c r="S192">
        <f t="shared" si="85"/>
        <v>0</v>
      </c>
      <c r="T192">
        <f t="shared" si="85"/>
        <v>0</v>
      </c>
      <c r="U192">
        <f t="shared" si="85"/>
        <v>0</v>
      </c>
      <c r="V192">
        <f t="shared" si="85"/>
        <v>0</v>
      </c>
      <c r="W192">
        <f t="shared" si="85"/>
        <v>0</v>
      </c>
      <c r="X192">
        <f t="shared" si="85"/>
        <v>0</v>
      </c>
      <c r="Y192">
        <f t="shared" si="85"/>
        <v>0</v>
      </c>
      <c r="Z192">
        <f t="shared" si="85"/>
        <v>1</v>
      </c>
      <c r="AA192">
        <f t="shared" si="85"/>
        <v>0</v>
      </c>
      <c r="AB192">
        <f t="shared" si="85"/>
        <v>0</v>
      </c>
      <c r="AC192">
        <f t="shared" si="85"/>
        <v>0</v>
      </c>
      <c r="AD192">
        <f t="shared" si="85"/>
        <v>0</v>
      </c>
      <c r="AE192">
        <f t="shared" si="85"/>
        <v>0</v>
      </c>
      <c r="AF192">
        <f t="shared" si="85"/>
        <v>0</v>
      </c>
      <c r="AG192">
        <f t="shared" si="84"/>
        <v>0</v>
      </c>
      <c r="AH192">
        <f t="shared" si="84"/>
        <v>0</v>
      </c>
      <c r="AI192">
        <f t="shared" si="84"/>
        <v>0</v>
      </c>
      <c r="AJ192">
        <f t="shared" si="84"/>
        <v>0</v>
      </c>
      <c r="AK192">
        <f t="shared" si="84"/>
        <v>0</v>
      </c>
      <c r="AL192">
        <f t="shared" si="84"/>
        <v>0</v>
      </c>
      <c r="AM192">
        <f t="shared" si="84"/>
        <v>0</v>
      </c>
      <c r="AN192">
        <f t="shared" si="84"/>
        <v>0</v>
      </c>
      <c r="AO192">
        <f t="shared" si="84"/>
        <v>0</v>
      </c>
      <c r="AP192">
        <f t="shared" si="84"/>
        <v>0</v>
      </c>
      <c r="AQ192">
        <f t="shared" si="84"/>
        <v>0</v>
      </c>
      <c r="AR192">
        <f t="shared" si="84"/>
        <v>0</v>
      </c>
      <c r="AS192">
        <f t="shared" si="84"/>
        <v>0</v>
      </c>
      <c r="AT192">
        <f t="shared" si="84"/>
        <v>0</v>
      </c>
      <c r="AU192">
        <f t="shared" si="84"/>
        <v>0</v>
      </c>
      <c r="AV192">
        <f t="shared" si="83"/>
        <v>0</v>
      </c>
      <c r="AW192">
        <f t="shared" si="83"/>
        <v>0</v>
      </c>
      <c r="AX192">
        <f t="shared" si="83"/>
        <v>0</v>
      </c>
      <c r="AY192">
        <f t="shared" si="83"/>
        <v>0</v>
      </c>
      <c r="AZ192">
        <f t="shared" si="83"/>
        <v>0</v>
      </c>
    </row>
    <row r="193" spans="1:52" x14ac:dyDescent="0.25">
      <c r="A193" t="s">
        <v>21</v>
      </c>
      <c r="B193" s="3">
        <v>42819</v>
      </c>
      <c r="C193" s="1">
        <v>401.55061191131273</v>
      </c>
      <c r="D193" s="1">
        <v>133.85020397043758</v>
      </c>
      <c r="E193" s="1">
        <f t="shared" si="72"/>
        <v>194.55061191131267</v>
      </c>
      <c r="F193" s="1">
        <f t="shared" si="73"/>
        <v>207</v>
      </c>
      <c r="G193" s="2">
        <v>3</v>
      </c>
      <c r="H193" s="1">
        <v>64.850203970437562</v>
      </c>
      <c r="I193" s="1">
        <v>69</v>
      </c>
      <c r="J193" s="1">
        <f t="shared" si="75"/>
        <v>733960.82430035761</v>
      </c>
      <c r="K193" s="1">
        <f t="shared" si="76"/>
        <v>372298.82430035673</v>
      </c>
      <c r="N193">
        <f t="shared" si="74"/>
        <v>0</v>
      </c>
      <c r="O193">
        <f t="shared" si="74"/>
        <v>0</v>
      </c>
      <c r="P193">
        <f t="shared" si="74"/>
        <v>0</v>
      </c>
      <c r="Q193">
        <f t="shared" si="85"/>
        <v>0</v>
      </c>
      <c r="R193">
        <f t="shared" si="85"/>
        <v>0</v>
      </c>
      <c r="S193">
        <f t="shared" si="85"/>
        <v>0</v>
      </c>
      <c r="T193">
        <f t="shared" si="85"/>
        <v>1</v>
      </c>
      <c r="U193">
        <f t="shared" si="85"/>
        <v>0</v>
      </c>
      <c r="V193">
        <f t="shared" si="85"/>
        <v>0</v>
      </c>
      <c r="W193">
        <f t="shared" si="85"/>
        <v>0</v>
      </c>
      <c r="X193">
        <f t="shared" si="85"/>
        <v>0</v>
      </c>
      <c r="Y193">
        <f t="shared" si="85"/>
        <v>0</v>
      </c>
      <c r="Z193">
        <f t="shared" si="85"/>
        <v>0</v>
      </c>
      <c r="AA193">
        <f t="shared" si="85"/>
        <v>0</v>
      </c>
      <c r="AB193">
        <f t="shared" si="85"/>
        <v>0</v>
      </c>
      <c r="AC193">
        <f t="shared" si="85"/>
        <v>0</v>
      </c>
      <c r="AD193">
        <f t="shared" si="85"/>
        <v>0</v>
      </c>
      <c r="AE193">
        <f t="shared" si="85"/>
        <v>0</v>
      </c>
      <c r="AF193">
        <f t="shared" si="85"/>
        <v>0</v>
      </c>
      <c r="AG193">
        <f t="shared" si="84"/>
        <v>0</v>
      </c>
      <c r="AH193">
        <f t="shared" si="84"/>
        <v>0</v>
      </c>
      <c r="AI193">
        <f t="shared" si="84"/>
        <v>0</v>
      </c>
      <c r="AJ193">
        <f t="shared" si="84"/>
        <v>0</v>
      </c>
      <c r="AK193">
        <f t="shared" si="84"/>
        <v>0</v>
      </c>
      <c r="AL193">
        <f t="shared" si="84"/>
        <v>0</v>
      </c>
      <c r="AM193">
        <f t="shared" si="84"/>
        <v>0</v>
      </c>
      <c r="AN193">
        <f t="shared" si="84"/>
        <v>0</v>
      </c>
      <c r="AO193">
        <f t="shared" si="84"/>
        <v>0</v>
      </c>
      <c r="AP193">
        <f t="shared" si="84"/>
        <v>0</v>
      </c>
      <c r="AQ193">
        <f t="shared" si="84"/>
        <v>0</v>
      </c>
      <c r="AR193">
        <f t="shared" si="84"/>
        <v>0</v>
      </c>
      <c r="AS193">
        <f t="shared" si="84"/>
        <v>0</v>
      </c>
      <c r="AT193">
        <f t="shared" si="84"/>
        <v>0</v>
      </c>
      <c r="AU193">
        <f t="shared" si="84"/>
        <v>0</v>
      </c>
      <c r="AV193">
        <f t="shared" si="83"/>
        <v>0</v>
      </c>
      <c r="AW193">
        <f t="shared" si="83"/>
        <v>0</v>
      </c>
      <c r="AX193">
        <f t="shared" si="83"/>
        <v>0</v>
      </c>
      <c r="AY193">
        <f t="shared" si="83"/>
        <v>0</v>
      </c>
      <c r="AZ193">
        <f t="shared" si="83"/>
        <v>0</v>
      </c>
    </row>
    <row r="194" spans="1:52" x14ac:dyDescent="0.25">
      <c r="A194" t="s">
        <v>20</v>
      </c>
      <c r="B194" s="3">
        <v>42813</v>
      </c>
      <c r="C194" s="1">
        <v>537.21591532425168</v>
      </c>
      <c r="D194" s="1">
        <v>107.44318306485033</v>
      </c>
      <c r="E194" s="1">
        <f t="shared" si="72"/>
        <v>247.21591532425168</v>
      </c>
      <c r="F194" s="1">
        <f t="shared" si="73"/>
        <v>290</v>
      </c>
      <c r="G194" s="2">
        <v>5</v>
      </c>
      <c r="H194" s="1">
        <v>49.443183064850338</v>
      </c>
      <c r="I194" s="1">
        <v>58</v>
      </c>
      <c r="J194" s="1">
        <f t="shared" si="75"/>
        <v>734498.04021568189</v>
      </c>
      <c r="K194" s="1">
        <f t="shared" si="76"/>
        <v>372546.04021568096</v>
      </c>
      <c r="N194">
        <f t="shared" si="74"/>
        <v>0</v>
      </c>
      <c r="O194">
        <f t="shared" si="74"/>
        <v>0</v>
      </c>
      <c r="P194">
        <f t="shared" si="74"/>
        <v>0</v>
      </c>
      <c r="Q194">
        <f t="shared" si="85"/>
        <v>0</v>
      </c>
      <c r="R194">
        <f t="shared" si="85"/>
        <v>0</v>
      </c>
      <c r="S194">
        <f t="shared" si="85"/>
        <v>0</v>
      </c>
      <c r="T194">
        <f t="shared" si="85"/>
        <v>0</v>
      </c>
      <c r="U194">
        <f t="shared" si="85"/>
        <v>0</v>
      </c>
      <c r="V194">
        <f t="shared" si="85"/>
        <v>0</v>
      </c>
      <c r="W194">
        <f t="shared" si="85"/>
        <v>0</v>
      </c>
      <c r="X194">
        <f t="shared" si="85"/>
        <v>0</v>
      </c>
      <c r="Y194">
        <f t="shared" si="85"/>
        <v>0</v>
      </c>
      <c r="Z194">
        <f t="shared" si="85"/>
        <v>0</v>
      </c>
      <c r="AA194">
        <f t="shared" si="85"/>
        <v>0</v>
      </c>
      <c r="AB194">
        <f t="shared" si="85"/>
        <v>0</v>
      </c>
      <c r="AC194">
        <f t="shared" si="85"/>
        <v>0</v>
      </c>
      <c r="AD194">
        <f t="shared" si="85"/>
        <v>0</v>
      </c>
      <c r="AE194">
        <f t="shared" si="85"/>
        <v>1</v>
      </c>
      <c r="AF194">
        <f t="shared" si="85"/>
        <v>0</v>
      </c>
      <c r="AG194">
        <f t="shared" si="84"/>
        <v>0</v>
      </c>
      <c r="AH194">
        <f t="shared" si="84"/>
        <v>0</v>
      </c>
      <c r="AI194">
        <f t="shared" si="84"/>
        <v>0</v>
      </c>
      <c r="AJ194">
        <f t="shared" si="84"/>
        <v>0</v>
      </c>
      <c r="AK194">
        <f t="shared" si="84"/>
        <v>0</v>
      </c>
      <c r="AL194">
        <f t="shared" si="84"/>
        <v>0</v>
      </c>
      <c r="AM194">
        <f t="shared" si="84"/>
        <v>0</v>
      </c>
      <c r="AN194">
        <f t="shared" si="84"/>
        <v>0</v>
      </c>
      <c r="AO194">
        <f t="shared" si="84"/>
        <v>0</v>
      </c>
      <c r="AP194">
        <f t="shared" si="84"/>
        <v>0</v>
      </c>
      <c r="AQ194">
        <f t="shared" si="84"/>
        <v>0</v>
      </c>
      <c r="AR194">
        <f t="shared" si="84"/>
        <v>0</v>
      </c>
      <c r="AS194">
        <f t="shared" si="84"/>
        <v>0</v>
      </c>
      <c r="AT194">
        <f t="shared" si="84"/>
        <v>0</v>
      </c>
      <c r="AU194">
        <f t="shared" si="84"/>
        <v>0</v>
      </c>
      <c r="AV194">
        <f t="shared" si="83"/>
        <v>0</v>
      </c>
      <c r="AW194">
        <f t="shared" si="83"/>
        <v>0</v>
      </c>
      <c r="AX194">
        <f t="shared" si="83"/>
        <v>0</v>
      </c>
      <c r="AY194">
        <f t="shared" si="83"/>
        <v>0</v>
      </c>
      <c r="AZ194">
        <f t="shared" si="83"/>
        <v>0</v>
      </c>
    </row>
    <row r="195" spans="1:52" x14ac:dyDescent="0.25">
      <c r="A195" t="s">
        <v>47</v>
      </c>
      <c r="B195" s="3">
        <v>42799</v>
      </c>
      <c r="C195" s="1">
        <v>373.05779136047227</v>
      </c>
      <c r="D195" s="1">
        <v>33.91434466913384</v>
      </c>
      <c r="E195" s="1">
        <f t="shared" si="72"/>
        <v>241.05779136047221</v>
      </c>
      <c r="F195" s="1">
        <f t="shared" si="73"/>
        <v>132</v>
      </c>
      <c r="G195" s="2">
        <v>11</v>
      </c>
      <c r="H195" s="1">
        <v>21.914344669133836</v>
      </c>
      <c r="I195" s="1">
        <v>12</v>
      </c>
      <c r="J195" s="1">
        <f t="shared" si="75"/>
        <v>734871.09800704231</v>
      </c>
      <c r="K195" s="1">
        <f t="shared" si="76"/>
        <v>372787.09800704144</v>
      </c>
      <c r="N195">
        <f t="shared" si="74"/>
        <v>0</v>
      </c>
      <c r="O195">
        <f t="shared" si="74"/>
        <v>0</v>
      </c>
      <c r="P195">
        <f t="shared" si="74"/>
        <v>0</v>
      </c>
      <c r="Q195">
        <f t="shared" si="85"/>
        <v>0</v>
      </c>
      <c r="R195">
        <f t="shared" si="85"/>
        <v>0</v>
      </c>
      <c r="S195">
        <f t="shared" si="85"/>
        <v>0</v>
      </c>
      <c r="T195">
        <f t="shared" si="85"/>
        <v>0</v>
      </c>
      <c r="U195">
        <f t="shared" si="85"/>
        <v>0</v>
      </c>
      <c r="V195">
        <f t="shared" si="85"/>
        <v>0</v>
      </c>
      <c r="W195">
        <f t="shared" si="85"/>
        <v>0</v>
      </c>
      <c r="X195">
        <f t="shared" si="85"/>
        <v>0</v>
      </c>
      <c r="Y195">
        <f t="shared" si="85"/>
        <v>0</v>
      </c>
      <c r="Z195">
        <f t="shared" si="85"/>
        <v>0</v>
      </c>
      <c r="AA195">
        <f t="shared" si="85"/>
        <v>0</v>
      </c>
      <c r="AB195">
        <f t="shared" si="85"/>
        <v>0</v>
      </c>
      <c r="AC195">
        <f t="shared" si="85"/>
        <v>0</v>
      </c>
      <c r="AD195">
        <f t="shared" si="85"/>
        <v>0</v>
      </c>
      <c r="AE195">
        <f t="shared" si="85"/>
        <v>0</v>
      </c>
      <c r="AF195">
        <f t="shared" si="85"/>
        <v>0</v>
      </c>
      <c r="AG195">
        <f t="shared" si="84"/>
        <v>0</v>
      </c>
      <c r="AH195">
        <f t="shared" si="84"/>
        <v>0</v>
      </c>
      <c r="AI195">
        <f t="shared" si="84"/>
        <v>0</v>
      </c>
      <c r="AJ195">
        <f t="shared" si="84"/>
        <v>0</v>
      </c>
      <c r="AK195">
        <f t="shared" si="84"/>
        <v>0</v>
      </c>
      <c r="AL195">
        <f t="shared" si="84"/>
        <v>0</v>
      </c>
      <c r="AM195">
        <f t="shared" si="84"/>
        <v>0</v>
      </c>
      <c r="AN195">
        <f t="shared" si="84"/>
        <v>0</v>
      </c>
      <c r="AO195">
        <f t="shared" si="84"/>
        <v>0</v>
      </c>
      <c r="AP195">
        <f t="shared" si="84"/>
        <v>0</v>
      </c>
      <c r="AQ195">
        <f t="shared" si="84"/>
        <v>0</v>
      </c>
      <c r="AR195">
        <f t="shared" si="84"/>
        <v>0</v>
      </c>
      <c r="AS195">
        <f t="shared" si="84"/>
        <v>0</v>
      </c>
      <c r="AT195">
        <f t="shared" si="84"/>
        <v>0</v>
      </c>
      <c r="AU195">
        <f t="shared" si="84"/>
        <v>0</v>
      </c>
      <c r="AV195">
        <f t="shared" si="83"/>
        <v>0</v>
      </c>
      <c r="AW195">
        <f t="shared" si="83"/>
        <v>0</v>
      </c>
      <c r="AX195">
        <f t="shared" si="83"/>
        <v>0</v>
      </c>
      <c r="AY195">
        <f t="shared" si="83"/>
        <v>0</v>
      </c>
      <c r="AZ195">
        <f t="shared" si="83"/>
        <v>1</v>
      </c>
    </row>
    <row r="196" spans="1:52" x14ac:dyDescent="0.25">
      <c r="A196" t="s">
        <v>29</v>
      </c>
      <c r="B196" s="3">
        <v>42797</v>
      </c>
      <c r="C196" s="1">
        <v>543.52748308029368</v>
      </c>
      <c r="D196" s="1">
        <v>135.88187077007342</v>
      </c>
      <c r="E196" s="1">
        <f t="shared" si="72"/>
        <v>347.52748308029373</v>
      </c>
      <c r="F196" s="1">
        <f t="shared" si="73"/>
        <v>196</v>
      </c>
      <c r="G196" s="2">
        <v>4</v>
      </c>
      <c r="H196" s="1">
        <v>86.881870770073434</v>
      </c>
      <c r="I196" s="1">
        <v>49</v>
      </c>
      <c r="J196" s="1">
        <f t="shared" si="75"/>
        <v>735414.62549012259</v>
      </c>
      <c r="K196" s="1">
        <f t="shared" si="76"/>
        <v>373134.62549012172</v>
      </c>
      <c r="N196">
        <f t="shared" si="74"/>
        <v>0</v>
      </c>
      <c r="O196">
        <f t="shared" si="74"/>
        <v>0</v>
      </c>
      <c r="P196">
        <f t="shared" si="74"/>
        <v>0</v>
      </c>
      <c r="Q196">
        <f t="shared" si="85"/>
        <v>0</v>
      </c>
      <c r="R196">
        <f t="shared" si="85"/>
        <v>0</v>
      </c>
      <c r="S196">
        <f t="shared" si="85"/>
        <v>0</v>
      </c>
      <c r="T196">
        <f t="shared" si="85"/>
        <v>0</v>
      </c>
      <c r="U196">
        <f t="shared" si="85"/>
        <v>0</v>
      </c>
      <c r="V196">
        <f t="shared" si="85"/>
        <v>0</v>
      </c>
      <c r="W196">
        <f t="shared" si="85"/>
        <v>0</v>
      </c>
      <c r="X196">
        <f t="shared" si="85"/>
        <v>0</v>
      </c>
      <c r="Y196">
        <f t="shared" si="85"/>
        <v>0</v>
      </c>
      <c r="Z196">
        <f t="shared" si="85"/>
        <v>0</v>
      </c>
      <c r="AA196">
        <f t="shared" si="85"/>
        <v>0</v>
      </c>
      <c r="AB196">
        <f t="shared" si="85"/>
        <v>0</v>
      </c>
      <c r="AC196">
        <f t="shared" si="85"/>
        <v>0</v>
      </c>
      <c r="AD196">
        <f t="shared" si="85"/>
        <v>0</v>
      </c>
      <c r="AE196">
        <f t="shared" si="85"/>
        <v>0</v>
      </c>
      <c r="AF196">
        <f t="shared" ref="AF196:AU211" si="86">+IF(AF$5=$A196,1,0)</f>
        <v>0</v>
      </c>
      <c r="AG196">
        <f t="shared" si="86"/>
        <v>0</v>
      </c>
      <c r="AH196">
        <f t="shared" si="86"/>
        <v>0</v>
      </c>
      <c r="AI196">
        <f t="shared" si="86"/>
        <v>0</v>
      </c>
      <c r="AJ196">
        <f t="shared" si="86"/>
        <v>0</v>
      </c>
      <c r="AK196">
        <f t="shared" si="86"/>
        <v>0</v>
      </c>
      <c r="AL196">
        <f t="shared" si="86"/>
        <v>0</v>
      </c>
      <c r="AM196">
        <f t="shared" si="86"/>
        <v>0</v>
      </c>
      <c r="AN196">
        <f t="shared" si="86"/>
        <v>0</v>
      </c>
      <c r="AO196">
        <f t="shared" si="86"/>
        <v>0</v>
      </c>
      <c r="AP196">
        <f t="shared" si="86"/>
        <v>0</v>
      </c>
      <c r="AQ196">
        <f t="shared" si="86"/>
        <v>0</v>
      </c>
      <c r="AR196">
        <f t="shared" si="86"/>
        <v>0</v>
      </c>
      <c r="AS196">
        <f t="shared" si="86"/>
        <v>1</v>
      </c>
      <c r="AT196">
        <f t="shared" si="86"/>
        <v>0</v>
      </c>
      <c r="AU196">
        <f t="shared" si="86"/>
        <v>0</v>
      </c>
      <c r="AV196">
        <f t="shared" si="83"/>
        <v>0</v>
      </c>
      <c r="AW196">
        <f t="shared" si="83"/>
        <v>0</v>
      </c>
      <c r="AX196">
        <f t="shared" si="83"/>
        <v>0</v>
      </c>
      <c r="AY196">
        <f t="shared" si="83"/>
        <v>0</v>
      </c>
      <c r="AZ196">
        <f t="shared" si="83"/>
        <v>0</v>
      </c>
    </row>
    <row r="197" spans="1:52" x14ac:dyDescent="0.25">
      <c r="A197" t="s">
        <v>30</v>
      </c>
      <c r="B197" s="3">
        <v>42796</v>
      </c>
      <c r="C197" s="1">
        <v>4551.4976662263216</v>
      </c>
      <c r="D197" s="1">
        <v>81.276744039755741</v>
      </c>
      <c r="E197" s="1">
        <f t="shared" si="72"/>
        <v>1863.4976662263216</v>
      </c>
      <c r="F197" s="1">
        <f t="shared" si="73"/>
        <v>2688</v>
      </c>
      <c r="G197" s="2">
        <v>56</v>
      </c>
      <c r="H197" s="1">
        <v>33.276744039755741</v>
      </c>
      <c r="I197" s="1">
        <v>48</v>
      </c>
      <c r="J197" s="1">
        <f t="shared" si="75"/>
        <v>739966.12315634894</v>
      </c>
      <c r="K197" s="1">
        <f t="shared" si="76"/>
        <v>374998.12315634801</v>
      </c>
      <c r="N197">
        <f t="shared" si="74"/>
        <v>0</v>
      </c>
      <c r="O197">
        <f t="shared" si="74"/>
        <v>0</v>
      </c>
      <c r="P197">
        <f t="shared" si="74"/>
        <v>0</v>
      </c>
      <c r="Q197">
        <f t="shared" ref="Q197:AF212" si="87">+IF(Q$5=$A197,1,0)</f>
        <v>0</v>
      </c>
      <c r="R197">
        <f t="shared" si="87"/>
        <v>0</v>
      </c>
      <c r="S197">
        <f t="shared" si="87"/>
        <v>0</v>
      </c>
      <c r="T197">
        <f t="shared" si="87"/>
        <v>0</v>
      </c>
      <c r="U197">
        <f t="shared" si="87"/>
        <v>0</v>
      </c>
      <c r="V197">
        <f t="shared" si="87"/>
        <v>0</v>
      </c>
      <c r="W197">
        <f t="shared" si="87"/>
        <v>0</v>
      </c>
      <c r="X197">
        <f t="shared" si="87"/>
        <v>0</v>
      </c>
      <c r="Y197">
        <f t="shared" si="87"/>
        <v>0</v>
      </c>
      <c r="Z197">
        <f t="shared" si="87"/>
        <v>0</v>
      </c>
      <c r="AA197">
        <f t="shared" si="87"/>
        <v>0</v>
      </c>
      <c r="AB197">
        <f t="shared" si="87"/>
        <v>0</v>
      </c>
      <c r="AC197">
        <f t="shared" si="87"/>
        <v>0</v>
      </c>
      <c r="AD197">
        <f t="shared" si="87"/>
        <v>0</v>
      </c>
      <c r="AE197">
        <f t="shared" si="87"/>
        <v>0</v>
      </c>
      <c r="AF197">
        <f t="shared" si="87"/>
        <v>0</v>
      </c>
      <c r="AG197">
        <f t="shared" si="86"/>
        <v>0</v>
      </c>
      <c r="AH197">
        <f t="shared" si="86"/>
        <v>0</v>
      </c>
      <c r="AI197">
        <f t="shared" si="86"/>
        <v>0</v>
      </c>
      <c r="AJ197">
        <f t="shared" si="86"/>
        <v>0</v>
      </c>
      <c r="AK197">
        <f t="shared" si="86"/>
        <v>0</v>
      </c>
      <c r="AL197">
        <f t="shared" si="86"/>
        <v>0</v>
      </c>
      <c r="AM197">
        <f t="shared" si="86"/>
        <v>0</v>
      </c>
      <c r="AN197">
        <f t="shared" si="86"/>
        <v>0</v>
      </c>
      <c r="AO197">
        <f t="shared" si="86"/>
        <v>0</v>
      </c>
      <c r="AP197">
        <f t="shared" si="86"/>
        <v>0</v>
      </c>
      <c r="AQ197">
        <f t="shared" si="86"/>
        <v>0</v>
      </c>
      <c r="AR197">
        <f t="shared" si="86"/>
        <v>0</v>
      </c>
      <c r="AS197">
        <f t="shared" si="86"/>
        <v>0</v>
      </c>
      <c r="AT197">
        <f t="shared" si="86"/>
        <v>0</v>
      </c>
      <c r="AU197">
        <f t="shared" si="86"/>
        <v>0</v>
      </c>
      <c r="AV197">
        <f t="shared" si="83"/>
        <v>1</v>
      </c>
      <c r="AW197">
        <f t="shared" si="83"/>
        <v>0</v>
      </c>
      <c r="AX197">
        <f t="shared" si="83"/>
        <v>0</v>
      </c>
      <c r="AY197">
        <f t="shared" si="83"/>
        <v>0</v>
      </c>
      <c r="AZ197">
        <f t="shared" si="83"/>
        <v>0</v>
      </c>
    </row>
    <row r="198" spans="1:52" x14ac:dyDescent="0.25">
      <c r="A198" t="s">
        <v>43</v>
      </c>
      <c r="B198" s="3">
        <v>42792</v>
      </c>
      <c r="C198" s="1">
        <v>697.36663507256571</v>
      </c>
      <c r="D198" s="1">
        <v>139.47332701451313</v>
      </c>
      <c r="E198" s="1">
        <f t="shared" si="72"/>
        <v>292.36663507256571</v>
      </c>
      <c r="F198" s="1">
        <f t="shared" si="73"/>
        <v>405</v>
      </c>
      <c r="G198" s="2">
        <v>5</v>
      </c>
      <c r="H198" s="1">
        <v>58.473327014513146</v>
      </c>
      <c r="I198" s="1">
        <v>81</v>
      </c>
      <c r="J198" s="1">
        <f t="shared" si="75"/>
        <v>740663.48979142145</v>
      </c>
      <c r="K198" s="1">
        <f t="shared" si="76"/>
        <v>375290.48979142058</v>
      </c>
      <c r="N198">
        <f t="shared" si="74"/>
        <v>0</v>
      </c>
      <c r="O198">
        <f t="shared" si="74"/>
        <v>0</v>
      </c>
      <c r="P198">
        <f t="shared" si="74"/>
        <v>0</v>
      </c>
      <c r="Q198">
        <f t="shared" si="87"/>
        <v>0</v>
      </c>
      <c r="R198">
        <f t="shared" si="87"/>
        <v>0</v>
      </c>
      <c r="S198">
        <f t="shared" si="87"/>
        <v>0</v>
      </c>
      <c r="T198">
        <f t="shared" si="87"/>
        <v>0</v>
      </c>
      <c r="U198">
        <f t="shared" si="87"/>
        <v>0</v>
      </c>
      <c r="V198">
        <f t="shared" si="87"/>
        <v>0</v>
      </c>
      <c r="W198">
        <f t="shared" si="87"/>
        <v>0</v>
      </c>
      <c r="X198">
        <f t="shared" si="87"/>
        <v>0</v>
      </c>
      <c r="Y198">
        <f t="shared" si="87"/>
        <v>0</v>
      </c>
      <c r="Z198">
        <f t="shared" si="87"/>
        <v>0</v>
      </c>
      <c r="AA198">
        <f t="shared" si="87"/>
        <v>0</v>
      </c>
      <c r="AB198">
        <f t="shared" si="87"/>
        <v>0</v>
      </c>
      <c r="AC198">
        <f t="shared" si="87"/>
        <v>0</v>
      </c>
      <c r="AD198">
        <f t="shared" si="87"/>
        <v>0</v>
      </c>
      <c r="AE198">
        <f t="shared" si="87"/>
        <v>0</v>
      </c>
      <c r="AF198">
        <f t="shared" si="87"/>
        <v>0</v>
      </c>
      <c r="AG198">
        <f t="shared" si="86"/>
        <v>0</v>
      </c>
      <c r="AH198">
        <f t="shared" si="86"/>
        <v>0</v>
      </c>
      <c r="AI198">
        <f t="shared" si="86"/>
        <v>0</v>
      </c>
      <c r="AJ198">
        <f t="shared" si="86"/>
        <v>0</v>
      </c>
      <c r="AK198">
        <f t="shared" si="86"/>
        <v>0</v>
      </c>
      <c r="AL198">
        <f t="shared" si="86"/>
        <v>0</v>
      </c>
      <c r="AM198">
        <f t="shared" si="86"/>
        <v>0</v>
      </c>
      <c r="AN198">
        <f t="shared" si="86"/>
        <v>0</v>
      </c>
      <c r="AO198">
        <f t="shared" si="86"/>
        <v>0</v>
      </c>
      <c r="AP198">
        <f t="shared" si="86"/>
        <v>0</v>
      </c>
      <c r="AQ198">
        <f t="shared" si="86"/>
        <v>0</v>
      </c>
      <c r="AR198">
        <f t="shared" si="86"/>
        <v>0</v>
      </c>
      <c r="AS198">
        <f t="shared" si="86"/>
        <v>0</v>
      </c>
      <c r="AT198">
        <f t="shared" si="86"/>
        <v>0</v>
      </c>
      <c r="AU198">
        <f t="shared" si="86"/>
        <v>0</v>
      </c>
      <c r="AV198">
        <f t="shared" si="83"/>
        <v>0</v>
      </c>
      <c r="AW198">
        <f t="shared" si="83"/>
        <v>0</v>
      </c>
      <c r="AX198">
        <f t="shared" si="83"/>
        <v>0</v>
      </c>
      <c r="AY198">
        <f t="shared" si="83"/>
        <v>1</v>
      </c>
      <c r="AZ198">
        <f t="shared" si="83"/>
        <v>0</v>
      </c>
    </row>
    <row r="199" spans="1:52" x14ac:dyDescent="0.25">
      <c r="A199" t="s">
        <v>13</v>
      </c>
      <c r="B199" s="3">
        <v>42787</v>
      </c>
      <c r="C199" s="1">
        <v>577.18834648151847</v>
      </c>
      <c r="D199" s="1">
        <v>72.148543310189808</v>
      </c>
      <c r="E199" s="1">
        <f t="shared" ref="E199:E262" si="88">+G199*H199</f>
        <v>289.18834648151841</v>
      </c>
      <c r="F199" s="1">
        <f t="shared" ref="F199:F262" si="89">+G199*I199</f>
        <v>288</v>
      </c>
      <c r="G199" s="2">
        <v>8</v>
      </c>
      <c r="H199" s="1">
        <v>36.148543310189801</v>
      </c>
      <c r="I199" s="1">
        <v>36</v>
      </c>
      <c r="J199" s="1">
        <f t="shared" si="75"/>
        <v>741240.67813790299</v>
      </c>
      <c r="K199" s="1">
        <f t="shared" si="76"/>
        <v>375579.67813790211</v>
      </c>
      <c r="N199">
        <f t="shared" ref="N199:AC262" si="90">+IF(N$5=$A199,1,0)</f>
        <v>0</v>
      </c>
      <c r="O199">
        <f t="shared" si="90"/>
        <v>0</v>
      </c>
      <c r="P199">
        <f t="shared" si="90"/>
        <v>0</v>
      </c>
      <c r="Q199">
        <f t="shared" si="87"/>
        <v>0</v>
      </c>
      <c r="R199">
        <f t="shared" si="87"/>
        <v>1</v>
      </c>
      <c r="S199">
        <f t="shared" si="87"/>
        <v>0</v>
      </c>
      <c r="T199">
        <f t="shared" si="87"/>
        <v>0</v>
      </c>
      <c r="U199">
        <f t="shared" si="87"/>
        <v>0</v>
      </c>
      <c r="V199">
        <f t="shared" si="87"/>
        <v>0</v>
      </c>
      <c r="W199">
        <f t="shared" si="87"/>
        <v>0</v>
      </c>
      <c r="X199">
        <f t="shared" si="87"/>
        <v>0</v>
      </c>
      <c r="Y199">
        <f t="shared" si="87"/>
        <v>0</v>
      </c>
      <c r="Z199">
        <f t="shared" si="87"/>
        <v>0</v>
      </c>
      <c r="AA199">
        <f t="shared" si="87"/>
        <v>0</v>
      </c>
      <c r="AB199">
        <f t="shared" si="87"/>
        <v>0</v>
      </c>
      <c r="AC199">
        <f t="shared" si="87"/>
        <v>0</v>
      </c>
      <c r="AD199">
        <f t="shared" si="87"/>
        <v>0</v>
      </c>
      <c r="AE199">
        <f t="shared" si="87"/>
        <v>0</v>
      </c>
      <c r="AF199">
        <f t="shared" si="87"/>
        <v>0</v>
      </c>
      <c r="AG199">
        <f t="shared" si="86"/>
        <v>0</v>
      </c>
      <c r="AH199">
        <f t="shared" si="86"/>
        <v>0</v>
      </c>
      <c r="AI199">
        <f t="shared" si="86"/>
        <v>0</v>
      </c>
      <c r="AJ199">
        <f t="shared" si="86"/>
        <v>0</v>
      </c>
      <c r="AK199">
        <f t="shared" si="86"/>
        <v>0</v>
      </c>
      <c r="AL199">
        <f t="shared" si="86"/>
        <v>0</v>
      </c>
      <c r="AM199">
        <f t="shared" si="86"/>
        <v>0</v>
      </c>
      <c r="AN199">
        <f t="shared" si="86"/>
        <v>0</v>
      </c>
      <c r="AO199">
        <f t="shared" si="86"/>
        <v>0</v>
      </c>
      <c r="AP199">
        <f t="shared" si="86"/>
        <v>0</v>
      </c>
      <c r="AQ199">
        <f t="shared" si="86"/>
        <v>0</v>
      </c>
      <c r="AR199">
        <f t="shared" si="86"/>
        <v>0</v>
      </c>
      <c r="AS199">
        <f t="shared" si="86"/>
        <v>0</v>
      </c>
      <c r="AT199">
        <f t="shared" si="86"/>
        <v>0</v>
      </c>
      <c r="AU199">
        <f t="shared" si="86"/>
        <v>0</v>
      </c>
      <c r="AV199">
        <f t="shared" si="83"/>
        <v>0</v>
      </c>
      <c r="AW199">
        <f t="shared" si="83"/>
        <v>0</v>
      </c>
      <c r="AX199">
        <f t="shared" si="83"/>
        <v>0</v>
      </c>
      <c r="AY199">
        <f t="shared" si="83"/>
        <v>0</v>
      </c>
      <c r="AZ199">
        <f t="shared" si="83"/>
        <v>0</v>
      </c>
    </row>
    <row r="200" spans="1:52" x14ac:dyDescent="0.25">
      <c r="A200" t="s">
        <v>45</v>
      </c>
      <c r="B200" s="3">
        <v>42759</v>
      </c>
      <c r="C200" s="1">
        <v>1986.2683565057853</v>
      </c>
      <c r="D200" s="1">
        <v>94.584207452656443</v>
      </c>
      <c r="E200" s="1">
        <f t="shared" si="88"/>
        <v>999.26835650578528</v>
      </c>
      <c r="F200" s="1">
        <f t="shared" si="89"/>
        <v>987</v>
      </c>
      <c r="G200" s="2">
        <v>21</v>
      </c>
      <c r="H200" s="1">
        <v>47.584207452656443</v>
      </c>
      <c r="I200" s="1">
        <v>47</v>
      </c>
      <c r="J200" s="1">
        <f t="shared" ref="J200:J263" si="91">+J199+C200</f>
        <v>743226.94649440877</v>
      </c>
      <c r="K200" s="1">
        <f t="shared" ref="K200:K263" si="92">+K199+E200</f>
        <v>376578.94649440789</v>
      </c>
      <c r="N200">
        <f t="shared" si="90"/>
        <v>0</v>
      </c>
      <c r="O200">
        <f t="shared" si="90"/>
        <v>0</v>
      </c>
      <c r="P200">
        <f t="shared" si="90"/>
        <v>0</v>
      </c>
      <c r="Q200">
        <f t="shared" si="87"/>
        <v>0</v>
      </c>
      <c r="R200">
        <f t="shared" si="87"/>
        <v>0</v>
      </c>
      <c r="S200">
        <f t="shared" si="87"/>
        <v>0</v>
      </c>
      <c r="T200">
        <f t="shared" si="87"/>
        <v>0</v>
      </c>
      <c r="U200">
        <f t="shared" si="87"/>
        <v>0</v>
      </c>
      <c r="V200">
        <f t="shared" si="87"/>
        <v>0</v>
      </c>
      <c r="W200">
        <f t="shared" si="87"/>
        <v>0</v>
      </c>
      <c r="X200">
        <f t="shared" si="87"/>
        <v>0</v>
      </c>
      <c r="Y200">
        <f t="shared" si="87"/>
        <v>0</v>
      </c>
      <c r="Z200">
        <f t="shared" si="87"/>
        <v>0</v>
      </c>
      <c r="AA200">
        <f t="shared" si="87"/>
        <v>0</v>
      </c>
      <c r="AB200">
        <f t="shared" si="87"/>
        <v>0</v>
      </c>
      <c r="AC200">
        <f t="shared" si="87"/>
        <v>0</v>
      </c>
      <c r="AD200">
        <f t="shared" si="87"/>
        <v>0</v>
      </c>
      <c r="AE200">
        <f t="shared" si="87"/>
        <v>0</v>
      </c>
      <c r="AF200">
        <f t="shared" si="87"/>
        <v>0</v>
      </c>
      <c r="AG200">
        <f t="shared" si="86"/>
        <v>0</v>
      </c>
      <c r="AH200">
        <f t="shared" si="86"/>
        <v>0</v>
      </c>
      <c r="AI200">
        <f t="shared" si="86"/>
        <v>0</v>
      </c>
      <c r="AJ200">
        <f t="shared" si="86"/>
        <v>1</v>
      </c>
      <c r="AK200">
        <f t="shared" si="86"/>
        <v>0</v>
      </c>
      <c r="AL200">
        <f t="shared" si="86"/>
        <v>0</v>
      </c>
      <c r="AM200">
        <f t="shared" si="86"/>
        <v>0</v>
      </c>
      <c r="AN200">
        <f t="shared" si="86"/>
        <v>0</v>
      </c>
      <c r="AO200">
        <f t="shared" si="86"/>
        <v>0</v>
      </c>
      <c r="AP200">
        <f t="shared" si="86"/>
        <v>0</v>
      </c>
      <c r="AQ200">
        <f t="shared" si="86"/>
        <v>0</v>
      </c>
      <c r="AR200">
        <f t="shared" si="86"/>
        <v>0</v>
      </c>
      <c r="AS200">
        <f t="shared" si="86"/>
        <v>0</v>
      </c>
      <c r="AT200">
        <f t="shared" si="86"/>
        <v>0</v>
      </c>
      <c r="AU200">
        <f t="shared" si="86"/>
        <v>0</v>
      </c>
      <c r="AV200">
        <f t="shared" si="83"/>
        <v>0</v>
      </c>
      <c r="AW200">
        <f t="shared" si="83"/>
        <v>0</v>
      </c>
      <c r="AX200">
        <f t="shared" si="83"/>
        <v>0</v>
      </c>
      <c r="AY200">
        <f t="shared" si="83"/>
        <v>0</v>
      </c>
      <c r="AZ200">
        <f t="shared" si="83"/>
        <v>0</v>
      </c>
    </row>
    <row r="201" spans="1:52" x14ac:dyDescent="0.25">
      <c r="A201" t="s">
        <v>39</v>
      </c>
      <c r="B201" s="3">
        <v>42756</v>
      </c>
      <c r="C201" s="1">
        <v>6452.5148059645198</v>
      </c>
      <c r="D201" s="1">
        <v>195.53075169589454</v>
      </c>
      <c r="E201" s="1">
        <f t="shared" si="88"/>
        <v>2624.5148059645203</v>
      </c>
      <c r="F201" s="1">
        <f t="shared" si="89"/>
        <v>3828</v>
      </c>
      <c r="G201" s="2">
        <v>33</v>
      </c>
      <c r="H201" s="1">
        <v>79.530751695894551</v>
      </c>
      <c r="I201" s="1">
        <v>116</v>
      </c>
      <c r="J201" s="1">
        <f t="shared" si="91"/>
        <v>749679.46130037331</v>
      </c>
      <c r="K201" s="1">
        <f t="shared" si="92"/>
        <v>379203.46130037244</v>
      </c>
      <c r="N201">
        <f t="shared" si="90"/>
        <v>0</v>
      </c>
      <c r="O201">
        <f t="shared" si="90"/>
        <v>0</v>
      </c>
      <c r="P201">
        <f t="shared" si="90"/>
        <v>0</v>
      </c>
      <c r="Q201">
        <f t="shared" si="87"/>
        <v>0</v>
      </c>
      <c r="R201">
        <f t="shared" si="87"/>
        <v>0</v>
      </c>
      <c r="S201">
        <f t="shared" si="87"/>
        <v>0</v>
      </c>
      <c r="T201">
        <f t="shared" si="87"/>
        <v>0</v>
      </c>
      <c r="U201">
        <f t="shared" si="87"/>
        <v>0</v>
      </c>
      <c r="V201">
        <f t="shared" si="87"/>
        <v>0</v>
      </c>
      <c r="W201">
        <f t="shared" si="87"/>
        <v>0</v>
      </c>
      <c r="X201">
        <f t="shared" si="87"/>
        <v>0</v>
      </c>
      <c r="Y201">
        <f t="shared" si="87"/>
        <v>1</v>
      </c>
      <c r="Z201">
        <f t="shared" si="87"/>
        <v>0</v>
      </c>
      <c r="AA201">
        <f t="shared" si="87"/>
        <v>0</v>
      </c>
      <c r="AB201">
        <f t="shared" si="87"/>
        <v>0</v>
      </c>
      <c r="AC201">
        <f t="shared" si="87"/>
        <v>0</v>
      </c>
      <c r="AD201">
        <f t="shared" si="87"/>
        <v>0</v>
      </c>
      <c r="AE201">
        <f t="shared" si="87"/>
        <v>0</v>
      </c>
      <c r="AF201">
        <f t="shared" si="87"/>
        <v>0</v>
      </c>
      <c r="AG201">
        <f t="shared" si="86"/>
        <v>0</v>
      </c>
      <c r="AH201">
        <f t="shared" si="86"/>
        <v>0</v>
      </c>
      <c r="AI201">
        <f t="shared" si="86"/>
        <v>0</v>
      </c>
      <c r="AJ201">
        <f t="shared" si="86"/>
        <v>0</v>
      </c>
      <c r="AK201">
        <f t="shared" si="86"/>
        <v>0</v>
      </c>
      <c r="AL201">
        <f t="shared" si="86"/>
        <v>0</v>
      </c>
      <c r="AM201">
        <f t="shared" si="86"/>
        <v>0</v>
      </c>
      <c r="AN201">
        <f t="shared" si="86"/>
        <v>0</v>
      </c>
      <c r="AO201">
        <f t="shared" si="86"/>
        <v>0</v>
      </c>
      <c r="AP201">
        <f t="shared" si="86"/>
        <v>0</v>
      </c>
      <c r="AQ201">
        <f t="shared" si="86"/>
        <v>0</v>
      </c>
      <c r="AR201">
        <f t="shared" si="86"/>
        <v>0</v>
      </c>
      <c r="AS201">
        <f t="shared" si="86"/>
        <v>0</v>
      </c>
      <c r="AT201">
        <f t="shared" si="86"/>
        <v>0</v>
      </c>
      <c r="AU201">
        <f t="shared" si="86"/>
        <v>0</v>
      </c>
      <c r="AV201">
        <f t="shared" si="83"/>
        <v>0</v>
      </c>
      <c r="AW201">
        <f t="shared" si="83"/>
        <v>0</v>
      </c>
      <c r="AX201">
        <f t="shared" si="83"/>
        <v>0</v>
      </c>
      <c r="AY201">
        <f t="shared" si="83"/>
        <v>0</v>
      </c>
      <c r="AZ201">
        <f t="shared" si="83"/>
        <v>0</v>
      </c>
    </row>
    <row r="202" spans="1:52" x14ac:dyDescent="0.25">
      <c r="A202" t="s">
        <v>31</v>
      </c>
      <c r="B202" s="3">
        <v>42739</v>
      </c>
      <c r="C202" s="1">
        <v>385.8886620659556</v>
      </c>
      <c r="D202" s="1">
        <v>128.6295540219852</v>
      </c>
      <c r="E202" s="1">
        <f t="shared" si="88"/>
        <v>223.88866206595554</v>
      </c>
      <c r="F202" s="1">
        <f t="shared" si="89"/>
        <v>162</v>
      </c>
      <c r="G202" s="2">
        <v>3</v>
      </c>
      <c r="H202" s="1">
        <v>74.629554021985186</v>
      </c>
      <c r="I202" s="1">
        <v>54</v>
      </c>
      <c r="J202" s="1">
        <f t="shared" si="91"/>
        <v>750065.34996243927</v>
      </c>
      <c r="K202" s="1">
        <f t="shared" si="92"/>
        <v>379427.3499624384</v>
      </c>
      <c r="N202">
        <f t="shared" si="90"/>
        <v>0</v>
      </c>
      <c r="O202">
        <f t="shared" si="90"/>
        <v>0</v>
      </c>
      <c r="P202">
        <f t="shared" si="90"/>
        <v>0</v>
      </c>
      <c r="Q202">
        <f t="shared" si="87"/>
        <v>0</v>
      </c>
      <c r="R202">
        <f t="shared" si="87"/>
        <v>0</v>
      </c>
      <c r="S202">
        <f t="shared" si="87"/>
        <v>0</v>
      </c>
      <c r="T202">
        <f t="shared" si="87"/>
        <v>0</v>
      </c>
      <c r="U202">
        <f t="shared" si="87"/>
        <v>0</v>
      </c>
      <c r="V202">
        <f t="shared" si="87"/>
        <v>0</v>
      </c>
      <c r="W202">
        <f t="shared" si="87"/>
        <v>1</v>
      </c>
      <c r="X202">
        <f t="shared" si="87"/>
        <v>0</v>
      </c>
      <c r="Y202">
        <f t="shared" si="87"/>
        <v>0</v>
      </c>
      <c r="Z202">
        <f t="shared" si="87"/>
        <v>0</v>
      </c>
      <c r="AA202">
        <f t="shared" si="87"/>
        <v>0</v>
      </c>
      <c r="AB202">
        <f t="shared" si="87"/>
        <v>0</v>
      </c>
      <c r="AC202">
        <f t="shared" si="87"/>
        <v>0</v>
      </c>
      <c r="AD202">
        <f t="shared" si="87"/>
        <v>0</v>
      </c>
      <c r="AE202">
        <f t="shared" si="87"/>
        <v>0</v>
      </c>
      <c r="AF202">
        <f t="shared" si="87"/>
        <v>0</v>
      </c>
      <c r="AG202">
        <f t="shared" si="86"/>
        <v>0</v>
      </c>
      <c r="AH202">
        <f t="shared" si="86"/>
        <v>0</v>
      </c>
      <c r="AI202">
        <f t="shared" si="86"/>
        <v>0</v>
      </c>
      <c r="AJ202">
        <f t="shared" si="86"/>
        <v>0</v>
      </c>
      <c r="AK202">
        <f t="shared" si="86"/>
        <v>0</v>
      </c>
      <c r="AL202">
        <f t="shared" si="86"/>
        <v>0</v>
      </c>
      <c r="AM202">
        <f t="shared" si="86"/>
        <v>0</v>
      </c>
      <c r="AN202">
        <f t="shared" si="86"/>
        <v>0</v>
      </c>
      <c r="AO202">
        <f t="shared" si="86"/>
        <v>0</v>
      </c>
      <c r="AP202">
        <f t="shared" si="86"/>
        <v>0</v>
      </c>
      <c r="AQ202">
        <f t="shared" si="86"/>
        <v>0</v>
      </c>
      <c r="AR202">
        <f t="shared" si="86"/>
        <v>0</v>
      </c>
      <c r="AS202">
        <f t="shared" si="86"/>
        <v>0</v>
      </c>
      <c r="AT202">
        <f t="shared" si="86"/>
        <v>0</v>
      </c>
      <c r="AU202">
        <f t="shared" si="86"/>
        <v>0</v>
      </c>
      <c r="AV202">
        <f t="shared" si="83"/>
        <v>0</v>
      </c>
      <c r="AW202">
        <f t="shared" si="83"/>
        <v>0</v>
      </c>
      <c r="AX202">
        <f t="shared" si="83"/>
        <v>0</v>
      </c>
      <c r="AY202">
        <f t="shared" si="83"/>
        <v>0</v>
      </c>
      <c r="AZ202">
        <f t="shared" si="83"/>
        <v>0</v>
      </c>
    </row>
    <row r="203" spans="1:52" x14ac:dyDescent="0.25">
      <c r="A203" t="s">
        <v>34</v>
      </c>
      <c r="B203" s="3">
        <v>42730</v>
      </c>
      <c r="C203" s="1">
        <v>2801.7906325157751</v>
      </c>
      <c r="D203" s="1">
        <v>155.65503513976529</v>
      </c>
      <c r="E203" s="1">
        <f t="shared" si="88"/>
        <v>1397.7906325157751</v>
      </c>
      <c r="F203" s="1">
        <f t="shared" si="89"/>
        <v>1404</v>
      </c>
      <c r="G203" s="2">
        <v>18</v>
      </c>
      <c r="H203" s="1">
        <v>77.655035139765289</v>
      </c>
      <c r="I203" s="1">
        <v>78</v>
      </c>
      <c r="J203" s="1">
        <f t="shared" si="91"/>
        <v>752867.14059495507</v>
      </c>
      <c r="K203" s="1">
        <f t="shared" si="92"/>
        <v>380825.14059495419</v>
      </c>
      <c r="N203">
        <f t="shared" si="90"/>
        <v>0</v>
      </c>
      <c r="O203">
        <f t="shared" si="90"/>
        <v>0</v>
      </c>
      <c r="P203">
        <f t="shared" si="90"/>
        <v>0</v>
      </c>
      <c r="Q203">
        <f t="shared" si="87"/>
        <v>0</v>
      </c>
      <c r="R203">
        <f t="shared" si="87"/>
        <v>0</v>
      </c>
      <c r="S203">
        <f t="shared" si="87"/>
        <v>0</v>
      </c>
      <c r="T203">
        <f t="shared" si="87"/>
        <v>0</v>
      </c>
      <c r="U203">
        <f t="shared" si="87"/>
        <v>0</v>
      </c>
      <c r="V203">
        <f t="shared" si="87"/>
        <v>0</v>
      </c>
      <c r="W203">
        <f t="shared" si="87"/>
        <v>0</v>
      </c>
      <c r="X203">
        <f t="shared" si="87"/>
        <v>0</v>
      </c>
      <c r="Y203">
        <f t="shared" si="87"/>
        <v>0</v>
      </c>
      <c r="Z203">
        <f t="shared" si="87"/>
        <v>0</v>
      </c>
      <c r="AA203">
        <f t="shared" si="87"/>
        <v>0</v>
      </c>
      <c r="AB203">
        <f t="shared" si="87"/>
        <v>0</v>
      </c>
      <c r="AC203">
        <f t="shared" si="87"/>
        <v>0</v>
      </c>
      <c r="AD203">
        <f t="shared" si="87"/>
        <v>0</v>
      </c>
      <c r="AE203">
        <f t="shared" si="87"/>
        <v>0</v>
      </c>
      <c r="AF203">
        <f t="shared" si="87"/>
        <v>1</v>
      </c>
      <c r="AG203">
        <f t="shared" si="86"/>
        <v>0</v>
      </c>
      <c r="AH203">
        <f t="shared" si="86"/>
        <v>0</v>
      </c>
      <c r="AI203">
        <f t="shared" si="86"/>
        <v>0</v>
      </c>
      <c r="AJ203">
        <f t="shared" si="86"/>
        <v>0</v>
      </c>
      <c r="AK203">
        <f t="shared" si="86"/>
        <v>0</v>
      </c>
      <c r="AL203">
        <f t="shared" si="86"/>
        <v>0</v>
      </c>
      <c r="AM203">
        <f t="shared" si="86"/>
        <v>0</v>
      </c>
      <c r="AN203">
        <f t="shared" si="86"/>
        <v>0</v>
      </c>
      <c r="AO203">
        <f t="shared" si="86"/>
        <v>0</v>
      </c>
      <c r="AP203">
        <f t="shared" si="86"/>
        <v>0</v>
      </c>
      <c r="AQ203">
        <f t="shared" si="86"/>
        <v>0</v>
      </c>
      <c r="AR203">
        <f t="shared" si="86"/>
        <v>0</v>
      </c>
      <c r="AS203">
        <f t="shared" si="86"/>
        <v>0</v>
      </c>
      <c r="AT203">
        <f t="shared" si="86"/>
        <v>0</v>
      </c>
      <c r="AU203">
        <f t="shared" si="86"/>
        <v>0</v>
      </c>
      <c r="AV203">
        <f t="shared" si="83"/>
        <v>0</v>
      </c>
      <c r="AW203">
        <f t="shared" si="83"/>
        <v>0</v>
      </c>
      <c r="AX203">
        <f t="shared" si="83"/>
        <v>0</v>
      </c>
      <c r="AY203">
        <f t="shared" si="83"/>
        <v>0</v>
      </c>
      <c r="AZ203">
        <f t="shared" si="83"/>
        <v>0</v>
      </c>
    </row>
    <row r="204" spans="1:52" x14ac:dyDescent="0.25">
      <c r="A204" t="s">
        <v>48</v>
      </c>
      <c r="B204" s="3">
        <v>42727</v>
      </c>
      <c r="C204" s="1">
        <v>2429.7204621728283</v>
      </c>
      <c r="D204" s="1">
        <v>115.70097438918231</v>
      </c>
      <c r="E204" s="1">
        <f t="shared" si="88"/>
        <v>1505.7204621728283</v>
      </c>
      <c r="F204" s="1">
        <f t="shared" si="89"/>
        <v>924</v>
      </c>
      <c r="G204" s="2">
        <v>21</v>
      </c>
      <c r="H204" s="1">
        <v>71.700974389182306</v>
      </c>
      <c r="I204" s="1">
        <v>44</v>
      </c>
      <c r="J204" s="1">
        <f t="shared" si="91"/>
        <v>755296.86105712794</v>
      </c>
      <c r="K204" s="1">
        <f t="shared" si="92"/>
        <v>382330.86105712701</v>
      </c>
      <c r="N204">
        <f t="shared" si="90"/>
        <v>0</v>
      </c>
      <c r="O204">
        <f t="shared" si="90"/>
        <v>0</v>
      </c>
      <c r="P204">
        <f t="shared" si="90"/>
        <v>0</v>
      </c>
      <c r="Q204">
        <f t="shared" si="87"/>
        <v>0</v>
      </c>
      <c r="R204">
        <f t="shared" si="87"/>
        <v>0</v>
      </c>
      <c r="S204">
        <f t="shared" si="87"/>
        <v>0</v>
      </c>
      <c r="T204">
        <f t="shared" si="87"/>
        <v>0</v>
      </c>
      <c r="U204">
        <f t="shared" si="87"/>
        <v>0</v>
      </c>
      <c r="V204">
        <f t="shared" si="87"/>
        <v>0</v>
      </c>
      <c r="W204">
        <f t="shared" si="87"/>
        <v>0</v>
      </c>
      <c r="X204">
        <f t="shared" si="87"/>
        <v>0</v>
      </c>
      <c r="Y204">
        <f t="shared" si="87"/>
        <v>0</v>
      </c>
      <c r="Z204">
        <f t="shared" si="87"/>
        <v>0</v>
      </c>
      <c r="AA204">
        <f t="shared" si="87"/>
        <v>0</v>
      </c>
      <c r="AB204">
        <f t="shared" si="87"/>
        <v>0</v>
      </c>
      <c r="AC204">
        <f t="shared" si="87"/>
        <v>0</v>
      </c>
      <c r="AD204">
        <f t="shared" si="87"/>
        <v>0</v>
      </c>
      <c r="AE204">
        <f t="shared" si="87"/>
        <v>0</v>
      </c>
      <c r="AF204">
        <f t="shared" si="87"/>
        <v>0</v>
      </c>
      <c r="AG204">
        <f t="shared" si="86"/>
        <v>0</v>
      </c>
      <c r="AH204">
        <f t="shared" si="86"/>
        <v>0</v>
      </c>
      <c r="AI204">
        <f t="shared" si="86"/>
        <v>1</v>
      </c>
      <c r="AJ204">
        <f t="shared" si="86"/>
        <v>0</v>
      </c>
      <c r="AK204">
        <f t="shared" si="86"/>
        <v>0</v>
      </c>
      <c r="AL204">
        <f t="shared" si="86"/>
        <v>0</v>
      </c>
      <c r="AM204">
        <f t="shared" si="86"/>
        <v>0</v>
      </c>
      <c r="AN204">
        <f t="shared" si="86"/>
        <v>0</v>
      </c>
      <c r="AO204">
        <f t="shared" si="86"/>
        <v>0</v>
      </c>
      <c r="AP204">
        <f t="shared" si="86"/>
        <v>0</v>
      </c>
      <c r="AQ204">
        <f t="shared" si="86"/>
        <v>0</v>
      </c>
      <c r="AR204">
        <f t="shared" si="86"/>
        <v>0</v>
      </c>
      <c r="AS204">
        <f t="shared" si="86"/>
        <v>0</v>
      </c>
      <c r="AT204">
        <f t="shared" si="86"/>
        <v>0</v>
      </c>
      <c r="AU204">
        <f t="shared" si="86"/>
        <v>0</v>
      </c>
      <c r="AV204">
        <f t="shared" si="83"/>
        <v>0</v>
      </c>
      <c r="AW204">
        <f t="shared" si="83"/>
        <v>0</v>
      </c>
      <c r="AX204">
        <f t="shared" si="83"/>
        <v>0</v>
      </c>
      <c r="AY204">
        <f t="shared" si="83"/>
        <v>0</v>
      </c>
      <c r="AZ204">
        <f t="shared" si="83"/>
        <v>0</v>
      </c>
    </row>
    <row r="205" spans="1:52" x14ac:dyDescent="0.25">
      <c r="A205" t="s">
        <v>42</v>
      </c>
      <c r="B205" s="3">
        <v>42726</v>
      </c>
      <c r="C205" s="1">
        <v>1630.8223086724397</v>
      </c>
      <c r="D205" s="1">
        <v>62.723934948939991</v>
      </c>
      <c r="E205" s="1">
        <f t="shared" si="88"/>
        <v>850.82230867243982</v>
      </c>
      <c r="F205" s="1">
        <f t="shared" si="89"/>
        <v>780</v>
      </c>
      <c r="G205" s="2">
        <v>26</v>
      </c>
      <c r="H205" s="1">
        <v>32.723934948939991</v>
      </c>
      <c r="I205" s="1">
        <v>30</v>
      </c>
      <c r="J205" s="1">
        <f t="shared" si="91"/>
        <v>756927.68336580042</v>
      </c>
      <c r="K205" s="1">
        <f t="shared" si="92"/>
        <v>383181.68336579943</v>
      </c>
      <c r="N205">
        <f t="shared" si="90"/>
        <v>0</v>
      </c>
      <c r="O205">
        <f t="shared" si="90"/>
        <v>0</v>
      </c>
      <c r="P205">
        <f t="shared" si="90"/>
        <v>0</v>
      </c>
      <c r="Q205">
        <f t="shared" si="87"/>
        <v>0</v>
      </c>
      <c r="R205">
        <f t="shared" si="87"/>
        <v>0</v>
      </c>
      <c r="S205">
        <f t="shared" si="87"/>
        <v>0</v>
      </c>
      <c r="T205">
        <f t="shared" si="87"/>
        <v>0</v>
      </c>
      <c r="U205">
        <f t="shared" si="87"/>
        <v>0</v>
      </c>
      <c r="V205">
        <f t="shared" si="87"/>
        <v>0</v>
      </c>
      <c r="W205">
        <f t="shared" si="87"/>
        <v>0</v>
      </c>
      <c r="X205">
        <f t="shared" si="87"/>
        <v>0</v>
      </c>
      <c r="Y205">
        <f t="shared" si="87"/>
        <v>0</v>
      </c>
      <c r="Z205">
        <f t="shared" si="87"/>
        <v>1</v>
      </c>
      <c r="AA205">
        <f t="shared" si="87"/>
        <v>0</v>
      </c>
      <c r="AB205">
        <f t="shared" si="87"/>
        <v>0</v>
      </c>
      <c r="AC205">
        <f t="shared" si="87"/>
        <v>0</v>
      </c>
      <c r="AD205">
        <f t="shared" si="87"/>
        <v>0</v>
      </c>
      <c r="AE205">
        <f t="shared" si="87"/>
        <v>0</v>
      </c>
      <c r="AF205">
        <f t="shared" si="87"/>
        <v>0</v>
      </c>
      <c r="AG205">
        <f t="shared" si="86"/>
        <v>0</v>
      </c>
      <c r="AH205">
        <f t="shared" si="86"/>
        <v>0</v>
      </c>
      <c r="AI205">
        <f t="shared" si="86"/>
        <v>0</v>
      </c>
      <c r="AJ205">
        <f t="shared" si="86"/>
        <v>0</v>
      </c>
      <c r="AK205">
        <f t="shared" si="86"/>
        <v>0</v>
      </c>
      <c r="AL205">
        <f t="shared" si="86"/>
        <v>0</v>
      </c>
      <c r="AM205">
        <f t="shared" si="86"/>
        <v>0</v>
      </c>
      <c r="AN205">
        <f t="shared" si="86"/>
        <v>0</v>
      </c>
      <c r="AO205">
        <f t="shared" si="86"/>
        <v>0</v>
      </c>
      <c r="AP205">
        <f t="shared" si="86"/>
        <v>0</v>
      </c>
      <c r="AQ205">
        <f t="shared" si="86"/>
        <v>0</v>
      </c>
      <c r="AR205">
        <f t="shared" si="86"/>
        <v>0</v>
      </c>
      <c r="AS205">
        <f t="shared" si="86"/>
        <v>0</v>
      </c>
      <c r="AT205">
        <f t="shared" si="86"/>
        <v>0</v>
      </c>
      <c r="AU205">
        <f t="shared" si="86"/>
        <v>0</v>
      </c>
      <c r="AV205">
        <f t="shared" si="83"/>
        <v>0</v>
      </c>
      <c r="AW205">
        <f t="shared" si="83"/>
        <v>0</v>
      </c>
      <c r="AX205">
        <f t="shared" si="83"/>
        <v>0</v>
      </c>
      <c r="AY205">
        <f t="shared" si="83"/>
        <v>0</v>
      </c>
      <c r="AZ205">
        <f t="shared" si="83"/>
        <v>0</v>
      </c>
    </row>
    <row r="206" spans="1:52" x14ac:dyDescent="0.25">
      <c r="A206" t="s">
        <v>17</v>
      </c>
      <c r="B206" s="3">
        <v>42711</v>
      </c>
      <c r="C206" s="1">
        <v>4198.6643653517376</v>
      </c>
      <c r="D206" s="1">
        <v>57.515950210297781</v>
      </c>
      <c r="E206" s="1">
        <f t="shared" si="88"/>
        <v>2738.6643653517381</v>
      </c>
      <c r="F206" s="1">
        <f t="shared" si="89"/>
        <v>1460</v>
      </c>
      <c r="G206" s="2">
        <v>73</v>
      </c>
      <c r="H206" s="1">
        <v>37.515950210297781</v>
      </c>
      <c r="I206" s="1">
        <v>20</v>
      </c>
      <c r="J206" s="1">
        <f t="shared" si="91"/>
        <v>761126.3477311522</v>
      </c>
      <c r="K206" s="1">
        <f t="shared" si="92"/>
        <v>385920.34773115115</v>
      </c>
      <c r="N206">
        <f t="shared" si="90"/>
        <v>0</v>
      </c>
      <c r="O206">
        <f t="shared" si="90"/>
        <v>0</v>
      </c>
      <c r="P206">
        <f t="shared" si="90"/>
        <v>0</v>
      </c>
      <c r="Q206">
        <f t="shared" si="87"/>
        <v>0</v>
      </c>
      <c r="R206">
        <f t="shared" si="87"/>
        <v>0</v>
      </c>
      <c r="S206">
        <f t="shared" si="87"/>
        <v>0</v>
      </c>
      <c r="T206">
        <f t="shared" si="87"/>
        <v>0</v>
      </c>
      <c r="U206">
        <f t="shared" si="87"/>
        <v>0</v>
      </c>
      <c r="V206">
        <f t="shared" si="87"/>
        <v>0</v>
      </c>
      <c r="W206">
        <f t="shared" si="87"/>
        <v>0</v>
      </c>
      <c r="X206">
        <f t="shared" si="87"/>
        <v>0</v>
      </c>
      <c r="Y206">
        <f t="shared" si="87"/>
        <v>0</v>
      </c>
      <c r="Z206">
        <f t="shared" si="87"/>
        <v>0</v>
      </c>
      <c r="AA206">
        <f t="shared" si="87"/>
        <v>0</v>
      </c>
      <c r="AB206">
        <f t="shared" si="87"/>
        <v>0</v>
      </c>
      <c r="AC206">
        <f t="shared" si="87"/>
        <v>0</v>
      </c>
      <c r="AD206">
        <f t="shared" si="87"/>
        <v>0</v>
      </c>
      <c r="AE206">
        <f t="shared" si="87"/>
        <v>0</v>
      </c>
      <c r="AF206">
        <f t="shared" si="87"/>
        <v>0</v>
      </c>
      <c r="AG206">
        <f t="shared" si="86"/>
        <v>1</v>
      </c>
      <c r="AH206">
        <f t="shared" si="86"/>
        <v>0</v>
      </c>
      <c r="AI206">
        <f t="shared" si="86"/>
        <v>0</v>
      </c>
      <c r="AJ206">
        <f t="shared" si="86"/>
        <v>0</v>
      </c>
      <c r="AK206">
        <f t="shared" si="86"/>
        <v>0</v>
      </c>
      <c r="AL206">
        <f t="shared" si="86"/>
        <v>0</v>
      </c>
      <c r="AM206">
        <f t="shared" si="86"/>
        <v>0</v>
      </c>
      <c r="AN206">
        <f t="shared" si="86"/>
        <v>0</v>
      </c>
      <c r="AO206">
        <f t="shared" si="86"/>
        <v>0</v>
      </c>
      <c r="AP206">
        <f t="shared" si="86"/>
        <v>0</v>
      </c>
      <c r="AQ206">
        <f t="shared" si="86"/>
        <v>0</v>
      </c>
      <c r="AR206">
        <f t="shared" si="86"/>
        <v>0</v>
      </c>
      <c r="AS206">
        <f t="shared" si="86"/>
        <v>0</v>
      </c>
      <c r="AT206">
        <f t="shared" si="86"/>
        <v>0</v>
      </c>
      <c r="AU206">
        <f t="shared" si="86"/>
        <v>0</v>
      </c>
      <c r="AV206">
        <f t="shared" si="83"/>
        <v>0</v>
      </c>
      <c r="AW206">
        <f t="shared" si="83"/>
        <v>0</v>
      </c>
      <c r="AX206">
        <f t="shared" si="83"/>
        <v>0</v>
      </c>
      <c r="AY206">
        <f t="shared" si="83"/>
        <v>0</v>
      </c>
      <c r="AZ206">
        <f t="shared" si="83"/>
        <v>0</v>
      </c>
    </row>
    <row r="207" spans="1:52" x14ac:dyDescent="0.25">
      <c r="A207" t="s">
        <v>29</v>
      </c>
      <c r="B207" s="3">
        <v>42685</v>
      </c>
      <c r="C207" s="1">
        <v>728.00133857768969</v>
      </c>
      <c r="D207" s="1">
        <v>80.889037619743306</v>
      </c>
      <c r="E207" s="1">
        <f t="shared" si="88"/>
        <v>359.00133857768981</v>
      </c>
      <c r="F207" s="1">
        <f t="shared" si="89"/>
        <v>369</v>
      </c>
      <c r="G207" s="2">
        <v>9</v>
      </c>
      <c r="H207" s="1">
        <v>39.889037619743313</v>
      </c>
      <c r="I207" s="1">
        <v>41</v>
      </c>
      <c r="J207" s="1">
        <f t="shared" si="91"/>
        <v>761854.34906972991</v>
      </c>
      <c r="K207" s="1">
        <f t="shared" si="92"/>
        <v>386279.34906972887</v>
      </c>
      <c r="N207">
        <f t="shared" si="90"/>
        <v>0</v>
      </c>
      <c r="O207">
        <f t="shared" si="90"/>
        <v>0</v>
      </c>
      <c r="P207">
        <f t="shared" si="90"/>
        <v>0</v>
      </c>
      <c r="Q207">
        <f t="shared" si="87"/>
        <v>0</v>
      </c>
      <c r="R207">
        <f t="shared" si="87"/>
        <v>0</v>
      </c>
      <c r="S207">
        <f t="shared" si="87"/>
        <v>0</v>
      </c>
      <c r="T207">
        <f t="shared" si="87"/>
        <v>0</v>
      </c>
      <c r="U207">
        <f t="shared" si="87"/>
        <v>0</v>
      </c>
      <c r="V207">
        <f t="shared" si="87"/>
        <v>0</v>
      </c>
      <c r="W207">
        <f t="shared" si="87"/>
        <v>0</v>
      </c>
      <c r="X207">
        <f t="shared" si="87"/>
        <v>0</v>
      </c>
      <c r="Y207">
        <f t="shared" si="87"/>
        <v>0</v>
      </c>
      <c r="Z207">
        <f t="shared" si="87"/>
        <v>0</v>
      </c>
      <c r="AA207">
        <f t="shared" si="87"/>
        <v>0</v>
      </c>
      <c r="AB207">
        <f t="shared" si="87"/>
        <v>0</v>
      </c>
      <c r="AC207">
        <f t="shared" si="87"/>
        <v>0</v>
      </c>
      <c r="AD207">
        <f t="shared" si="87"/>
        <v>0</v>
      </c>
      <c r="AE207">
        <f t="shared" si="87"/>
        <v>0</v>
      </c>
      <c r="AF207">
        <f t="shared" si="87"/>
        <v>0</v>
      </c>
      <c r="AG207">
        <f t="shared" si="86"/>
        <v>0</v>
      </c>
      <c r="AH207">
        <f t="shared" si="86"/>
        <v>0</v>
      </c>
      <c r="AI207">
        <f t="shared" si="86"/>
        <v>0</v>
      </c>
      <c r="AJ207">
        <f t="shared" si="86"/>
        <v>0</v>
      </c>
      <c r="AK207">
        <f t="shared" si="86"/>
        <v>0</v>
      </c>
      <c r="AL207">
        <f t="shared" si="86"/>
        <v>0</v>
      </c>
      <c r="AM207">
        <f t="shared" si="86"/>
        <v>0</v>
      </c>
      <c r="AN207">
        <f t="shared" si="86"/>
        <v>0</v>
      </c>
      <c r="AO207">
        <f t="shared" si="86"/>
        <v>0</v>
      </c>
      <c r="AP207">
        <f t="shared" si="86"/>
        <v>0</v>
      </c>
      <c r="AQ207">
        <f t="shared" si="86"/>
        <v>0</v>
      </c>
      <c r="AR207">
        <f t="shared" si="86"/>
        <v>0</v>
      </c>
      <c r="AS207">
        <f t="shared" si="86"/>
        <v>1</v>
      </c>
      <c r="AT207">
        <f t="shared" si="86"/>
        <v>0</v>
      </c>
      <c r="AU207">
        <f t="shared" si="86"/>
        <v>0</v>
      </c>
      <c r="AV207">
        <f t="shared" si="83"/>
        <v>0</v>
      </c>
      <c r="AW207">
        <f t="shared" si="83"/>
        <v>0</v>
      </c>
      <c r="AX207">
        <f t="shared" si="83"/>
        <v>0</v>
      </c>
      <c r="AY207">
        <f t="shared" si="83"/>
        <v>0</v>
      </c>
      <c r="AZ207">
        <f t="shared" si="83"/>
        <v>0</v>
      </c>
    </row>
    <row r="208" spans="1:52" x14ac:dyDescent="0.25">
      <c r="A208" t="s">
        <v>12</v>
      </c>
      <c r="B208" s="3">
        <v>42672</v>
      </c>
      <c r="C208" s="1">
        <v>900.66600519512895</v>
      </c>
      <c r="D208" s="1">
        <v>36.026640207805158</v>
      </c>
      <c r="E208" s="1">
        <f t="shared" si="88"/>
        <v>425.66600519512889</v>
      </c>
      <c r="F208" s="1">
        <f t="shared" si="89"/>
        <v>475</v>
      </c>
      <c r="G208" s="2">
        <v>25</v>
      </c>
      <c r="H208" s="1">
        <v>17.026640207805155</v>
      </c>
      <c r="I208" s="1">
        <v>19</v>
      </c>
      <c r="J208" s="1">
        <f t="shared" si="91"/>
        <v>762755.01507492503</v>
      </c>
      <c r="K208" s="1">
        <f t="shared" si="92"/>
        <v>386705.01507492398</v>
      </c>
      <c r="N208">
        <f t="shared" si="90"/>
        <v>0</v>
      </c>
      <c r="O208">
        <f t="shared" si="90"/>
        <v>0</v>
      </c>
      <c r="P208">
        <f t="shared" si="90"/>
        <v>0</v>
      </c>
      <c r="Q208">
        <f t="shared" si="87"/>
        <v>0</v>
      </c>
      <c r="R208">
        <f t="shared" si="87"/>
        <v>0</v>
      </c>
      <c r="S208">
        <f t="shared" si="87"/>
        <v>0</v>
      </c>
      <c r="T208">
        <f t="shared" si="87"/>
        <v>0</v>
      </c>
      <c r="U208">
        <f t="shared" si="87"/>
        <v>0</v>
      </c>
      <c r="V208">
        <f t="shared" si="87"/>
        <v>0</v>
      </c>
      <c r="W208">
        <f t="shared" si="87"/>
        <v>0</v>
      </c>
      <c r="X208">
        <f t="shared" si="87"/>
        <v>0</v>
      </c>
      <c r="Y208">
        <f t="shared" si="87"/>
        <v>0</v>
      </c>
      <c r="Z208">
        <f t="shared" si="87"/>
        <v>0</v>
      </c>
      <c r="AA208">
        <f t="shared" si="87"/>
        <v>0</v>
      </c>
      <c r="AB208">
        <f t="shared" si="87"/>
        <v>0</v>
      </c>
      <c r="AC208">
        <f t="shared" si="87"/>
        <v>0</v>
      </c>
      <c r="AD208">
        <f t="shared" si="87"/>
        <v>0</v>
      </c>
      <c r="AE208">
        <f t="shared" si="87"/>
        <v>0</v>
      </c>
      <c r="AF208">
        <f t="shared" si="87"/>
        <v>0</v>
      </c>
      <c r="AG208">
        <f t="shared" si="86"/>
        <v>0</v>
      </c>
      <c r="AH208">
        <f t="shared" si="86"/>
        <v>0</v>
      </c>
      <c r="AI208">
        <f t="shared" si="86"/>
        <v>0</v>
      </c>
      <c r="AJ208">
        <f t="shared" si="86"/>
        <v>0</v>
      </c>
      <c r="AK208">
        <f t="shared" si="86"/>
        <v>1</v>
      </c>
      <c r="AL208">
        <f t="shared" si="86"/>
        <v>0</v>
      </c>
      <c r="AM208">
        <f t="shared" si="86"/>
        <v>0</v>
      </c>
      <c r="AN208">
        <f t="shared" si="86"/>
        <v>0</v>
      </c>
      <c r="AO208">
        <f t="shared" si="86"/>
        <v>0</v>
      </c>
      <c r="AP208">
        <f t="shared" si="86"/>
        <v>0</v>
      </c>
      <c r="AQ208">
        <f t="shared" si="86"/>
        <v>0</v>
      </c>
      <c r="AR208">
        <f t="shared" si="86"/>
        <v>0</v>
      </c>
      <c r="AS208">
        <f t="shared" si="86"/>
        <v>0</v>
      </c>
      <c r="AT208">
        <f t="shared" si="86"/>
        <v>0</v>
      </c>
      <c r="AU208">
        <f t="shared" si="86"/>
        <v>0</v>
      </c>
      <c r="AV208">
        <f t="shared" si="83"/>
        <v>0</v>
      </c>
      <c r="AW208">
        <f t="shared" si="83"/>
        <v>0</v>
      </c>
      <c r="AX208">
        <f t="shared" si="83"/>
        <v>0</v>
      </c>
      <c r="AY208">
        <f t="shared" si="83"/>
        <v>0</v>
      </c>
      <c r="AZ208">
        <f t="shared" si="83"/>
        <v>0</v>
      </c>
    </row>
    <row r="209" spans="1:52" x14ac:dyDescent="0.25">
      <c r="A209" t="s">
        <v>28</v>
      </c>
      <c r="B209" s="3">
        <v>42653</v>
      </c>
      <c r="C209" s="1">
        <v>1008.7822271839731</v>
      </c>
      <c r="D209" s="1">
        <v>112.08691413155256</v>
      </c>
      <c r="E209" s="1">
        <f t="shared" si="88"/>
        <v>486.78222718397296</v>
      </c>
      <c r="F209" s="1">
        <f t="shared" si="89"/>
        <v>522</v>
      </c>
      <c r="G209" s="2">
        <v>9</v>
      </c>
      <c r="H209" s="1">
        <v>54.086914131552554</v>
      </c>
      <c r="I209" s="1">
        <v>58</v>
      </c>
      <c r="J209" s="1">
        <f t="shared" si="91"/>
        <v>763763.79730210896</v>
      </c>
      <c r="K209" s="1">
        <f t="shared" si="92"/>
        <v>387191.79730210797</v>
      </c>
      <c r="N209">
        <f t="shared" si="90"/>
        <v>0</v>
      </c>
      <c r="O209">
        <f t="shared" si="90"/>
        <v>0</v>
      </c>
      <c r="P209">
        <f t="shared" si="90"/>
        <v>0</v>
      </c>
      <c r="Q209">
        <f t="shared" si="87"/>
        <v>0</v>
      </c>
      <c r="R209">
        <f t="shared" si="87"/>
        <v>0</v>
      </c>
      <c r="S209">
        <f t="shared" si="87"/>
        <v>0</v>
      </c>
      <c r="T209">
        <f t="shared" si="87"/>
        <v>0</v>
      </c>
      <c r="U209">
        <f t="shared" si="87"/>
        <v>0</v>
      </c>
      <c r="V209">
        <f t="shared" si="87"/>
        <v>0</v>
      </c>
      <c r="W209">
        <f t="shared" si="87"/>
        <v>0</v>
      </c>
      <c r="X209">
        <f t="shared" si="87"/>
        <v>0</v>
      </c>
      <c r="Y209">
        <f t="shared" si="87"/>
        <v>0</v>
      </c>
      <c r="Z209">
        <f t="shared" si="87"/>
        <v>0</v>
      </c>
      <c r="AA209">
        <f t="shared" si="87"/>
        <v>0</v>
      </c>
      <c r="AB209">
        <f t="shared" si="87"/>
        <v>0</v>
      </c>
      <c r="AC209">
        <f t="shared" si="87"/>
        <v>0</v>
      </c>
      <c r="AD209">
        <f t="shared" si="87"/>
        <v>0</v>
      </c>
      <c r="AE209">
        <f t="shared" si="87"/>
        <v>0</v>
      </c>
      <c r="AF209">
        <f t="shared" si="87"/>
        <v>0</v>
      </c>
      <c r="AG209">
        <f t="shared" si="86"/>
        <v>0</v>
      </c>
      <c r="AH209">
        <f t="shared" si="86"/>
        <v>0</v>
      </c>
      <c r="AI209">
        <f t="shared" si="86"/>
        <v>0</v>
      </c>
      <c r="AJ209">
        <f t="shared" si="86"/>
        <v>0</v>
      </c>
      <c r="AK209">
        <f t="shared" si="86"/>
        <v>0</v>
      </c>
      <c r="AL209">
        <f t="shared" si="86"/>
        <v>0</v>
      </c>
      <c r="AM209">
        <f t="shared" si="86"/>
        <v>0</v>
      </c>
      <c r="AN209">
        <f t="shared" si="86"/>
        <v>0</v>
      </c>
      <c r="AO209">
        <f t="shared" si="86"/>
        <v>0</v>
      </c>
      <c r="AP209">
        <f t="shared" si="86"/>
        <v>0</v>
      </c>
      <c r="AQ209">
        <f t="shared" si="86"/>
        <v>0</v>
      </c>
      <c r="AR209">
        <f t="shared" si="86"/>
        <v>0</v>
      </c>
      <c r="AS209">
        <f t="shared" si="86"/>
        <v>0</v>
      </c>
      <c r="AT209">
        <f t="shared" si="86"/>
        <v>1</v>
      </c>
      <c r="AU209">
        <f t="shared" si="86"/>
        <v>0</v>
      </c>
      <c r="AV209">
        <f t="shared" si="83"/>
        <v>0</v>
      </c>
      <c r="AW209">
        <f t="shared" si="83"/>
        <v>0</v>
      </c>
      <c r="AX209">
        <f t="shared" si="83"/>
        <v>0</v>
      </c>
      <c r="AY209">
        <f t="shared" si="83"/>
        <v>0</v>
      </c>
      <c r="AZ209">
        <f t="shared" si="83"/>
        <v>0</v>
      </c>
    </row>
    <row r="210" spans="1:52" x14ac:dyDescent="0.25">
      <c r="A210" t="s">
        <v>35</v>
      </c>
      <c r="B210" s="3">
        <v>42650</v>
      </c>
      <c r="C210" s="1">
        <v>1199.9097973571811</v>
      </c>
      <c r="D210" s="1">
        <v>99.99248311309843</v>
      </c>
      <c r="E210" s="1">
        <f t="shared" si="88"/>
        <v>575.90979735718111</v>
      </c>
      <c r="F210" s="1">
        <f t="shared" si="89"/>
        <v>624</v>
      </c>
      <c r="G210" s="2">
        <v>12</v>
      </c>
      <c r="H210" s="1">
        <v>47.99248311309843</v>
      </c>
      <c r="I210" s="1">
        <v>52</v>
      </c>
      <c r="J210" s="1">
        <f t="shared" si="91"/>
        <v>764963.70709946612</v>
      </c>
      <c r="K210" s="1">
        <f t="shared" si="92"/>
        <v>387767.70709946513</v>
      </c>
      <c r="N210">
        <f t="shared" si="90"/>
        <v>0</v>
      </c>
      <c r="O210">
        <f t="shared" si="90"/>
        <v>0</v>
      </c>
      <c r="P210">
        <f t="shared" si="90"/>
        <v>0</v>
      </c>
      <c r="Q210">
        <f t="shared" si="87"/>
        <v>0</v>
      </c>
      <c r="R210">
        <f t="shared" si="87"/>
        <v>0</v>
      </c>
      <c r="S210">
        <f t="shared" si="87"/>
        <v>0</v>
      </c>
      <c r="T210">
        <f t="shared" si="87"/>
        <v>0</v>
      </c>
      <c r="U210">
        <f t="shared" si="87"/>
        <v>0</v>
      </c>
      <c r="V210">
        <f t="shared" si="87"/>
        <v>0</v>
      </c>
      <c r="W210">
        <f t="shared" si="87"/>
        <v>0</v>
      </c>
      <c r="X210">
        <f t="shared" si="87"/>
        <v>0</v>
      </c>
      <c r="Y210">
        <f t="shared" si="87"/>
        <v>0</v>
      </c>
      <c r="Z210">
        <f t="shared" si="87"/>
        <v>0</v>
      </c>
      <c r="AA210">
        <f t="shared" si="87"/>
        <v>0</v>
      </c>
      <c r="AB210">
        <f t="shared" si="87"/>
        <v>0</v>
      </c>
      <c r="AC210">
        <f t="shared" si="87"/>
        <v>0</v>
      </c>
      <c r="AD210">
        <f t="shared" si="87"/>
        <v>0</v>
      </c>
      <c r="AE210">
        <f t="shared" si="87"/>
        <v>0</v>
      </c>
      <c r="AF210">
        <f t="shared" si="87"/>
        <v>0</v>
      </c>
      <c r="AG210">
        <f t="shared" si="86"/>
        <v>0</v>
      </c>
      <c r="AH210">
        <f t="shared" si="86"/>
        <v>0</v>
      </c>
      <c r="AI210">
        <f t="shared" si="86"/>
        <v>0</v>
      </c>
      <c r="AJ210">
        <f t="shared" si="86"/>
        <v>0</v>
      </c>
      <c r="AK210">
        <f t="shared" si="86"/>
        <v>0</v>
      </c>
      <c r="AL210">
        <f t="shared" si="86"/>
        <v>1</v>
      </c>
      <c r="AM210">
        <f t="shared" si="86"/>
        <v>0</v>
      </c>
      <c r="AN210">
        <f t="shared" si="86"/>
        <v>0</v>
      </c>
      <c r="AO210">
        <f t="shared" si="86"/>
        <v>0</v>
      </c>
      <c r="AP210">
        <f t="shared" si="86"/>
        <v>0</v>
      </c>
      <c r="AQ210">
        <f t="shared" si="86"/>
        <v>0</v>
      </c>
      <c r="AR210">
        <f t="shared" si="86"/>
        <v>0</v>
      </c>
      <c r="AS210">
        <f t="shared" si="86"/>
        <v>0</v>
      </c>
      <c r="AT210">
        <f t="shared" si="86"/>
        <v>0</v>
      </c>
      <c r="AU210">
        <f t="shared" si="86"/>
        <v>0</v>
      </c>
      <c r="AV210">
        <f t="shared" si="83"/>
        <v>0</v>
      </c>
      <c r="AW210">
        <f t="shared" si="83"/>
        <v>0</v>
      </c>
      <c r="AX210">
        <f t="shared" si="83"/>
        <v>0</v>
      </c>
      <c r="AY210">
        <f t="shared" si="83"/>
        <v>0</v>
      </c>
      <c r="AZ210">
        <f t="shared" si="83"/>
        <v>0</v>
      </c>
    </row>
    <row r="211" spans="1:52" x14ac:dyDescent="0.25">
      <c r="A211" t="s">
        <v>38</v>
      </c>
      <c r="B211" s="3">
        <v>42646</v>
      </c>
      <c r="C211" s="1">
        <v>2918.5735732345879</v>
      </c>
      <c r="D211" s="1">
        <v>74.83521982652789</v>
      </c>
      <c r="E211" s="1">
        <f t="shared" si="88"/>
        <v>1709.5735732345879</v>
      </c>
      <c r="F211" s="1">
        <f t="shared" si="89"/>
        <v>1209</v>
      </c>
      <c r="G211" s="2">
        <v>39</v>
      </c>
      <c r="H211" s="1">
        <v>43.835219826527897</v>
      </c>
      <c r="I211" s="1">
        <v>31</v>
      </c>
      <c r="J211" s="1">
        <f t="shared" si="91"/>
        <v>767882.28067270073</v>
      </c>
      <c r="K211" s="1">
        <f t="shared" si="92"/>
        <v>389477.28067269974</v>
      </c>
      <c r="N211">
        <f t="shared" si="90"/>
        <v>0</v>
      </c>
      <c r="O211">
        <f t="shared" si="90"/>
        <v>0</v>
      </c>
      <c r="P211">
        <f t="shared" si="90"/>
        <v>0</v>
      </c>
      <c r="Q211">
        <f t="shared" si="87"/>
        <v>0</v>
      </c>
      <c r="R211">
        <f t="shared" si="87"/>
        <v>0</v>
      </c>
      <c r="S211">
        <f t="shared" si="87"/>
        <v>0</v>
      </c>
      <c r="T211">
        <f t="shared" si="87"/>
        <v>0</v>
      </c>
      <c r="U211">
        <f t="shared" si="87"/>
        <v>0</v>
      </c>
      <c r="V211">
        <f t="shared" si="87"/>
        <v>0</v>
      </c>
      <c r="W211">
        <f t="shared" si="87"/>
        <v>0</v>
      </c>
      <c r="X211">
        <f t="shared" si="87"/>
        <v>0</v>
      </c>
      <c r="Y211">
        <f t="shared" si="87"/>
        <v>0</v>
      </c>
      <c r="Z211">
        <f t="shared" si="87"/>
        <v>0</v>
      </c>
      <c r="AA211">
        <f t="shared" si="87"/>
        <v>0</v>
      </c>
      <c r="AB211">
        <f t="shared" si="87"/>
        <v>1</v>
      </c>
      <c r="AC211">
        <f t="shared" si="87"/>
        <v>0</v>
      </c>
      <c r="AD211">
        <f t="shared" si="87"/>
        <v>0</v>
      </c>
      <c r="AE211">
        <f t="shared" si="87"/>
        <v>0</v>
      </c>
      <c r="AF211">
        <f t="shared" si="87"/>
        <v>0</v>
      </c>
      <c r="AG211">
        <f t="shared" si="86"/>
        <v>0</v>
      </c>
      <c r="AH211">
        <f t="shared" si="86"/>
        <v>0</v>
      </c>
      <c r="AI211">
        <f t="shared" si="86"/>
        <v>0</v>
      </c>
      <c r="AJ211">
        <f t="shared" si="86"/>
        <v>0</v>
      </c>
      <c r="AK211">
        <f t="shared" si="86"/>
        <v>0</v>
      </c>
      <c r="AL211">
        <f t="shared" si="86"/>
        <v>0</v>
      </c>
      <c r="AM211">
        <f t="shared" si="86"/>
        <v>0</v>
      </c>
      <c r="AN211">
        <f t="shared" si="86"/>
        <v>0</v>
      </c>
      <c r="AO211">
        <f t="shared" si="86"/>
        <v>0</v>
      </c>
      <c r="AP211">
        <f t="shared" si="86"/>
        <v>0</v>
      </c>
      <c r="AQ211">
        <f t="shared" si="86"/>
        <v>0</v>
      </c>
      <c r="AR211">
        <f t="shared" si="86"/>
        <v>0</v>
      </c>
      <c r="AS211">
        <f t="shared" si="86"/>
        <v>0</v>
      </c>
      <c r="AT211">
        <f t="shared" si="86"/>
        <v>0</v>
      </c>
      <c r="AU211">
        <f t="shared" si="86"/>
        <v>0</v>
      </c>
      <c r="AV211">
        <f t="shared" si="83"/>
        <v>0</v>
      </c>
      <c r="AW211">
        <f t="shared" si="83"/>
        <v>0</v>
      </c>
      <c r="AX211">
        <f t="shared" si="83"/>
        <v>0</v>
      </c>
      <c r="AY211">
        <f t="shared" si="83"/>
        <v>0</v>
      </c>
      <c r="AZ211">
        <f t="shared" si="83"/>
        <v>0</v>
      </c>
    </row>
    <row r="212" spans="1:52" x14ac:dyDescent="0.25">
      <c r="A212" t="s">
        <v>31</v>
      </c>
      <c r="B212" s="3">
        <v>42638</v>
      </c>
      <c r="C212" s="1">
        <v>1189.9805742082863</v>
      </c>
      <c r="D212" s="1">
        <v>169.99722488689804</v>
      </c>
      <c r="E212" s="1">
        <f t="shared" si="88"/>
        <v>538.98057420828638</v>
      </c>
      <c r="F212" s="1">
        <f t="shared" si="89"/>
        <v>651</v>
      </c>
      <c r="G212" s="2">
        <v>7</v>
      </c>
      <c r="H212" s="1">
        <v>76.997224886898053</v>
      </c>
      <c r="I212" s="1">
        <v>93</v>
      </c>
      <c r="J212" s="1">
        <f t="shared" si="91"/>
        <v>769072.26124690904</v>
      </c>
      <c r="K212" s="1">
        <f t="shared" si="92"/>
        <v>390016.26124690805</v>
      </c>
      <c r="N212">
        <f t="shared" si="90"/>
        <v>0</v>
      </c>
      <c r="O212">
        <f t="shared" si="90"/>
        <v>0</v>
      </c>
      <c r="P212">
        <f t="shared" si="90"/>
        <v>0</v>
      </c>
      <c r="Q212">
        <f t="shared" si="87"/>
        <v>0</v>
      </c>
      <c r="R212">
        <f t="shared" si="87"/>
        <v>0</v>
      </c>
      <c r="S212">
        <f t="shared" si="87"/>
        <v>0</v>
      </c>
      <c r="T212">
        <f t="shared" si="87"/>
        <v>0</v>
      </c>
      <c r="U212">
        <f t="shared" si="87"/>
        <v>0</v>
      </c>
      <c r="V212">
        <f t="shared" si="87"/>
        <v>0</v>
      </c>
      <c r="W212">
        <f t="shared" si="87"/>
        <v>1</v>
      </c>
      <c r="X212">
        <f t="shared" si="87"/>
        <v>0</v>
      </c>
      <c r="Y212">
        <f t="shared" si="87"/>
        <v>0</v>
      </c>
      <c r="Z212">
        <f t="shared" si="87"/>
        <v>0</v>
      </c>
      <c r="AA212">
        <f t="shared" si="87"/>
        <v>0</v>
      </c>
      <c r="AB212">
        <f t="shared" si="87"/>
        <v>0</v>
      </c>
      <c r="AC212">
        <f t="shared" si="87"/>
        <v>0</v>
      </c>
      <c r="AD212">
        <f t="shared" si="87"/>
        <v>0</v>
      </c>
      <c r="AE212">
        <f t="shared" si="87"/>
        <v>0</v>
      </c>
      <c r="AF212">
        <f t="shared" ref="AF212:AU232" si="93">+IF(AF$5=$A212,1,0)</f>
        <v>0</v>
      </c>
      <c r="AG212">
        <f t="shared" si="93"/>
        <v>0</v>
      </c>
      <c r="AH212">
        <f t="shared" si="93"/>
        <v>0</v>
      </c>
      <c r="AI212">
        <f t="shared" si="93"/>
        <v>0</v>
      </c>
      <c r="AJ212">
        <f t="shared" si="93"/>
        <v>0</v>
      </c>
      <c r="AK212">
        <f t="shared" si="93"/>
        <v>0</v>
      </c>
      <c r="AL212">
        <f t="shared" si="93"/>
        <v>0</v>
      </c>
      <c r="AM212">
        <f t="shared" si="93"/>
        <v>0</v>
      </c>
      <c r="AN212">
        <f t="shared" si="93"/>
        <v>0</v>
      </c>
      <c r="AO212">
        <f t="shared" si="93"/>
        <v>0</v>
      </c>
      <c r="AP212">
        <f t="shared" si="93"/>
        <v>0</v>
      </c>
      <c r="AQ212">
        <f t="shared" si="93"/>
        <v>0</v>
      </c>
      <c r="AR212">
        <f t="shared" si="93"/>
        <v>0</v>
      </c>
      <c r="AS212">
        <f t="shared" si="93"/>
        <v>0</v>
      </c>
      <c r="AT212">
        <f t="shared" si="93"/>
        <v>0</v>
      </c>
      <c r="AU212">
        <f t="shared" si="93"/>
        <v>0</v>
      </c>
      <c r="AV212">
        <f t="shared" si="83"/>
        <v>0</v>
      </c>
      <c r="AW212">
        <f t="shared" si="83"/>
        <v>0</v>
      </c>
      <c r="AX212">
        <f t="shared" si="83"/>
        <v>0</v>
      </c>
      <c r="AY212">
        <f t="shared" si="83"/>
        <v>0</v>
      </c>
      <c r="AZ212">
        <f t="shared" si="83"/>
        <v>0</v>
      </c>
    </row>
    <row r="213" spans="1:52" x14ac:dyDescent="0.25">
      <c r="A213" t="s">
        <v>33</v>
      </c>
      <c r="B213" s="3">
        <v>42629</v>
      </c>
      <c r="C213" s="1">
        <v>3142.3281442306816</v>
      </c>
      <c r="D213" s="1">
        <v>116.38252386039561</v>
      </c>
      <c r="E213" s="1">
        <f t="shared" si="88"/>
        <v>1387.3281442306813</v>
      </c>
      <c r="F213" s="1">
        <f t="shared" si="89"/>
        <v>1755</v>
      </c>
      <c r="G213" s="2">
        <v>27</v>
      </c>
      <c r="H213" s="1">
        <v>51.382523860395608</v>
      </c>
      <c r="I213" s="1">
        <v>65</v>
      </c>
      <c r="J213" s="1">
        <f t="shared" si="91"/>
        <v>772214.58939113969</v>
      </c>
      <c r="K213" s="1">
        <f t="shared" si="92"/>
        <v>391403.58939113875</v>
      </c>
      <c r="N213">
        <f t="shared" si="90"/>
        <v>0</v>
      </c>
      <c r="O213">
        <f t="shared" si="90"/>
        <v>0</v>
      </c>
      <c r="P213">
        <f t="shared" si="90"/>
        <v>0</v>
      </c>
      <c r="Q213">
        <f t="shared" si="90"/>
        <v>0</v>
      </c>
      <c r="R213">
        <f t="shared" si="90"/>
        <v>0</v>
      </c>
      <c r="S213">
        <f t="shared" si="90"/>
        <v>0</v>
      </c>
      <c r="T213">
        <f t="shared" si="90"/>
        <v>0</v>
      </c>
      <c r="U213">
        <f t="shared" si="90"/>
        <v>0</v>
      </c>
      <c r="V213">
        <f t="shared" si="90"/>
        <v>0</v>
      </c>
      <c r="W213">
        <f t="shared" si="90"/>
        <v>0</v>
      </c>
      <c r="X213">
        <f t="shared" si="90"/>
        <v>0</v>
      </c>
      <c r="Y213">
        <f t="shared" si="90"/>
        <v>0</v>
      </c>
      <c r="Z213">
        <f t="shared" si="90"/>
        <v>0</v>
      </c>
      <c r="AA213">
        <f t="shared" si="90"/>
        <v>0</v>
      </c>
      <c r="AB213">
        <f t="shared" si="90"/>
        <v>0</v>
      </c>
      <c r="AC213">
        <f t="shared" si="90"/>
        <v>0</v>
      </c>
      <c r="AD213">
        <f t="shared" ref="AD213:AS232" si="94">+IF(AD$5=$A213,1,0)</f>
        <v>0</v>
      </c>
      <c r="AE213">
        <f t="shared" si="94"/>
        <v>0</v>
      </c>
      <c r="AF213">
        <f t="shared" si="94"/>
        <v>0</v>
      </c>
      <c r="AG213">
        <f t="shared" si="94"/>
        <v>0</v>
      </c>
      <c r="AH213">
        <f t="shared" si="94"/>
        <v>0</v>
      </c>
      <c r="AI213">
        <f t="shared" si="94"/>
        <v>0</v>
      </c>
      <c r="AJ213">
        <f t="shared" si="94"/>
        <v>0</v>
      </c>
      <c r="AK213">
        <f t="shared" si="94"/>
        <v>0</v>
      </c>
      <c r="AL213">
        <f t="shared" si="94"/>
        <v>0</v>
      </c>
      <c r="AM213">
        <f t="shared" si="94"/>
        <v>0</v>
      </c>
      <c r="AN213">
        <f t="shared" si="94"/>
        <v>0</v>
      </c>
      <c r="AO213">
        <f t="shared" si="94"/>
        <v>0</v>
      </c>
      <c r="AP213">
        <f t="shared" si="94"/>
        <v>0</v>
      </c>
      <c r="AQ213">
        <f t="shared" si="94"/>
        <v>1</v>
      </c>
      <c r="AR213">
        <f t="shared" si="94"/>
        <v>0</v>
      </c>
      <c r="AS213">
        <f t="shared" si="94"/>
        <v>0</v>
      </c>
      <c r="AT213">
        <f t="shared" si="93"/>
        <v>0</v>
      </c>
      <c r="AU213">
        <f t="shared" si="93"/>
        <v>0</v>
      </c>
      <c r="AV213">
        <f t="shared" si="83"/>
        <v>0</v>
      </c>
      <c r="AW213">
        <f t="shared" si="83"/>
        <v>0</v>
      </c>
      <c r="AX213">
        <f t="shared" si="83"/>
        <v>0</v>
      </c>
      <c r="AY213">
        <f t="shared" si="83"/>
        <v>0</v>
      </c>
      <c r="AZ213">
        <f t="shared" si="83"/>
        <v>0</v>
      </c>
    </row>
    <row r="214" spans="1:52" x14ac:dyDescent="0.25">
      <c r="A214" t="s">
        <v>19</v>
      </c>
      <c r="B214" s="3">
        <v>42628</v>
      </c>
      <c r="C214" s="1">
        <v>2188.2777767192911</v>
      </c>
      <c r="D214" s="1">
        <v>66.311447779372457</v>
      </c>
      <c r="E214" s="1">
        <f t="shared" si="88"/>
        <v>1000.2777767192912</v>
      </c>
      <c r="F214" s="1">
        <f t="shared" si="89"/>
        <v>1188</v>
      </c>
      <c r="G214" s="2">
        <v>33</v>
      </c>
      <c r="H214" s="1">
        <v>30.311447779372461</v>
      </c>
      <c r="I214" s="1">
        <v>36</v>
      </c>
      <c r="J214" s="1">
        <f t="shared" si="91"/>
        <v>774402.86716785899</v>
      </c>
      <c r="K214" s="1">
        <f t="shared" si="92"/>
        <v>392403.86716785806</v>
      </c>
      <c r="N214">
        <f t="shared" si="90"/>
        <v>0</v>
      </c>
      <c r="O214">
        <f t="shared" si="90"/>
        <v>0</v>
      </c>
      <c r="P214">
        <f t="shared" si="90"/>
        <v>0</v>
      </c>
      <c r="Q214">
        <f t="shared" si="90"/>
        <v>0</v>
      </c>
      <c r="R214">
        <f t="shared" si="90"/>
        <v>0</v>
      </c>
      <c r="S214">
        <f t="shared" si="90"/>
        <v>0</v>
      </c>
      <c r="T214">
        <f t="shared" si="90"/>
        <v>0</v>
      </c>
      <c r="U214">
        <f t="shared" si="90"/>
        <v>0</v>
      </c>
      <c r="V214">
        <f t="shared" si="90"/>
        <v>0</v>
      </c>
      <c r="W214">
        <f t="shared" si="90"/>
        <v>0</v>
      </c>
      <c r="X214">
        <f t="shared" si="90"/>
        <v>0</v>
      </c>
      <c r="Y214">
        <f t="shared" si="90"/>
        <v>0</v>
      </c>
      <c r="Z214">
        <f t="shared" si="90"/>
        <v>0</v>
      </c>
      <c r="AA214">
        <f t="shared" si="90"/>
        <v>0</v>
      </c>
      <c r="AB214">
        <f t="shared" si="90"/>
        <v>0</v>
      </c>
      <c r="AC214">
        <f t="shared" si="90"/>
        <v>0</v>
      </c>
      <c r="AD214">
        <f t="shared" si="94"/>
        <v>0</v>
      </c>
      <c r="AE214">
        <f t="shared" si="94"/>
        <v>0</v>
      </c>
      <c r="AF214">
        <f t="shared" si="94"/>
        <v>0</v>
      </c>
      <c r="AG214">
        <f t="shared" si="94"/>
        <v>0</v>
      </c>
      <c r="AH214">
        <f t="shared" si="94"/>
        <v>0</v>
      </c>
      <c r="AI214">
        <f t="shared" si="94"/>
        <v>0</v>
      </c>
      <c r="AJ214">
        <f t="shared" si="94"/>
        <v>0</v>
      </c>
      <c r="AK214">
        <f t="shared" si="94"/>
        <v>0</v>
      </c>
      <c r="AL214">
        <f t="shared" si="94"/>
        <v>0</v>
      </c>
      <c r="AM214">
        <f t="shared" si="94"/>
        <v>0</v>
      </c>
      <c r="AN214">
        <f t="shared" si="94"/>
        <v>0</v>
      </c>
      <c r="AO214">
        <f t="shared" si="94"/>
        <v>0</v>
      </c>
      <c r="AP214">
        <f t="shared" si="94"/>
        <v>0</v>
      </c>
      <c r="AQ214">
        <f t="shared" si="94"/>
        <v>0</v>
      </c>
      <c r="AR214">
        <f t="shared" si="94"/>
        <v>0</v>
      </c>
      <c r="AS214">
        <f t="shared" si="94"/>
        <v>0</v>
      </c>
      <c r="AT214">
        <f t="shared" si="93"/>
        <v>0</v>
      </c>
      <c r="AU214">
        <f t="shared" si="93"/>
        <v>0</v>
      </c>
      <c r="AV214">
        <f t="shared" si="83"/>
        <v>0</v>
      </c>
      <c r="AW214">
        <f t="shared" si="83"/>
        <v>1</v>
      </c>
      <c r="AX214">
        <f t="shared" si="83"/>
        <v>0</v>
      </c>
      <c r="AY214">
        <f t="shared" si="83"/>
        <v>0</v>
      </c>
      <c r="AZ214">
        <f t="shared" si="83"/>
        <v>0</v>
      </c>
    </row>
    <row r="215" spans="1:52" x14ac:dyDescent="0.25">
      <c r="A215" t="s">
        <v>31</v>
      </c>
      <c r="B215" s="3">
        <v>42624</v>
      </c>
      <c r="C215" s="1">
        <v>566.84727024897745</v>
      </c>
      <c r="D215" s="1">
        <v>51.531570022634313</v>
      </c>
      <c r="E215" s="1">
        <f t="shared" si="88"/>
        <v>335.8472702489774</v>
      </c>
      <c r="F215" s="1">
        <f t="shared" si="89"/>
        <v>231</v>
      </c>
      <c r="G215" s="2">
        <v>11</v>
      </c>
      <c r="H215" s="1">
        <v>30.531570022634309</v>
      </c>
      <c r="I215" s="1">
        <v>21</v>
      </c>
      <c r="J215" s="1">
        <f t="shared" si="91"/>
        <v>774969.71443810791</v>
      </c>
      <c r="K215" s="1">
        <f t="shared" si="92"/>
        <v>392739.71443810704</v>
      </c>
      <c r="N215">
        <f t="shared" si="90"/>
        <v>0</v>
      </c>
      <c r="O215">
        <f t="shared" si="90"/>
        <v>0</v>
      </c>
      <c r="P215">
        <f t="shared" si="90"/>
        <v>0</v>
      </c>
      <c r="Q215">
        <f t="shared" si="90"/>
        <v>0</v>
      </c>
      <c r="R215">
        <f t="shared" si="90"/>
        <v>0</v>
      </c>
      <c r="S215">
        <f t="shared" si="90"/>
        <v>0</v>
      </c>
      <c r="T215">
        <f t="shared" si="90"/>
        <v>0</v>
      </c>
      <c r="U215">
        <f t="shared" si="90"/>
        <v>0</v>
      </c>
      <c r="V215">
        <f t="shared" si="90"/>
        <v>0</v>
      </c>
      <c r="W215">
        <f t="shared" si="90"/>
        <v>1</v>
      </c>
      <c r="X215">
        <f t="shared" si="90"/>
        <v>0</v>
      </c>
      <c r="Y215">
        <f t="shared" si="90"/>
        <v>0</v>
      </c>
      <c r="Z215">
        <f t="shared" si="90"/>
        <v>0</v>
      </c>
      <c r="AA215">
        <f t="shared" si="90"/>
        <v>0</v>
      </c>
      <c r="AB215">
        <f t="shared" si="90"/>
        <v>0</v>
      </c>
      <c r="AC215">
        <f t="shared" si="90"/>
        <v>0</v>
      </c>
      <c r="AD215">
        <f t="shared" si="94"/>
        <v>0</v>
      </c>
      <c r="AE215">
        <f t="shared" si="94"/>
        <v>0</v>
      </c>
      <c r="AF215">
        <f t="shared" si="94"/>
        <v>0</v>
      </c>
      <c r="AG215">
        <f t="shared" si="94"/>
        <v>0</v>
      </c>
      <c r="AH215">
        <f t="shared" si="94"/>
        <v>0</v>
      </c>
      <c r="AI215">
        <f t="shared" si="94"/>
        <v>0</v>
      </c>
      <c r="AJ215">
        <f t="shared" si="94"/>
        <v>0</v>
      </c>
      <c r="AK215">
        <f t="shared" si="94"/>
        <v>0</v>
      </c>
      <c r="AL215">
        <f t="shared" si="94"/>
        <v>0</v>
      </c>
      <c r="AM215">
        <f t="shared" si="94"/>
        <v>0</v>
      </c>
      <c r="AN215">
        <f t="shared" si="94"/>
        <v>0</v>
      </c>
      <c r="AO215">
        <f t="shared" si="94"/>
        <v>0</v>
      </c>
      <c r="AP215">
        <f t="shared" si="94"/>
        <v>0</v>
      </c>
      <c r="AQ215">
        <f t="shared" si="94"/>
        <v>0</v>
      </c>
      <c r="AR215">
        <f t="shared" si="94"/>
        <v>0</v>
      </c>
      <c r="AS215">
        <f t="shared" si="94"/>
        <v>0</v>
      </c>
      <c r="AT215">
        <f t="shared" si="93"/>
        <v>0</v>
      </c>
      <c r="AU215">
        <f t="shared" si="93"/>
        <v>0</v>
      </c>
      <c r="AV215">
        <f t="shared" si="83"/>
        <v>0</v>
      </c>
      <c r="AW215">
        <f t="shared" si="83"/>
        <v>0</v>
      </c>
      <c r="AX215">
        <f t="shared" si="83"/>
        <v>0</v>
      </c>
      <c r="AY215">
        <f t="shared" si="83"/>
        <v>0</v>
      </c>
      <c r="AZ215">
        <f t="shared" si="83"/>
        <v>0</v>
      </c>
    </row>
    <row r="216" spans="1:52" x14ac:dyDescent="0.25">
      <c r="A216" t="s">
        <v>38</v>
      </c>
      <c r="B216" s="3">
        <v>42618</v>
      </c>
      <c r="C216" s="1">
        <v>4018.6029453383303</v>
      </c>
      <c r="D216" s="1">
        <v>267.90686302255534</v>
      </c>
      <c r="E216" s="1">
        <f t="shared" si="88"/>
        <v>2158.6029453383303</v>
      </c>
      <c r="F216" s="1">
        <f t="shared" si="89"/>
        <v>1860</v>
      </c>
      <c r="G216" s="2">
        <v>15</v>
      </c>
      <c r="H216" s="1">
        <v>143.90686302255534</v>
      </c>
      <c r="I216" s="1">
        <v>124</v>
      </c>
      <c r="J216" s="1">
        <f t="shared" si="91"/>
        <v>778988.31738344627</v>
      </c>
      <c r="K216" s="1">
        <f t="shared" si="92"/>
        <v>394898.31738344539</v>
      </c>
      <c r="N216">
        <f t="shared" si="90"/>
        <v>0</v>
      </c>
      <c r="O216">
        <f t="shared" si="90"/>
        <v>0</v>
      </c>
      <c r="P216">
        <f t="shared" si="90"/>
        <v>0</v>
      </c>
      <c r="Q216">
        <f t="shared" si="90"/>
        <v>0</v>
      </c>
      <c r="R216">
        <f t="shared" si="90"/>
        <v>0</v>
      </c>
      <c r="S216">
        <f t="shared" si="90"/>
        <v>0</v>
      </c>
      <c r="T216">
        <f t="shared" si="90"/>
        <v>0</v>
      </c>
      <c r="U216">
        <f t="shared" si="90"/>
        <v>0</v>
      </c>
      <c r="V216">
        <f t="shared" si="90"/>
        <v>0</v>
      </c>
      <c r="W216">
        <f t="shared" si="90"/>
        <v>0</v>
      </c>
      <c r="X216">
        <f t="shared" si="90"/>
        <v>0</v>
      </c>
      <c r="Y216">
        <f t="shared" si="90"/>
        <v>0</v>
      </c>
      <c r="Z216">
        <f t="shared" si="90"/>
        <v>0</v>
      </c>
      <c r="AA216">
        <f t="shared" si="90"/>
        <v>0</v>
      </c>
      <c r="AB216">
        <f t="shared" si="90"/>
        <v>1</v>
      </c>
      <c r="AC216">
        <f t="shared" si="90"/>
        <v>0</v>
      </c>
      <c r="AD216">
        <f t="shared" si="94"/>
        <v>0</v>
      </c>
      <c r="AE216">
        <f t="shared" si="94"/>
        <v>0</v>
      </c>
      <c r="AF216">
        <f t="shared" si="94"/>
        <v>0</v>
      </c>
      <c r="AG216">
        <f t="shared" si="94"/>
        <v>0</v>
      </c>
      <c r="AH216">
        <f t="shared" si="94"/>
        <v>0</v>
      </c>
      <c r="AI216">
        <f t="shared" si="94"/>
        <v>0</v>
      </c>
      <c r="AJ216">
        <f t="shared" si="94"/>
        <v>0</v>
      </c>
      <c r="AK216">
        <f t="shared" si="94"/>
        <v>0</v>
      </c>
      <c r="AL216">
        <f t="shared" si="94"/>
        <v>0</v>
      </c>
      <c r="AM216">
        <f t="shared" si="94"/>
        <v>0</v>
      </c>
      <c r="AN216">
        <f t="shared" si="94"/>
        <v>0</v>
      </c>
      <c r="AO216">
        <f t="shared" si="94"/>
        <v>0</v>
      </c>
      <c r="AP216">
        <f t="shared" si="94"/>
        <v>0</v>
      </c>
      <c r="AQ216">
        <f t="shared" si="94"/>
        <v>0</v>
      </c>
      <c r="AR216">
        <f t="shared" si="94"/>
        <v>0</v>
      </c>
      <c r="AS216">
        <f t="shared" si="94"/>
        <v>0</v>
      </c>
      <c r="AT216">
        <f t="shared" si="93"/>
        <v>0</v>
      </c>
      <c r="AU216">
        <f t="shared" si="93"/>
        <v>0</v>
      </c>
      <c r="AV216">
        <f t="shared" ref="AV216:AZ266" si="95">+IF(AV$5=$A216,1,0)</f>
        <v>0</v>
      </c>
      <c r="AW216">
        <f t="shared" si="95"/>
        <v>0</v>
      </c>
      <c r="AX216">
        <f t="shared" si="95"/>
        <v>0</v>
      </c>
      <c r="AY216">
        <f t="shared" si="95"/>
        <v>0</v>
      </c>
      <c r="AZ216">
        <f t="shared" si="95"/>
        <v>0</v>
      </c>
    </row>
    <row r="217" spans="1:52" x14ac:dyDescent="0.25">
      <c r="A217" t="s">
        <v>24</v>
      </c>
      <c r="B217" s="3">
        <v>42618</v>
      </c>
      <c r="C217" s="1">
        <v>1463.5118502400246</v>
      </c>
      <c r="D217" s="1">
        <v>182.93898128000308</v>
      </c>
      <c r="E217" s="1">
        <f t="shared" si="88"/>
        <v>687.51185024002473</v>
      </c>
      <c r="F217" s="1">
        <f t="shared" si="89"/>
        <v>776</v>
      </c>
      <c r="G217" s="2">
        <v>8</v>
      </c>
      <c r="H217" s="1">
        <v>85.938981280003091</v>
      </c>
      <c r="I217" s="1">
        <v>97</v>
      </c>
      <c r="J217" s="1">
        <f t="shared" si="91"/>
        <v>780451.82923368632</v>
      </c>
      <c r="K217" s="1">
        <f t="shared" si="92"/>
        <v>395585.82923368539</v>
      </c>
      <c r="N217">
        <f t="shared" si="90"/>
        <v>0</v>
      </c>
      <c r="O217">
        <f t="shared" si="90"/>
        <v>0</v>
      </c>
      <c r="P217">
        <f t="shared" si="90"/>
        <v>0</v>
      </c>
      <c r="Q217">
        <f t="shared" si="90"/>
        <v>0</v>
      </c>
      <c r="R217">
        <f t="shared" si="90"/>
        <v>0</v>
      </c>
      <c r="S217">
        <f t="shared" si="90"/>
        <v>0</v>
      </c>
      <c r="T217">
        <f t="shared" si="90"/>
        <v>0</v>
      </c>
      <c r="U217">
        <f t="shared" si="90"/>
        <v>0</v>
      </c>
      <c r="V217">
        <f t="shared" si="90"/>
        <v>1</v>
      </c>
      <c r="W217">
        <f t="shared" si="90"/>
        <v>0</v>
      </c>
      <c r="X217">
        <f t="shared" si="90"/>
        <v>0</v>
      </c>
      <c r="Y217">
        <f t="shared" si="90"/>
        <v>0</v>
      </c>
      <c r="Z217">
        <f t="shared" si="90"/>
        <v>0</v>
      </c>
      <c r="AA217">
        <f t="shared" si="90"/>
        <v>0</v>
      </c>
      <c r="AB217">
        <f t="shared" ref="AB217:AQ232" si="96">+IF(AB$5=$A217,1,0)</f>
        <v>0</v>
      </c>
      <c r="AC217">
        <f t="shared" si="96"/>
        <v>0</v>
      </c>
      <c r="AD217">
        <f t="shared" si="96"/>
        <v>0</v>
      </c>
      <c r="AE217">
        <f t="shared" si="96"/>
        <v>0</v>
      </c>
      <c r="AF217">
        <f t="shared" si="96"/>
        <v>0</v>
      </c>
      <c r="AG217">
        <f t="shared" si="96"/>
        <v>0</v>
      </c>
      <c r="AH217">
        <f t="shared" si="96"/>
        <v>0</v>
      </c>
      <c r="AI217">
        <f t="shared" si="96"/>
        <v>0</v>
      </c>
      <c r="AJ217">
        <f t="shared" si="96"/>
        <v>0</v>
      </c>
      <c r="AK217">
        <f t="shared" si="96"/>
        <v>0</v>
      </c>
      <c r="AL217">
        <f t="shared" si="96"/>
        <v>0</v>
      </c>
      <c r="AM217">
        <f t="shared" si="96"/>
        <v>0</v>
      </c>
      <c r="AN217">
        <f t="shared" si="96"/>
        <v>0</v>
      </c>
      <c r="AO217">
        <f t="shared" si="96"/>
        <v>0</v>
      </c>
      <c r="AP217">
        <f t="shared" si="96"/>
        <v>0</v>
      </c>
      <c r="AQ217">
        <f t="shared" si="96"/>
        <v>0</v>
      </c>
      <c r="AR217">
        <f t="shared" si="94"/>
        <v>0</v>
      </c>
      <c r="AS217">
        <f t="shared" si="94"/>
        <v>0</v>
      </c>
      <c r="AT217">
        <f t="shared" si="93"/>
        <v>0</v>
      </c>
      <c r="AU217">
        <f t="shared" si="93"/>
        <v>0</v>
      </c>
      <c r="AV217">
        <f t="shared" si="95"/>
        <v>0</v>
      </c>
      <c r="AW217">
        <f t="shared" si="95"/>
        <v>0</v>
      </c>
      <c r="AX217">
        <f t="shared" si="95"/>
        <v>0</v>
      </c>
      <c r="AY217">
        <f t="shared" si="95"/>
        <v>0</v>
      </c>
      <c r="AZ217">
        <f t="shared" si="95"/>
        <v>0</v>
      </c>
    </row>
    <row r="218" spans="1:52" x14ac:dyDescent="0.25">
      <c r="A218" t="s">
        <v>12</v>
      </c>
      <c r="B218" s="3">
        <v>42608</v>
      </c>
      <c r="C218" s="1">
        <v>2305.6543926010745</v>
      </c>
      <c r="D218" s="1">
        <v>192.13786605008954</v>
      </c>
      <c r="E218" s="1">
        <f t="shared" si="88"/>
        <v>985.65439260107473</v>
      </c>
      <c r="F218" s="1">
        <f t="shared" si="89"/>
        <v>1320</v>
      </c>
      <c r="G218" s="2">
        <v>12</v>
      </c>
      <c r="H218" s="1">
        <v>82.137866050089556</v>
      </c>
      <c r="I218" s="1">
        <v>110</v>
      </c>
      <c r="J218" s="1">
        <f t="shared" si="91"/>
        <v>782757.48362628743</v>
      </c>
      <c r="K218" s="1">
        <f t="shared" si="92"/>
        <v>396571.48362628644</v>
      </c>
      <c r="N218">
        <f t="shared" si="90"/>
        <v>0</v>
      </c>
      <c r="O218">
        <f t="shared" si="90"/>
        <v>0</v>
      </c>
      <c r="P218">
        <f t="shared" si="90"/>
        <v>0</v>
      </c>
      <c r="Q218">
        <f t="shared" ref="Q218:AF233" si="97">+IF(Q$5=$A218,1,0)</f>
        <v>0</v>
      </c>
      <c r="R218">
        <f t="shared" si="97"/>
        <v>0</v>
      </c>
      <c r="S218">
        <f t="shared" si="97"/>
        <v>0</v>
      </c>
      <c r="T218">
        <f t="shared" si="97"/>
        <v>0</v>
      </c>
      <c r="U218">
        <f t="shared" si="97"/>
        <v>0</v>
      </c>
      <c r="V218">
        <f t="shared" si="97"/>
        <v>0</v>
      </c>
      <c r="W218">
        <f t="shared" si="97"/>
        <v>0</v>
      </c>
      <c r="X218">
        <f t="shared" si="97"/>
        <v>0</v>
      </c>
      <c r="Y218">
        <f t="shared" si="97"/>
        <v>0</v>
      </c>
      <c r="Z218">
        <f t="shared" si="97"/>
        <v>0</v>
      </c>
      <c r="AA218">
        <f t="shared" si="97"/>
        <v>0</v>
      </c>
      <c r="AB218">
        <f t="shared" si="97"/>
        <v>0</v>
      </c>
      <c r="AC218">
        <f t="shared" si="97"/>
        <v>0</v>
      </c>
      <c r="AD218">
        <f t="shared" si="97"/>
        <v>0</v>
      </c>
      <c r="AE218">
        <f t="shared" si="97"/>
        <v>0</v>
      </c>
      <c r="AF218">
        <f t="shared" si="97"/>
        <v>0</v>
      </c>
      <c r="AG218">
        <f t="shared" si="96"/>
        <v>0</v>
      </c>
      <c r="AH218">
        <f t="shared" si="96"/>
        <v>0</v>
      </c>
      <c r="AI218">
        <f t="shared" si="96"/>
        <v>0</v>
      </c>
      <c r="AJ218">
        <f t="shared" si="96"/>
        <v>0</v>
      </c>
      <c r="AK218">
        <f t="shared" si="96"/>
        <v>1</v>
      </c>
      <c r="AL218">
        <f t="shared" si="96"/>
        <v>0</v>
      </c>
      <c r="AM218">
        <f t="shared" si="96"/>
        <v>0</v>
      </c>
      <c r="AN218">
        <f t="shared" si="96"/>
        <v>0</v>
      </c>
      <c r="AO218">
        <f t="shared" si="96"/>
        <v>0</v>
      </c>
      <c r="AP218">
        <f t="shared" si="96"/>
        <v>0</v>
      </c>
      <c r="AQ218">
        <f t="shared" si="96"/>
        <v>0</v>
      </c>
      <c r="AR218">
        <f t="shared" si="94"/>
        <v>0</v>
      </c>
      <c r="AS218">
        <f t="shared" si="94"/>
        <v>0</v>
      </c>
      <c r="AT218">
        <f t="shared" si="93"/>
        <v>0</v>
      </c>
      <c r="AU218">
        <f t="shared" si="93"/>
        <v>0</v>
      </c>
      <c r="AV218">
        <f t="shared" si="95"/>
        <v>0</v>
      </c>
      <c r="AW218">
        <f t="shared" si="95"/>
        <v>0</v>
      </c>
      <c r="AX218">
        <f t="shared" si="95"/>
        <v>0</v>
      </c>
      <c r="AY218">
        <f t="shared" si="95"/>
        <v>0</v>
      </c>
      <c r="AZ218">
        <f t="shared" si="95"/>
        <v>0</v>
      </c>
    </row>
    <row r="219" spans="1:52" x14ac:dyDescent="0.25">
      <c r="A219" t="s">
        <v>40</v>
      </c>
      <c r="B219" s="3">
        <v>42587</v>
      </c>
      <c r="C219" s="1">
        <v>627.12169776250403</v>
      </c>
      <c r="D219" s="1">
        <v>57.011063432954913</v>
      </c>
      <c r="E219" s="1">
        <f t="shared" si="88"/>
        <v>363.12169776250403</v>
      </c>
      <c r="F219" s="1">
        <f t="shared" si="89"/>
        <v>264</v>
      </c>
      <c r="G219" s="2">
        <v>11</v>
      </c>
      <c r="H219" s="1">
        <v>33.011063432954913</v>
      </c>
      <c r="I219" s="1">
        <v>24</v>
      </c>
      <c r="J219" s="1">
        <f t="shared" si="91"/>
        <v>783384.60532404995</v>
      </c>
      <c r="K219" s="1">
        <f t="shared" si="92"/>
        <v>396934.60532404896</v>
      </c>
      <c r="N219">
        <f t="shared" si="90"/>
        <v>0</v>
      </c>
      <c r="O219">
        <f t="shared" si="90"/>
        <v>0</v>
      </c>
      <c r="P219">
        <f t="shared" si="90"/>
        <v>0</v>
      </c>
      <c r="Q219">
        <f t="shared" si="97"/>
        <v>0</v>
      </c>
      <c r="R219">
        <f t="shared" si="97"/>
        <v>0</v>
      </c>
      <c r="S219">
        <f t="shared" si="97"/>
        <v>0</v>
      </c>
      <c r="T219">
        <f t="shared" si="97"/>
        <v>0</v>
      </c>
      <c r="U219">
        <f t="shared" si="97"/>
        <v>0</v>
      </c>
      <c r="V219">
        <f t="shared" si="97"/>
        <v>0</v>
      </c>
      <c r="W219">
        <f t="shared" si="97"/>
        <v>0</v>
      </c>
      <c r="X219">
        <f t="shared" si="97"/>
        <v>1</v>
      </c>
      <c r="Y219">
        <f t="shared" si="97"/>
        <v>0</v>
      </c>
      <c r="Z219">
        <f t="shared" si="97"/>
        <v>0</v>
      </c>
      <c r="AA219">
        <f t="shared" si="97"/>
        <v>0</v>
      </c>
      <c r="AB219">
        <f t="shared" si="97"/>
        <v>0</v>
      </c>
      <c r="AC219">
        <f t="shared" si="97"/>
        <v>0</v>
      </c>
      <c r="AD219">
        <f t="shared" si="97"/>
        <v>0</v>
      </c>
      <c r="AE219">
        <f t="shared" si="97"/>
        <v>0</v>
      </c>
      <c r="AF219">
        <f t="shared" si="97"/>
        <v>0</v>
      </c>
      <c r="AG219">
        <f t="shared" si="96"/>
        <v>0</v>
      </c>
      <c r="AH219">
        <f t="shared" si="96"/>
        <v>0</v>
      </c>
      <c r="AI219">
        <f t="shared" si="96"/>
        <v>0</v>
      </c>
      <c r="AJ219">
        <f t="shared" si="96"/>
        <v>0</v>
      </c>
      <c r="AK219">
        <f t="shared" si="96"/>
        <v>0</v>
      </c>
      <c r="AL219">
        <f t="shared" si="96"/>
        <v>0</v>
      </c>
      <c r="AM219">
        <f t="shared" si="96"/>
        <v>0</v>
      </c>
      <c r="AN219">
        <f t="shared" si="96"/>
        <v>0</v>
      </c>
      <c r="AO219">
        <f t="shared" si="96"/>
        <v>0</v>
      </c>
      <c r="AP219">
        <f t="shared" si="96"/>
        <v>0</v>
      </c>
      <c r="AQ219">
        <f t="shared" si="96"/>
        <v>0</v>
      </c>
      <c r="AR219">
        <f t="shared" si="94"/>
        <v>0</v>
      </c>
      <c r="AS219">
        <f t="shared" si="94"/>
        <v>0</v>
      </c>
      <c r="AT219">
        <f t="shared" si="93"/>
        <v>0</v>
      </c>
      <c r="AU219">
        <f t="shared" si="93"/>
        <v>0</v>
      </c>
      <c r="AV219">
        <f t="shared" si="95"/>
        <v>0</v>
      </c>
      <c r="AW219">
        <f t="shared" si="95"/>
        <v>0</v>
      </c>
      <c r="AX219">
        <f t="shared" si="95"/>
        <v>0</v>
      </c>
      <c r="AY219">
        <f t="shared" si="95"/>
        <v>0</v>
      </c>
      <c r="AZ219">
        <f t="shared" si="95"/>
        <v>0</v>
      </c>
    </row>
    <row r="220" spans="1:52" x14ac:dyDescent="0.25">
      <c r="A220" t="s">
        <v>14</v>
      </c>
      <c r="B220" s="3">
        <v>42568</v>
      </c>
      <c r="C220" s="1">
        <v>17001.022723463269</v>
      </c>
      <c r="D220" s="1">
        <v>158.88806283610532</v>
      </c>
      <c r="E220" s="1">
        <f t="shared" si="88"/>
        <v>8227.0227234632694</v>
      </c>
      <c r="F220" s="1">
        <f t="shared" si="89"/>
        <v>8774</v>
      </c>
      <c r="G220" s="2">
        <v>107</v>
      </c>
      <c r="H220" s="1">
        <v>76.88806283610532</v>
      </c>
      <c r="I220" s="1">
        <v>82</v>
      </c>
      <c r="J220" s="1">
        <f t="shared" si="91"/>
        <v>800385.62804751319</v>
      </c>
      <c r="K220" s="1">
        <f t="shared" si="92"/>
        <v>405161.6280475122</v>
      </c>
      <c r="N220">
        <f t="shared" si="90"/>
        <v>0</v>
      </c>
      <c r="O220">
        <f t="shared" si="90"/>
        <v>0</v>
      </c>
      <c r="P220">
        <f t="shared" si="90"/>
        <v>0</v>
      </c>
      <c r="Q220">
        <f t="shared" si="97"/>
        <v>0</v>
      </c>
      <c r="R220">
        <f t="shared" si="97"/>
        <v>0</v>
      </c>
      <c r="S220">
        <f t="shared" si="97"/>
        <v>0</v>
      </c>
      <c r="T220">
        <f t="shared" si="97"/>
        <v>0</v>
      </c>
      <c r="U220">
        <f t="shared" si="97"/>
        <v>0</v>
      </c>
      <c r="V220">
        <f t="shared" si="97"/>
        <v>0</v>
      </c>
      <c r="W220">
        <f t="shared" si="97"/>
        <v>0</v>
      </c>
      <c r="X220">
        <f t="shared" si="97"/>
        <v>0</v>
      </c>
      <c r="Y220">
        <f t="shared" si="97"/>
        <v>0</v>
      </c>
      <c r="Z220">
        <f t="shared" si="97"/>
        <v>0</v>
      </c>
      <c r="AA220">
        <f t="shared" si="97"/>
        <v>0</v>
      </c>
      <c r="AB220">
        <f t="shared" si="97"/>
        <v>0</v>
      </c>
      <c r="AC220">
        <f t="shared" si="97"/>
        <v>0</v>
      </c>
      <c r="AD220">
        <f t="shared" si="97"/>
        <v>0</v>
      </c>
      <c r="AE220">
        <f t="shared" si="97"/>
        <v>0</v>
      </c>
      <c r="AF220">
        <f t="shared" si="97"/>
        <v>0</v>
      </c>
      <c r="AG220">
        <f t="shared" si="96"/>
        <v>0</v>
      </c>
      <c r="AH220">
        <f t="shared" si="96"/>
        <v>0</v>
      </c>
      <c r="AI220">
        <f t="shared" si="96"/>
        <v>0</v>
      </c>
      <c r="AJ220">
        <f t="shared" si="96"/>
        <v>0</v>
      </c>
      <c r="AK220">
        <f t="shared" si="96"/>
        <v>0</v>
      </c>
      <c r="AL220">
        <f t="shared" si="96"/>
        <v>0</v>
      </c>
      <c r="AM220">
        <f t="shared" si="96"/>
        <v>0</v>
      </c>
      <c r="AN220">
        <f t="shared" si="96"/>
        <v>0</v>
      </c>
      <c r="AO220">
        <f t="shared" si="96"/>
        <v>0</v>
      </c>
      <c r="AP220">
        <f t="shared" si="96"/>
        <v>1</v>
      </c>
      <c r="AQ220">
        <f t="shared" si="96"/>
        <v>0</v>
      </c>
      <c r="AR220">
        <f t="shared" si="94"/>
        <v>0</v>
      </c>
      <c r="AS220">
        <f t="shared" si="94"/>
        <v>0</v>
      </c>
      <c r="AT220">
        <f t="shared" si="93"/>
        <v>0</v>
      </c>
      <c r="AU220">
        <f t="shared" si="93"/>
        <v>0</v>
      </c>
      <c r="AV220">
        <f t="shared" si="95"/>
        <v>0</v>
      </c>
      <c r="AW220">
        <f t="shared" si="95"/>
        <v>0</v>
      </c>
      <c r="AX220">
        <f t="shared" si="95"/>
        <v>0</v>
      </c>
      <c r="AY220">
        <f t="shared" si="95"/>
        <v>0</v>
      </c>
      <c r="AZ220">
        <f t="shared" si="95"/>
        <v>0</v>
      </c>
    </row>
    <row r="221" spans="1:52" x14ac:dyDescent="0.25">
      <c r="A221" t="s">
        <v>11</v>
      </c>
      <c r="B221" s="3">
        <v>42546</v>
      </c>
      <c r="C221" s="1">
        <v>293.25382240453382</v>
      </c>
      <c r="D221" s="1">
        <v>48.875637067422304</v>
      </c>
      <c r="E221" s="1">
        <f t="shared" si="88"/>
        <v>161.25382240453382</v>
      </c>
      <c r="F221" s="1">
        <f t="shared" si="89"/>
        <v>132</v>
      </c>
      <c r="G221" s="2">
        <v>6</v>
      </c>
      <c r="H221" s="1">
        <v>26.875637067422304</v>
      </c>
      <c r="I221" s="1">
        <v>22</v>
      </c>
      <c r="J221" s="1">
        <f t="shared" si="91"/>
        <v>800678.88186991774</v>
      </c>
      <c r="K221" s="1">
        <f t="shared" si="92"/>
        <v>405322.88186991675</v>
      </c>
      <c r="N221">
        <f t="shared" si="90"/>
        <v>0</v>
      </c>
      <c r="O221">
        <f t="shared" si="90"/>
        <v>0</v>
      </c>
      <c r="P221">
        <f t="shared" si="90"/>
        <v>1</v>
      </c>
      <c r="Q221">
        <f t="shared" si="97"/>
        <v>0</v>
      </c>
      <c r="R221">
        <f t="shared" si="97"/>
        <v>0</v>
      </c>
      <c r="S221">
        <f t="shared" si="97"/>
        <v>0</v>
      </c>
      <c r="T221">
        <f t="shared" si="97"/>
        <v>0</v>
      </c>
      <c r="U221">
        <f t="shared" si="97"/>
        <v>0</v>
      </c>
      <c r="V221">
        <f t="shared" si="97"/>
        <v>0</v>
      </c>
      <c r="W221">
        <f t="shared" si="97"/>
        <v>0</v>
      </c>
      <c r="X221">
        <f t="shared" si="97"/>
        <v>0</v>
      </c>
      <c r="Y221">
        <f t="shared" si="97"/>
        <v>0</v>
      </c>
      <c r="Z221">
        <f t="shared" si="97"/>
        <v>0</v>
      </c>
      <c r="AA221">
        <f t="shared" si="97"/>
        <v>0</v>
      </c>
      <c r="AB221">
        <f t="shared" si="97"/>
        <v>0</v>
      </c>
      <c r="AC221">
        <f t="shared" si="97"/>
        <v>0</v>
      </c>
      <c r="AD221">
        <f t="shared" si="97"/>
        <v>0</v>
      </c>
      <c r="AE221">
        <f t="shared" si="97"/>
        <v>0</v>
      </c>
      <c r="AF221">
        <f t="shared" si="97"/>
        <v>0</v>
      </c>
      <c r="AG221">
        <f t="shared" si="96"/>
        <v>0</v>
      </c>
      <c r="AH221">
        <f t="shared" si="96"/>
        <v>0</v>
      </c>
      <c r="AI221">
        <f t="shared" si="96"/>
        <v>0</v>
      </c>
      <c r="AJ221">
        <f t="shared" si="96"/>
        <v>0</v>
      </c>
      <c r="AK221">
        <f t="shared" si="96"/>
        <v>0</v>
      </c>
      <c r="AL221">
        <f t="shared" si="96"/>
        <v>0</v>
      </c>
      <c r="AM221">
        <f t="shared" si="96"/>
        <v>0</v>
      </c>
      <c r="AN221">
        <f t="shared" si="96"/>
        <v>0</v>
      </c>
      <c r="AO221">
        <f t="shared" si="96"/>
        <v>0</v>
      </c>
      <c r="AP221">
        <f t="shared" si="96"/>
        <v>0</v>
      </c>
      <c r="AQ221">
        <f t="shared" si="96"/>
        <v>0</v>
      </c>
      <c r="AR221">
        <f t="shared" si="94"/>
        <v>0</v>
      </c>
      <c r="AS221">
        <f t="shared" si="94"/>
        <v>0</v>
      </c>
      <c r="AT221">
        <f t="shared" si="93"/>
        <v>0</v>
      </c>
      <c r="AU221">
        <f t="shared" si="93"/>
        <v>0</v>
      </c>
      <c r="AV221">
        <f t="shared" si="95"/>
        <v>0</v>
      </c>
      <c r="AW221">
        <f t="shared" si="95"/>
        <v>0</v>
      </c>
      <c r="AX221">
        <f t="shared" si="95"/>
        <v>0</v>
      </c>
      <c r="AY221">
        <f t="shared" si="95"/>
        <v>0</v>
      </c>
      <c r="AZ221">
        <f t="shared" si="95"/>
        <v>0</v>
      </c>
    </row>
    <row r="222" spans="1:52" x14ac:dyDescent="0.25">
      <c r="A222" t="s">
        <v>15</v>
      </c>
      <c r="B222" s="3">
        <v>42541</v>
      </c>
      <c r="C222" s="1">
        <v>3400.5150547906651</v>
      </c>
      <c r="D222" s="1">
        <v>283.37625456588876</v>
      </c>
      <c r="E222" s="1">
        <f t="shared" si="88"/>
        <v>1384.5150547906649</v>
      </c>
      <c r="F222" s="1">
        <f t="shared" si="89"/>
        <v>2016</v>
      </c>
      <c r="G222" s="2">
        <v>12</v>
      </c>
      <c r="H222" s="1">
        <v>115.37625456588874</v>
      </c>
      <c r="I222" s="1">
        <v>168</v>
      </c>
      <c r="J222" s="1">
        <f t="shared" si="91"/>
        <v>804079.39692470839</v>
      </c>
      <c r="K222" s="1">
        <f t="shared" si="92"/>
        <v>406707.3969247074</v>
      </c>
      <c r="N222">
        <f t="shared" si="90"/>
        <v>0</v>
      </c>
      <c r="O222">
        <f t="shared" si="90"/>
        <v>0</v>
      </c>
      <c r="P222">
        <f t="shared" si="90"/>
        <v>0</v>
      </c>
      <c r="Q222">
        <f t="shared" si="97"/>
        <v>0</v>
      </c>
      <c r="R222">
        <f t="shared" si="97"/>
        <v>0</v>
      </c>
      <c r="S222">
        <f t="shared" si="97"/>
        <v>0</v>
      </c>
      <c r="T222">
        <f t="shared" si="97"/>
        <v>0</v>
      </c>
      <c r="U222">
        <f t="shared" si="97"/>
        <v>0</v>
      </c>
      <c r="V222">
        <f t="shared" si="97"/>
        <v>0</v>
      </c>
      <c r="W222">
        <f t="shared" si="97"/>
        <v>0</v>
      </c>
      <c r="X222">
        <f t="shared" si="97"/>
        <v>0</v>
      </c>
      <c r="Y222">
        <f t="shared" si="97"/>
        <v>0</v>
      </c>
      <c r="Z222">
        <f t="shared" si="97"/>
        <v>0</v>
      </c>
      <c r="AA222">
        <f t="shared" si="97"/>
        <v>0</v>
      </c>
      <c r="AB222">
        <f t="shared" si="97"/>
        <v>0</v>
      </c>
      <c r="AC222">
        <f t="shared" si="97"/>
        <v>0</v>
      </c>
      <c r="AD222">
        <f t="shared" si="97"/>
        <v>0</v>
      </c>
      <c r="AE222">
        <f t="shared" si="97"/>
        <v>0</v>
      </c>
      <c r="AF222">
        <f t="shared" si="97"/>
        <v>0</v>
      </c>
      <c r="AG222">
        <f t="shared" si="96"/>
        <v>0</v>
      </c>
      <c r="AH222">
        <f t="shared" si="96"/>
        <v>0</v>
      </c>
      <c r="AI222">
        <f t="shared" si="96"/>
        <v>0</v>
      </c>
      <c r="AJ222">
        <f t="shared" si="96"/>
        <v>0</v>
      </c>
      <c r="AK222">
        <f t="shared" si="96"/>
        <v>0</v>
      </c>
      <c r="AL222">
        <f t="shared" si="96"/>
        <v>0</v>
      </c>
      <c r="AM222">
        <f t="shared" si="96"/>
        <v>0</v>
      </c>
      <c r="AN222">
        <f t="shared" si="96"/>
        <v>0</v>
      </c>
      <c r="AO222">
        <f t="shared" si="96"/>
        <v>0</v>
      </c>
      <c r="AP222">
        <f t="shared" si="96"/>
        <v>0</v>
      </c>
      <c r="AQ222">
        <f t="shared" si="96"/>
        <v>0</v>
      </c>
      <c r="AR222">
        <f t="shared" si="94"/>
        <v>1</v>
      </c>
      <c r="AS222">
        <f t="shared" si="94"/>
        <v>0</v>
      </c>
      <c r="AT222">
        <f t="shared" si="93"/>
        <v>0</v>
      </c>
      <c r="AU222">
        <f t="shared" si="93"/>
        <v>0</v>
      </c>
      <c r="AV222">
        <f t="shared" si="95"/>
        <v>0</v>
      </c>
      <c r="AW222">
        <f t="shared" si="95"/>
        <v>0</v>
      </c>
      <c r="AX222">
        <f t="shared" si="95"/>
        <v>0</v>
      </c>
      <c r="AY222">
        <f t="shared" si="95"/>
        <v>0</v>
      </c>
      <c r="AZ222">
        <f t="shared" si="95"/>
        <v>0</v>
      </c>
    </row>
    <row r="223" spans="1:52" x14ac:dyDescent="0.25">
      <c r="A223" t="s">
        <v>49</v>
      </c>
      <c r="B223" s="3">
        <v>42533</v>
      </c>
      <c r="C223" s="1">
        <v>1421.129033740699</v>
      </c>
      <c r="D223" s="1">
        <v>142.1129033740699</v>
      </c>
      <c r="E223" s="1">
        <f t="shared" si="88"/>
        <v>771.12903374069901</v>
      </c>
      <c r="F223" s="1">
        <f t="shared" si="89"/>
        <v>650</v>
      </c>
      <c r="G223" s="2">
        <v>10</v>
      </c>
      <c r="H223" s="1">
        <v>77.112903374069901</v>
      </c>
      <c r="I223" s="1">
        <v>65</v>
      </c>
      <c r="J223" s="1">
        <f t="shared" si="91"/>
        <v>805500.52595844911</v>
      </c>
      <c r="K223" s="1">
        <f t="shared" si="92"/>
        <v>407478.52595844812</v>
      </c>
      <c r="N223">
        <f t="shared" si="90"/>
        <v>0</v>
      </c>
      <c r="O223">
        <f t="shared" si="90"/>
        <v>0</v>
      </c>
      <c r="P223">
        <f t="shared" si="90"/>
        <v>0</v>
      </c>
      <c r="Q223">
        <f t="shared" si="97"/>
        <v>0</v>
      </c>
      <c r="R223">
        <f t="shared" si="97"/>
        <v>0</v>
      </c>
      <c r="S223">
        <f t="shared" si="97"/>
        <v>0</v>
      </c>
      <c r="T223">
        <f t="shared" si="97"/>
        <v>0</v>
      </c>
      <c r="U223">
        <f t="shared" si="97"/>
        <v>0</v>
      </c>
      <c r="V223">
        <f t="shared" si="97"/>
        <v>0</v>
      </c>
      <c r="W223">
        <f t="shared" si="97"/>
        <v>0</v>
      </c>
      <c r="X223">
        <f t="shared" si="97"/>
        <v>0</v>
      </c>
      <c r="Y223">
        <f t="shared" si="97"/>
        <v>0</v>
      </c>
      <c r="Z223">
        <f t="shared" si="97"/>
        <v>0</v>
      </c>
      <c r="AA223">
        <f t="shared" si="97"/>
        <v>1</v>
      </c>
      <c r="AB223">
        <f t="shared" si="97"/>
        <v>0</v>
      </c>
      <c r="AC223">
        <f t="shared" si="97"/>
        <v>0</v>
      </c>
      <c r="AD223">
        <f t="shared" si="97"/>
        <v>0</v>
      </c>
      <c r="AE223">
        <f t="shared" si="97"/>
        <v>0</v>
      </c>
      <c r="AF223">
        <f t="shared" si="97"/>
        <v>0</v>
      </c>
      <c r="AG223">
        <f t="shared" si="96"/>
        <v>0</v>
      </c>
      <c r="AH223">
        <f t="shared" si="96"/>
        <v>0</v>
      </c>
      <c r="AI223">
        <f t="shared" si="96"/>
        <v>0</v>
      </c>
      <c r="AJ223">
        <f t="shared" si="96"/>
        <v>0</v>
      </c>
      <c r="AK223">
        <f t="shared" si="96"/>
        <v>0</v>
      </c>
      <c r="AL223">
        <f t="shared" si="96"/>
        <v>0</v>
      </c>
      <c r="AM223">
        <f t="shared" si="96"/>
        <v>0</v>
      </c>
      <c r="AN223">
        <f t="shared" si="96"/>
        <v>0</v>
      </c>
      <c r="AO223">
        <f t="shared" si="96"/>
        <v>0</v>
      </c>
      <c r="AP223">
        <f t="shared" si="96"/>
        <v>0</v>
      </c>
      <c r="AQ223">
        <f t="shared" si="96"/>
        <v>0</v>
      </c>
      <c r="AR223">
        <f t="shared" si="94"/>
        <v>0</v>
      </c>
      <c r="AS223">
        <f t="shared" si="94"/>
        <v>0</v>
      </c>
      <c r="AT223">
        <f t="shared" si="93"/>
        <v>0</v>
      </c>
      <c r="AU223">
        <f t="shared" si="93"/>
        <v>0</v>
      </c>
      <c r="AV223">
        <f t="shared" si="95"/>
        <v>0</v>
      </c>
      <c r="AW223">
        <f t="shared" si="95"/>
        <v>0</v>
      </c>
      <c r="AX223">
        <f t="shared" si="95"/>
        <v>0</v>
      </c>
      <c r="AY223">
        <f t="shared" si="95"/>
        <v>0</v>
      </c>
      <c r="AZ223">
        <f t="shared" si="95"/>
        <v>0</v>
      </c>
    </row>
    <row r="224" spans="1:52" x14ac:dyDescent="0.25">
      <c r="A224" t="s">
        <v>29</v>
      </c>
      <c r="B224" s="3">
        <v>42524</v>
      </c>
      <c r="C224" s="1">
        <v>11737.851254765186</v>
      </c>
      <c r="D224" s="1">
        <v>192.42379106172436</v>
      </c>
      <c r="E224" s="1">
        <f t="shared" si="88"/>
        <v>6125.8512547651862</v>
      </c>
      <c r="F224" s="1">
        <f t="shared" si="89"/>
        <v>5612</v>
      </c>
      <c r="G224" s="2">
        <v>61</v>
      </c>
      <c r="H224" s="1">
        <v>100.42379106172436</v>
      </c>
      <c r="I224" s="1">
        <v>92</v>
      </c>
      <c r="J224" s="1">
        <f t="shared" si="91"/>
        <v>817238.37721321429</v>
      </c>
      <c r="K224" s="1">
        <f t="shared" si="92"/>
        <v>413604.3772132133</v>
      </c>
      <c r="N224">
        <f t="shared" si="90"/>
        <v>0</v>
      </c>
      <c r="O224">
        <f t="shared" si="90"/>
        <v>0</v>
      </c>
      <c r="P224">
        <f t="shared" si="90"/>
        <v>0</v>
      </c>
      <c r="Q224">
        <f t="shared" si="97"/>
        <v>0</v>
      </c>
      <c r="R224">
        <f t="shared" si="97"/>
        <v>0</v>
      </c>
      <c r="S224">
        <f t="shared" si="97"/>
        <v>0</v>
      </c>
      <c r="T224">
        <f t="shared" si="97"/>
        <v>0</v>
      </c>
      <c r="U224">
        <f t="shared" si="97"/>
        <v>0</v>
      </c>
      <c r="V224">
        <f t="shared" si="97"/>
        <v>0</v>
      </c>
      <c r="W224">
        <f t="shared" si="97"/>
        <v>0</v>
      </c>
      <c r="X224">
        <f t="shared" si="97"/>
        <v>0</v>
      </c>
      <c r="Y224">
        <f t="shared" si="97"/>
        <v>0</v>
      </c>
      <c r="Z224">
        <f t="shared" si="97"/>
        <v>0</v>
      </c>
      <c r="AA224">
        <f t="shared" si="97"/>
        <v>0</v>
      </c>
      <c r="AB224">
        <f t="shared" si="97"/>
        <v>0</v>
      </c>
      <c r="AC224">
        <f t="shared" si="97"/>
        <v>0</v>
      </c>
      <c r="AD224">
        <f t="shared" si="97"/>
        <v>0</v>
      </c>
      <c r="AE224">
        <f t="shared" si="97"/>
        <v>0</v>
      </c>
      <c r="AF224">
        <f t="shared" si="97"/>
        <v>0</v>
      </c>
      <c r="AG224">
        <f t="shared" si="96"/>
        <v>0</v>
      </c>
      <c r="AH224">
        <f t="shared" si="96"/>
        <v>0</v>
      </c>
      <c r="AI224">
        <f t="shared" si="96"/>
        <v>0</v>
      </c>
      <c r="AJ224">
        <f t="shared" si="96"/>
        <v>0</v>
      </c>
      <c r="AK224">
        <f t="shared" si="96"/>
        <v>0</v>
      </c>
      <c r="AL224">
        <f t="shared" si="96"/>
        <v>0</v>
      </c>
      <c r="AM224">
        <f t="shared" si="96"/>
        <v>0</v>
      </c>
      <c r="AN224">
        <f t="shared" si="96"/>
        <v>0</v>
      </c>
      <c r="AO224">
        <f t="shared" si="96"/>
        <v>0</v>
      </c>
      <c r="AP224">
        <f t="shared" si="96"/>
        <v>0</v>
      </c>
      <c r="AQ224">
        <f t="shared" si="96"/>
        <v>0</v>
      </c>
      <c r="AR224">
        <f t="shared" si="94"/>
        <v>0</v>
      </c>
      <c r="AS224">
        <f t="shared" si="94"/>
        <v>1</v>
      </c>
      <c r="AT224">
        <f t="shared" si="93"/>
        <v>0</v>
      </c>
      <c r="AU224">
        <f t="shared" si="93"/>
        <v>0</v>
      </c>
      <c r="AV224">
        <f t="shared" si="95"/>
        <v>0</v>
      </c>
      <c r="AW224">
        <f t="shared" si="95"/>
        <v>0</v>
      </c>
      <c r="AX224">
        <f t="shared" si="95"/>
        <v>0</v>
      </c>
      <c r="AY224">
        <f t="shared" si="95"/>
        <v>0</v>
      </c>
      <c r="AZ224">
        <f t="shared" si="95"/>
        <v>0</v>
      </c>
    </row>
    <row r="225" spans="1:52" x14ac:dyDescent="0.25">
      <c r="A225" t="s">
        <v>25</v>
      </c>
      <c r="B225" s="3">
        <v>42504</v>
      </c>
      <c r="C225" s="1">
        <v>3875.652927028023</v>
      </c>
      <c r="D225" s="1">
        <v>161.48553862616762</v>
      </c>
      <c r="E225" s="1">
        <f t="shared" si="88"/>
        <v>1763.652927028023</v>
      </c>
      <c r="F225" s="1">
        <f t="shared" si="89"/>
        <v>2112</v>
      </c>
      <c r="G225" s="2">
        <v>24</v>
      </c>
      <c r="H225" s="1">
        <v>73.485538626167624</v>
      </c>
      <c r="I225" s="1">
        <v>88</v>
      </c>
      <c r="J225" s="1">
        <f t="shared" si="91"/>
        <v>821114.03014024231</v>
      </c>
      <c r="K225" s="1">
        <f t="shared" si="92"/>
        <v>415368.03014024132</v>
      </c>
      <c r="N225">
        <f t="shared" si="90"/>
        <v>0</v>
      </c>
      <c r="O225">
        <f t="shared" si="90"/>
        <v>0</v>
      </c>
      <c r="P225">
        <f t="shared" si="90"/>
        <v>0</v>
      </c>
      <c r="Q225">
        <f t="shared" si="97"/>
        <v>0</v>
      </c>
      <c r="R225">
        <f t="shared" si="97"/>
        <v>0</v>
      </c>
      <c r="S225">
        <f t="shared" si="97"/>
        <v>1</v>
      </c>
      <c r="T225">
        <f t="shared" si="97"/>
        <v>0</v>
      </c>
      <c r="U225">
        <f t="shared" si="97"/>
        <v>0</v>
      </c>
      <c r="V225">
        <f t="shared" si="97"/>
        <v>0</v>
      </c>
      <c r="W225">
        <f t="shared" si="97"/>
        <v>0</v>
      </c>
      <c r="X225">
        <f t="shared" si="97"/>
        <v>0</v>
      </c>
      <c r="Y225">
        <f t="shared" si="97"/>
        <v>0</v>
      </c>
      <c r="Z225">
        <f t="shared" si="97"/>
        <v>0</v>
      </c>
      <c r="AA225">
        <f t="shared" si="97"/>
        <v>0</v>
      </c>
      <c r="AB225">
        <f t="shared" si="97"/>
        <v>0</v>
      </c>
      <c r="AC225">
        <f t="shared" si="97"/>
        <v>0</v>
      </c>
      <c r="AD225">
        <f t="shared" si="97"/>
        <v>0</v>
      </c>
      <c r="AE225">
        <f t="shared" si="97"/>
        <v>0</v>
      </c>
      <c r="AF225">
        <f t="shared" si="97"/>
        <v>0</v>
      </c>
      <c r="AG225">
        <f t="shared" si="96"/>
        <v>0</v>
      </c>
      <c r="AH225">
        <f t="shared" si="96"/>
        <v>0</v>
      </c>
      <c r="AI225">
        <f t="shared" si="96"/>
        <v>0</v>
      </c>
      <c r="AJ225">
        <f t="shared" si="96"/>
        <v>0</v>
      </c>
      <c r="AK225">
        <f t="shared" si="96"/>
        <v>0</v>
      </c>
      <c r="AL225">
        <f t="shared" si="96"/>
        <v>0</v>
      </c>
      <c r="AM225">
        <f t="shared" si="96"/>
        <v>0</v>
      </c>
      <c r="AN225">
        <f t="shared" si="96"/>
        <v>0</v>
      </c>
      <c r="AO225">
        <f t="shared" si="96"/>
        <v>0</v>
      </c>
      <c r="AP225">
        <f t="shared" si="96"/>
        <v>0</v>
      </c>
      <c r="AQ225">
        <f t="shared" si="96"/>
        <v>0</v>
      </c>
      <c r="AR225">
        <f t="shared" si="94"/>
        <v>0</v>
      </c>
      <c r="AS225">
        <f t="shared" si="94"/>
        <v>0</v>
      </c>
      <c r="AT225">
        <f t="shared" si="93"/>
        <v>0</v>
      </c>
      <c r="AU225">
        <f t="shared" si="93"/>
        <v>0</v>
      </c>
      <c r="AV225">
        <f t="shared" si="95"/>
        <v>0</v>
      </c>
      <c r="AW225">
        <f t="shared" si="95"/>
        <v>0</v>
      </c>
      <c r="AX225">
        <f t="shared" si="95"/>
        <v>0</v>
      </c>
      <c r="AY225">
        <f t="shared" si="95"/>
        <v>0</v>
      </c>
      <c r="AZ225">
        <f t="shared" si="95"/>
        <v>0</v>
      </c>
    </row>
    <row r="226" spans="1:52" x14ac:dyDescent="0.25">
      <c r="A226" t="s">
        <v>40</v>
      </c>
      <c r="B226" s="3">
        <v>42495</v>
      </c>
      <c r="C226" s="1">
        <v>1263.1492139565148</v>
      </c>
      <c r="D226" s="1">
        <v>140.34991266183499</v>
      </c>
      <c r="E226" s="1">
        <f t="shared" si="88"/>
        <v>705.14921395651481</v>
      </c>
      <c r="F226" s="1">
        <f t="shared" si="89"/>
        <v>558</v>
      </c>
      <c r="G226" s="2">
        <v>9</v>
      </c>
      <c r="H226" s="1">
        <v>78.349912661834978</v>
      </c>
      <c r="I226" s="1">
        <v>62</v>
      </c>
      <c r="J226" s="1">
        <f t="shared" si="91"/>
        <v>822377.17935419886</v>
      </c>
      <c r="K226" s="1">
        <f t="shared" si="92"/>
        <v>416073.17935419781</v>
      </c>
      <c r="N226">
        <f t="shared" si="90"/>
        <v>0</v>
      </c>
      <c r="O226">
        <f t="shared" si="90"/>
        <v>0</v>
      </c>
      <c r="P226">
        <f t="shared" si="90"/>
        <v>0</v>
      </c>
      <c r="Q226">
        <f t="shared" si="97"/>
        <v>0</v>
      </c>
      <c r="R226">
        <f t="shared" si="97"/>
        <v>0</v>
      </c>
      <c r="S226">
        <f t="shared" si="97"/>
        <v>0</v>
      </c>
      <c r="T226">
        <f t="shared" si="97"/>
        <v>0</v>
      </c>
      <c r="U226">
        <f t="shared" si="97"/>
        <v>0</v>
      </c>
      <c r="V226">
        <f t="shared" si="97"/>
        <v>0</v>
      </c>
      <c r="W226">
        <f t="shared" si="97"/>
        <v>0</v>
      </c>
      <c r="X226">
        <f t="shared" si="97"/>
        <v>1</v>
      </c>
      <c r="Y226">
        <f t="shared" si="97"/>
        <v>0</v>
      </c>
      <c r="Z226">
        <f t="shared" si="97"/>
        <v>0</v>
      </c>
      <c r="AA226">
        <f t="shared" si="97"/>
        <v>0</v>
      </c>
      <c r="AB226">
        <f t="shared" si="97"/>
        <v>0</v>
      </c>
      <c r="AC226">
        <f t="shared" si="97"/>
        <v>0</v>
      </c>
      <c r="AD226">
        <f t="shared" si="97"/>
        <v>0</v>
      </c>
      <c r="AE226">
        <f t="shared" si="97"/>
        <v>0</v>
      </c>
      <c r="AF226">
        <f t="shared" si="97"/>
        <v>0</v>
      </c>
      <c r="AG226">
        <f t="shared" si="96"/>
        <v>0</v>
      </c>
      <c r="AH226">
        <f t="shared" si="96"/>
        <v>0</v>
      </c>
      <c r="AI226">
        <f t="shared" si="96"/>
        <v>0</v>
      </c>
      <c r="AJ226">
        <f t="shared" si="96"/>
        <v>0</v>
      </c>
      <c r="AK226">
        <f t="shared" si="96"/>
        <v>0</v>
      </c>
      <c r="AL226">
        <f t="shared" si="96"/>
        <v>0</v>
      </c>
      <c r="AM226">
        <f t="shared" si="96"/>
        <v>0</v>
      </c>
      <c r="AN226">
        <f t="shared" si="96"/>
        <v>0</v>
      </c>
      <c r="AO226">
        <f t="shared" si="96"/>
        <v>0</v>
      </c>
      <c r="AP226">
        <f t="shared" si="96"/>
        <v>0</v>
      </c>
      <c r="AQ226">
        <f t="shared" si="96"/>
        <v>0</v>
      </c>
      <c r="AR226">
        <f t="shared" si="94"/>
        <v>0</v>
      </c>
      <c r="AS226">
        <f t="shared" si="94"/>
        <v>0</v>
      </c>
      <c r="AT226">
        <f t="shared" si="93"/>
        <v>0</v>
      </c>
      <c r="AU226">
        <f t="shared" si="93"/>
        <v>0</v>
      </c>
      <c r="AV226">
        <f t="shared" si="95"/>
        <v>0</v>
      </c>
      <c r="AW226">
        <f t="shared" si="95"/>
        <v>0</v>
      </c>
      <c r="AX226">
        <f t="shared" si="95"/>
        <v>0</v>
      </c>
      <c r="AY226">
        <f t="shared" si="95"/>
        <v>0</v>
      </c>
      <c r="AZ226">
        <f t="shared" si="95"/>
        <v>0</v>
      </c>
    </row>
    <row r="227" spans="1:52" x14ac:dyDescent="0.25">
      <c r="A227" t="s">
        <v>17</v>
      </c>
      <c r="B227" s="3">
        <v>42490</v>
      </c>
      <c r="C227" s="1">
        <v>440.50997324580885</v>
      </c>
      <c r="D227" s="1">
        <v>110.12749331145221</v>
      </c>
      <c r="E227" s="1">
        <f t="shared" si="88"/>
        <v>228.50997324580882</v>
      </c>
      <c r="F227" s="1">
        <f t="shared" si="89"/>
        <v>212</v>
      </c>
      <c r="G227" s="2">
        <v>4</v>
      </c>
      <c r="H227" s="1">
        <v>57.127493311452206</v>
      </c>
      <c r="I227" s="1">
        <v>53</v>
      </c>
      <c r="J227" s="1">
        <f t="shared" si="91"/>
        <v>822817.68932744465</v>
      </c>
      <c r="K227" s="1">
        <f t="shared" si="92"/>
        <v>416301.6893274436</v>
      </c>
      <c r="N227">
        <f t="shared" si="90"/>
        <v>0</v>
      </c>
      <c r="O227">
        <f t="shared" si="90"/>
        <v>0</v>
      </c>
      <c r="P227">
        <f t="shared" si="90"/>
        <v>0</v>
      </c>
      <c r="Q227">
        <f t="shared" si="97"/>
        <v>0</v>
      </c>
      <c r="R227">
        <f t="shared" si="97"/>
        <v>0</v>
      </c>
      <c r="S227">
        <f t="shared" si="97"/>
        <v>0</v>
      </c>
      <c r="T227">
        <f t="shared" si="97"/>
        <v>0</v>
      </c>
      <c r="U227">
        <f t="shared" si="97"/>
        <v>0</v>
      </c>
      <c r="V227">
        <f t="shared" si="97"/>
        <v>0</v>
      </c>
      <c r="W227">
        <f t="shared" si="97"/>
        <v>0</v>
      </c>
      <c r="X227">
        <f t="shared" si="97"/>
        <v>0</v>
      </c>
      <c r="Y227">
        <f t="shared" si="97"/>
        <v>0</v>
      </c>
      <c r="Z227">
        <f t="shared" si="97"/>
        <v>0</v>
      </c>
      <c r="AA227">
        <f t="shared" si="97"/>
        <v>0</v>
      </c>
      <c r="AB227">
        <f t="shared" si="97"/>
        <v>0</v>
      </c>
      <c r="AC227">
        <f t="shared" si="97"/>
        <v>0</v>
      </c>
      <c r="AD227">
        <f t="shared" si="97"/>
        <v>0</v>
      </c>
      <c r="AE227">
        <f t="shared" si="97"/>
        <v>0</v>
      </c>
      <c r="AF227">
        <f t="shared" si="97"/>
        <v>0</v>
      </c>
      <c r="AG227">
        <f t="shared" si="96"/>
        <v>1</v>
      </c>
      <c r="AH227">
        <f t="shared" si="96"/>
        <v>0</v>
      </c>
      <c r="AI227">
        <f t="shared" si="96"/>
        <v>0</v>
      </c>
      <c r="AJ227">
        <f t="shared" si="96"/>
        <v>0</v>
      </c>
      <c r="AK227">
        <f t="shared" si="96"/>
        <v>0</v>
      </c>
      <c r="AL227">
        <f t="shared" si="96"/>
        <v>0</v>
      </c>
      <c r="AM227">
        <f t="shared" si="96"/>
        <v>0</v>
      </c>
      <c r="AN227">
        <f t="shared" si="96"/>
        <v>0</v>
      </c>
      <c r="AO227">
        <f t="shared" si="96"/>
        <v>0</v>
      </c>
      <c r="AP227">
        <f t="shared" si="96"/>
        <v>0</v>
      </c>
      <c r="AQ227">
        <f t="shared" si="96"/>
        <v>0</v>
      </c>
      <c r="AR227">
        <f t="shared" si="94"/>
        <v>0</v>
      </c>
      <c r="AS227">
        <f t="shared" si="94"/>
        <v>0</v>
      </c>
      <c r="AT227">
        <f t="shared" si="93"/>
        <v>0</v>
      </c>
      <c r="AU227">
        <f t="shared" si="93"/>
        <v>0</v>
      </c>
      <c r="AV227">
        <f t="shared" si="95"/>
        <v>0</v>
      </c>
      <c r="AW227">
        <f t="shared" si="95"/>
        <v>0</v>
      </c>
      <c r="AX227">
        <f t="shared" si="95"/>
        <v>0</v>
      </c>
      <c r="AY227">
        <f t="shared" si="95"/>
        <v>0</v>
      </c>
      <c r="AZ227">
        <f t="shared" si="95"/>
        <v>0</v>
      </c>
    </row>
    <row r="228" spans="1:52" x14ac:dyDescent="0.25">
      <c r="A228" t="s">
        <v>22</v>
      </c>
      <c r="B228" s="3">
        <v>42485</v>
      </c>
      <c r="C228" s="1">
        <v>800.21152821062867</v>
      </c>
      <c r="D228" s="1">
        <v>72.746502564602608</v>
      </c>
      <c r="E228" s="1">
        <f t="shared" si="88"/>
        <v>371.21152821062867</v>
      </c>
      <c r="F228" s="1">
        <f t="shared" si="89"/>
        <v>429</v>
      </c>
      <c r="G228" s="2">
        <v>11</v>
      </c>
      <c r="H228" s="1">
        <v>33.746502564602608</v>
      </c>
      <c r="I228" s="1">
        <v>39</v>
      </c>
      <c r="J228" s="1">
        <f t="shared" si="91"/>
        <v>823617.90085565532</v>
      </c>
      <c r="K228" s="1">
        <f t="shared" si="92"/>
        <v>416672.90085565421</v>
      </c>
      <c r="N228">
        <f t="shared" si="90"/>
        <v>0</v>
      </c>
      <c r="O228">
        <f t="shared" si="90"/>
        <v>0</v>
      </c>
      <c r="P228">
        <f t="shared" si="90"/>
        <v>0</v>
      </c>
      <c r="Q228">
        <f t="shared" si="97"/>
        <v>0</v>
      </c>
      <c r="R228">
        <f t="shared" si="97"/>
        <v>0</v>
      </c>
      <c r="S228">
        <f t="shared" si="97"/>
        <v>0</v>
      </c>
      <c r="T228">
        <f t="shared" si="97"/>
        <v>0</v>
      </c>
      <c r="U228">
        <f t="shared" si="97"/>
        <v>0</v>
      </c>
      <c r="V228">
        <f t="shared" si="97"/>
        <v>0</v>
      </c>
      <c r="W228">
        <f t="shared" si="97"/>
        <v>0</v>
      </c>
      <c r="X228">
        <f t="shared" si="97"/>
        <v>0</v>
      </c>
      <c r="Y228">
        <f t="shared" si="97"/>
        <v>0</v>
      </c>
      <c r="Z228">
        <f t="shared" si="97"/>
        <v>0</v>
      </c>
      <c r="AA228">
        <f t="shared" si="97"/>
        <v>0</v>
      </c>
      <c r="AB228">
        <f t="shared" si="97"/>
        <v>0</v>
      </c>
      <c r="AC228">
        <f t="shared" si="97"/>
        <v>0</v>
      </c>
      <c r="AD228">
        <f t="shared" si="97"/>
        <v>0</v>
      </c>
      <c r="AE228">
        <f t="shared" si="97"/>
        <v>0</v>
      </c>
      <c r="AF228">
        <f t="shared" si="97"/>
        <v>0</v>
      </c>
      <c r="AG228">
        <f t="shared" si="96"/>
        <v>0</v>
      </c>
      <c r="AH228">
        <f t="shared" si="96"/>
        <v>0</v>
      </c>
      <c r="AI228">
        <f t="shared" si="96"/>
        <v>0</v>
      </c>
      <c r="AJ228">
        <f t="shared" si="96"/>
        <v>0</v>
      </c>
      <c r="AK228">
        <f t="shared" si="96"/>
        <v>0</v>
      </c>
      <c r="AL228">
        <f t="shared" si="96"/>
        <v>0</v>
      </c>
      <c r="AM228">
        <f t="shared" si="96"/>
        <v>0</v>
      </c>
      <c r="AN228">
        <f t="shared" si="96"/>
        <v>0</v>
      </c>
      <c r="AO228">
        <f t="shared" si="96"/>
        <v>0</v>
      </c>
      <c r="AP228">
        <f t="shared" si="96"/>
        <v>0</v>
      </c>
      <c r="AQ228">
        <f t="shared" si="96"/>
        <v>0</v>
      </c>
      <c r="AR228">
        <f t="shared" si="94"/>
        <v>0</v>
      </c>
      <c r="AS228">
        <f t="shared" si="94"/>
        <v>0</v>
      </c>
      <c r="AT228">
        <f t="shared" si="93"/>
        <v>0</v>
      </c>
      <c r="AU228">
        <f t="shared" si="93"/>
        <v>0</v>
      </c>
      <c r="AV228">
        <f t="shared" si="95"/>
        <v>0</v>
      </c>
      <c r="AW228">
        <f t="shared" si="95"/>
        <v>0</v>
      </c>
      <c r="AX228">
        <f t="shared" si="95"/>
        <v>1</v>
      </c>
      <c r="AY228">
        <f t="shared" si="95"/>
        <v>0</v>
      </c>
      <c r="AZ228">
        <f t="shared" si="95"/>
        <v>0</v>
      </c>
    </row>
    <row r="229" spans="1:52" x14ac:dyDescent="0.25">
      <c r="A229" t="s">
        <v>45</v>
      </c>
      <c r="B229" s="3">
        <v>42475</v>
      </c>
      <c r="C229" s="1">
        <v>3086.5180512953807</v>
      </c>
      <c r="D229" s="1">
        <v>114.3154833813104</v>
      </c>
      <c r="E229" s="1">
        <f t="shared" si="88"/>
        <v>1628.5180512953807</v>
      </c>
      <c r="F229" s="1">
        <f t="shared" si="89"/>
        <v>1458</v>
      </c>
      <c r="G229" s="2">
        <v>27</v>
      </c>
      <c r="H229" s="1">
        <v>60.315483381310401</v>
      </c>
      <c r="I229" s="1">
        <v>54</v>
      </c>
      <c r="J229" s="1">
        <f t="shared" si="91"/>
        <v>826704.41890695074</v>
      </c>
      <c r="K229" s="1">
        <f t="shared" si="92"/>
        <v>418301.41890694958</v>
      </c>
      <c r="N229">
        <f t="shared" si="90"/>
        <v>0</v>
      </c>
      <c r="O229">
        <f t="shared" si="90"/>
        <v>0</v>
      </c>
      <c r="P229">
        <f t="shared" si="90"/>
        <v>0</v>
      </c>
      <c r="Q229">
        <f t="shared" si="97"/>
        <v>0</v>
      </c>
      <c r="R229">
        <f t="shared" si="97"/>
        <v>0</v>
      </c>
      <c r="S229">
        <f t="shared" si="97"/>
        <v>0</v>
      </c>
      <c r="T229">
        <f t="shared" si="97"/>
        <v>0</v>
      </c>
      <c r="U229">
        <f t="shared" si="97"/>
        <v>0</v>
      </c>
      <c r="V229">
        <f t="shared" si="97"/>
        <v>0</v>
      </c>
      <c r="W229">
        <f t="shared" si="97"/>
        <v>0</v>
      </c>
      <c r="X229">
        <f t="shared" si="97"/>
        <v>0</v>
      </c>
      <c r="Y229">
        <f t="shared" si="97"/>
        <v>0</v>
      </c>
      <c r="Z229">
        <f t="shared" si="97"/>
        <v>0</v>
      </c>
      <c r="AA229">
        <f t="shared" si="97"/>
        <v>0</v>
      </c>
      <c r="AB229">
        <f t="shared" si="97"/>
        <v>0</v>
      </c>
      <c r="AC229">
        <f t="shared" si="97"/>
        <v>0</v>
      </c>
      <c r="AD229">
        <f t="shared" si="97"/>
        <v>0</v>
      </c>
      <c r="AE229">
        <f t="shared" si="97"/>
        <v>0</v>
      </c>
      <c r="AF229">
        <f t="shared" si="97"/>
        <v>0</v>
      </c>
      <c r="AG229">
        <f t="shared" si="96"/>
        <v>0</v>
      </c>
      <c r="AH229">
        <f t="shared" si="96"/>
        <v>0</v>
      </c>
      <c r="AI229">
        <f t="shared" si="96"/>
        <v>0</v>
      </c>
      <c r="AJ229">
        <f t="shared" si="96"/>
        <v>1</v>
      </c>
      <c r="AK229">
        <f t="shared" si="96"/>
        <v>0</v>
      </c>
      <c r="AL229">
        <f t="shared" si="96"/>
        <v>0</v>
      </c>
      <c r="AM229">
        <f t="shared" si="96"/>
        <v>0</v>
      </c>
      <c r="AN229">
        <f t="shared" si="96"/>
        <v>0</v>
      </c>
      <c r="AO229">
        <f t="shared" si="96"/>
        <v>0</v>
      </c>
      <c r="AP229">
        <f t="shared" si="96"/>
        <v>0</v>
      </c>
      <c r="AQ229">
        <f t="shared" si="96"/>
        <v>0</v>
      </c>
      <c r="AR229">
        <f t="shared" si="94"/>
        <v>0</v>
      </c>
      <c r="AS229">
        <f t="shared" si="94"/>
        <v>0</v>
      </c>
      <c r="AT229">
        <f t="shared" si="93"/>
        <v>0</v>
      </c>
      <c r="AU229">
        <f t="shared" si="93"/>
        <v>0</v>
      </c>
      <c r="AV229">
        <f t="shared" si="95"/>
        <v>0</v>
      </c>
      <c r="AW229">
        <f t="shared" si="95"/>
        <v>0</v>
      </c>
      <c r="AX229">
        <f t="shared" si="95"/>
        <v>0</v>
      </c>
      <c r="AY229">
        <f t="shared" si="95"/>
        <v>0</v>
      </c>
      <c r="AZ229">
        <f t="shared" si="95"/>
        <v>0</v>
      </c>
    </row>
    <row r="230" spans="1:52" x14ac:dyDescent="0.25">
      <c r="A230" t="s">
        <v>18</v>
      </c>
      <c r="B230" s="3">
        <v>42470</v>
      </c>
      <c r="C230" s="1">
        <v>201.37098711286376</v>
      </c>
      <c r="D230" s="1">
        <v>100.68549355643188</v>
      </c>
      <c r="E230" s="1">
        <f t="shared" si="88"/>
        <v>133.37098711286376</v>
      </c>
      <c r="F230" s="1">
        <f t="shared" si="89"/>
        <v>68</v>
      </c>
      <c r="G230" s="2">
        <v>2</v>
      </c>
      <c r="H230" s="1">
        <v>66.685493556431879</v>
      </c>
      <c r="I230" s="1">
        <v>34</v>
      </c>
      <c r="J230" s="1">
        <f t="shared" si="91"/>
        <v>826905.78989406361</v>
      </c>
      <c r="K230" s="1">
        <f t="shared" si="92"/>
        <v>418434.78989406244</v>
      </c>
      <c r="N230">
        <f t="shared" si="90"/>
        <v>0</v>
      </c>
      <c r="O230">
        <f t="shared" si="90"/>
        <v>0</v>
      </c>
      <c r="P230">
        <f t="shared" si="90"/>
        <v>0</v>
      </c>
      <c r="Q230">
        <f t="shared" si="97"/>
        <v>0</v>
      </c>
      <c r="R230">
        <f t="shared" si="97"/>
        <v>0</v>
      </c>
      <c r="S230">
        <f t="shared" si="97"/>
        <v>0</v>
      </c>
      <c r="T230">
        <f t="shared" si="97"/>
        <v>0</v>
      </c>
      <c r="U230">
        <f t="shared" si="97"/>
        <v>1</v>
      </c>
      <c r="V230">
        <f t="shared" si="97"/>
        <v>0</v>
      </c>
      <c r="W230">
        <f t="shared" si="97"/>
        <v>0</v>
      </c>
      <c r="X230">
        <f t="shared" si="97"/>
        <v>0</v>
      </c>
      <c r="Y230">
        <f t="shared" si="97"/>
        <v>0</v>
      </c>
      <c r="Z230">
        <f t="shared" si="97"/>
        <v>0</v>
      </c>
      <c r="AA230">
        <f t="shared" si="97"/>
        <v>0</v>
      </c>
      <c r="AB230">
        <f t="shared" si="97"/>
        <v>0</v>
      </c>
      <c r="AC230">
        <f t="shared" si="97"/>
        <v>0</v>
      </c>
      <c r="AD230">
        <f t="shared" si="97"/>
        <v>0</v>
      </c>
      <c r="AE230">
        <f t="shared" si="97"/>
        <v>0</v>
      </c>
      <c r="AF230">
        <f t="shared" si="97"/>
        <v>0</v>
      </c>
      <c r="AG230">
        <f t="shared" si="96"/>
        <v>0</v>
      </c>
      <c r="AH230">
        <f t="shared" si="96"/>
        <v>0</v>
      </c>
      <c r="AI230">
        <f t="shared" si="96"/>
        <v>0</v>
      </c>
      <c r="AJ230">
        <f t="shared" si="96"/>
        <v>0</v>
      </c>
      <c r="AK230">
        <f t="shared" si="96"/>
        <v>0</v>
      </c>
      <c r="AL230">
        <f t="shared" si="96"/>
        <v>0</v>
      </c>
      <c r="AM230">
        <f t="shared" si="96"/>
        <v>0</v>
      </c>
      <c r="AN230">
        <f t="shared" si="96"/>
        <v>0</v>
      </c>
      <c r="AO230">
        <f t="shared" si="96"/>
        <v>0</v>
      </c>
      <c r="AP230">
        <f t="shared" si="96"/>
        <v>0</v>
      </c>
      <c r="AQ230">
        <f t="shared" si="96"/>
        <v>0</v>
      </c>
      <c r="AR230">
        <f t="shared" si="94"/>
        <v>0</v>
      </c>
      <c r="AS230">
        <f t="shared" si="94"/>
        <v>0</v>
      </c>
      <c r="AT230">
        <f t="shared" si="93"/>
        <v>0</v>
      </c>
      <c r="AU230">
        <f t="shared" si="93"/>
        <v>0</v>
      </c>
      <c r="AV230">
        <f t="shared" si="95"/>
        <v>0</v>
      </c>
      <c r="AW230">
        <f t="shared" si="95"/>
        <v>0</v>
      </c>
      <c r="AX230">
        <f t="shared" si="95"/>
        <v>0</v>
      </c>
      <c r="AY230">
        <f t="shared" si="95"/>
        <v>0</v>
      </c>
      <c r="AZ230">
        <f t="shared" si="95"/>
        <v>0</v>
      </c>
    </row>
    <row r="231" spans="1:52" x14ac:dyDescent="0.25">
      <c r="A231" t="s">
        <v>31</v>
      </c>
      <c r="B231" s="3">
        <v>42468</v>
      </c>
      <c r="C231" s="1">
        <v>2228.4137301545011</v>
      </c>
      <c r="D231" s="1">
        <v>74.280457671816706</v>
      </c>
      <c r="E231" s="1">
        <f t="shared" si="88"/>
        <v>1058.4137301545011</v>
      </c>
      <c r="F231" s="1">
        <f t="shared" si="89"/>
        <v>1170</v>
      </c>
      <c r="G231" s="2">
        <v>30</v>
      </c>
      <c r="H231" s="1">
        <v>35.280457671816706</v>
      </c>
      <c r="I231" s="1">
        <v>39</v>
      </c>
      <c r="J231" s="1">
        <f t="shared" si="91"/>
        <v>829134.20362421812</v>
      </c>
      <c r="K231" s="1">
        <f t="shared" si="92"/>
        <v>419493.20362421696</v>
      </c>
      <c r="N231">
        <f t="shared" si="90"/>
        <v>0</v>
      </c>
      <c r="O231">
        <f t="shared" si="90"/>
        <v>0</v>
      </c>
      <c r="P231">
        <f t="shared" si="90"/>
        <v>0</v>
      </c>
      <c r="Q231">
        <f t="shared" si="97"/>
        <v>0</v>
      </c>
      <c r="R231">
        <f t="shared" si="97"/>
        <v>0</v>
      </c>
      <c r="S231">
        <f t="shared" si="97"/>
        <v>0</v>
      </c>
      <c r="T231">
        <f t="shared" si="97"/>
        <v>0</v>
      </c>
      <c r="U231">
        <f t="shared" si="97"/>
        <v>0</v>
      </c>
      <c r="V231">
        <f t="shared" si="97"/>
        <v>0</v>
      </c>
      <c r="W231">
        <f t="shared" si="97"/>
        <v>1</v>
      </c>
      <c r="X231">
        <f t="shared" si="97"/>
        <v>0</v>
      </c>
      <c r="Y231">
        <f t="shared" si="97"/>
        <v>0</v>
      </c>
      <c r="Z231">
        <f t="shared" si="97"/>
        <v>0</v>
      </c>
      <c r="AA231">
        <f t="shared" si="97"/>
        <v>0</v>
      </c>
      <c r="AB231">
        <f t="shared" si="97"/>
        <v>0</v>
      </c>
      <c r="AC231">
        <f t="shared" si="97"/>
        <v>0</v>
      </c>
      <c r="AD231">
        <f t="shared" si="97"/>
        <v>0</v>
      </c>
      <c r="AE231">
        <f t="shared" si="97"/>
        <v>0</v>
      </c>
      <c r="AF231">
        <f t="shared" si="97"/>
        <v>0</v>
      </c>
      <c r="AG231">
        <f t="shared" si="96"/>
        <v>0</v>
      </c>
      <c r="AH231">
        <f t="shared" si="96"/>
        <v>0</v>
      </c>
      <c r="AI231">
        <f t="shared" si="96"/>
        <v>0</v>
      </c>
      <c r="AJ231">
        <f t="shared" si="96"/>
        <v>0</v>
      </c>
      <c r="AK231">
        <f t="shared" si="96"/>
        <v>0</v>
      </c>
      <c r="AL231">
        <f t="shared" si="96"/>
        <v>0</v>
      </c>
      <c r="AM231">
        <f t="shared" si="96"/>
        <v>0</v>
      </c>
      <c r="AN231">
        <f t="shared" si="96"/>
        <v>0</v>
      </c>
      <c r="AO231">
        <f t="shared" si="96"/>
        <v>0</v>
      </c>
      <c r="AP231">
        <f t="shared" si="96"/>
        <v>0</v>
      </c>
      <c r="AQ231">
        <f t="shared" si="96"/>
        <v>0</v>
      </c>
      <c r="AR231">
        <f t="shared" si="94"/>
        <v>0</v>
      </c>
      <c r="AS231">
        <f t="shared" si="94"/>
        <v>0</v>
      </c>
      <c r="AT231">
        <f t="shared" si="93"/>
        <v>0</v>
      </c>
      <c r="AU231">
        <f t="shared" si="93"/>
        <v>0</v>
      </c>
      <c r="AV231">
        <f t="shared" si="95"/>
        <v>0</v>
      </c>
      <c r="AW231">
        <f t="shared" si="95"/>
        <v>0</v>
      </c>
      <c r="AX231">
        <f t="shared" si="95"/>
        <v>0</v>
      </c>
      <c r="AY231">
        <f t="shared" si="95"/>
        <v>0</v>
      </c>
      <c r="AZ231">
        <f t="shared" si="95"/>
        <v>0</v>
      </c>
    </row>
    <row r="232" spans="1:52" x14ac:dyDescent="0.25">
      <c r="A232" t="s">
        <v>25</v>
      </c>
      <c r="B232" s="3">
        <v>42456</v>
      </c>
      <c r="C232" s="1">
        <v>1980.1400547703802</v>
      </c>
      <c r="D232" s="1">
        <v>104.2178976194937</v>
      </c>
      <c r="E232" s="1">
        <f t="shared" si="88"/>
        <v>954.14005477038017</v>
      </c>
      <c r="F232" s="1">
        <f t="shared" si="89"/>
        <v>1026</v>
      </c>
      <c r="G232" s="2">
        <v>19</v>
      </c>
      <c r="H232" s="1">
        <v>50.217897619493691</v>
      </c>
      <c r="I232" s="1">
        <v>54</v>
      </c>
      <c r="J232" s="1">
        <f t="shared" si="91"/>
        <v>831114.34367898852</v>
      </c>
      <c r="K232" s="1">
        <f t="shared" si="92"/>
        <v>420447.34367898735</v>
      </c>
      <c r="N232">
        <f t="shared" si="90"/>
        <v>0</v>
      </c>
      <c r="O232">
        <f t="shared" si="90"/>
        <v>0</v>
      </c>
      <c r="P232">
        <f t="shared" si="90"/>
        <v>0</v>
      </c>
      <c r="Q232">
        <f t="shared" si="97"/>
        <v>0</v>
      </c>
      <c r="R232">
        <f t="shared" si="97"/>
        <v>0</v>
      </c>
      <c r="S232">
        <f t="shared" si="97"/>
        <v>1</v>
      </c>
      <c r="T232">
        <f t="shared" si="97"/>
        <v>0</v>
      </c>
      <c r="U232">
        <f t="shared" si="97"/>
        <v>0</v>
      </c>
      <c r="V232">
        <f t="shared" si="97"/>
        <v>0</v>
      </c>
      <c r="W232">
        <f t="shared" si="97"/>
        <v>0</v>
      </c>
      <c r="X232">
        <f t="shared" si="97"/>
        <v>0</v>
      </c>
      <c r="Y232">
        <f t="shared" si="97"/>
        <v>0</v>
      </c>
      <c r="Z232">
        <f t="shared" si="97"/>
        <v>0</v>
      </c>
      <c r="AA232">
        <f t="shared" si="97"/>
        <v>0</v>
      </c>
      <c r="AB232">
        <f t="shared" si="97"/>
        <v>0</v>
      </c>
      <c r="AC232">
        <f t="shared" si="97"/>
        <v>0</v>
      </c>
      <c r="AD232">
        <f t="shared" si="97"/>
        <v>0</v>
      </c>
      <c r="AE232">
        <f t="shared" si="97"/>
        <v>0</v>
      </c>
      <c r="AF232">
        <f t="shared" si="97"/>
        <v>0</v>
      </c>
      <c r="AG232">
        <f t="shared" si="96"/>
        <v>0</v>
      </c>
      <c r="AH232">
        <f t="shared" si="96"/>
        <v>0</v>
      </c>
      <c r="AI232">
        <f t="shared" si="96"/>
        <v>0</v>
      </c>
      <c r="AJ232">
        <f t="shared" si="96"/>
        <v>0</v>
      </c>
      <c r="AK232">
        <f t="shared" si="96"/>
        <v>0</v>
      </c>
      <c r="AL232">
        <f t="shared" si="96"/>
        <v>0</v>
      </c>
      <c r="AM232">
        <f t="shared" si="96"/>
        <v>0</v>
      </c>
      <c r="AN232">
        <f t="shared" si="96"/>
        <v>0</v>
      </c>
      <c r="AO232">
        <f t="shared" si="96"/>
        <v>0</v>
      </c>
      <c r="AP232">
        <f t="shared" si="96"/>
        <v>0</v>
      </c>
      <c r="AQ232">
        <f t="shared" si="96"/>
        <v>0</v>
      </c>
      <c r="AR232">
        <f t="shared" si="94"/>
        <v>0</v>
      </c>
      <c r="AS232">
        <f t="shared" si="94"/>
        <v>0</v>
      </c>
      <c r="AT232">
        <f t="shared" si="93"/>
        <v>0</v>
      </c>
      <c r="AU232">
        <f t="shared" si="93"/>
        <v>0</v>
      </c>
      <c r="AV232">
        <f t="shared" si="95"/>
        <v>0</v>
      </c>
      <c r="AW232">
        <f t="shared" si="95"/>
        <v>0</v>
      </c>
      <c r="AX232">
        <f t="shared" si="95"/>
        <v>0</v>
      </c>
      <c r="AY232">
        <f t="shared" si="95"/>
        <v>0</v>
      </c>
      <c r="AZ232">
        <f t="shared" si="95"/>
        <v>0</v>
      </c>
    </row>
    <row r="233" spans="1:52" x14ac:dyDescent="0.25">
      <c r="A233" t="s">
        <v>29</v>
      </c>
      <c r="B233" s="3">
        <v>42452</v>
      </c>
      <c r="C233" s="1">
        <v>1497.0252383870259</v>
      </c>
      <c r="D233" s="1">
        <v>48.291136722162122</v>
      </c>
      <c r="E233" s="1">
        <f t="shared" si="88"/>
        <v>660.02523838702575</v>
      </c>
      <c r="F233" s="1">
        <f t="shared" si="89"/>
        <v>837</v>
      </c>
      <c r="G233" s="2">
        <v>31</v>
      </c>
      <c r="H233" s="1">
        <v>21.291136722162122</v>
      </c>
      <c r="I233" s="1">
        <v>27</v>
      </c>
      <c r="J233" s="1">
        <f t="shared" si="91"/>
        <v>832611.36891737557</v>
      </c>
      <c r="K233" s="1">
        <f t="shared" si="92"/>
        <v>421107.36891737441</v>
      </c>
      <c r="N233">
        <f t="shared" si="90"/>
        <v>0</v>
      </c>
      <c r="O233">
        <f t="shared" si="90"/>
        <v>0</v>
      </c>
      <c r="P233">
        <f t="shared" si="90"/>
        <v>0</v>
      </c>
      <c r="Q233">
        <f t="shared" si="97"/>
        <v>0</v>
      </c>
      <c r="R233">
        <f t="shared" si="97"/>
        <v>0</v>
      </c>
      <c r="S233">
        <f t="shared" si="97"/>
        <v>0</v>
      </c>
      <c r="T233">
        <f t="shared" si="97"/>
        <v>0</v>
      </c>
      <c r="U233">
        <f t="shared" si="97"/>
        <v>0</v>
      </c>
      <c r="V233">
        <f t="shared" si="97"/>
        <v>0</v>
      </c>
      <c r="W233">
        <f t="shared" si="97"/>
        <v>0</v>
      </c>
      <c r="X233">
        <f t="shared" si="97"/>
        <v>0</v>
      </c>
      <c r="Y233">
        <f t="shared" si="97"/>
        <v>0</v>
      </c>
      <c r="Z233">
        <f t="shared" si="97"/>
        <v>0</v>
      </c>
      <c r="AA233">
        <f t="shared" si="97"/>
        <v>0</v>
      </c>
      <c r="AB233">
        <f t="shared" si="97"/>
        <v>0</v>
      </c>
      <c r="AC233">
        <f t="shared" si="97"/>
        <v>0</v>
      </c>
      <c r="AD233">
        <f t="shared" si="97"/>
        <v>0</v>
      </c>
      <c r="AE233">
        <f t="shared" si="97"/>
        <v>0</v>
      </c>
      <c r="AF233">
        <f t="shared" ref="AF233:AU248" si="98">+IF(AF$5=$A233,1,0)</f>
        <v>0</v>
      </c>
      <c r="AG233">
        <f t="shared" si="98"/>
        <v>0</v>
      </c>
      <c r="AH233">
        <f t="shared" si="98"/>
        <v>0</v>
      </c>
      <c r="AI233">
        <f t="shared" si="98"/>
        <v>0</v>
      </c>
      <c r="AJ233">
        <f t="shared" si="98"/>
        <v>0</v>
      </c>
      <c r="AK233">
        <f t="shared" si="98"/>
        <v>0</v>
      </c>
      <c r="AL233">
        <f t="shared" si="98"/>
        <v>0</v>
      </c>
      <c r="AM233">
        <f t="shared" si="98"/>
        <v>0</v>
      </c>
      <c r="AN233">
        <f t="shared" si="98"/>
        <v>0</v>
      </c>
      <c r="AO233">
        <f t="shared" si="98"/>
        <v>0</v>
      </c>
      <c r="AP233">
        <f t="shared" si="98"/>
        <v>0</v>
      </c>
      <c r="AQ233">
        <f t="shared" si="98"/>
        <v>0</v>
      </c>
      <c r="AR233">
        <f t="shared" si="98"/>
        <v>0</v>
      </c>
      <c r="AS233">
        <f t="shared" si="98"/>
        <v>1</v>
      </c>
      <c r="AT233">
        <f t="shared" si="98"/>
        <v>0</v>
      </c>
      <c r="AU233">
        <f t="shared" si="98"/>
        <v>0</v>
      </c>
      <c r="AV233">
        <f t="shared" si="95"/>
        <v>0</v>
      </c>
      <c r="AW233">
        <f t="shared" si="95"/>
        <v>0</v>
      </c>
      <c r="AX233">
        <f t="shared" si="95"/>
        <v>0</v>
      </c>
      <c r="AY233">
        <f t="shared" si="95"/>
        <v>0</v>
      </c>
      <c r="AZ233">
        <f t="shared" si="95"/>
        <v>0</v>
      </c>
    </row>
    <row r="234" spans="1:52" x14ac:dyDescent="0.25">
      <c r="A234" t="s">
        <v>37</v>
      </c>
      <c r="B234" s="3">
        <v>42448</v>
      </c>
      <c r="C234" s="1">
        <v>658.1554520823845</v>
      </c>
      <c r="D234" s="1">
        <v>73.128383564709395</v>
      </c>
      <c r="E234" s="1">
        <f t="shared" si="88"/>
        <v>361.15545208238456</v>
      </c>
      <c r="F234" s="1">
        <f t="shared" si="89"/>
        <v>297</v>
      </c>
      <c r="G234" s="2">
        <v>9</v>
      </c>
      <c r="H234" s="1">
        <v>40.128383564709395</v>
      </c>
      <c r="I234" s="1">
        <v>33</v>
      </c>
      <c r="J234" s="1">
        <f t="shared" si="91"/>
        <v>833269.52436945797</v>
      </c>
      <c r="K234" s="1">
        <f t="shared" si="92"/>
        <v>421468.52436945681</v>
      </c>
      <c r="N234">
        <f t="shared" si="90"/>
        <v>0</v>
      </c>
      <c r="O234">
        <f t="shared" si="90"/>
        <v>0</v>
      </c>
      <c r="P234">
        <f t="shared" si="90"/>
        <v>0</v>
      </c>
      <c r="Q234">
        <f t="shared" ref="Q234:AF249" si="99">+IF(Q$5=$A234,1,0)</f>
        <v>0</v>
      </c>
      <c r="R234">
        <f t="shared" si="99"/>
        <v>0</v>
      </c>
      <c r="S234">
        <f t="shared" si="99"/>
        <v>0</v>
      </c>
      <c r="T234">
        <f t="shared" si="99"/>
        <v>0</v>
      </c>
      <c r="U234">
        <f t="shared" si="99"/>
        <v>0</v>
      </c>
      <c r="V234">
        <f t="shared" si="99"/>
        <v>0</v>
      </c>
      <c r="W234">
        <f t="shared" si="99"/>
        <v>0</v>
      </c>
      <c r="X234">
        <f t="shared" si="99"/>
        <v>0</v>
      </c>
      <c r="Y234">
        <f t="shared" si="99"/>
        <v>0</v>
      </c>
      <c r="Z234">
        <f t="shared" si="99"/>
        <v>0</v>
      </c>
      <c r="AA234">
        <f t="shared" si="99"/>
        <v>0</v>
      </c>
      <c r="AB234">
        <f t="shared" si="99"/>
        <v>0</v>
      </c>
      <c r="AC234">
        <f t="shared" si="99"/>
        <v>0</v>
      </c>
      <c r="AD234">
        <f t="shared" si="99"/>
        <v>1</v>
      </c>
      <c r="AE234">
        <f t="shared" si="99"/>
        <v>0</v>
      </c>
      <c r="AF234">
        <f t="shared" si="99"/>
        <v>0</v>
      </c>
      <c r="AG234">
        <f t="shared" si="98"/>
        <v>0</v>
      </c>
      <c r="AH234">
        <f t="shared" si="98"/>
        <v>0</v>
      </c>
      <c r="AI234">
        <f t="shared" si="98"/>
        <v>0</v>
      </c>
      <c r="AJ234">
        <f t="shared" si="98"/>
        <v>0</v>
      </c>
      <c r="AK234">
        <f t="shared" si="98"/>
        <v>0</v>
      </c>
      <c r="AL234">
        <f t="shared" si="98"/>
        <v>0</v>
      </c>
      <c r="AM234">
        <f t="shared" si="98"/>
        <v>0</v>
      </c>
      <c r="AN234">
        <f t="shared" si="98"/>
        <v>0</v>
      </c>
      <c r="AO234">
        <f t="shared" si="98"/>
        <v>0</v>
      </c>
      <c r="AP234">
        <f t="shared" si="98"/>
        <v>0</v>
      </c>
      <c r="AQ234">
        <f t="shared" si="98"/>
        <v>0</v>
      </c>
      <c r="AR234">
        <f t="shared" si="98"/>
        <v>0</v>
      </c>
      <c r="AS234">
        <f t="shared" si="98"/>
        <v>0</v>
      </c>
      <c r="AT234">
        <f t="shared" si="98"/>
        <v>0</v>
      </c>
      <c r="AU234">
        <f t="shared" si="98"/>
        <v>0</v>
      </c>
      <c r="AV234">
        <f t="shared" si="95"/>
        <v>0</v>
      </c>
      <c r="AW234">
        <f t="shared" si="95"/>
        <v>0</v>
      </c>
      <c r="AX234">
        <f t="shared" si="95"/>
        <v>0</v>
      </c>
      <c r="AY234">
        <f t="shared" si="95"/>
        <v>0</v>
      </c>
      <c r="AZ234">
        <f t="shared" si="95"/>
        <v>0</v>
      </c>
    </row>
    <row r="235" spans="1:52" x14ac:dyDescent="0.25">
      <c r="A235" t="s">
        <v>38</v>
      </c>
      <c r="B235" s="3">
        <v>42433</v>
      </c>
      <c r="C235" s="1">
        <v>41926.891291215135</v>
      </c>
      <c r="D235" s="1">
        <v>210.68789593575445</v>
      </c>
      <c r="E235" s="1">
        <f t="shared" si="88"/>
        <v>27598.891291215135</v>
      </c>
      <c r="F235" s="1">
        <f t="shared" si="89"/>
        <v>14328</v>
      </c>
      <c r="G235" s="2">
        <v>199</v>
      </c>
      <c r="H235" s="1">
        <v>138.68789593575445</v>
      </c>
      <c r="I235" s="1">
        <v>72</v>
      </c>
      <c r="J235" s="1">
        <f t="shared" si="91"/>
        <v>875196.41566067305</v>
      </c>
      <c r="K235" s="1">
        <f t="shared" si="92"/>
        <v>449067.41566067195</v>
      </c>
      <c r="N235">
        <f t="shared" si="90"/>
        <v>0</v>
      </c>
      <c r="O235">
        <f t="shared" si="90"/>
        <v>0</v>
      </c>
      <c r="P235">
        <f t="shared" si="90"/>
        <v>0</v>
      </c>
      <c r="Q235">
        <f t="shared" si="99"/>
        <v>0</v>
      </c>
      <c r="R235">
        <f t="shared" si="99"/>
        <v>0</v>
      </c>
      <c r="S235">
        <f t="shared" si="99"/>
        <v>0</v>
      </c>
      <c r="T235">
        <f t="shared" si="99"/>
        <v>0</v>
      </c>
      <c r="U235">
        <f t="shared" si="99"/>
        <v>0</v>
      </c>
      <c r="V235">
        <f t="shared" si="99"/>
        <v>0</v>
      </c>
      <c r="W235">
        <f t="shared" si="99"/>
        <v>0</v>
      </c>
      <c r="X235">
        <f t="shared" si="99"/>
        <v>0</v>
      </c>
      <c r="Y235">
        <f t="shared" si="99"/>
        <v>0</v>
      </c>
      <c r="Z235">
        <f t="shared" si="99"/>
        <v>0</v>
      </c>
      <c r="AA235">
        <f t="shared" si="99"/>
        <v>0</v>
      </c>
      <c r="AB235">
        <f t="shared" si="99"/>
        <v>1</v>
      </c>
      <c r="AC235">
        <f t="shared" si="99"/>
        <v>0</v>
      </c>
      <c r="AD235">
        <f t="shared" si="99"/>
        <v>0</v>
      </c>
      <c r="AE235">
        <f t="shared" si="99"/>
        <v>0</v>
      </c>
      <c r="AF235">
        <f t="shared" si="99"/>
        <v>0</v>
      </c>
      <c r="AG235">
        <f t="shared" si="98"/>
        <v>0</v>
      </c>
      <c r="AH235">
        <f t="shared" si="98"/>
        <v>0</v>
      </c>
      <c r="AI235">
        <f t="shared" si="98"/>
        <v>0</v>
      </c>
      <c r="AJ235">
        <f t="shared" si="98"/>
        <v>0</v>
      </c>
      <c r="AK235">
        <f t="shared" si="98"/>
        <v>0</v>
      </c>
      <c r="AL235">
        <f t="shared" si="98"/>
        <v>0</v>
      </c>
      <c r="AM235">
        <f t="shared" si="98"/>
        <v>0</v>
      </c>
      <c r="AN235">
        <f t="shared" si="98"/>
        <v>0</v>
      </c>
      <c r="AO235">
        <f t="shared" si="98"/>
        <v>0</v>
      </c>
      <c r="AP235">
        <f t="shared" si="98"/>
        <v>0</v>
      </c>
      <c r="AQ235">
        <f t="shared" si="98"/>
        <v>0</v>
      </c>
      <c r="AR235">
        <f t="shared" si="98"/>
        <v>0</v>
      </c>
      <c r="AS235">
        <f t="shared" si="98"/>
        <v>0</v>
      </c>
      <c r="AT235">
        <f t="shared" si="98"/>
        <v>0</v>
      </c>
      <c r="AU235">
        <f t="shared" si="98"/>
        <v>0</v>
      </c>
      <c r="AV235">
        <f t="shared" si="95"/>
        <v>0</v>
      </c>
      <c r="AW235">
        <f t="shared" si="95"/>
        <v>0</v>
      </c>
      <c r="AX235">
        <f t="shared" si="95"/>
        <v>0</v>
      </c>
      <c r="AY235">
        <f t="shared" si="95"/>
        <v>0</v>
      </c>
      <c r="AZ235">
        <f t="shared" si="95"/>
        <v>0</v>
      </c>
    </row>
    <row r="236" spans="1:52" x14ac:dyDescent="0.25">
      <c r="A236" t="s">
        <v>42</v>
      </c>
      <c r="B236" s="3">
        <v>42430</v>
      </c>
      <c r="C236" s="1">
        <v>9329.5152286761841</v>
      </c>
      <c r="D236" s="1">
        <v>131.40162293910117</v>
      </c>
      <c r="E236" s="1">
        <f t="shared" si="88"/>
        <v>5779.5152286761822</v>
      </c>
      <c r="F236" s="1">
        <f t="shared" si="89"/>
        <v>3550</v>
      </c>
      <c r="G236" s="2">
        <v>71</v>
      </c>
      <c r="H236" s="1">
        <v>81.401622939101159</v>
      </c>
      <c r="I236" s="1">
        <v>50</v>
      </c>
      <c r="J236" s="1">
        <f t="shared" si="91"/>
        <v>884525.9308893492</v>
      </c>
      <c r="K236" s="1">
        <f t="shared" si="92"/>
        <v>454846.93088934815</v>
      </c>
      <c r="N236">
        <f t="shared" si="90"/>
        <v>0</v>
      </c>
      <c r="O236">
        <f t="shared" si="90"/>
        <v>0</v>
      </c>
      <c r="P236">
        <f t="shared" si="90"/>
        <v>0</v>
      </c>
      <c r="Q236">
        <f t="shared" si="99"/>
        <v>0</v>
      </c>
      <c r="R236">
        <f t="shared" si="99"/>
        <v>0</v>
      </c>
      <c r="S236">
        <f t="shared" si="99"/>
        <v>0</v>
      </c>
      <c r="T236">
        <f t="shared" si="99"/>
        <v>0</v>
      </c>
      <c r="U236">
        <f t="shared" si="99"/>
        <v>0</v>
      </c>
      <c r="V236">
        <f t="shared" si="99"/>
        <v>0</v>
      </c>
      <c r="W236">
        <f t="shared" si="99"/>
        <v>0</v>
      </c>
      <c r="X236">
        <f t="shared" si="99"/>
        <v>0</v>
      </c>
      <c r="Y236">
        <f t="shared" si="99"/>
        <v>0</v>
      </c>
      <c r="Z236">
        <f t="shared" si="99"/>
        <v>1</v>
      </c>
      <c r="AA236">
        <f t="shared" si="99"/>
        <v>0</v>
      </c>
      <c r="AB236">
        <f t="shared" si="99"/>
        <v>0</v>
      </c>
      <c r="AC236">
        <f t="shared" si="99"/>
        <v>0</v>
      </c>
      <c r="AD236">
        <f t="shared" si="99"/>
        <v>0</v>
      </c>
      <c r="AE236">
        <f t="shared" si="99"/>
        <v>0</v>
      </c>
      <c r="AF236">
        <f t="shared" si="99"/>
        <v>0</v>
      </c>
      <c r="AG236">
        <f t="shared" si="98"/>
        <v>0</v>
      </c>
      <c r="AH236">
        <f t="shared" si="98"/>
        <v>0</v>
      </c>
      <c r="AI236">
        <f t="shared" si="98"/>
        <v>0</v>
      </c>
      <c r="AJ236">
        <f t="shared" si="98"/>
        <v>0</v>
      </c>
      <c r="AK236">
        <f t="shared" si="98"/>
        <v>0</v>
      </c>
      <c r="AL236">
        <f t="shared" si="98"/>
        <v>0</v>
      </c>
      <c r="AM236">
        <f t="shared" si="98"/>
        <v>0</v>
      </c>
      <c r="AN236">
        <f t="shared" si="98"/>
        <v>0</v>
      </c>
      <c r="AO236">
        <f t="shared" si="98"/>
        <v>0</v>
      </c>
      <c r="AP236">
        <f t="shared" si="98"/>
        <v>0</v>
      </c>
      <c r="AQ236">
        <f t="shared" si="98"/>
        <v>0</v>
      </c>
      <c r="AR236">
        <f t="shared" si="98"/>
        <v>0</v>
      </c>
      <c r="AS236">
        <f t="shared" si="98"/>
        <v>0</v>
      </c>
      <c r="AT236">
        <f t="shared" si="98"/>
        <v>0</v>
      </c>
      <c r="AU236">
        <f t="shared" si="98"/>
        <v>0</v>
      </c>
      <c r="AV236">
        <f t="shared" si="95"/>
        <v>0</v>
      </c>
      <c r="AW236">
        <f t="shared" si="95"/>
        <v>0</v>
      </c>
      <c r="AX236">
        <f t="shared" si="95"/>
        <v>0</v>
      </c>
      <c r="AY236">
        <f t="shared" si="95"/>
        <v>0</v>
      </c>
      <c r="AZ236">
        <f t="shared" si="95"/>
        <v>0</v>
      </c>
    </row>
    <row r="237" spans="1:52" x14ac:dyDescent="0.25">
      <c r="A237" t="s">
        <v>27</v>
      </c>
      <c r="B237" s="3">
        <v>42428</v>
      </c>
      <c r="C237" s="1">
        <v>6505.183733594461</v>
      </c>
      <c r="D237" s="1">
        <v>101.64349583741345</v>
      </c>
      <c r="E237" s="1">
        <f t="shared" si="88"/>
        <v>3369.183733594461</v>
      </c>
      <c r="F237" s="1">
        <f t="shared" si="89"/>
        <v>3136</v>
      </c>
      <c r="G237" s="2">
        <v>64</v>
      </c>
      <c r="H237" s="1">
        <v>52.643495837413454</v>
      </c>
      <c r="I237" s="1">
        <v>49</v>
      </c>
      <c r="J237" s="1">
        <f t="shared" si="91"/>
        <v>891031.11462294369</v>
      </c>
      <c r="K237" s="1">
        <f t="shared" si="92"/>
        <v>458216.11462294264</v>
      </c>
      <c r="N237">
        <f t="shared" si="90"/>
        <v>0</v>
      </c>
      <c r="O237">
        <f t="shared" si="90"/>
        <v>0</v>
      </c>
      <c r="P237">
        <f t="shared" si="90"/>
        <v>0</v>
      </c>
      <c r="Q237">
        <f t="shared" si="99"/>
        <v>0</v>
      </c>
      <c r="R237">
        <f t="shared" si="99"/>
        <v>0</v>
      </c>
      <c r="S237">
        <f t="shared" si="99"/>
        <v>0</v>
      </c>
      <c r="T237">
        <f t="shared" si="99"/>
        <v>0</v>
      </c>
      <c r="U237">
        <f t="shared" si="99"/>
        <v>0</v>
      </c>
      <c r="V237">
        <f t="shared" si="99"/>
        <v>0</v>
      </c>
      <c r="W237">
        <f t="shared" si="99"/>
        <v>0</v>
      </c>
      <c r="X237">
        <f t="shared" si="99"/>
        <v>0</v>
      </c>
      <c r="Y237">
        <f t="shared" si="99"/>
        <v>0</v>
      </c>
      <c r="Z237">
        <f t="shared" si="99"/>
        <v>0</v>
      </c>
      <c r="AA237">
        <f t="shared" si="99"/>
        <v>0</v>
      </c>
      <c r="AB237">
        <f t="shared" si="99"/>
        <v>0</v>
      </c>
      <c r="AC237">
        <f t="shared" si="99"/>
        <v>1</v>
      </c>
      <c r="AD237">
        <f t="shared" si="99"/>
        <v>0</v>
      </c>
      <c r="AE237">
        <f t="shared" si="99"/>
        <v>0</v>
      </c>
      <c r="AF237">
        <f t="shared" si="99"/>
        <v>0</v>
      </c>
      <c r="AG237">
        <f t="shared" si="98"/>
        <v>0</v>
      </c>
      <c r="AH237">
        <f t="shared" si="98"/>
        <v>0</v>
      </c>
      <c r="AI237">
        <f t="shared" si="98"/>
        <v>0</v>
      </c>
      <c r="AJ237">
        <f t="shared" si="98"/>
        <v>0</v>
      </c>
      <c r="AK237">
        <f t="shared" si="98"/>
        <v>0</v>
      </c>
      <c r="AL237">
        <f t="shared" si="98"/>
        <v>0</v>
      </c>
      <c r="AM237">
        <f t="shared" si="98"/>
        <v>0</v>
      </c>
      <c r="AN237">
        <f t="shared" si="98"/>
        <v>0</v>
      </c>
      <c r="AO237">
        <f t="shared" si="98"/>
        <v>0</v>
      </c>
      <c r="AP237">
        <f t="shared" si="98"/>
        <v>0</v>
      </c>
      <c r="AQ237">
        <f t="shared" si="98"/>
        <v>0</v>
      </c>
      <c r="AR237">
        <f t="shared" si="98"/>
        <v>0</v>
      </c>
      <c r="AS237">
        <f t="shared" si="98"/>
        <v>0</v>
      </c>
      <c r="AT237">
        <f t="shared" si="98"/>
        <v>0</v>
      </c>
      <c r="AU237">
        <f t="shared" si="98"/>
        <v>0</v>
      </c>
      <c r="AV237">
        <f t="shared" si="95"/>
        <v>0</v>
      </c>
      <c r="AW237">
        <f t="shared" si="95"/>
        <v>0</v>
      </c>
      <c r="AX237">
        <f t="shared" si="95"/>
        <v>0</v>
      </c>
      <c r="AY237">
        <f t="shared" si="95"/>
        <v>0</v>
      </c>
      <c r="AZ237">
        <f t="shared" si="95"/>
        <v>0</v>
      </c>
    </row>
    <row r="238" spans="1:52" x14ac:dyDescent="0.25">
      <c r="A238" t="s">
        <v>29</v>
      </c>
      <c r="B238" s="3">
        <v>42389</v>
      </c>
      <c r="C238" s="1">
        <v>4660.137887728135</v>
      </c>
      <c r="D238" s="1">
        <v>145.62930899150422</v>
      </c>
      <c r="E238" s="1">
        <f t="shared" si="88"/>
        <v>1908.1378877281345</v>
      </c>
      <c r="F238" s="1">
        <f t="shared" si="89"/>
        <v>2752</v>
      </c>
      <c r="G238" s="2">
        <v>32</v>
      </c>
      <c r="H238" s="1">
        <v>59.629308991504203</v>
      </c>
      <c r="I238" s="1">
        <v>86</v>
      </c>
      <c r="J238" s="1">
        <f t="shared" si="91"/>
        <v>895691.25251067185</v>
      </c>
      <c r="K238" s="1">
        <f t="shared" si="92"/>
        <v>460124.25251067075</v>
      </c>
      <c r="N238">
        <f t="shared" si="90"/>
        <v>0</v>
      </c>
      <c r="O238">
        <f t="shared" si="90"/>
        <v>0</v>
      </c>
      <c r="P238">
        <f t="shared" si="90"/>
        <v>0</v>
      </c>
      <c r="Q238">
        <f t="shared" si="99"/>
        <v>0</v>
      </c>
      <c r="R238">
        <f t="shared" si="99"/>
        <v>0</v>
      </c>
      <c r="S238">
        <f t="shared" si="99"/>
        <v>0</v>
      </c>
      <c r="T238">
        <f t="shared" si="99"/>
        <v>0</v>
      </c>
      <c r="U238">
        <f t="shared" si="99"/>
        <v>0</v>
      </c>
      <c r="V238">
        <f t="shared" si="99"/>
        <v>0</v>
      </c>
      <c r="W238">
        <f t="shared" si="99"/>
        <v>0</v>
      </c>
      <c r="X238">
        <f t="shared" si="99"/>
        <v>0</v>
      </c>
      <c r="Y238">
        <f t="shared" si="99"/>
        <v>0</v>
      </c>
      <c r="Z238">
        <f t="shared" si="99"/>
        <v>0</v>
      </c>
      <c r="AA238">
        <f t="shared" si="99"/>
        <v>0</v>
      </c>
      <c r="AB238">
        <f t="shared" si="99"/>
        <v>0</v>
      </c>
      <c r="AC238">
        <f t="shared" si="99"/>
        <v>0</v>
      </c>
      <c r="AD238">
        <f t="shared" si="99"/>
        <v>0</v>
      </c>
      <c r="AE238">
        <f t="shared" si="99"/>
        <v>0</v>
      </c>
      <c r="AF238">
        <f t="shared" si="99"/>
        <v>0</v>
      </c>
      <c r="AG238">
        <f t="shared" si="98"/>
        <v>0</v>
      </c>
      <c r="AH238">
        <f t="shared" si="98"/>
        <v>0</v>
      </c>
      <c r="AI238">
        <f t="shared" si="98"/>
        <v>0</v>
      </c>
      <c r="AJ238">
        <f t="shared" si="98"/>
        <v>0</v>
      </c>
      <c r="AK238">
        <f t="shared" si="98"/>
        <v>0</v>
      </c>
      <c r="AL238">
        <f t="shared" si="98"/>
        <v>0</v>
      </c>
      <c r="AM238">
        <f t="shared" si="98"/>
        <v>0</v>
      </c>
      <c r="AN238">
        <f t="shared" si="98"/>
        <v>0</v>
      </c>
      <c r="AO238">
        <f t="shared" si="98"/>
        <v>0</v>
      </c>
      <c r="AP238">
        <f t="shared" si="98"/>
        <v>0</v>
      </c>
      <c r="AQ238">
        <f t="shared" si="98"/>
        <v>0</v>
      </c>
      <c r="AR238">
        <f t="shared" si="98"/>
        <v>0</v>
      </c>
      <c r="AS238">
        <f t="shared" si="98"/>
        <v>1</v>
      </c>
      <c r="AT238">
        <f t="shared" si="98"/>
        <v>0</v>
      </c>
      <c r="AU238">
        <f t="shared" si="98"/>
        <v>0</v>
      </c>
      <c r="AV238">
        <f t="shared" si="95"/>
        <v>0</v>
      </c>
      <c r="AW238">
        <f t="shared" si="95"/>
        <v>0</v>
      </c>
      <c r="AX238">
        <f t="shared" si="95"/>
        <v>0</v>
      </c>
      <c r="AY238">
        <f t="shared" si="95"/>
        <v>0</v>
      </c>
      <c r="AZ238">
        <f t="shared" si="95"/>
        <v>0</v>
      </c>
    </row>
    <row r="239" spans="1:52" x14ac:dyDescent="0.25">
      <c r="A239" t="s">
        <v>44</v>
      </c>
      <c r="B239" s="3">
        <v>42389</v>
      </c>
      <c r="C239" s="1">
        <v>3296.731394362324</v>
      </c>
      <c r="D239" s="1">
        <v>91.575872065620104</v>
      </c>
      <c r="E239" s="1">
        <f t="shared" si="88"/>
        <v>2072.731394362324</v>
      </c>
      <c r="F239" s="1">
        <f t="shared" si="89"/>
        <v>1224</v>
      </c>
      <c r="G239" s="2">
        <v>36</v>
      </c>
      <c r="H239" s="1">
        <v>57.575872065620104</v>
      </c>
      <c r="I239" s="1">
        <v>34</v>
      </c>
      <c r="J239" s="1">
        <f t="shared" si="91"/>
        <v>898987.98390503414</v>
      </c>
      <c r="K239" s="1">
        <f t="shared" si="92"/>
        <v>462196.98390503309</v>
      </c>
      <c r="N239">
        <f t="shared" si="90"/>
        <v>0</v>
      </c>
      <c r="O239">
        <f t="shared" si="90"/>
        <v>0</v>
      </c>
      <c r="P239">
        <f t="shared" si="90"/>
        <v>0</v>
      </c>
      <c r="Q239">
        <f t="shared" si="99"/>
        <v>0</v>
      </c>
      <c r="R239">
        <f t="shared" si="99"/>
        <v>0</v>
      </c>
      <c r="S239">
        <f t="shared" si="99"/>
        <v>0</v>
      </c>
      <c r="T239">
        <f t="shared" si="99"/>
        <v>0</v>
      </c>
      <c r="U239">
        <f t="shared" si="99"/>
        <v>0</v>
      </c>
      <c r="V239">
        <f t="shared" si="99"/>
        <v>0</v>
      </c>
      <c r="W239">
        <f t="shared" si="99"/>
        <v>0</v>
      </c>
      <c r="X239">
        <f t="shared" si="99"/>
        <v>0</v>
      </c>
      <c r="Y239">
        <f t="shared" si="99"/>
        <v>0</v>
      </c>
      <c r="Z239">
        <f t="shared" si="99"/>
        <v>0</v>
      </c>
      <c r="AA239">
        <f t="shared" si="99"/>
        <v>0</v>
      </c>
      <c r="AB239">
        <f t="shared" si="99"/>
        <v>0</v>
      </c>
      <c r="AC239">
        <f t="shared" si="99"/>
        <v>0</v>
      </c>
      <c r="AD239">
        <f t="shared" si="99"/>
        <v>0</v>
      </c>
      <c r="AE239">
        <f t="shared" si="99"/>
        <v>0</v>
      </c>
      <c r="AF239">
        <f t="shared" si="99"/>
        <v>0</v>
      </c>
      <c r="AG239">
        <f t="shared" si="98"/>
        <v>0</v>
      </c>
      <c r="AH239">
        <f t="shared" si="98"/>
        <v>0</v>
      </c>
      <c r="AI239">
        <f t="shared" si="98"/>
        <v>0</v>
      </c>
      <c r="AJ239">
        <f t="shared" si="98"/>
        <v>0</v>
      </c>
      <c r="AK239">
        <f t="shared" si="98"/>
        <v>0</v>
      </c>
      <c r="AL239">
        <f t="shared" si="98"/>
        <v>0</v>
      </c>
      <c r="AM239">
        <f t="shared" si="98"/>
        <v>0</v>
      </c>
      <c r="AN239">
        <f t="shared" si="98"/>
        <v>0</v>
      </c>
      <c r="AO239">
        <f t="shared" si="98"/>
        <v>0</v>
      </c>
      <c r="AP239">
        <f t="shared" si="98"/>
        <v>0</v>
      </c>
      <c r="AQ239">
        <f t="shared" si="98"/>
        <v>0</v>
      </c>
      <c r="AR239">
        <f t="shared" si="98"/>
        <v>0</v>
      </c>
      <c r="AS239">
        <f t="shared" si="98"/>
        <v>0</v>
      </c>
      <c r="AT239">
        <f t="shared" si="98"/>
        <v>0</v>
      </c>
      <c r="AU239">
        <f t="shared" si="98"/>
        <v>1</v>
      </c>
      <c r="AV239">
        <f t="shared" si="95"/>
        <v>0</v>
      </c>
      <c r="AW239">
        <f t="shared" si="95"/>
        <v>0</v>
      </c>
      <c r="AX239">
        <f t="shared" si="95"/>
        <v>0</v>
      </c>
      <c r="AY239">
        <f t="shared" si="95"/>
        <v>0</v>
      </c>
      <c r="AZ239">
        <f t="shared" si="95"/>
        <v>0</v>
      </c>
    </row>
    <row r="240" spans="1:52" x14ac:dyDescent="0.25">
      <c r="A240" t="s">
        <v>22</v>
      </c>
      <c r="B240" s="3">
        <v>42388</v>
      </c>
      <c r="C240" s="1">
        <v>836.21782522092258</v>
      </c>
      <c r="D240" s="1">
        <v>209.05445630523064</v>
      </c>
      <c r="E240" s="1">
        <f t="shared" si="88"/>
        <v>472.21782522092263</v>
      </c>
      <c r="F240" s="1">
        <f t="shared" si="89"/>
        <v>364</v>
      </c>
      <c r="G240" s="2">
        <v>4</v>
      </c>
      <c r="H240" s="1">
        <v>118.05445630523066</v>
      </c>
      <c r="I240" s="1">
        <v>91</v>
      </c>
      <c r="J240" s="1">
        <f t="shared" si="91"/>
        <v>899824.20173025504</v>
      </c>
      <c r="K240" s="1">
        <f t="shared" si="92"/>
        <v>462669.20173025399</v>
      </c>
      <c r="N240">
        <f t="shared" si="90"/>
        <v>0</v>
      </c>
      <c r="O240">
        <f t="shared" si="90"/>
        <v>0</v>
      </c>
      <c r="P240">
        <f t="shared" si="90"/>
        <v>0</v>
      </c>
      <c r="Q240">
        <f t="shared" si="99"/>
        <v>0</v>
      </c>
      <c r="R240">
        <f t="shared" si="99"/>
        <v>0</v>
      </c>
      <c r="S240">
        <f t="shared" si="99"/>
        <v>0</v>
      </c>
      <c r="T240">
        <f t="shared" si="99"/>
        <v>0</v>
      </c>
      <c r="U240">
        <f t="shared" si="99"/>
        <v>0</v>
      </c>
      <c r="V240">
        <f t="shared" si="99"/>
        <v>0</v>
      </c>
      <c r="W240">
        <f t="shared" si="99"/>
        <v>0</v>
      </c>
      <c r="X240">
        <f t="shared" si="99"/>
        <v>0</v>
      </c>
      <c r="Y240">
        <f t="shared" si="99"/>
        <v>0</v>
      </c>
      <c r="Z240">
        <f t="shared" si="99"/>
        <v>0</v>
      </c>
      <c r="AA240">
        <f t="shared" si="99"/>
        <v>0</v>
      </c>
      <c r="AB240">
        <f t="shared" si="99"/>
        <v>0</v>
      </c>
      <c r="AC240">
        <f t="shared" si="99"/>
        <v>0</v>
      </c>
      <c r="AD240">
        <f t="shared" si="99"/>
        <v>0</v>
      </c>
      <c r="AE240">
        <f t="shared" si="99"/>
        <v>0</v>
      </c>
      <c r="AF240">
        <f t="shared" si="99"/>
        <v>0</v>
      </c>
      <c r="AG240">
        <f t="shared" si="98"/>
        <v>0</v>
      </c>
      <c r="AH240">
        <f t="shared" si="98"/>
        <v>0</v>
      </c>
      <c r="AI240">
        <f t="shared" si="98"/>
        <v>0</v>
      </c>
      <c r="AJ240">
        <f t="shared" si="98"/>
        <v>0</v>
      </c>
      <c r="AK240">
        <f t="shared" si="98"/>
        <v>0</v>
      </c>
      <c r="AL240">
        <f t="shared" si="98"/>
        <v>0</v>
      </c>
      <c r="AM240">
        <f t="shared" si="98"/>
        <v>0</v>
      </c>
      <c r="AN240">
        <f t="shared" si="98"/>
        <v>0</v>
      </c>
      <c r="AO240">
        <f t="shared" si="98"/>
        <v>0</v>
      </c>
      <c r="AP240">
        <f t="shared" si="98"/>
        <v>0</v>
      </c>
      <c r="AQ240">
        <f t="shared" si="98"/>
        <v>0</v>
      </c>
      <c r="AR240">
        <f t="shared" si="98"/>
        <v>0</v>
      </c>
      <c r="AS240">
        <f t="shared" si="98"/>
        <v>0</v>
      </c>
      <c r="AT240">
        <f t="shared" si="98"/>
        <v>0</v>
      </c>
      <c r="AU240">
        <f t="shared" si="98"/>
        <v>0</v>
      </c>
      <c r="AV240">
        <f t="shared" si="95"/>
        <v>0</v>
      </c>
      <c r="AW240">
        <f t="shared" si="95"/>
        <v>0</v>
      </c>
      <c r="AX240">
        <f t="shared" si="95"/>
        <v>1</v>
      </c>
      <c r="AY240">
        <f t="shared" si="95"/>
        <v>0</v>
      </c>
      <c r="AZ240">
        <f t="shared" si="95"/>
        <v>0</v>
      </c>
    </row>
    <row r="241" spans="1:52" x14ac:dyDescent="0.25">
      <c r="A241" t="s">
        <v>30</v>
      </c>
      <c r="B241" s="3">
        <v>42368</v>
      </c>
      <c r="C241" s="1">
        <v>1381.2921200943022</v>
      </c>
      <c r="D241" s="1">
        <v>153.47690223270024</v>
      </c>
      <c r="E241" s="1">
        <f t="shared" si="88"/>
        <v>724.29212009430216</v>
      </c>
      <c r="F241" s="1">
        <f t="shared" si="89"/>
        <v>657</v>
      </c>
      <c r="G241" s="2">
        <v>9</v>
      </c>
      <c r="H241" s="1">
        <v>80.47690223270024</v>
      </c>
      <c r="I241" s="1">
        <v>73</v>
      </c>
      <c r="J241" s="1">
        <f t="shared" si="91"/>
        <v>901205.49385034933</v>
      </c>
      <c r="K241" s="1">
        <f t="shared" si="92"/>
        <v>463393.49385034828</v>
      </c>
      <c r="N241">
        <f t="shared" si="90"/>
        <v>0</v>
      </c>
      <c r="O241">
        <f t="shared" si="90"/>
        <v>0</v>
      </c>
      <c r="P241">
        <f t="shared" si="90"/>
        <v>0</v>
      </c>
      <c r="Q241">
        <f t="shared" si="99"/>
        <v>0</v>
      </c>
      <c r="R241">
        <f t="shared" si="99"/>
        <v>0</v>
      </c>
      <c r="S241">
        <f t="shared" si="99"/>
        <v>0</v>
      </c>
      <c r="T241">
        <f t="shared" si="99"/>
        <v>0</v>
      </c>
      <c r="U241">
        <f t="shared" si="99"/>
        <v>0</v>
      </c>
      <c r="V241">
        <f t="shared" si="99"/>
        <v>0</v>
      </c>
      <c r="W241">
        <f t="shared" si="99"/>
        <v>0</v>
      </c>
      <c r="X241">
        <f t="shared" si="99"/>
        <v>0</v>
      </c>
      <c r="Y241">
        <f t="shared" si="99"/>
        <v>0</v>
      </c>
      <c r="Z241">
        <f t="shared" si="99"/>
        <v>0</v>
      </c>
      <c r="AA241">
        <f t="shared" si="99"/>
        <v>0</v>
      </c>
      <c r="AB241">
        <f t="shared" si="99"/>
        <v>0</v>
      </c>
      <c r="AC241">
        <f t="shared" si="99"/>
        <v>0</v>
      </c>
      <c r="AD241">
        <f t="shared" si="99"/>
        <v>0</v>
      </c>
      <c r="AE241">
        <f t="shared" si="99"/>
        <v>0</v>
      </c>
      <c r="AF241">
        <f t="shared" si="99"/>
        <v>0</v>
      </c>
      <c r="AG241">
        <f t="shared" si="98"/>
        <v>0</v>
      </c>
      <c r="AH241">
        <f t="shared" si="98"/>
        <v>0</v>
      </c>
      <c r="AI241">
        <f t="shared" si="98"/>
        <v>0</v>
      </c>
      <c r="AJ241">
        <f t="shared" si="98"/>
        <v>0</v>
      </c>
      <c r="AK241">
        <f t="shared" si="98"/>
        <v>0</v>
      </c>
      <c r="AL241">
        <f t="shared" si="98"/>
        <v>0</v>
      </c>
      <c r="AM241">
        <f t="shared" si="98"/>
        <v>0</v>
      </c>
      <c r="AN241">
        <f t="shared" si="98"/>
        <v>0</v>
      </c>
      <c r="AO241">
        <f t="shared" si="98"/>
        <v>0</v>
      </c>
      <c r="AP241">
        <f t="shared" si="98"/>
        <v>0</v>
      </c>
      <c r="AQ241">
        <f t="shared" si="98"/>
        <v>0</v>
      </c>
      <c r="AR241">
        <f t="shared" si="98"/>
        <v>0</v>
      </c>
      <c r="AS241">
        <f t="shared" si="98"/>
        <v>0</v>
      </c>
      <c r="AT241">
        <f t="shared" si="98"/>
        <v>0</v>
      </c>
      <c r="AU241">
        <f t="shared" si="98"/>
        <v>0</v>
      </c>
      <c r="AV241">
        <f t="shared" si="95"/>
        <v>1</v>
      </c>
      <c r="AW241">
        <f t="shared" si="95"/>
        <v>0</v>
      </c>
      <c r="AX241">
        <f t="shared" si="95"/>
        <v>0</v>
      </c>
      <c r="AY241">
        <f t="shared" si="95"/>
        <v>0</v>
      </c>
      <c r="AZ241">
        <f t="shared" si="95"/>
        <v>0</v>
      </c>
    </row>
    <row r="242" spans="1:52" x14ac:dyDescent="0.25">
      <c r="A242" t="s">
        <v>13</v>
      </c>
      <c r="B242" s="3">
        <v>42364</v>
      </c>
      <c r="C242" s="1">
        <v>792.84143914675724</v>
      </c>
      <c r="D242" s="1">
        <v>99.105179893344655</v>
      </c>
      <c r="E242" s="1">
        <f t="shared" si="88"/>
        <v>448.84143914675724</v>
      </c>
      <c r="F242" s="1">
        <f t="shared" si="89"/>
        <v>344</v>
      </c>
      <c r="G242" s="2">
        <v>8</v>
      </c>
      <c r="H242" s="1">
        <v>56.105179893344655</v>
      </c>
      <c r="I242" s="1">
        <v>43</v>
      </c>
      <c r="J242" s="1">
        <f t="shared" si="91"/>
        <v>901998.33528949611</v>
      </c>
      <c r="K242" s="1">
        <f t="shared" si="92"/>
        <v>463842.33528949507</v>
      </c>
      <c r="N242">
        <f t="shared" si="90"/>
        <v>0</v>
      </c>
      <c r="O242">
        <f t="shared" si="90"/>
        <v>0</v>
      </c>
      <c r="P242">
        <f t="shared" si="90"/>
        <v>0</v>
      </c>
      <c r="Q242">
        <f t="shared" si="99"/>
        <v>0</v>
      </c>
      <c r="R242">
        <f t="shared" si="99"/>
        <v>1</v>
      </c>
      <c r="S242">
        <f t="shared" si="99"/>
        <v>0</v>
      </c>
      <c r="T242">
        <f t="shared" si="99"/>
        <v>0</v>
      </c>
      <c r="U242">
        <f t="shared" si="99"/>
        <v>0</v>
      </c>
      <c r="V242">
        <f t="shared" si="99"/>
        <v>0</v>
      </c>
      <c r="W242">
        <f t="shared" si="99"/>
        <v>0</v>
      </c>
      <c r="X242">
        <f t="shared" si="99"/>
        <v>0</v>
      </c>
      <c r="Y242">
        <f t="shared" si="99"/>
        <v>0</v>
      </c>
      <c r="Z242">
        <f t="shared" si="99"/>
        <v>0</v>
      </c>
      <c r="AA242">
        <f t="shared" si="99"/>
        <v>0</v>
      </c>
      <c r="AB242">
        <f t="shared" si="99"/>
        <v>0</v>
      </c>
      <c r="AC242">
        <f t="shared" si="99"/>
        <v>0</v>
      </c>
      <c r="AD242">
        <f t="shared" si="99"/>
        <v>0</v>
      </c>
      <c r="AE242">
        <f t="shared" si="99"/>
        <v>0</v>
      </c>
      <c r="AF242">
        <f t="shared" si="99"/>
        <v>0</v>
      </c>
      <c r="AG242">
        <f t="shared" si="98"/>
        <v>0</v>
      </c>
      <c r="AH242">
        <f t="shared" si="98"/>
        <v>0</v>
      </c>
      <c r="AI242">
        <f t="shared" si="98"/>
        <v>0</v>
      </c>
      <c r="AJ242">
        <f t="shared" si="98"/>
        <v>0</v>
      </c>
      <c r="AK242">
        <f t="shared" si="98"/>
        <v>0</v>
      </c>
      <c r="AL242">
        <f t="shared" si="98"/>
        <v>0</v>
      </c>
      <c r="AM242">
        <f t="shared" si="98"/>
        <v>0</v>
      </c>
      <c r="AN242">
        <f t="shared" si="98"/>
        <v>0</v>
      </c>
      <c r="AO242">
        <f t="shared" si="98"/>
        <v>0</v>
      </c>
      <c r="AP242">
        <f t="shared" si="98"/>
        <v>0</v>
      </c>
      <c r="AQ242">
        <f t="shared" si="98"/>
        <v>0</v>
      </c>
      <c r="AR242">
        <f t="shared" si="98"/>
        <v>0</v>
      </c>
      <c r="AS242">
        <f t="shared" si="98"/>
        <v>0</v>
      </c>
      <c r="AT242">
        <f t="shared" si="98"/>
        <v>0</v>
      </c>
      <c r="AU242">
        <f t="shared" si="98"/>
        <v>0</v>
      </c>
      <c r="AV242">
        <f t="shared" si="95"/>
        <v>0</v>
      </c>
      <c r="AW242">
        <f t="shared" si="95"/>
        <v>0</v>
      </c>
      <c r="AX242">
        <f t="shared" si="95"/>
        <v>0</v>
      </c>
      <c r="AY242">
        <f t="shared" si="95"/>
        <v>0</v>
      </c>
      <c r="AZ242">
        <f t="shared" si="95"/>
        <v>0</v>
      </c>
    </row>
    <row r="243" spans="1:52" x14ac:dyDescent="0.25">
      <c r="A243" t="s">
        <v>12</v>
      </c>
      <c r="B243" s="3">
        <v>42363</v>
      </c>
      <c r="C243" s="1">
        <v>562.93107180971901</v>
      </c>
      <c r="D243" s="1">
        <v>51.175551982701734</v>
      </c>
      <c r="E243" s="1">
        <f t="shared" si="88"/>
        <v>309.93107180971901</v>
      </c>
      <c r="F243" s="1">
        <f t="shared" si="89"/>
        <v>253</v>
      </c>
      <c r="G243" s="2">
        <v>11</v>
      </c>
      <c r="H243" s="1">
        <v>28.17555198270173</v>
      </c>
      <c r="I243" s="1">
        <v>23</v>
      </c>
      <c r="J243" s="1">
        <f t="shared" si="91"/>
        <v>902561.26636130584</v>
      </c>
      <c r="K243" s="1">
        <f t="shared" si="92"/>
        <v>464152.26636130479</v>
      </c>
      <c r="N243">
        <f t="shared" si="90"/>
        <v>0</v>
      </c>
      <c r="O243">
        <f t="shared" si="90"/>
        <v>0</v>
      </c>
      <c r="P243">
        <f t="shared" si="90"/>
        <v>0</v>
      </c>
      <c r="Q243">
        <f t="shared" si="99"/>
        <v>0</v>
      </c>
      <c r="R243">
        <f t="shared" si="99"/>
        <v>0</v>
      </c>
      <c r="S243">
        <f t="shared" si="99"/>
        <v>0</v>
      </c>
      <c r="T243">
        <f t="shared" si="99"/>
        <v>0</v>
      </c>
      <c r="U243">
        <f t="shared" si="99"/>
        <v>0</v>
      </c>
      <c r="V243">
        <f t="shared" si="99"/>
        <v>0</v>
      </c>
      <c r="W243">
        <f t="shared" si="99"/>
        <v>0</v>
      </c>
      <c r="X243">
        <f t="shared" si="99"/>
        <v>0</v>
      </c>
      <c r="Y243">
        <f t="shared" si="99"/>
        <v>0</v>
      </c>
      <c r="Z243">
        <f t="shared" si="99"/>
        <v>0</v>
      </c>
      <c r="AA243">
        <f t="shared" si="99"/>
        <v>0</v>
      </c>
      <c r="AB243">
        <f t="shared" si="99"/>
        <v>0</v>
      </c>
      <c r="AC243">
        <f t="shared" si="99"/>
        <v>0</v>
      </c>
      <c r="AD243">
        <f t="shared" si="99"/>
        <v>0</v>
      </c>
      <c r="AE243">
        <f t="shared" si="99"/>
        <v>0</v>
      </c>
      <c r="AF243">
        <f t="shared" si="99"/>
        <v>0</v>
      </c>
      <c r="AG243">
        <f t="shared" si="98"/>
        <v>0</v>
      </c>
      <c r="AH243">
        <f t="shared" si="98"/>
        <v>0</v>
      </c>
      <c r="AI243">
        <f t="shared" si="98"/>
        <v>0</v>
      </c>
      <c r="AJ243">
        <f t="shared" si="98"/>
        <v>0</v>
      </c>
      <c r="AK243">
        <f t="shared" si="98"/>
        <v>1</v>
      </c>
      <c r="AL243">
        <f t="shared" si="98"/>
        <v>0</v>
      </c>
      <c r="AM243">
        <f t="shared" si="98"/>
        <v>0</v>
      </c>
      <c r="AN243">
        <f t="shared" si="98"/>
        <v>0</v>
      </c>
      <c r="AO243">
        <f t="shared" si="98"/>
        <v>0</v>
      </c>
      <c r="AP243">
        <f t="shared" si="98"/>
        <v>0</v>
      </c>
      <c r="AQ243">
        <f t="shared" si="98"/>
        <v>0</v>
      </c>
      <c r="AR243">
        <f t="shared" si="98"/>
        <v>0</v>
      </c>
      <c r="AS243">
        <f t="shared" si="98"/>
        <v>0</v>
      </c>
      <c r="AT243">
        <f t="shared" si="98"/>
        <v>0</v>
      </c>
      <c r="AU243">
        <f t="shared" si="98"/>
        <v>0</v>
      </c>
      <c r="AV243">
        <f t="shared" si="95"/>
        <v>0</v>
      </c>
      <c r="AW243">
        <f t="shared" si="95"/>
        <v>0</v>
      </c>
      <c r="AX243">
        <f t="shared" si="95"/>
        <v>0</v>
      </c>
      <c r="AY243">
        <f t="shared" si="95"/>
        <v>0</v>
      </c>
      <c r="AZ243">
        <f t="shared" si="95"/>
        <v>0</v>
      </c>
    </row>
    <row r="244" spans="1:52" x14ac:dyDescent="0.25">
      <c r="A244" t="s">
        <v>17</v>
      </c>
      <c r="B244" s="3">
        <v>42360</v>
      </c>
      <c r="C244" s="1">
        <v>2492.5742575549307</v>
      </c>
      <c r="D244" s="1">
        <v>92.317565094627057</v>
      </c>
      <c r="E244" s="1">
        <f t="shared" si="88"/>
        <v>1655.5742575549305</v>
      </c>
      <c r="F244" s="1">
        <f t="shared" si="89"/>
        <v>837</v>
      </c>
      <c r="G244" s="2">
        <v>27</v>
      </c>
      <c r="H244" s="1">
        <v>61.317565094627057</v>
      </c>
      <c r="I244" s="1">
        <v>31</v>
      </c>
      <c r="J244" s="1">
        <f t="shared" si="91"/>
        <v>905053.84061886079</v>
      </c>
      <c r="K244" s="1">
        <f t="shared" si="92"/>
        <v>465807.84061885974</v>
      </c>
      <c r="N244">
        <f t="shared" si="90"/>
        <v>0</v>
      </c>
      <c r="O244">
        <f t="shared" si="90"/>
        <v>0</v>
      </c>
      <c r="P244">
        <f t="shared" si="90"/>
        <v>0</v>
      </c>
      <c r="Q244">
        <f t="shared" si="99"/>
        <v>0</v>
      </c>
      <c r="R244">
        <f t="shared" si="99"/>
        <v>0</v>
      </c>
      <c r="S244">
        <f t="shared" si="99"/>
        <v>0</v>
      </c>
      <c r="T244">
        <f t="shared" si="99"/>
        <v>0</v>
      </c>
      <c r="U244">
        <f t="shared" si="99"/>
        <v>0</v>
      </c>
      <c r="V244">
        <f t="shared" si="99"/>
        <v>0</v>
      </c>
      <c r="W244">
        <f t="shared" si="99"/>
        <v>0</v>
      </c>
      <c r="X244">
        <f t="shared" si="99"/>
        <v>0</v>
      </c>
      <c r="Y244">
        <f t="shared" si="99"/>
        <v>0</v>
      </c>
      <c r="Z244">
        <f t="shared" si="99"/>
        <v>0</v>
      </c>
      <c r="AA244">
        <f t="shared" si="99"/>
        <v>0</v>
      </c>
      <c r="AB244">
        <f t="shared" si="99"/>
        <v>0</v>
      </c>
      <c r="AC244">
        <f t="shared" si="99"/>
        <v>0</v>
      </c>
      <c r="AD244">
        <f t="shared" si="99"/>
        <v>0</v>
      </c>
      <c r="AE244">
        <f t="shared" si="99"/>
        <v>0</v>
      </c>
      <c r="AF244">
        <f t="shared" si="99"/>
        <v>0</v>
      </c>
      <c r="AG244">
        <f t="shared" si="98"/>
        <v>1</v>
      </c>
      <c r="AH244">
        <f t="shared" si="98"/>
        <v>0</v>
      </c>
      <c r="AI244">
        <f t="shared" si="98"/>
        <v>0</v>
      </c>
      <c r="AJ244">
        <f t="shared" si="98"/>
        <v>0</v>
      </c>
      <c r="AK244">
        <f t="shared" si="98"/>
        <v>0</v>
      </c>
      <c r="AL244">
        <f t="shared" si="98"/>
        <v>0</v>
      </c>
      <c r="AM244">
        <f t="shared" si="98"/>
        <v>0</v>
      </c>
      <c r="AN244">
        <f t="shared" si="98"/>
        <v>0</v>
      </c>
      <c r="AO244">
        <f t="shared" si="98"/>
        <v>0</v>
      </c>
      <c r="AP244">
        <f t="shared" si="98"/>
        <v>0</v>
      </c>
      <c r="AQ244">
        <f t="shared" si="98"/>
        <v>0</v>
      </c>
      <c r="AR244">
        <f t="shared" si="98"/>
        <v>0</v>
      </c>
      <c r="AS244">
        <f t="shared" si="98"/>
        <v>0</v>
      </c>
      <c r="AT244">
        <f t="shared" si="98"/>
        <v>0</v>
      </c>
      <c r="AU244">
        <f t="shared" si="98"/>
        <v>0</v>
      </c>
      <c r="AV244">
        <f t="shared" si="95"/>
        <v>0</v>
      </c>
      <c r="AW244">
        <f t="shared" si="95"/>
        <v>0</v>
      </c>
      <c r="AX244">
        <f t="shared" si="95"/>
        <v>0</v>
      </c>
      <c r="AY244">
        <f t="shared" si="95"/>
        <v>0</v>
      </c>
      <c r="AZ244">
        <f t="shared" si="95"/>
        <v>0</v>
      </c>
    </row>
    <row r="245" spans="1:52" x14ac:dyDescent="0.25">
      <c r="A245" t="s">
        <v>19</v>
      </c>
      <c r="B245" s="3">
        <v>42357</v>
      </c>
      <c r="C245" s="1">
        <v>3591.62655441164</v>
      </c>
      <c r="D245" s="1">
        <v>128.27237694327286</v>
      </c>
      <c r="E245" s="1">
        <f t="shared" si="88"/>
        <v>1911.62655441164</v>
      </c>
      <c r="F245" s="1">
        <f t="shared" si="89"/>
        <v>1680</v>
      </c>
      <c r="G245" s="2">
        <v>28</v>
      </c>
      <c r="H245" s="1">
        <v>68.27237694327286</v>
      </c>
      <c r="I245" s="1">
        <v>60</v>
      </c>
      <c r="J245" s="1">
        <f t="shared" si="91"/>
        <v>908645.46717327239</v>
      </c>
      <c r="K245" s="1">
        <f t="shared" si="92"/>
        <v>467719.46717327141</v>
      </c>
      <c r="N245">
        <f t="shared" si="90"/>
        <v>0</v>
      </c>
      <c r="O245">
        <f t="shared" si="90"/>
        <v>0</v>
      </c>
      <c r="P245">
        <f t="shared" si="90"/>
        <v>0</v>
      </c>
      <c r="Q245">
        <f t="shared" si="99"/>
        <v>0</v>
      </c>
      <c r="R245">
        <f t="shared" si="99"/>
        <v>0</v>
      </c>
      <c r="S245">
        <f t="shared" si="99"/>
        <v>0</v>
      </c>
      <c r="T245">
        <f t="shared" si="99"/>
        <v>0</v>
      </c>
      <c r="U245">
        <f t="shared" si="99"/>
        <v>0</v>
      </c>
      <c r="V245">
        <f t="shared" si="99"/>
        <v>0</v>
      </c>
      <c r="W245">
        <f t="shared" si="99"/>
        <v>0</v>
      </c>
      <c r="X245">
        <f t="shared" si="99"/>
        <v>0</v>
      </c>
      <c r="Y245">
        <f t="shared" si="99"/>
        <v>0</v>
      </c>
      <c r="Z245">
        <f t="shared" si="99"/>
        <v>0</v>
      </c>
      <c r="AA245">
        <f t="shared" si="99"/>
        <v>0</v>
      </c>
      <c r="AB245">
        <f t="shared" si="99"/>
        <v>0</v>
      </c>
      <c r="AC245">
        <f t="shared" si="99"/>
        <v>0</v>
      </c>
      <c r="AD245">
        <f t="shared" si="99"/>
        <v>0</v>
      </c>
      <c r="AE245">
        <f t="shared" si="99"/>
        <v>0</v>
      </c>
      <c r="AF245">
        <f t="shared" si="99"/>
        <v>0</v>
      </c>
      <c r="AG245">
        <f t="shared" si="98"/>
        <v>0</v>
      </c>
      <c r="AH245">
        <f t="shared" si="98"/>
        <v>0</v>
      </c>
      <c r="AI245">
        <f t="shared" si="98"/>
        <v>0</v>
      </c>
      <c r="AJ245">
        <f t="shared" si="98"/>
        <v>0</v>
      </c>
      <c r="AK245">
        <f t="shared" si="98"/>
        <v>0</v>
      </c>
      <c r="AL245">
        <f t="shared" si="98"/>
        <v>0</v>
      </c>
      <c r="AM245">
        <f t="shared" si="98"/>
        <v>0</v>
      </c>
      <c r="AN245">
        <f t="shared" si="98"/>
        <v>0</v>
      </c>
      <c r="AO245">
        <f t="shared" si="98"/>
        <v>0</v>
      </c>
      <c r="AP245">
        <f t="shared" si="98"/>
        <v>0</v>
      </c>
      <c r="AQ245">
        <f t="shared" si="98"/>
        <v>0</v>
      </c>
      <c r="AR245">
        <f t="shared" si="98"/>
        <v>0</v>
      </c>
      <c r="AS245">
        <f t="shared" si="98"/>
        <v>0</v>
      </c>
      <c r="AT245">
        <f t="shared" si="98"/>
        <v>0</v>
      </c>
      <c r="AU245">
        <f t="shared" si="98"/>
        <v>0</v>
      </c>
      <c r="AV245">
        <f t="shared" si="95"/>
        <v>0</v>
      </c>
      <c r="AW245">
        <f t="shared" si="95"/>
        <v>1</v>
      </c>
      <c r="AX245">
        <f t="shared" si="95"/>
        <v>0</v>
      </c>
      <c r="AY245">
        <f t="shared" si="95"/>
        <v>0</v>
      </c>
      <c r="AZ245">
        <f t="shared" si="95"/>
        <v>0</v>
      </c>
    </row>
    <row r="246" spans="1:52" x14ac:dyDescent="0.25">
      <c r="A246" t="s">
        <v>38</v>
      </c>
      <c r="B246" s="3">
        <v>42330</v>
      </c>
      <c r="C246" s="1">
        <v>5471.2013823504203</v>
      </c>
      <c r="D246" s="1">
        <v>210.43082239809308</v>
      </c>
      <c r="E246" s="1">
        <f t="shared" si="88"/>
        <v>2377.2013823504199</v>
      </c>
      <c r="F246" s="1">
        <f t="shared" si="89"/>
        <v>3094</v>
      </c>
      <c r="G246" s="2">
        <v>26</v>
      </c>
      <c r="H246" s="1">
        <v>91.430822398093071</v>
      </c>
      <c r="I246" s="1">
        <v>119</v>
      </c>
      <c r="J246" s="1">
        <f t="shared" si="91"/>
        <v>914116.6685556228</v>
      </c>
      <c r="K246" s="1">
        <f t="shared" si="92"/>
        <v>470096.66855562181</v>
      </c>
      <c r="N246">
        <f t="shared" si="90"/>
        <v>0</v>
      </c>
      <c r="O246">
        <f t="shared" si="90"/>
        <v>0</v>
      </c>
      <c r="P246">
        <f t="shared" si="90"/>
        <v>0</v>
      </c>
      <c r="Q246">
        <f t="shared" si="99"/>
        <v>0</v>
      </c>
      <c r="R246">
        <f t="shared" si="99"/>
        <v>0</v>
      </c>
      <c r="S246">
        <f t="shared" si="99"/>
        <v>0</v>
      </c>
      <c r="T246">
        <f t="shared" si="99"/>
        <v>0</v>
      </c>
      <c r="U246">
        <f t="shared" si="99"/>
        <v>0</v>
      </c>
      <c r="V246">
        <f t="shared" si="99"/>
        <v>0</v>
      </c>
      <c r="W246">
        <f t="shared" si="99"/>
        <v>0</v>
      </c>
      <c r="X246">
        <f t="shared" si="99"/>
        <v>0</v>
      </c>
      <c r="Y246">
        <f t="shared" si="99"/>
        <v>0</v>
      </c>
      <c r="Z246">
        <f t="shared" si="99"/>
        <v>0</v>
      </c>
      <c r="AA246">
        <f t="shared" si="99"/>
        <v>0</v>
      </c>
      <c r="AB246">
        <f t="shared" si="99"/>
        <v>1</v>
      </c>
      <c r="AC246">
        <f t="shared" si="99"/>
        <v>0</v>
      </c>
      <c r="AD246">
        <f t="shared" si="99"/>
        <v>0</v>
      </c>
      <c r="AE246">
        <f t="shared" si="99"/>
        <v>0</v>
      </c>
      <c r="AF246">
        <f t="shared" si="99"/>
        <v>0</v>
      </c>
      <c r="AG246">
        <f t="shared" si="98"/>
        <v>0</v>
      </c>
      <c r="AH246">
        <f t="shared" si="98"/>
        <v>0</v>
      </c>
      <c r="AI246">
        <f t="shared" si="98"/>
        <v>0</v>
      </c>
      <c r="AJ246">
        <f t="shared" si="98"/>
        <v>0</v>
      </c>
      <c r="AK246">
        <f t="shared" si="98"/>
        <v>0</v>
      </c>
      <c r="AL246">
        <f t="shared" si="98"/>
        <v>0</v>
      </c>
      <c r="AM246">
        <f t="shared" si="98"/>
        <v>0</v>
      </c>
      <c r="AN246">
        <f t="shared" si="98"/>
        <v>0</v>
      </c>
      <c r="AO246">
        <f t="shared" si="98"/>
        <v>0</v>
      </c>
      <c r="AP246">
        <f t="shared" si="98"/>
        <v>0</v>
      </c>
      <c r="AQ246">
        <f t="shared" si="98"/>
        <v>0</v>
      </c>
      <c r="AR246">
        <f t="shared" si="98"/>
        <v>0</v>
      </c>
      <c r="AS246">
        <f t="shared" si="98"/>
        <v>0</v>
      </c>
      <c r="AT246">
        <f t="shared" si="98"/>
        <v>0</v>
      </c>
      <c r="AU246">
        <f t="shared" si="98"/>
        <v>0</v>
      </c>
      <c r="AV246">
        <f t="shared" si="95"/>
        <v>0</v>
      </c>
      <c r="AW246">
        <f t="shared" si="95"/>
        <v>0</v>
      </c>
      <c r="AX246">
        <f t="shared" si="95"/>
        <v>0</v>
      </c>
      <c r="AY246">
        <f t="shared" si="95"/>
        <v>0</v>
      </c>
      <c r="AZ246">
        <f t="shared" si="95"/>
        <v>0</v>
      </c>
    </row>
    <row r="247" spans="1:52" x14ac:dyDescent="0.25">
      <c r="A247" t="s">
        <v>14</v>
      </c>
      <c r="B247" s="3">
        <v>42323</v>
      </c>
      <c r="C247" s="1">
        <v>3626.6833177027465</v>
      </c>
      <c r="D247" s="1">
        <v>88.455690675676749</v>
      </c>
      <c r="E247" s="1">
        <f t="shared" si="88"/>
        <v>1945.683317702747</v>
      </c>
      <c r="F247" s="1">
        <f t="shared" si="89"/>
        <v>1681</v>
      </c>
      <c r="G247" s="2">
        <v>41</v>
      </c>
      <c r="H247" s="1">
        <v>47.455690675676756</v>
      </c>
      <c r="I247" s="1">
        <v>41</v>
      </c>
      <c r="J247" s="1">
        <f t="shared" si="91"/>
        <v>917743.35187332553</v>
      </c>
      <c r="K247" s="1">
        <f t="shared" si="92"/>
        <v>472042.35187332454</v>
      </c>
      <c r="N247">
        <f t="shared" si="90"/>
        <v>0</v>
      </c>
      <c r="O247">
        <f t="shared" si="90"/>
        <v>0</v>
      </c>
      <c r="P247">
        <f t="shared" si="90"/>
        <v>0</v>
      </c>
      <c r="Q247">
        <f t="shared" si="99"/>
        <v>0</v>
      </c>
      <c r="R247">
        <f t="shared" si="99"/>
        <v>0</v>
      </c>
      <c r="S247">
        <f t="shared" si="99"/>
        <v>0</v>
      </c>
      <c r="T247">
        <f t="shared" si="99"/>
        <v>0</v>
      </c>
      <c r="U247">
        <f t="shared" si="99"/>
        <v>0</v>
      </c>
      <c r="V247">
        <f t="shared" si="99"/>
        <v>0</v>
      </c>
      <c r="W247">
        <f t="shared" si="99"/>
        <v>0</v>
      </c>
      <c r="X247">
        <f t="shared" si="99"/>
        <v>0</v>
      </c>
      <c r="Y247">
        <f t="shared" si="99"/>
        <v>0</v>
      </c>
      <c r="Z247">
        <f t="shared" si="99"/>
        <v>0</v>
      </c>
      <c r="AA247">
        <f t="shared" si="99"/>
        <v>0</v>
      </c>
      <c r="AB247">
        <f t="shared" si="99"/>
        <v>0</v>
      </c>
      <c r="AC247">
        <f t="shared" si="99"/>
        <v>0</v>
      </c>
      <c r="AD247">
        <f t="shared" si="99"/>
        <v>0</v>
      </c>
      <c r="AE247">
        <f t="shared" si="99"/>
        <v>0</v>
      </c>
      <c r="AF247">
        <f t="shared" si="99"/>
        <v>0</v>
      </c>
      <c r="AG247">
        <f t="shared" si="98"/>
        <v>0</v>
      </c>
      <c r="AH247">
        <f t="shared" si="98"/>
        <v>0</v>
      </c>
      <c r="AI247">
        <f t="shared" si="98"/>
        <v>0</v>
      </c>
      <c r="AJ247">
        <f t="shared" si="98"/>
        <v>0</v>
      </c>
      <c r="AK247">
        <f t="shared" si="98"/>
        <v>0</v>
      </c>
      <c r="AL247">
        <f t="shared" si="98"/>
        <v>0</v>
      </c>
      <c r="AM247">
        <f t="shared" si="98"/>
        <v>0</v>
      </c>
      <c r="AN247">
        <f t="shared" si="98"/>
        <v>0</v>
      </c>
      <c r="AO247">
        <f t="shared" si="98"/>
        <v>0</v>
      </c>
      <c r="AP247">
        <f t="shared" si="98"/>
        <v>1</v>
      </c>
      <c r="AQ247">
        <f t="shared" si="98"/>
        <v>0</v>
      </c>
      <c r="AR247">
        <f t="shared" si="98"/>
        <v>0</v>
      </c>
      <c r="AS247">
        <f t="shared" si="98"/>
        <v>0</v>
      </c>
      <c r="AT247">
        <f t="shared" si="98"/>
        <v>0</v>
      </c>
      <c r="AU247">
        <f t="shared" si="98"/>
        <v>0</v>
      </c>
      <c r="AV247">
        <f t="shared" si="95"/>
        <v>0</v>
      </c>
      <c r="AW247">
        <f t="shared" si="95"/>
        <v>0</v>
      </c>
      <c r="AX247">
        <f t="shared" si="95"/>
        <v>0</v>
      </c>
      <c r="AY247">
        <f t="shared" si="95"/>
        <v>0</v>
      </c>
      <c r="AZ247">
        <f t="shared" si="95"/>
        <v>0</v>
      </c>
    </row>
    <row r="248" spans="1:52" x14ac:dyDescent="0.25">
      <c r="A248" t="s">
        <v>38</v>
      </c>
      <c r="B248" s="3">
        <v>42312</v>
      </c>
      <c r="C248" s="1">
        <v>2066.5974512829557</v>
      </c>
      <c r="D248" s="1">
        <v>59.045641465227305</v>
      </c>
      <c r="E248" s="1">
        <f t="shared" si="88"/>
        <v>1226.5974512829557</v>
      </c>
      <c r="F248" s="1">
        <f t="shared" si="89"/>
        <v>840</v>
      </c>
      <c r="G248" s="2">
        <v>35</v>
      </c>
      <c r="H248" s="1">
        <v>35.045641465227305</v>
      </c>
      <c r="I248" s="1">
        <v>24</v>
      </c>
      <c r="J248" s="1">
        <f t="shared" si="91"/>
        <v>919809.94932460843</v>
      </c>
      <c r="K248" s="1">
        <f t="shared" si="92"/>
        <v>473268.9493246075</v>
      </c>
      <c r="N248">
        <f t="shared" si="90"/>
        <v>0</v>
      </c>
      <c r="O248">
        <f t="shared" si="90"/>
        <v>0</v>
      </c>
      <c r="P248">
        <f t="shared" si="90"/>
        <v>0</v>
      </c>
      <c r="Q248">
        <f t="shared" si="99"/>
        <v>0</v>
      </c>
      <c r="R248">
        <f t="shared" si="99"/>
        <v>0</v>
      </c>
      <c r="S248">
        <f t="shared" si="99"/>
        <v>0</v>
      </c>
      <c r="T248">
        <f t="shared" si="99"/>
        <v>0</v>
      </c>
      <c r="U248">
        <f t="shared" si="99"/>
        <v>0</v>
      </c>
      <c r="V248">
        <f t="shared" si="99"/>
        <v>0</v>
      </c>
      <c r="W248">
        <f t="shared" si="99"/>
        <v>0</v>
      </c>
      <c r="X248">
        <f t="shared" si="99"/>
        <v>0</v>
      </c>
      <c r="Y248">
        <f t="shared" si="99"/>
        <v>0</v>
      </c>
      <c r="Z248">
        <f t="shared" si="99"/>
        <v>0</v>
      </c>
      <c r="AA248">
        <f t="shared" si="99"/>
        <v>0</v>
      </c>
      <c r="AB248">
        <f t="shared" si="99"/>
        <v>1</v>
      </c>
      <c r="AC248">
        <f t="shared" si="99"/>
        <v>0</v>
      </c>
      <c r="AD248">
        <f t="shared" si="99"/>
        <v>0</v>
      </c>
      <c r="AE248">
        <f t="shared" si="99"/>
        <v>0</v>
      </c>
      <c r="AF248">
        <f t="shared" si="99"/>
        <v>0</v>
      </c>
      <c r="AG248">
        <f t="shared" si="98"/>
        <v>0</v>
      </c>
      <c r="AH248">
        <f t="shared" si="98"/>
        <v>0</v>
      </c>
      <c r="AI248">
        <f t="shared" si="98"/>
        <v>0</v>
      </c>
      <c r="AJ248">
        <f t="shared" si="98"/>
        <v>0</v>
      </c>
      <c r="AK248">
        <f t="shared" si="98"/>
        <v>0</v>
      </c>
      <c r="AL248">
        <f t="shared" si="98"/>
        <v>0</v>
      </c>
      <c r="AM248">
        <f t="shared" si="98"/>
        <v>0</v>
      </c>
      <c r="AN248">
        <f t="shared" si="98"/>
        <v>0</v>
      </c>
      <c r="AO248">
        <f t="shared" si="98"/>
        <v>0</v>
      </c>
      <c r="AP248">
        <f t="shared" si="98"/>
        <v>0</v>
      </c>
      <c r="AQ248">
        <f t="shared" si="98"/>
        <v>0</v>
      </c>
      <c r="AR248">
        <f t="shared" si="98"/>
        <v>0</v>
      </c>
      <c r="AS248">
        <f t="shared" si="98"/>
        <v>0</v>
      </c>
      <c r="AT248">
        <f t="shared" si="98"/>
        <v>0</v>
      </c>
      <c r="AU248">
        <f t="shared" si="98"/>
        <v>0</v>
      </c>
      <c r="AV248">
        <f t="shared" si="95"/>
        <v>0</v>
      </c>
      <c r="AW248">
        <f t="shared" si="95"/>
        <v>0</v>
      </c>
      <c r="AX248">
        <f t="shared" si="95"/>
        <v>0</v>
      </c>
      <c r="AY248">
        <f t="shared" si="95"/>
        <v>0</v>
      </c>
      <c r="AZ248">
        <f t="shared" si="95"/>
        <v>0</v>
      </c>
    </row>
    <row r="249" spans="1:52" x14ac:dyDescent="0.25">
      <c r="A249" t="s">
        <v>15</v>
      </c>
      <c r="B249" s="3">
        <v>42308</v>
      </c>
      <c r="C249" s="1">
        <v>480.57119793924835</v>
      </c>
      <c r="D249" s="1">
        <v>80.095199656541396</v>
      </c>
      <c r="E249" s="1">
        <f t="shared" si="88"/>
        <v>204.57119793924838</v>
      </c>
      <c r="F249" s="1">
        <f t="shared" si="89"/>
        <v>276</v>
      </c>
      <c r="G249" s="2">
        <v>6</v>
      </c>
      <c r="H249" s="1">
        <v>34.095199656541396</v>
      </c>
      <c r="I249" s="1">
        <v>46</v>
      </c>
      <c r="J249" s="1">
        <f t="shared" si="91"/>
        <v>920290.52052254765</v>
      </c>
      <c r="K249" s="1">
        <f t="shared" si="92"/>
        <v>473473.52052254672</v>
      </c>
      <c r="N249">
        <f t="shared" si="90"/>
        <v>0</v>
      </c>
      <c r="O249">
        <f t="shared" si="90"/>
        <v>0</v>
      </c>
      <c r="P249">
        <f t="shared" si="90"/>
        <v>0</v>
      </c>
      <c r="Q249">
        <f t="shared" si="99"/>
        <v>0</v>
      </c>
      <c r="R249">
        <f t="shared" si="99"/>
        <v>0</v>
      </c>
      <c r="S249">
        <f t="shared" si="99"/>
        <v>0</v>
      </c>
      <c r="T249">
        <f t="shared" si="99"/>
        <v>0</v>
      </c>
      <c r="U249">
        <f t="shared" si="99"/>
        <v>0</v>
      </c>
      <c r="V249">
        <f t="shared" si="99"/>
        <v>0</v>
      </c>
      <c r="W249">
        <f t="shared" si="99"/>
        <v>0</v>
      </c>
      <c r="X249">
        <f t="shared" si="99"/>
        <v>0</v>
      </c>
      <c r="Y249">
        <f t="shared" si="99"/>
        <v>0</v>
      </c>
      <c r="Z249">
        <f t="shared" si="99"/>
        <v>0</v>
      </c>
      <c r="AA249">
        <f t="shared" si="99"/>
        <v>0</v>
      </c>
      <c r="AB249">
        <f t="shared" si="99"/>
        <v>0</v>
      </c>
      <c r="AC249">
        <f t="shared" si="99"/>
        <v>0</v>
      </c>
      <c r="AD249">
        <f t="shared" si="99"/>
        <v>0</v>
      </c>
      <c r="AE249">
        <f t="shared" si="99"/>
        <v>0</v>
      </c>
      <c r="AF249">
        <f t="shared" ref="AF249:AU264" si="100">+IF(AF$5=$A249,1,0)</f>
        <v>0</v>
      </c>
      <c r="AG249">
        <f t="shared" si="100"/>
        <v>0</v>
      </c>
      <c r="AH249">
        <f t="shared" si="100"/>
        <v>0</v>
      </c>
      <c r="AI249">
        <f t="shared" si="100"/>
        <v>0</v>
      </c>
      <c r="AJ249">
        <f t="shared" si="100"/>
        <v>0</v>
      </c>
      <c r="AK249">
        <f t="shared" si="100"/>
        <v>0</v>
      </c>
      <c r="AL249">
        <f t="shared" si="100"/>
        <v>0</v>
      </c>
      <c r="AM249">
        <f t="shared" si="100"/>
        <v>0</v>
      </c>
      <c r="AN249">
        <f t="shared" si="100"/>
        <v>0</v>
      </c>
      <c r="AO249">
        <f t="shared" si="100"/>
        <v>0</v>
      </c>
      <c r="AP249">
        <f t="shared" si="100"/>
        <v>0</v>
      </c>
      <c r="AQ249">
        <f t="shared" si="100"/>
        <v>0</v>
      </c>
      <c r="AR249">
        <f t="shared" si="100"/>
        <v>1</v>
      </c>
      <c r="AS249">
        <f t="shared" si="100"/>
        <v>0</v>
      </c>
      <c r="AT249">
        <f t="shared" si="100"/>
        <v>0</v>
      </c>
      <c r="AU249">
        <f t="shared" si="100"/>
        <v>0</v>
      </c>
      <c r="AV249">
        <f t="shared" si="95"/>
        <v>0</v>
      </c>
      <c r="AW249">
        <f t="shared" si="95"/>
        <v>0</v>
      </c>
      <c r="AX249">
        <f t="shared" si="95"/>
        <v>0</v>
      </c>
      <c r="AY249">
        <f t="shared" si="95"/>
        <v>0</v>
      </c>
      <c r="AZ249">
        <f t="shared" si="95"/>
        <v>0</v>
      </c>
    </row>
    <row r="250" spans="1:52" x14ac:dyDescent="0.25">
      <c r="A250" t="s">
        <v>20</v>
      </c>
      <c r="B250" s="3">
        <v>42305</v>
      </c>
      <c r="C250" s="1">
        <v>488.28784377662942</v>
      </c>
      <c r="D250" s="1">
        <v>122.07196094415735</v>
      </c>
      <c r="E250" s="1">
        <f t="shared" si="88"/>
        <v>216.28784377662939</v>
      </c>
      <c r="F250" s="1">
        <f t="shared" si="89"/>
        <v>272</v>
      </c>
      <c r="G250" s="2">
        <v>4</v>
      </c>
      <c r="H250" s="1">
        <v>54.071960944157347</v>
      </c>
      <c r="I250" s="1">
        <v>68</v>
      </c>
      <c r="J250" s="1">
        <f t="shared" si="91"/>
        <v>920778.80836632429</v>
      </c>
      <c r="K250" s="1">
        <f t="shared" si="92"/>
        <v>473689.80836632336</v>
      </c>
      <c r="N250">
        <f t="shared" si="90"/>
        <v>0</v>
      </c>
      <c r="O250">
        <f t="shared" si="90"/>
        <v>0</v>
      </c>
      <c r="P250">
        <f t="shared" si="90"/>
        <v>0</v>
      </c>
      <c r="Q250">
        <f t="shared" ref="Q250:AF265" si="101">+IF(Q$5=$A250,1,0)</f>
        <v>0</v>
      </c>
      <c r="R250">
        <f t="shared" si="101"/>
        <v>0</v>
      </c>
      <c r="S250">
        <f t="shared" si="101"/>
        <v>0</v>
      </c>
      <c r="T250">
        <f t="shared" si="101"/>
        <v>0</v>
      </c>
      <c r="U250">
        <f t="shared" si="101"/>
        <v>0</v>
      </c>
      <c r="V250">
        <f t="shared" si="101"/>
        <v>0</v>
      </c>
      <c r="W250">
        <f t="shared" si="101"/>
        <v>0</v>
      </c>
      <c r="X250">
        <f t="shared" si="101"/>
        <v>0</v>
      </c>
      <c r="Y250">
        <f t="shared" si="101"/>
        <v>0</v>
      </c>
      <c r="Z250">
        <f t="shared" si="101"/>
        <v>0</v>
      </c>
      <c r="AA250">
        <f t="shared" si="101"/>
        <v>0</v>
      </c>
      <c r="AB250">
        <f t="shared" si="101"/>
        <v>0</v>
      </c>
      <c r="AC250">
        <f t="shared" si="101"/>
        <v>0</v>
      </c>
      <c r="AD250">
        <f t="shared" si="101"/>
        <v>0</v>
      </c>
      <c r="AE250">
        <f t="shared" si="101"/>
        <v>1</v>
      </c>
      <c r="AF250">
        <f t="shared" si="101"/>
        <v>0</v>
      </c>
      <c r="AG250">
        <f t="shared" si="100"/>
        <v>0</v>
      </c>
      <c r="AH250">
        <f t="shared" si="100"/>
        <v>0</v>
      </c>
      <c r="AI250">
        <f t="shared" si="100"/>
        <v>0</v>
      </c>
      <c r="AJ250">
        <f t="shared" si="100"/>
        <v>0</v>
      </c>
      <c r="AK250">
        <f t="shared" si="100"/>
        <v>0</v>
      </c>
      <c r="AL250">
        <f t="shared" si="100"/>
        <v>0</v>
      </c>
      <c r="AM250">
        <f t="shared" si="100"/>
        <v>0</v>
      </c>
      <c r="AN250">
        <f t="shared" si="100"/>
        <v>0</v>
      </c>
      <c r="AO250">
        <f t="shared" si="100"/>
        <v>0</v>
      </c>
      <c r="AP250">
        <f t="shared" si="100"/>
        <v>0</v>
      </c>
      <c r="AQ250">
        <f t="shared" si="100"/>
        <v>0</v>
      </c>
      <c r="AR250">
        <f t="shared" si="100"/>
        <v>0</v>
      </c>
      <c r="AS250">
        <f t="shared" si="100"/>
        <v>0</v>
      </c>
      <c r="AT250">
        <f t="shared" si="100"/>
        <v>0</v>
      </c>
      <c r="AU250">
        <f t="shared" si="100"/>
        <v>0</v>
      </c>
      <c r="AV250">
        <f t="shared" si="95"/>
        <v>0</v>
      </c>
      <c r="AW250">
        <f t="shared" si="95"/>
        <v>0</v>
      </c>
      <c r="AX250">
        <f t="shared" si="95"/>
        <v>0</v>
      </c>
      <c r="AY250">
        <f t="shared" si="95"/>
        <v>0</v>
      </c>
      <c r="AZ250">
        <f t="shared" si="95"/>
        <v>0</v>
      </c>
    </row>
    <row r="251" spans="1:52" x14ac:dyDescent="0.25">
      <c r="A251" t="s">
        <v>12</v>
      </c>
      <c r="B251" s="3">
        <v>42295</v>
      </c>
      <c r="C251" s="1">
        <v>2606.9536289765115</v>
      </c>
      <c r="D251" s="1">
        <v>96.553838110241173</v>
      </c>
      <c r="E251" s="1">
        <f t="shared" si="88"/>
        <v>1256.9536289765115</v>
      </c>
      <c r="F251" s="1">
        <f t="shared" si="89"/>
        <v>1350</v>
      </c>
      <c r="G251" s="2">
        <v>27</v>
      </c>
      <c r="H251" s="1">
        <v>46.553838110241166</v>
      </c>
      <c r="I251" s="1">
        <v>50</v>
      </c>
      <c r="J251" s="1">
        <f t="shared" si="91"/>
        <v>923385.76199530077</v>
      </c>
      <c r="K251" s="1">
        <f t="shared" si="92"/>
        <v>474946.76199529989</v>
      </c>
      <c r="N251">
        <f t="shared" si="90"/>
        <v>0</v>
      </c>
      <c r="O251">
        <f t="shared" si="90"/>
        <v>0</v>
      </c>
      <c r="P251">
        <f t="shared" si="90"/>
        <v>0</v>
      </c>
      <c r="Q251">
        <f t="shared" si="101"/>
        <v>0</v>
      </c>
      <c r="R251">
        <f t="shared" si="101"/>
        <v>0</v>
      </c>
      <c r="S251">
        <f t="shared" si="101"/>
        <v>0</v>
      </c>
      <c r="T251">
        <f t="shared" si="101"/>
        <v>0</v>
      </c>
      <c r="U251">
        <f t="shared" si="101"/>
        <v>0</v>
      </c>
      <c r="V251">
        <f t="shared" si="101"/>
        <v>0</v>
      </c>
      <c r="W251">
        <f t="shared" si="101"/>
        <v>0</v>
      </c>
      <c r="X251">
        <f t="shared" si="101"/>
        <v>0</v>
      </c>
      <c r="Y251">
        <f t="shared" si="101"/>
        <v>0</v>
      </c>
      <c r="Z251">
        <f t="shared" si="101"/>
        <v>0</v>
      </c>
      <c r="AA251">
        <f t="shared" si="101"/>
        <v>0</v>
      </c>
      <c r="AB251">
        <f t="shared" si="101"/>
        <v>0</v>
      </c>
      <c r="AC251">
        <f t="shared" si="101"/>
        <v>0</v>
      </c>
      <c r="AD251">
        <f t="shared" si="101"/>
        <v>0</v>
      </c>
      <c r="AE251">
        <f t="shared" si="101"/>
        <v>0</v>
      </c>
      <c r="AF251">
        <f t="shared" si="101"/>
        <v>0</v>
      </c>
      <c r="AG251">
        <f t="shared" si="100"/>
        <v>0</v>
      </c>
      <c r="AH251">
        <f t="shared" si="100"/>
        <v>0</v>
      </c>
      <c r="AI251">
        <f t="shared" si="100"/>
        <v>0</v>
      </c>
      <c r="AJ251">
        <f t="shared" si="100"/>
        <v>0</v>
      </c>
      <c r="AK251">
        <f t="shared" si="100"/>
        <v>1</v>
      </c>
      <c r="AL251">
        <f t="shared" si="100"/>
        <v>0</v>
      </c>
      <c r="AM251">
        <f t="shared" si="100"/>
        <v>0</v>
      </c>
      <c r="AN251">
        <f t="shared" si="100"/>
        <v>0</v>
      </c>
      <c r="AO251">
        <f t="shared" si="100"/>
        <v>0</v>
      </c>
      <c r="AP251">
        <f t="shared" si="100"/>
        <v>0</v>
      </c>
      <c r="AQ251">
        <f t="shared" si="100"/>
        <v>0</v>
      </c>
      <c r="AR251">
        <f t="shared" si="100"/>
        <v>0</v>
      </c>
      <c r="AS251">
        <f t="shared" si="100"/>
        <v>0</v>
      </c>
      <c r="AT251">
        <f t="shared" si="100"/>
        <v>0</v>
      </c>
      <c r="AU251">
        <f t="shared" si="100"/>
        <v>0</v>
      </c>
      <c r="AV251">
        <f t="shared" si="95"/>
        <v>0</v>
      </c>
      <c r="AW251">
        <f t="shared" si="95"/>
        <v>0</v>
      </c>
      <c r="AX251">
        <f t="shared" si="95"/>
        <v>0</v>
      </c>
      <c r="AY251">
        <f t="shared" si="95"/>
        <v>0</v>
      </c>
      <c r="AZ251">
        <f t="shared" si="95"/>
        <v>0</v>
      </c>
    </row>
    <row r="252" spans="1:52" x14ac:dyDescent="0.25">
      <c r="A252" t="s">
        <v>14</v>
      </c>
      <c r="B252" s="3">
        <v>42274</v>
      </c>
      <c r="C252" s="1">
        <v>1908.2362208878801</v>
      </c>
      <c r="D252" s="1">
        <v>127.21574805919201</v>
      </c>
      <c r="E252" s="1">
        <f t="shared" si="88"/>
        <v>948.23622088788022</v>
      </c>
      <c r="F252" s="1">
        <f t="shared" si="89"/>
        <v>960</v>
      </c>
      <c r="G252" s="2">
        <v>15</v>
      </c>
      <c r="H252" s="1">
        <v>63.215748059192016</v>
      </c>
      <c r="I252" s="1">
        <v>64</v>
      </c>
      <c r="J252" s="1">
        <f t="shared" si="91"/>
        <v>925293.99821618863</v>
      </c>
      <c r="K252" s="1">
        <f t="shared" si="92"/>
        <v>475894.99821618776</v>
      </c>
      <c r="N252">
        <f t="shared" si="90"/>
        <v>0</v>
      </c>
      <c r="O252">
        <f t="shared" si="90"/>
        <v>0</v>
      </c>
      <c r="P252">
        <f t="shared" si="90"/>
        <v>0</v>
      </c>
      <c r="Q252">
        <f t="shared" si="101"/>
        <v>0</v>
      </c>
      <c r="R252">
        <f t="shared" si="101"/>
        <v>0</v>
      </c>
      <c r="S252">
        <f t="shared" si="101"/>
        <v>0</v>
      </c>
      <c r="T252">
        <f t="shared" si="101"/>
        <v>0</v>
      </c>
      <c r="U252">
        <f t="shared" si="101"/>
        <v>0</v>
      </c>
      <c r="V252">
        <f t="shared" si="101"/>
        <v>0</v>
      </c>
      <c r="W252">
        <f t="shared" si="101"/>
        <v>0</v>
      </c>
      <c r="X252">
        <f t="shared" si="101"/>
        <v>0</v>
      </c>
      <c r="Y252">
        <f t="shared" si="101"/>
        <v>0</v>
      </c>
      <c r="Z252">
        <f t="shared" si="101"/>
        <v>0</v>
      </c>
      <c r="AA252">
        <f t="shared" si="101"/>
        <v>0</v>
      </c>
      <c r="AB252">
        <f t="shared" si="101"/>
        <v>0</v>
      </c>
      <c r="AC252">
        <f t="shared" si="101"/>
        <v>0</v>
      </c>
      <c r="AD252">
        <f t="shared" si="101"/>
        <v>0</v>
      </c>
      <c r="AE252">
        <f t="shared" si="101"/>
        <v>0</v>
      </c>
      <c r="AF252">
        <f t="shared" si="101"/>
        <v>0</v>
      </c>
      <c r="AG252">
        <f t="shared" si="100"/>
        <v>0</v>
      </c>
      <c r="AH252">
        <f t="shared" si="100"/>
        <v>0</v>
      </c>
      <c r="AI252">
        <f t="shared" si="100"/>
        <v>0</v>
      </c>
      <c r="AJ252">
        <f t="shared" si="100"/>
        <v>0</v>
      </c>
      <c r="AK252">
        <f t="shared" si="100"/>
        <v>0</v>
      </c>
      <c r="AL252">
        <f t="shared" si="100"/>
        <v>0</v>
      </c>
      <c r="AM252">
        <f t="shared" si="100"/>
        <v>0</v>
      </c>
      <c r="AN252">
        <f t="shared" si="100"/>
        <v>0</v>
      </c>
      <c r="AO252">
        <f t="shared" si="100"/>
        <v>0</v>
      </c>
      <c r="AP252">
        <f t="shared" si="100"/>
        <v>1</v>
      </c>
      <c r="AQ252">
        <f t="shared" si="100"/>
        <v>0</v>
      </c>
      <c r="AR252">
        <f t="shared" si="100"/>
        <v>0</v>
      </c>
      <c r="AS252">
        <f t="shared" si="100"/>
        <v>0</v>
      </c>
      <c r="AT252">
        <f t="shared" si="100"/>
        <v>0</v>
      </c>
      <c r="AU252">
        <f t="shared" si="100"/>
        <v>0</v>
      </c>
      <c r="AV252">
        <f t="shared" si="95"/>
        <v>0</v>
      </c>
      <c r="AW252">
        <f t="shared" si="95"/>
        <v>0</v>
      </c>
      <c r="AX252">
        <f t="shared" si="95"/>
        <v>0</v>
      </c>
      <c r="AY252">
        <f t="shared" si="95"/>
        <v>0</v>
      </c>
      <c r="AZ252">
        <f t="shared" si="95"/>
        <v>0</v>
      </c>
    </row>
    <row r="253" spans="1:52" x14ac:dyDescent="0.25">
      <c r="A253" t="s">
        <v>16</v>
      </c>
      <c r="B253" s="3">
        <v>42271</v>
      </c>
      <c r="C253" s="1">
        <v>1112.2629134590973</v>
      </c>
      <c r="D253" s="1">
        <v>158.89470192272819</v>
      </c>
      <c r="E253" s="1">
        <f t="shared" si="88"/>
        <v>454.26291345909732</v>
      </c>
      <c r="F253" s="1">
        <f t="shared" si="89"/>
        <v>658</v>
      </c>
      <c r="G253" s="2">
        <v>7</v>
      </c>
      <c r="H253" s="1">
        <v>64.894701922728188</v>
      </c>
      <c r="I253" s="1">
        <v>94</v>
      </c>
      <c r="J253" s="1">
        <f t="shared" si="91"/>
        <v>926406.26112964773</v>
      </c>
      <c r="K253" s="1">
        <f t="shared" si="92"/>
        <v>476349.26112964685</v>
      </c>
      <c r="N253">
        <f t="shared" si="90"/>
        <v>0</v>
      </c>
      <c r="O253">
        <f t="shared" si="90"/>
        <v>0</v>
      </c>
      <c r="P253">
        <f t="shared" si="90"/>
        <v>0</v>
      </c>
      <c r="Q253">
        <f t="shared" si="101"/>
        <v>0</v>
      </c>
      <c r="R253">
        <f t="shared" si="101"/>
        <v>0</v>
      </c>
      <c r="S253">
        <f t="shared" si="101"/>
        <v>0</v>
      </c>
      <c r="T253">
        <f t="shared" si="101"/>
        <v>0</v>
      </c>
      <c r="U253">
        <f t="shared" si="101"/>
        <v>0</v>
      </c>
      <c r="V253">
        <f t="shared" si="101"/>
        <v>0</v>
      </c>
      <c r="W253">
        <f t="shared" si="101"/>
        <v>0</v>
      </c>
      <c r="X253">
        <f t="shared" si="101"/>
        <v>0</v>
      </c>
      <c r="Y253">
        <f t="shared" si="101"/>
        <v>0</v>
      </c>
      <c r="Z253">
        <f t="shared" si="101"/>
        <v>0</v>
      </c>
      <c r="AA253">
        <f t="shared" si="101"/>
        <v>0</v>
      </c>
      <c r="AB253">
        <f t="shared" si="101"/>
        <v>0</v>
      </c>
      <c r="AC253">
        <f t="shared" si="101"/>
        <v>0</v>
      </c>
      <c r="AD253">
        <f t="shared" si="101"/>
        <v>0</v>
      </c>
      <c r="AE253">
        <f t="shared" si="101"/>
        <v>0</v>
      </c>
      <c r="AF253">
        <f t="shared" si="101"/>
        <v>0</v>
      </c>
      <c r="AG253">
        <f t="shared" si="100"/>
        <v>0</v>
      </c>
      <c r="AH253">
        <f t="shared" si="100"/>
        <v>0</v>
      </c>
      <c r="AI253">
        <f t="shared" si="100"/>
        <v>0</v>
      </c>
      <c r="AJ253">
        <f t="shared" si="100"/>
        <v>0</v>
      </c>
      <c r="AK253">
        <f t="shared" si="100"/>
        <v>0</v>
      </c>
      <c r="AL253">
        <f t="shared" si="100"/>
        <v>0</v>
      </c>
      <c r="AM253">
        <f t="shared" si="100"/>
        <v>0</v>
      </c>
      <c r="AN253">
        <f t="shared" si="100"/>
        <v>1</v>
      </c>
      <c r="AO253">
        <f t="shared" si="100"/>
        <v>0</v>
      </c>
      <c r="AP253">
        <f t="shared" si="100"/>
        <v>0</v>
      </c>
      <c r="AQ253">
        <f t="shared" si="100"/>
        <v>0</v>
      </c>
      <c r="AR253">
        <f t="shared" si="100"/>
        <v>0</v>
      </c>
      <c r="AS253">
        <f t="shared" si="100"/>
        <v>0</v>
      </c>
      <c r="AT253">
        <f t="shared" si="100"/>
        <v>0</v>
      </c>
      <c r="AU253">
        <f t="shared" si="100"/>
        <v>0</v>
      </c>
      <c r="AV253">
        <f t="shared" si="95"/>
        <v>0</v>
      </c>
      <c r="AW253">
        <f t="shared" si="95"/>
        <v>0</v>
      </c>
      <c r="AX253">
        <f t="shared" si="95"/>
        <v>0</v>
      </c>
      <c r="AY253">
        <f t="shared" si="95"/>
        <v>0</v>
      </c>
      <c r="AZ253">
        <f t="shared" si="95"/>
        <v>0</v>
      </c>
    </row>
    <row r="254" spans="1:52" x14ac:dyDescent="0.25">
      <c r="A254" t="s">
        <v>44</v>
      </c>
      <c r="B254" s="3">
        <v>42269</v>
      </c>
      <c r="C254" s="1">
        <v>1673.4531230390953</v>
      </c>
      <c r="D254" s="1">
        <v>185.93923589323282</v>
      </c>
      <c r="E254" s="1">
        <f t="shared" si="88"/>
        <v>881.45312303909532</v>
      </c>
      <c r="F254" s="1">
        <f t="shared" si="89"/>
        <v>792</v>
      </c>
      <c r="G254" s="2">
        <v>9</v>
      </c>
      <c r="H254" s="1">
        <v>97.939235893232819</v>
      </c>
      <c r="I254" s="1">
        <v>88</v>
      </c>
      <c r="J254" s="1">
        <f t="shared" si="91"/>
        <v>928079.71425268683</v>
      </c>
      <c r="K254" s="1">
        <f t="shared" si="92"/>
        <v>477230.71425268595</v>
      </c>
      <c r="N254">
        <f t="shared" si="90"/>
        <v>0</v>
      </c>
      <c r="O254">
        <f t="shared" si="90"/>
        <v>0</v>
      </c>
      <c r="P254">
        <f t="shared" si="90"/>
        <v>0</v>
      </c>
      <c r="Q254">
        <f t="shared" si="101"/>
        <v>0</v>
      </c>
      <c r="R254">
        <f t="shared" si="101"/>
        <v>0</v>
      </c>
      <c r="S254">
        <f t="shared" si="101"/>
        <v>0</v>
      </c>
      <c r="T254">
        <f t="shared" si="101"/>
        <v>0</v>
      </c>
      <c r="U254">
        <f t="shared" si="101"/>
        <v>0</v>
      </c>
      <c r="V254">
        <f t="shared" si="101"/>
        <v>0</v>
      </c>
      <c r="W254">
        <f t="shared" si="101"/>
        <v>0</v>
      </c>
      <c r="X254">
        <f t="shared" si="101"/>
        <v>0</v>
      </c>
      <c r="Y254">
        <f t="shared" si="101"/>
        <v>0</v>
      </c>
      <c r="Z254">
        <f t="shared" si="101"/>
        <v>0</v>
      </c>
      <c r="AA254">
        <f t="shared" si="101"/>
        <v>0</v>
      </c>
      <c r="AB254">
        <f t="shared" si="101"/>
        <v>0</v>
      </c>
      <c r="AC254">
        <f t="shared" si="101"/>
        <v>0</v>
      </c>
      <c r="AD254">
        <f t="shared" si="101"/>
        <v>0</v>
      </c>
      <c r="AE254">
        <f t="shared" si="101"/>
        <v>0</v>
      </c>
      <c r="AF254">
        <f t="shared" si="101"/>
        <v>0</v>
      </c>
      <c r="AG254">
        <f t="shared" si="100"/>
        <v>0</v>
      </c>
      <c r="AH254">
        <f t="shared" si="100"/>
        <v>0</v>
      </c>
      <c r="AI254">
        <f t="shared" si="100"/>
        <v>0</v>
      </c>
      <c r="AJ254">
        <f t="shared" si="100"/>
        <v>0</v>
      </c>
      <c r="AK254">
        <f t="shared" si="100"/>
        <v>0</v>
      </c>
      <c r="AL254">
        <f t="shared" si="100"/>
        <v>0</v>
      </c>
      <c r="AM254">
        <f t="shared" si="100"/>
        <v>0</v>
      </c>
      <c r="AN254">
        <f t="shared" si="100"/>
        <v>0</v>
      </c>
      <c r="AO254">
        <f t="shared" si="100"/>
        <v>0</v>
      </c>
      <c r="AP254">
        <f t="shared" si="100"/>
        <v>0</v>
      </c>
      <c r="AQ254">
        <f t="shared" si="100"/>
        <v>0</v>
      </c>
      <c r="AR254">
        <f t="shared" si="100"/>
        <v>0</v>
      </c>
      <c r="AS254">
        <f t="shared" si="100"/>
        <v>0</v>
      </c>
      <c r="AT254">
        <f t="shared" si="100"/>
        <v>0</v>
      </c>
      <c r="AU254">
        <f t="shared" si="100"/>
        <v>1</v>
      </c>
      <c r="AV254">
        <f t="shared" si="95"/>
        <v>0</v>
      </c>
      <c r="AW254">
        <f t="shared" si="95"/>
        <v>0</v>
      </c>
      <c r="AX254">
        <f t="shared" si="95"/>
        <v>0</v>
      </c>
      <c r="AY254">
        <f t="shared" si="95"/>
        <v>0</v>
      </c>
      <c r="AZ254">
        <f t="shared" si="95"/>
        <v>0</v>
      </c>
    </row>
    <row r="255" spans="1:52" x14ac:dyDescent="0.25">
      <c r="A255" t="s">
        <v>40</v>
      </c>
      <c r="B255" s="3">
        <v>42268</v>
      </c>
      <c r="C255" s="1">
        <v>1146.78142200196</v>
      </c>
      <c r="D255" s="1">
        <v>114.67814220019601</v>
      </c>
      <c r="E255" s="1">
        <f t="shared" si="88"/>
        <v>756.7814220019601</v>
      </c>
      <c r="F255" s="1">
        <f t="shared" si="89"/>
        <v>390</v>
      </c>
      <c r="G255" s="2">
        <v>10</v>
      </c>
      <c r="H255" s="1">
        <v>75.678142200196007</v>
      </c>
      <c r="I255" s="1">
        <v>39</v>
      </c>
      <c r="J255" s="1">
        <f t="shared" si="91"/>
        <v>929226.49567468883</v>
      </c>
      <c r="K255" s="1">
        <f t="shared" si="92"/>
        <v>477987.4956746879</v>
      </c>
      <c r="N255">
        <f t="shared" si="90"/>
        <v>0</v>
      </c>
      <c r="O255">
        <f t="shared" si="90"/>
        <v>0</v>
      </c>
      <c r="P255">
        <f t="shared" si="90"/>
        <v>0</v>
      </c>
      <c r="Q255">
        <f t="shared" si="101"/>
        <v>0</v>
      </c>
      <c r="R255">
        <f t="shared" si="101"/>
        <v>0</v>
      </c>
      <c r="S255">
        <f t="shared" si="101"/>
        <v>0</v>
      </c>
      <c r="T255">
        <f t="shared" si="101"/>
        <v>0</v>
      </c>
      <c r="U255">
        <f t="shared" si="101"/>
        <v>0</v>
      </c>
      <c r="V255">
        <f t="shared" si="101"/>
        <v>0</v>
      </c>
      <c r="W255">
        <f t="shared" si="101"/>
        <v>0</v>
      </c>
      <c r="X255">
        <f t="shared" si="101"/>
        <v>1</v>
      </c>
      <c r="Y255">
        <f t="shared" si="101"/>
        <v>0</v>
      </c>
      <c r="Z255">
        <f t="shared" si="101"/>
        <v>0</v>
      </c>
      <c r="AA255">
        <f t="shared" si="101"/>
        <v>0</v>
      </c>
      <c r="AB255">
        <f t="shared" si="101"/>
        <v>0</v>
      </c>
      <c r="AC255">
        <f t="shared" si="101"/>
        <v>0</v>
      </c>
      <c r="AD255">
        <f t="shared" si="101"/>
        <v>0</v>
      </c>
      <c r="AE255">
        <f t="shared" si="101"/>
        <v>0</v>
      </c>
      <c r="AF255">
        <f t="shared" si="101"/>
        <v>0</v>
      </c>
      <c r="AG255">
        <f t="shared" si="100"/>
        <v>0</v>
      </c>
      <c r="AH255">
        <f t="shared" si="100"/>
        <v>0</v>
      </c>
      <c r="AI255">
        <f t="shared" si="100"/>
        <v>0</v>
      </c>
      <c r="AJ255">
        <f t="shared" si="100"/>
        <v>0</v>
      </c>
      <c r="AK255">
        <f t="shared" si="100"/>
        <v>0</v>
      </c>
      <c r="AL255">
        <f t="shared" si="100"/>
        <v>0</v>
      </c>
      <c r="AM255">
        <f t="shared" si="100"/>
        <v>0</v>
      </c>
      <c r="AN255">
        <f t="shared" si="100"/>
        <v>0</v>
      </c>
      <c r="AO255">
        <f t="shared" si="100"/>
        <v>0</v>
      </c>
      <c r="AP255">
        <f t="shared" si="100"/>
        <v>0</v>
      </c>
      <c r="AQ255">
        <f t="shared" si="100"/>
        <v>0</v>
      </c>
      <c r="AR255">
        <f t="shared" si="100"/>
        <v>0</v>
      </c>
      <c r="AS255">
        <f t="shared" si="100"/>
        <v>0</v>
      </c>
      <c r="AT255">
        <f t="shared" si="100"/>
        <v>0</v>
      </c>
      <c r="AU255">
        <f t="shared" si="100"/>
        <v>0</v>
      </c>
      <c r="AV255">
        <f t="shared" si="95"/>
        <v>0</v>
      </c>
      <c r="AW255">
        <f t="shared" si="95"/>
        <v>0</v>
      </c>
      <c r="AX255">
        <f t="shared" si="95"/>
        <v>0</v>
      </c>
      <c r="AY255">
        <f t="shared" si="95"/>
        <v>0</v>
      </c>
      <c r="AZ255">
        <f t="shared" si="95"/>
        <v>0</v>
      </c>
    </row>
    <row r="256" spans="1:52" x14ac:dyDescent="0.25">
      <c r="A256" t="s">
        <v>18</v>
      </c>
      <c r="B256" s="3">
        <v>42256</v>
      </c>
      <c r="C256" s="1">
        <v>534.39258490342422</v>
      </c>
      <c r="D256" s="1">
        <v>33.399536556464014</v>
      </c>
      <c r="E256" s="1">
        <f t="shared" si="88"/>
        <v>294.39258490342417</v>
      </c>
      <c r="F256" s="1">
        <f t="shared" si="89"/>
        <v>240</v>
      </c>
      <c r="G256" s="2">
        <v>16</v>
      </c>
      <c r="H256" s="1">
        <v>18.39953655646401</v>
      </c>
      <c r="I256" s="1">
        <v>15</v>
      </c>
      <c r="J256" s="1">
        <f t="shared" si="91"/>
        <v>929760.88825959223</v>
      </c>
      <c r="K256" s="1">
        <f t="shared" si="92"/>
        <v>478281.8882595913</v>
      </c>
      <c r="N256">
        <f t="shared" si="90"/>
        <v>0</v>
      </c>
      <c r="O256">
        <f t="shared" si="90"/>
        <v>0</v>
      </c>
      <c r="P256">
        <f t="shared" si="90"/>
        <v>0</v>
      </c>
      <c r="Q256">
        <f t="shared" si="101"/>
        <v>0</v>
      </c>
      <c r="R256">
        <f t="shared" si="101"/>
        <v>0</v>
      </c>
      <c r="S256">
        <f t="shared" si="101"/>
        <v>0</v>
      </c>
      <c r="T256">
        <f t="shared" si="101"/>
        <v>0</v>
      </c>
      <c r="U256">
        <f t="shared" si="101"/>
        <v>1</v>
      </c>
      <c r="V256">
        <f t="shared" si="101"/>
        <v>0</v>
      </c>
      <c r="W256">
        <f t="shared" si="101"/>
        <v>0</v>
      </c>
      <c r="X256">
        <f t="shared" si="101"/>
        <v>0</v>
      </c>
      <c r="Y256">
        <f t="shared" si="101"/>
        <v>0</v>
      </c>
      <c r="Z256">
        <f t="shared" si="101"/>
        <v>0</v>
      </c>
      <c r="AA256">
        <f t="shared" si="101"/>
        <v>0</v>
      </c>
      <c r="AB256">
        <f t="shared" si="101"/>
        <v>0</v>
      </c>
      <c r="AC256">
        <f t="shared" si="101"/>
        <v>0</v>
      </c>
      <c r="AD256">
        <f t="shared" si="101"/>
        <v>0</v>
      </c>
      <c r="AE256">
        <f t="shared" si="101"/>
        <v>0</v>
      </c>
      <c r="AF256">
        <f t="shared" si="101"/>
        <v>0</v>
      </c>
      <c r="AG256">
        <f t="shared" si="100"/>
        <v>0</v>
      </c>
      <c r="AH256">
        <f t="shared" si="100"/>
        <v>0</v>
      </c>
      <c r="AI256">
        <f t="shared" si="100"/>
        <v>0</v>
      </c>
      <c r="AJ256">
        <f t="shared" si="100"/>
        <v>0</v>
      </c>
      <c r="AK256">
        <f t="shared" si="100"/>
        <v>0</v>
      </c>
      <c r="AL256">
        <f t="shared" si="100"/>
        <v>0</v>
      </c>
      <c r="AM256">
        <f t="shared" si="100"/>
        <v>0</v>
      </c>
      <c r="AN256">
        <f t="shared" si="100"/>
        <v>0</v>
      </c>
      <c r="AO256">
        <f t="shared" si="100"/>
        <v>0</v>
      </c>
      <c r="AP256">
        <f t="shared" si="100"/>
        <v>0</v>
      </c>
      <c r="AQ256">
        <f t="shared" si="100"/>
        <v>0</v>
      </c>
      <c r="AR256">
        <f t="shared" si="100"/>
        <v>0</v>
      </c>
      <c r="AS256">
        <f t="shared" si="100"/>
        <v>0</v>
      </c>
      <c r="AT256">
        <f t="shared" si="100"/>
        <v>0</v>
      </c>
      <c r="AU256">
        <f t="shared" si="100"/>
        <v>0</v>
      </c>
      <c r="AV256">
        <f t="shared" si="95"/>
        <v>0</v>
      </c>
      <c r="AW256">
        <f t="shared" si="95"/>
        <v>0</v>
      </c>
      <c r="AX256">
        <f t="shared" si="95"/>
        <v>0</v>
      </c>
      <c r="AY256">
        <f t="shared" si="95"/>
        <v>0</v>
      </c>
      <c r="AZ256">
        <f t="shared" si="95"/>
        <v>0</v>
      </c>
    </row>
    <row r="257" spans="1:52" x14ac:dyDescent="0.25">
      <c r="A257" t="s">
        <v>14</v>
      </c>
      <c r="B257" s="3">
        <v>42246</v>
      </c>
      <c r="C257" s="1">
        <v>785.97115297929099</v>
      </c>
      <c r="D257" s="1">
        <v>157.19423059585819</v>
      </c>
      <c r="E257" s="1">
        <f t="shared" si="88"/>
        <v>340.97115297929088</v>
      </c>
      <c r="F257" s="1">
        <f t="shared" si="89"/>
        <v>445</v>
      </c>
      <c r="G257" s="2">
        <v>5</v>
      </c>
      <c r="H257" s="1">
        <v>68.194230595858173</v>
      </c>
      <c r="I257" s="1">
        <v>89</v>
      </c>
      <c r="J257" s="1">
        <f t="shared" si="91"/>
        <v>930546.85941257153</v>
      </c>
      <c r="K257" s="1">
        <f t="shared" si="92"/>
        <v>478622.8594125706</v>
      </c>
      <c r="N257">
        <f t="shared" si="90"/>
        <v>0</v>
      </c>
      <c r="O257">
        <f t="shared" si="90"/>
        <v>0</v>
      </c>
      <c r="P257">
        <f t="shared" si="90"/>
        <v>0</v>
      </c>
      <c r="Q257">
        <f t="shared" si="101"/>
        <v>0</v>
      </c>
      <c r="R257">
        <f t="shared" si="101"/>
        <v>0</v>
      </c>
      <c r="S257">
        <f t="shared" si="101"/>
        <v>0</v>
      </c>
      <c r="T257">
        <f t="shared" si="101"/>
        <v>0</v>
      </c>
      <c r="U257">
        <f t="shared" si="101"/>
        <v>0</v>
      </c>
      <c r="V257">
        <f t="shared" si="101"/>
        <v>0</v>
      </c>
      <c r="W257">
        <f t="shared" si="101"/>
        <v>0</v>
      </c>
      <c r="X257">
        <f t="shared" si="101"/>
        <v>0</v>
      </c>
      <c r="Y257">
        <f t="shared" si="101"/>
        <v>0</v>
      </c>
      <c r="Z257">
        <f t="shared" si="101"/>
        <v>0</v>
      </c>
      <c r="AA257">
        <f t="shared" si="101"/>
        <v>0</v>
      </c>
      <c r="AB257">
        <f t="shared" si="101"/>
        <v>0</v>
      </c>
      <c r="AC257">
        <f t="shared" si="101"/>
        <v>0</v>
      </c>
      <c r="AD257">
        <f t="shared" si="101"/>
        <v>0</v>
      </c>
      <c r="AE257">
        <f t="shared" si="101"/>
        <v>0</v>
      </c>
      <c r="AF257">
        <f t="shared" si="101"/>
        <v>0</v>
      </c>
      <c r="AG257">
        <f t="shared" si="100"/>
        <v>0</v>
      </c>
      <c r="AH257">
        <f t="shared" si="100"/>
        <v>0</v>
      </c>
      <c r="AI257">
        <f t="shared" si="100"/>
        <v>0</v>
      </c>
      <c r="AJ257">
        <f t="shared" si="100"/>
        <v>0</v>
      </c>
      <c r="AK257">
        <f t="shared" si="100"/>
        <v>0</v>
      </c>
      <c r="AL257">
        <f t="shared" si="100"/>
        <v>0</v>
      </c>
      <c r="AM257">
        <f t="shared" si="100"/>
        <v>0</v>
      </c>
      <c r="AN257">
        <f t="shared" si="100"/>
        <v>0</v>
      </c>
      <c r="AO257">
        <f t="shared" si="100"/>
        <v>0</v>
      </c>
      <c r="AP257">
        <f t="shared" si="100"/>
        <v>1</v>
      </c>
      <c r="AQ257">
        <f t="shared" si="100"/>
        <v>0</v>
      </c>
      <c r="AR257">
        <f t="shared" si="100"/>
        <v>0</v>
      </c>
      <c r="AS257">
        <f t="shared" si="100"/>
        <v>0</v>
      </c>
      <c r="AT257">
        <f t="shared" si="100"/>
        <v>0</v>
      </c>
      <c r="AU257">
        <f t="shared" si="100"/>
        <v>0</v>
      </c>
      <c r="AV257">
        <f t="shared" si="95"/>
        <v>0</v>
      </c>
      <c r="AW257">
        <f t="shared" si="95"/>
        <v>0</v>
      </c>
      <c r="AX257">
        <f t="shared" si="95"/>
        <v>0</v>
      </c>
      <c r="AY257">
        <f t="shared" si="95"/>
        <v>0</v>
      </c>
      <c r="AZ257">
        <f t="shared" si="95"/>
        <v>0</v>
      </c>
    </row>
    <row r="258" spans="1:52" x14ac:dyDescent="0.25">
      <c r="A258" t="s">
        <v>32</v>
      </c>
      <c r="B258" s="3">
        <v>42238</v>
      </c>
      <c r="C258" s="1">
        <v>1506.1547726441074</v>
      </c>
      <c r="D258" s="1">
        <v>188.26934658051343</v>
      </c>
      <c r="E258" s="1">
        <f t="shared" si="88"/>
        <v>650.15477264410742</v>
      </c>
      <c r="F258" s="1">
        <f t="shared" si="89"/>
        <v>856</v>
      </c>
      <c r="G258" s="2">
        <v>8</v>
      </c>
      <c r="H258" s="1">
        <v>81.269346580513428</v>
      </c>
      <c r="I258" s="1">
        <v>107</v>
      </c>
      <c r="J258" s="1">
        <f t="shared" si="91"/>
        <v>932053.0141852157</v>
      </c>
      <c r="K258" s="1">
        <f t="shared" si="92"/>
        <v>479273.01418521471</v>
      </c>
      <c r="N258">
        <f t="shared" si="90"/>
        <v>0</v>
      </c>
      <c r="O258">
        <f t="shared" si="90"/>
        <v>0</v>
      </c>
      <c r="P258">
        <f t="shared" si="90"/>
        <v>0</v>
      </c>
      <c r="Q258">
        <f t="shared" si="101"/>
        <v>0</v>
      </c>
      <c r="R258">
        <f t="shared" si="101"/>
        <v>0</v>
      </c>
      <c r="S258">
        <f t="shared" si="101"/>
        <v>0</v>
      </c>
      <c r="T258">
        <f t="shared" si="101"/>
        <v>0</v>
      </c>
      <c r="U258">
        <f t="shared" si="101"/>
        <v>0</v>
      </c>
      <c r="V258">
        <f t="shared" si="101"/>
        <v>0</v>
      </c>
      <c r="W258">
        <f t="shared" si="101"/>
        <v>0</v>
      </c>
      <c r="X258">
        <f t="shared" si="101"/>
        <v>0</v>
      </c>
      <c r="Y258">
        <f t="shared" si="101"/>
        <v>0</v>
      </c>
      <c r="Z258">
        <f t="shared" si="101"/>
        <v>0</v>
      </c>
      <c r="AA258">
        <f t="shared" si="101"/>
        <v>0</v>
      </c>
      <c r="AB258">
        <f t="shared" si="101"/>
        <v>0</v>
      </c>
      <c r="AC258">
        <f t="shared" si="101"/>
        <v>0</v>
      </c>
      <c r="AD258">
        <f t="shared" si="101"/>
        <v>0</v>
      </c>
      <c r="AE258">
        <f t="shared" si="101"/>
        <v>0</v>
      </c>
      <c r="AF258">
        <f t="shared" si="101"/>
        <v>0</v>
      </c>
      <c r="AG258">
        <f t="shared" si="100"/>
        <v>0</v>
      </c>
      <c r="AH258">
        <f t="shared" si="100"/>
        <v>1</v>
      </c>
      <c r="AI258">
        <f t="shared" si="100"/>
        <v>0</v>
      </c>
      <c r="AJ258">
        <f t="shared" si="100"/>
        <v>0</v>
      </c>
      <c r="AK258">
        <f t="shared" si="100"/>
        <v>0</v>
      </c>
      <c r="AL258">
        <f t="shared" si="100"/>
        <v>0</v>
      </c>
      <c r="AM258">
        <f t="shared" si="100"/>
        <v>0</v>
      </c>
      <c r="AN258">
        <f t="shared" si="100"/>
        <v>0</v>
      </c>
      <c r="AO258">
        <f t="shared" si="100"/>
        <v>0</v>
      </c>
      <c r="AP258">
        <f t="shared" si="100"/>
        <v>0</v>
      </c>
      <c r="AQ258">
        <f t="shared" si="100"/>
        <v>0</v>
      </c>
      <c r="AR258">
        <f t="shared" si="100"/>
        <v>0</v>
      </c>
      <c r="AS258">
        <f t="shared" si="100"/>
        <v>0</v>
      </c>
      <c r="AT258">
        <f t="shared" si="100"/>
        <v>0</v>
      </c>
      <c r="AU258">
        <f t="shared" si="100"/>
        <v>0</v>
      </c>
      <c r="AV258">
        <f t="shared" si="95"/>
        <v>0</v>
      </c>
      <c r="AW258">
        <f t="shared" si="95"/>
        <v>0</v>
      </c>
      <c r="AX258">
        <f t="shared" si="95"/>
        <v>0</v>
      </c>
      <c r="AY258">
        <f t="shared" si="95"/>
        <v>0</v>
      </c>
      <c r="AZ258">
        <f t="shared" si="95"/>
        <v>0</v>
      </c>
    </row>
    <row r="259" spans="1:52" x14ac:dyDescent="0.25">
      <c r="A259" t="s">
        <v>42</v>
      </c>
      <c r="B259" s="3">
        <v>42232</v>
      </c>
      <c r="C259" s="1">
        <v>1141.1078842099716</v>
      </c>
      <c r="D259" s="1">
        <v>190.1846473683286</v>
      </c>
      <c r="E259" s="1">
        <f t="shared" si="88"/>
        <v>457.10788420997159</v>
      </c>
      <c r="F259" s="1">
        <f t="shared" si="89"/>
        <v>684</v>
      </c>
      <c r="G259" s="2">
        <v>6</v>
      </c>
      <c r="H259" s="1">
        <v>76.184647368328598</v>
      </c>
      <c r="I259" s="1">
        <v>114</v>
      </c>
      <c r="J259" s="1">
        <f t="shared" si="91"/>
        <v>933194.12206942565</v>
      </c>
      <c r="K259" s="1">
        <f t="shared" si="92"/>
        <v>479730.12206942466</v>
      </c>
      <c r="N259">
        <f t="shared" si="90"/>
        <v>0</v>
      </c>
      <c r="O259">
        <f t="shared" si="90"/>
        <v>0</v>
      </c>
      <c r="P259">
        <f t="shared" si="90"/>
        <v>0</v>
      </c>
      <c r="Q259">
        <f t="shared" si="101"/>
        <v>0</v>
      </c>
      <c r="R259">
        <f t="shared" si="101"/>
        <v>0</v>
      </c>
      <c r="S259">
        <f t="shared" si="101"/>
        <v>0</v>
      </c>
      <c r="T259">
        <f t="shared" si="101"/>
        <v>0</v>
      </c>
      <c r="U259">
        <f t="shared" si="101"/>
        <v>0</v>
      </c>
      <c r="V259">
        <f t="shared" si="101"/>
        <v>0</v>
      </c>
      <c r="W259">
        <f t="shared" si="101"/>
        <v>0</v>
      </c>
      <c r="X259">
        <f t="shared" si="101"/>
        <v>0</v>
      </c>
      <c r="Y259">
        <f t="shared" si="101"/>
        <v>0</v>
      </c>
      <c r="Z259">
        <f t="shared" si="101"/>
        <v>1</v>
      </c>
      <c r="AA259">
        <f t="shared" si="101"/>
        <v>0</v>
      </c>
      <c r="AB259">
        <f t="shared" si="101"/>
        <v>0</v>
      </c>
      <c r="AC259">
        <f t="shared" si="101"/>
        <v>0</v>
      </c>
      <c r="AD259">
        <f t="shared" si="101"/>
        <v>0</v>
      </c>
      <c r="AE259">
        <f t="shared" si="101"/>
        <v>0</v>
      </c>
      <c r="AF259">
        <f t="shared" si="101"/>
        <v>0</v>
      </c>
      <c r="AG259">
        <f t="shared" si="100"/>
        <v>0</v>
      </c>
      <c r="AH259">
        <f t="shared" si="100"/>
        <v>0</v>
      </c>
      <c r="AI259">
        <f t="shared" si="100"/>
        <v>0</v>
      </c>
      <c r="AJ259">
        <f t="shared" si="100"/>
        <v>0</v>
      </c>
      <c r="AK259">
        <f t="shared" si="100"/>
        <v>0</v>
      </c>
      <c r="AL259">
        <f t="shared" si="100"/>
        <v>0</v>
      </c>
      <c r="AM259">
        <f t="shared" si="100"/>
        <v>0</v>
      </c>
      <c r="AN259">
        <f t="shared" si="100"/>
        <v>0</v>
      </c>
      <c r="AO259">
        <f t="shared" si="100"/>
        <v>0</v>
      </c>
      <c r="AP259">
        <f t="shared" si="100"/>
        <v>0</v>
      </c>
      <c r="AQ259">
        <f t="shared" si="100"/>
        <v>0</v>
      </c>
      <c r="AR259">
        <f t="shared" si="100"/>
        <v>0</v>
      </c>
      <c r="AS259">
        <f t="shared" si="100"/>
        <v>0</v>
      </c>
      <c r="AT259">
        <f t="shared" si="100"/>
        <v>0</v>
      </c>
      <c r="AU259">
        <f t="shared" si="100"/>
        <v>0</v>
      </c>
      <c r="AV259">
        <f t="shared" si="95"/>
        <v>0</v>
      </c>
      <c r="AW259">
        <f t="shared" si="95"/>
        <v>0</v>
      </c>
      <c r="AX259">
        <f t="shared" si="95"/>
        <v>0</v>
      </c>
      <c r="AY259">
        <f t="shared" si="95"/>
        <v>0</v>
      </c>
      <c r="AZ259">
        <f t="shared" si="95"/>
        <v>0</v>
      </c>
    </row>
    <row r="260" spans="1:52" x14ac:dyDescent="0.25">
      <c r="A260" t="s">
        <v>33</v>
      </c>
      <c r="B260" s="3">
        <v>42218</v>
      </c>
      <c r="C260" s="1">
        <v>5149.4853439559192</v>
      </c>
      <c r="D260" s="1">
        <v>171.64951146519729</v>
      </c>
      <c r="E260" s="1">
        <f t="shared" si="88"/>
        <v>3139.4853439559188</v>
      </c>
      <c r="F260" s="1">
        <f t="shared" si="89"/>
        <v>2010</v>
      </c>
      <c r="G260" s="2">
        <v>30</v>
      </c>
      <c r="H260" s="1">
        <v>104.64951146519729</v>
      </c>
      <c r="I260" s="1">
        <v>67</v>
      </c>
      <c r="J260" s="1">
        <f t="shared" si="91"/>
        <v>938343.60741338157</v>
      </c>
      <c r="K260" s="1">
        <f t="shared" si="92"/>
        <v>482869.60741338058</v>
      </c>
      <c r="N260">
        <f t="shared" si="90"/>
        <v>0</v>
      </c>
      <c r="O260">
        <f t="shared" si="90"/>
        <v>0</v>
      </c>
      <c r="P260">
        <f t="shared" si="90"/>
        <v>0</v>
      </c>
      <c r="Q260">
        <f t="shared" si="101"/>
        <v>0</v>
      </c>
      <c r="R260">
        <f t="shared" si="101"/>
        <v>0</v>
      </c>
      <c r="S260">
        <f t="shared" si="101"/>
        <v>0</v>
      </c>
      <c r="T260">
        <f t="shared" si="101"/>
        <v>0</v>
      </c>
      <c r="U260">
        <f t="shared" si="101"/>
        <v>0</v>
      </c>
      <c r="V260">
        <f t="shared" si="101"/>
        <v>0</v>
      </c>
      <c r="W260">
        <f t="shared" si="101"/>
        <v>0</v>
      </c>
      <c r="X260">
        <f t="shared" si="101"/>
        <v>0</v>
      </c>
      <c r="Y260">
        <f t="shared" si="101"/>
        <v>0</v>
      </c>
      <c r="Z260">
        <f t="shared" si="101"/>
        <v>0</v>
      </c>
      <c r="AA260">
        <f t="shared" si="101"/>
        <v>0</v>
      </c>
      <c r="AB260">
        <f t="shared" si="101"/>
        <v>0</v>
      </c>
      <c r="AC260">
        <f t="shared" si="101"/>
        <v>0</v>
      </c>
      <c r="AD260">
        <f t="shared" si="101"/>
        <v>0</v>
      </c>
      <c r="AE260">
        <f t="shared" si="101"/>
        <v>0</v>
      </c>
      <c r="AF260">
        <f t="shared" si="101"/>
        <v>0</v>
      </c>
      <c r="AG260">
        <f t="shared" si="100"/>
        <v>0</v>
      </c>
      <c r="AH260">
        <f t="shared" si="100"/>
        <v>0</v>
      </c>
      <c r="AI260">
        <f t="shared" si="100"/>
        <v>0</v>
      </c>
      <c r="AJ260">
        <f t="shared" si="100"/>
        <v>0</v>
      </c>
      <c r="AK260">
        <f t="shared" si="100"/>
        <v>0</v>
      </c>
      <c r="AL260">
        <f t="shared" si="100"/>
        <v>0</v>
      </c>
      <c r="AM260">
        <f t="shared" si="100"/>
        <v>0</v>
      </c>
      <c r="AN260">
        <f t="shared" si="100"/>
        <v>0</v>
      </c>
      <c r="AO260">
        <f t="shared" si="100"/>
        <v>0</v>
      </c>
      <c r="AP260">
        <f t="shared" si="100"/>
        <v>0</v>
      </c>
      <c r="AQ260">
        <f t="shared" si="100"/>
        <v>1</v>
      </c>
      <c r="AR260">
        <f t="shared" si="100"/>
        <v>0</v>
      </c>
      <c r="AS260">
        <f t="shared" si="100"/>
        <v>0</v>
      </c>
      <c r="AT260">
        <f t="shared" si="100"/>
        <v>0</v>
      </c>
      <c r="AU260">
        <f t="shared" si="100"/>
        <v>0</v>
      </c>
      <c r="AV260">
        <f t="shared" si="95"/>
        <v>0</v>
      </c>
      <c r="AW260">
        <f t="shared" si="95"/>
        <v>0</v>
      </c>
      <c r="AX260">
        <f t="shared" si="95"/>
        <v>0</v>
      </c>
      <c r="AY260">
        <f t="shared" si="95"/>
        <v>0</v>
      </c>
      <c r="AZ260">
        <f t="shared" si="95"/>
        <v>0</v>
      </c>
    </row>
    <row r="261" spans="1:52" x14ac:dyDescent="0.25">
      <c r="A261" t="s">
        <v>28</v>
      </c>
      <c r="B261" s="3">
        <v>42216</v>
      </c>
      <c r="C261" s="1">
        <v>5124.1901899455752</v>
      </c>
      <c r="D261" s="1">
        <v>93.167094362646822</v>
      </c>
      <c r="E261" s="1">
        <f t="shared" si="88"/>
        <v>2979.1901899455752</v>
      </c>
      <c r="F261" s="1">
        <f t="shared" si="89"/>
        <v>2145</v>
      </c>
      <c r="G261" s="2">
        <v>55</v>
      </c>
      <c r="H261" s="1">
        <v>54.167094362646822</v>
      </c>
      <c r="I261" s="1">
        <v>39</v>
      </c>
      <c r="J261" s="1">
        <f t="shared" si="91"/>
        <v>943467.7976033272</v>
      </c>
      <c r="K261" s="1">
        <f t="shared" si="92"/>
        <v>485848.79760332615</v>
      </c>
      <c r="N261">
        <f t="shared" si="90"/>
        <v>0</v>
      </c>
      <c r="O261">
        <f t="shared" si="90"/>
        <v>0</v>
      </c>
      <c r="P261">
        <f t="shared" si="90"/>
        <v>0</v>
      </c>
      <c r="Q261">
        <f t="shared" si="101"/>
        <v>0</v>
      </c>
      <c r="R261">
        <f t="shared" si="101"/>
        <v>0</v>
      </c>
      <c r="S261">
        <f t="shared" si="101"/>
        <v>0</v>
      </c>
      <c r="T261">
        <f t="shared" si="101"/>
        <v>0</v>
      </c>
      <c r="U261">
        <f t="shared" si="101"/>
        <v>0</v>
      </c>
      <c r="V261">
        <f t="shared" si="101"/>
        <v>0</v>
      </c>
      <c r="W261">
        <f t="shared" si="101"/>
        <v>0</v>
      </c>
      <c r="X261">
        <f t="shared" si="101"/>
        <v>0</v>
      </c>
      <c r="Y261">
        <f t="shared" si="101"/>
        <v>0</v>
      </c>
      <c r="Z261">
        <f t="shared" si="101"/>
        <v>0</v>
      </c>
      <c r="AA261">
        <f t="shared" si="101"/>
        <v>0</v>
      </c>
      <c r="AB261">
        <f t="shared" si="101"/>
        <v>0</v>
      </c>
      <c r="AC261">
        <f t="shared" si="101"/>
        <v>0</v>
      </c>
      <c r="AD261">
        <f t="shared" si="101"/>
        <v>0</v>
      </c>
      <c r="AE261">
        <f t="shared" si="101"/>
        <v>0</v>
      </c>
      <c r="AF261">
        <f t="shared" si="101"/>
        <v>0</v>
      </c>
      <c r="AG261">
        <f t="shared" si="100"/>
        <v>0</v>
      </c>
      <c r="AH261">
        <f t="shared" si="100"/>
        <v>0</v>
      </c>
      <c r="AI261">
        <f t="shared" si="100"/>
        <v>0</v>
      </c>
      <c r="AJ261">
        <f t="shared" si="100"/>
        <v>0</v>
      </c>
      <c r="AK261">
        <f t="shared" si="100"/>
        <v>0</v>
      </c>
      <c r="AL261">
        <f t="shared" si="100"/>
        <v>0</v>
      </c>
      <c r="AM261">
        <f t="shared" si="100"/>
        <v>0</v>
      </c>
      <c r="AN261">
        <f t="shared" si="100"/>
        <v>0</v>
      </c>
      <c r="AO261">
        <f t="shared" si="100"/>
        <v>0</v>
      </c>
      <c r="AP261">
        <f t="shared" si="100"/>
        <v>0</v>
      </c>
      <c r="AQ261">
        <f t="shared" si="100"/>
        <v>0</v>
      </c>
      <c r="AR261">
        <f t="shared" si="100"/>
        <v>0</v>
      </c>
      <c r="AS261">
        <f t="shared" si="100"/>
        <v>0</v>
      </c>
      <c r="AT261">
        <f t="shared" si="100"/>
        <v>1</v>
      </c>
      <c r="AU261">
        <f t="shared" si="100"/>
        <v>0</v>
      </c>
      <c r="AV261">
        <f t="shared" si="95"/>
        <v>0</v>
      </c>
      <c r="AW261">
        <f t="shared" si="95"/>
        <v>0</v>
      </c>
      <c r="AX261">
        <f t="shared" si="95"/>
        <v>0</v>
      </c>
      <c r="AY261">
        <f t="shared" si="95"/>
        <v>0</v>
      </c>
      <c r="AZ261">
        <f t="shared" si="95"/>
        <v>0</v>
      </c>
    </row>
    <row r="262" spans="1:52" x14ac:dyDescent="0.25">
      <c r="A262" t="s">
        <v>37</v>
      </c>
      <c r="B262" s="3">
        <v>42214</v>
      </c>
      <c r="C262" s="1">
        <v>1084.2501011530426</v>
      </c>
      <c r="D262" s="1">
        <v>180.70835019217375</v>
      </c>
      <c r="E262" s="1">
        <f t="shared" si="88"/>
        <v>526.25010115304258</v>
      </c>
      <c r="F262" s="1">
        <f t="shared" si="89"/>
        <v>558</v>
      </c>
      <c r="G262" s="2">
        <v>6</v>
      </c>
      <c r="H262" s="1">
        <v>87.708350192173754</v>
      </c>
      <c r="I262" s="1">
        <v>93</v>
      </c>
      <c r="J262" s="1">
        <f t="shared" si="91"/>
        <v>944552.04770448024</v>
      </c>
      <c r="K262" s="1">
        <f t="shared" si="92"/>
        <v>486375.04770447919</v>
      </c>
      <c r="N262">
        <f t="shared" si="90"/>
        <v>0</v>
      </c>
      <c r="O262">
        <f t="shared" si="90"/>
        <v>0</v>
      </c>
      <c r="P262">
        <f t="shared" si="90"/>
        <v>0</v>
      </c>
      <c r="Q262">
        <f t="shared" si="101"/>
        <v>0</v>
      </c>
      <c r="R262">
        <f t="shared" si="101"/>
        <v>0</v>
      </c>
      <c r="S262">
        <f t="shared" si="101"/>
        <v>0</v>
      </c>
      <c r="T262">
        <f t="shared" si="101"/>
        <v>0</v>
      </c>
      <c r="U262">
        <f t="shared" si="101"/>
        <v>0</v>
      </c>
      <c r="V262">
        <f t="shared" si="101"/>
        <v>0</v>
      </c>
      <c r="W262">
        <f t="shared" si="101"/>
        <v>0</v>
      </c>
      <c r="X262">
        <f t="shared" si="101"/>
        <v>0</v>
      </c>
      <c r="Y262">
        <f t="shared" si="101"/>
        <v>0</v>
      </c>
      <c r="Z262">
        <f t="shared" si="101"/>
        <v>0</v>
      </c>
      <c r="AA262">
        <f t="shared" si="101"/>
        <v>0</v>
      </c>
      <c r="AB262">
        <f t="shared" si="101"/>
        <v>0</v>
      </c>
      <c r="AC262">
        <f t="shared" si="101"/>
        <v>0</v>
      </c>
      <c r="AD262">
        <f t="shared" si="101"/>
        <v>1</v>
      </c>
      <c r="AE262">
        <f t="shared" si="101"/>
        <v>0</v>
      </c>
      <c r="AF262">
        <f t="shared" si="101"/>
        <v>0</v>
      </c>
      <c r="AG262">
        <f t="shared" si="100"/>
        <v>0</v>
      </c>
      <c r="AH262">
        <f t="shared" si="100"/>
        <v>0</v>
      </c>
      <c r="AI262">
        <f t="shared" si="100"/>
        <v>0</v>
      </c>
      <c r="AJ262">
        <f t="shared" si="100"/>
        <v>0</v>
      </c>
      <c r="AK262">
        <f t="shared" si="100"/>
        <v>0</v>
      </c>
      <c r="AL262">
        <f t="shared" si="100"/>
        <v>0</v>
      </c>
      <c r="AM262">
        <f t="shared" si="100"/>
        <v>0</v>
      </c>
      <c r="AN262">
        <f t="shared" si="100"/>
        <v>0</v>
      </c>
      <c r="AO262">
        <f t="shared" si="100"/>
        <v>0</v>
      </c>
      <c r="AP262">
        <f t="shared" si="100"/>
        <v>0</v>
      </c>
      <c r="AQ262">
        <f t="shared" si="100"/>
        <v>0</v>
      </c>
      <c r="AR262">
        <f t="shared" si="100"/>
        <v>0</v>
      </c>
      <c r="AS262">
        <f t="shared" si="100"/>
        <v>0</v>
      </c>
      <c r="AT262">
        <f t="shared" si="100"/>
        <v>0</v>
      </c>
      <c r="AU262">
        <f t="shared" si="100"/>
        <v>0</v>
      </c>
      <c r="AV262">
        <f t="shared" si="95"/>
        <v>0</v>
      </c>
      <c r="AW262">
        <f t="shared" si="95"/>
        <v>0</v>
      </c>
      <c r="AX262">
        <f t="shared" si="95"/>
        <v>0</v>
      </c>
      <c r="AY262">
        <f t="shared" si="95"/>
        <v>0</v>
      </c>
      <c r="AZ262">
        <f t="shared" si="95"/>
        <v>0</v>
      </c>
    </row>
    <row r="263" spans="1:52" x14ac:dyDescent="0.25">
      <c r="A263" t="s">
        <v>21</v>
      </c>
      <c r="B263" s="3">
        <v>42210</v>
      </c>
      <c r="C263" s="1">
        <v>3162.4034414271637</v>
      </c>
      <c r="D263" s="1">
        <v>59.667989460889885</v>
      </c>
      <c r="E263" s="1">
        <f t="shared" ref="E263:E326" si="102">+G263*H263</f>
        <v>1784.4034414271639</v>
      </c>
      <c r="F263" s="1">
        <f t="shared" ref="F263:F326" si="103">+G263*I263</f>
        <v>1378</v>
      </c>
      <c r="G263" s="2">
        <v>53</v>
      </c>
      <c r="H263" s="1">
        <v>33.667989460889885</v>
      </c>
      <c r="I263" s="1">
        <v>26</v>
      </c>
      <c r="J263" s="1">
        <f t="shared" si="91"/>
        <v>947714.4511459074</v>
      </c>
      <c r="K263" s="1">
        <f t="shared" si="92"/>
        <v>488159.45114590635</v>
      </c>
      <c r="N263">
        <f t="shared" ref="N263:AC326" si="104">+IF(N$5=$A263,1,0)</f>
        <v>0</v>
      </c>
      <c r="O263">
        <f t="shared" si="104"/>
        <v>0</v>
      </c>
      <c r="P263">
        <f t="shared" si="104"/>
        <v>0</v>
      </c>
      <c r="Q263">
        <f t="shared" si="101"/>
        <v>0</v>
      </c>
      <c r="R263">
        <f t="shared" si="101"/>
        <v>0</v>
      </c>
      <c r="S263">
        <f t="shared" si="101"/>
        <v>0</v>
      </c>
      <c r="T263">
        <f t="shared" si="101"/>
        <v>1</v>
      </c>
      <c r="U263">
        <f t="shared" si="101"/>
        <v>0</v>
      </c>
      <c r="V263">
        <f t="shared" si="101"/>
        <v>0</v>
      </c>
      <c r="W263">
        <f t="shared" si="101"/>
        <v>0</v>
      </c>
      <c r="X263">
        <f t="shared" si="101"/>
        <v>0</v>
      </c>
      <c r="Y263">
        <f t="shared" si="101"/>
        <v>0</v>
      </c>
      <c r="Z263">
        <f t="shared" si="101"/>
        <v>0</v>
      </c>
      <c r="AA263">
        <f t="shared" si="101"/>
        <v>0</v>
      </c>
      <c r="AB263">
        <f t="shared" si="101"/>
        <v>0</v>
      </c>
      <c r="AC263">
        <f t="shared" si="101"/>
        <v>0</v>
      </c>
      <c r="AD263">
        <f t="shared" si="101"/>
        <v>0</v>
      </c>
      <c r="AE263">
        <f t="shared" si="101"/>
        <v>0</v>
      </c>
      <c r="AF263">
        <f t="shared" si="101"/>
        <v>0</v>
      </c>
      <c r="AG263">
        <f t="shared" si="100"/>
        <v>0</v>
      </c>
      <c r="AH263">
        <f t="shared" si="100"/>
        <v>0</v>
      </c>
      <c r="AI263">
        <f t="shared" si="100"/>
        <v>0</v>
      </c>
      <c r="AJ263">
        <f t="shared" si="100"/>
        <v>0</v>
      </c>
      <c r="AK263">
        <f t="shared" si="100"/>
        <v>0</v>
      </c>
      <c r="AL263">
        <f t="shared" si="100"/>
        <v>0</v>
      </c>
      <c r="AM263">
        <f t="shared" si="100"/>
        <v>0</v>
      </c>
      <c r="AN263">
        <f t="shared" si="100"/>
        <v>0</v>
      </c>
      <c r="AO263">
        <f t="shared" si="100"/>
        <v>0</v>
      </c>
      <c r="AP263">
        <f t="shared" si="100"/>
        <v>0</v>
      </c>
      <c r="AQ263">
        <f t="shared" si="100"/>
        <v>0</v>
      </c>
      <c r="AR263">
        <f t="shared" si="100"/>
        <v>0</v>
      </c>
      <c r="AS263">
        <f t="shared" si="100"/>
        <v>0</v>
      </c>
      <c r="AT263">
        <f t="shared" si="100"/>
        <v>0</v>
      </c>
      <c r="AU263">
        <f t="shared" si="100"/>
        <v>0</v>
      </c>
      <c r="AV263">
        <f t="shared" si="95"/>
        <v>0</v>
      </c>
      <c r="AW263">
        <f t="shared" si="95"/>
        <v>0</v>
      </c>
      <c r="AX263">
        <f t="shared" si="95"/>
        <v>0</v>
      </c>
      <c r="AY263">
        <f t="shared" si="95"/>
        <v>0</v>
      </c>
      <c r="AZ263">
        <f t="shared" si="95"/>
        <v>0</v>
      </c>
    </row>
    <row r="264" spans="1:52" x14ac:dyDescent="0.25">
      <c r="A264" t="s">
        <v>17</v>
      </c>
      <c r="B264" s="3">
        <v>42205</v>
      </c>
      <c r="C264" s="1">
        <v>6788.9081118099693</v>
      </c>
      <c r="D264" s="1">
        <v>150.86462470688821</v>
      </c>
      <c r="E264" s="1">
        <f t="shared" si="102"/>
        <v>4088.9081118099689</v>
      </c>
      <c r="F264" s="1">
        <f t="shared" si="103"/>
        <v>2700</v>
      </c>
      <c r="G264" s="2">
        <v>45</v>
      </c>
      <c r="H264" s="1">
        <v>90.864624706888193</v>
      </c>
      <c r="I264" s="1">
        <v>60</v>
      </c>
      <c r="J264" s="1">
        <f t="shared" ref="J264:J327" si="105">+J263+C264</f>
        <v>954503.35925771738</v>
      </c>
      <c r="K264" s="1">
        <f t="shared" ref="K264:K327" si="106">+K263+E264</f>
        <v>492248.35925771634</v>
      </c>
      <c r="N264">
        <f t="shared" si="104"/>
        <v>0</v>
      </c>
      <c r="O264">
        <f t="shared" si="104"/>
        <v>0</v>
      </c>
      <c r="P264">
        <f t="shared" si="104"/>
        <v>0</v>
      </c>
      <c r="Q264">
        <f t="shared" si="101"/>
        <v>0</v>
      </c>
      <c r="R264">
        <f t="shared" si="101"/>
        <v>0</v>
      </c>
      <c r="S264">
        <f t="shared" si="101"/>
        <v>0</v>
      </c>
      <c r="T264">
        <f t="shared" si="101"/>
        <v>0</v>
      </c>
      <c r="U264">
        <f t="shared" si="101"/>
        <v>0</v>
      </c>
      <c r="V264">
        <f t="shared" si="101"/>
        <v>0</v>
      </c>
      <c r="W264">
        <f t="shared" si="101"/>
        <v>0</v>
      </c>
      <c r="X264">
        <f t="shared" si="101"/>
        <v>0</v>
      </c>
      <c r="Y264">
        <f t="shared" si="101"/>
        <v>0</v>
      </c>
      <c r="Z264">
        <f t="shared" si="101"/>
        <v>0</v>
      </c>
      <c r="AA264">
        <f t="shared" si="101"/>
        <v>0</v>
      </c>
      <c r="AB264">
        <f t="shared" si="101"/>
        <v>0</v>
      </c>
      <c r="AC264">
        <f t="shared" si="101"/>
        <v>0</v>
      </c>
      <c r="AD264">
        <f t="shared" si="101"/>
        <v>0</v>
      </c>
      <c r="AE264">
        <f t="shared" si="101"/>
        <v>0</v>
      </c>
      <c r="AF264">
        <f t="shared" si="101"/>
        <v>0</v>
      </c>
      <c r="AG264">
        <f t="shared" si="100"/>
        <v>1</v>
      </c>
      <c r="AH264">
        <f t="shared" si="100"/>
        <v>0</v>
      </c>
      <c r="AI264">
        <f t="shared" si="100"/>
        <v>0</v>
      </c>
      <c r="AJ264">
        <f t="shared" si="100"/>
        <v>0</v>
      </c>
      <c r="AK264">
        <f t="shared" si="100"/>
        <v>0</v>
      </c>
      <c r="AL264">
        <f t="shared" si="100"/>
        <v>0</v>
      </c>
      <c r="AM264">
        <f t="shared" si="100"/>
        <v>0</v>
      </c>
      <c r="AN264">
        <f t="shared" si="100"/>
        <v>0</v>
      </c>
      <c r="AO264">
        <f t="shared" si="100"/>
        <v>0</v>
      </c>
      <c r="AP264">
        <f t="shared" si="100"/>
        <v>0</v>
      </c>
      <c r="AQ264">
        <f t="shared" si="100"/>
        <v>0</v>
      </c>
      <c r="AR264">
        <f t="shared" si="100"/>
        <v>0</v>
      </c>
      <c r="AS264">
        <f t="shared" si="100"/>
        <v>0</v>
      </c>
      <c r="AT264">
        <f t="shared" si="100"/>
        <v>0</v>
      </c>
      <c r="AU264">
        <f t="shared" si="100"/>
        <v>0</v>
      </c>
      <c r="AV264">
        <f t="shared" si="95"/>
        <v>0</v>
      </c>
      <c r="AW264">
        <f t="shared" si="95"/>
        <v>0</v>
      </c>
      <c r="AX264">
        <f t="shared" si="95"/>
        <v>0</v>
      </c>
      <c r="AY264">
        <f t="shared" si="95"/>
        <v>0</v>
      </c>
      <c r="AZ264">
        <f t="shared" si="95"/>
        <v>0</v>
      </c>
    </row>
    <row r="265" spans="1:52" x14ac:dyDescent="0.25">
      <c r="A265" t="s">
        <v>22</v>
      </c>
      <c r="B265" s="3">
        <v>42195</v>
      </c>
      <c r="C265" s="1">
        <v>1742.2129369825111</v>
      </c>
      <c r="D265" s="1">
        <v>108.88830856140694</v>
      </c>
      <c r="E265" s="1">
        <f t="shared" si="102"/>
        <v>910.21293698251111</v>
      </c>
      <c r="F265" s="1">
        <f t="shared" si="103"/>
        <v>832</v>
      </c>
      <c r="G265" s="2">
        <v>16</v>
      </c>
      <c r="H265" s="1">
        <v>56.888308561406944</v>
      </c>
      <c r="I265" s="1">
        <v>52</v>
      </c>
      <c r="J265" s="1">
        <f t="shared" si="105"/>
        <v>956245.5721946999</v>
      </c>
      <c r="K265" s="1">
        <f t="shared" si="106"/>
        <v>493158.57219469885</v>
      </c>
      <c r="N265">
        <f t="shared" si="104"/>
        <v>0</v>
      </c>
      <c r="O265">
        <f t="shared" si="104"/>
        <v>0</v>
      </c>
      <c r="P265">
        <f t="shared" si="104"/>
        <v>0</v>
      </c>
      <c r="Q265">
        <f t="shared" si="101"/>
        <v>0</v>
      </c>
      <c r="R265">
        <f t="shared" si="101"/>
        <v>0</v>
      </c>
      <c r="S265">
        <f t="shared" si="101"/>
        <v>0</v>
      </c>
      <c r="T265">
        <f t="shared" si="101"/>
        <v>0</v>
      </c>
      <c r="U265">
        <f t="shared" si="101"/>
        <v>0</v>
      </c>
      <c r="V265">
        <f t="shared" si="101"/>
        <v>0</v>
      </c>
      <c r="W265">
        <f t="shared" si="101"/>
        <v>0</v>
      </c>
      <c r="X265">
        <f t="shared" si="101"/>
        <v>0</v>
      </c>
      <c r="Y265">
        <f t="shared" si="101"/>
        <v>0</v>
      </c>
      <c r="Z265">
        <f t="shared" si="101"/>
        <v>0</v>
      </c>
      <c r="AA265">
        <f t="shared" si="101"/>
        <v>0</v>
      </c>
      <c r="AB265">
        <f t="shared" si="101"/>
        <v>0</v>
      </c>
      <c r="AC265">
        <f t="shared" si="101"/>
        <v>0</v>
      </c>
      <c r="AD265">
        <f t="shared" si="101"/>
        <v>0</v>
      </c>
      <c r="AE265">
        <f t="shared" si="101"/>
        <v>0</v>
      </c>
      <c r="AF265">
        <f t="shared" ref="AF265:AU285" si="107">+IF(AF$5=$A265,1,0)</f>
        <v>0</v>
      </c>
      <c r="AG265">
        <f t="shared" si="107"/>
        <v>0</v>
      </c>
      <c r="AH265">
        <f t="shared" si="107"/>
        <v>0</v>
      </c>
      <c r="AI265">
        <f t="shared" si="107"/>
        <v>0</v>
      </c>
      <c r="AJ265">
        <f t="shared" si="107"/>
        <v>0</v>
      </c>
      <c r="AK265">
        <f t="shared" si="107"/>
        <v>0</v>
      </c>
      <c r="AL265">
        <f t="shared" si="107"/>
        <v>0</v>
      </c>
      <c r="AM265">
        <f t="shared" si="107"/>
        <v>0</v>
      </c>
      <c r="AN265">
        <f t="shared" si="107"/>
        <v>0</v>
      </c>
      <c r="AO265">
        <f t="shared" si="107"/>
        <v>0</v>
      </c>
      <c r="AP265">
        <f t="shared" si="107"/>
        <v>0</v>
      </c>
      <c r="AQ265">
        <f t="shared" si="107"/>
        <v>0</v>
      </c>
      <c r="AR265">
        <f t="shared" si="107"/>
        <v>0</v>
      </c>
      <c r="AS265">
        <f t="shared" si="107"/>
        <v>0</v>
      </c>
      <c r="AT265">
        <f t="shared" si="107"/>
        <v>0</v>
      </c>
      <c r="AU265">
        <f t="shared" si="107"/>
        <v>0</v>
      </c>
      <c r="AV265">
        <f t="shared" si="95"/>
        <v>0</v>
      </c>
      <c r="AW265">
        <f t="shared" si="95"/>
        <v>0</v>
      </c>
      <c r="AX265">
        <f t="shared" si="95"/>
        <v>1</v>
      </c>
      <c r="AY265">
        <f t="shared" si="95"/>
        <v>0</v>
      </c>
      <c r="AZ265">
        <f t="shared" si="95"/>
        <v>0</v>
      </c>
    </row>
    <row r="266" spans="1:52" x14ac:dyDescent="0.25">
      <c r="A266" t="s">
        <v>19</v>
      </c>
      <c r="B266" s="3">
        <v>42195</v>
      </c>
      <c r="C266" s="1">
        <v>448.38439461195395</v>
      </c>
      <c r="D266" s="1">
        <v>40.762217691995815</v>
      </c>
      <c r="E266" s="1">
        <f t="shared" si="102"/>
        <v>272.38439461195395</v>
      </c>
      <c r="F266" s="1">
        <f t="shared" si="103"/>
        <v>176</v>
      </c>
      <c r="G266" s="2">
        <v>11</v>
      </c>
      <c r="H266" s="1">
        <v>24.762217691995815</v>
      </c>
      <c r="I266" s="1">
        <v>16</v>
      </c>
      <c r="J266" s="1">
        <f t="shared" si="105"/>
        <v>956693.95658931183</v>
      </c>
      <c r="K266" s="1">
        <f t="shared" si="106"/>
        <v>493430.95658931078</v>
      </c>
      <c r="N266">
        <f t="shared" si="104"/>
        <v>0</v>
      </c>
      <c r="O266">
        <f t="shared" si="104"/>
        <v>0</v>
      </c>
      <c r="P266">
        <f t="shared" si="104"/>
        <v>0</v>
      </c>
      <c r="Q266">
        <f t="shared" si="104"/>
        <v>0</v>
      </c>
      <c r="R266">
        <f t="shared" si="104"/>
        <v>0</v>
      </c>
      <c r="S266">
        <f t="shared" si="104"/>
        <v>0</v>
      </c>
      <c r="T266">
        <f t="shared" si="104"/>
        <v>0</v>
      </c>
      <c r="U266">
        <f t="shared" si="104"/>
        <v>0</v>
      </c>
      <c r="V266">
        <f t="shared" si="104"/>
        <v>0</v>
      </c>
      <c r="W266">
        <f t="shared" si="104"/>
        <v>0</v>
      </c>
      <c r="X266">
        <f t="shared" si="104"/>
        <v>0</v>
      </c>
      <c r="Y266">
        <f t="shared" si="104"/>
        <v>0</v>
      </c>
      <c r="Z266">
        <f t="shared" si="104"/>
        <v>0</v>
      </c>
      <c r="AA266">
        <f t="shared" si="104"/>
        <v>0</v>
      </c>
      <c r="AB266">
        <f t="shared" si="104"/>
        <v>0</v>
      </c>
      <c r="AC266">
        <f t="shared" si="104"/>
        <v>0</v>
      </c>
      <c r="AD266">
        <f t="shared" ref="AD266:AS285" si="108">+IF(AD$5=$A266,1,0)</f>
        <v>0</v>
      </c>
      <c r="AE266">
        <f t="shared" si="108"/>
        <v>0</v>
      </c>
      <c r="AF266">
        <f t="shared" si="108"/>
        <v>0</v>
      </c>
      <c r="AG266">
        <f t="shared" si="108"/>
        <v>0</v>
      </c>
      <c r="AH266">
        <f t="shared" si="108"/>
        <v>0</v>
      </c>
      <c r="AI266">
        <f t="shared" si="108"/>
        <v>0</v>
      </c>
      <c r="AJ266">
        <f t="shared" si="108"/>
        <v>0</v>
      </c>
      <c r="AK266">
        <f t="shared" si="108"/>
        <v>0</v>
      </c>
      <c r="AL266">
        <f t="shared" si="108"/>
        <v>0</v>
      </c>
      <c r="AM266">
        <f t="shared" si="108"/>
        <v>0</v>
      </c>
      <c r="AN266">
        <f t="shared" si="108"/>
        <v>0</v>
      </c>
      <c r="AO266">
        <f t="shared" si="108"/>
        <v>0</v>
      </c>
      <c r="AP266">
        <f t="shared" si="108"/>
        <v>0</v>
      </c>
      <c r="AQ266">
        <f t="shared" si="108"/>
        <v>0</v>
      </c>
      <c r="AR266">
        <f t="shared" si="108"/>
        <v>0</v>
      </c>
      <c r="AS266">
        <f t="shared" si="108"/>
        <v>0</v>
      </c>
      <c r="AT266">
        <f t="shared" si="107"/>
        <v>0</v>
      </c>
      <c r="AU266">
        <f t="shared" si="107"/>
        <v>0</v>
      </c>
      <c r="AV266">
        <f t="shared" si="95"/>
        <v>0</v>
      </c>
      <c r="AW266">
        <f t="shared" si="95"/>
        <v>1</v>
      </c>
      <c r="AX266">
        <f t="shared" si="95"/>
        <v>0</v>
      </c>
      <c r="AY266">
        <f t="shared" si="95"/>
        <v>0</v>
      </c>
      <c r="AZ266">
        <f t="shared" si="95"/>
        <v>0</v>
      </c>
    </row>
    <row r="267" spans="1:52" x14ac:dyDescent="0.25">
      <c r="A267" t="s">
        <v>43</v>
      </c>
      <c r="B267" s="3">
        <v>42184</v>
      </c>
      <c r="C267" s="1">
        <v>1695.1334814136078</v>
      </c>
      <c r="D267" s="1">
        <v>94.174082300755984</v>
      </c>
      <c r="E267" s="1">
        <f t="shared" si="102"/>
        <v>687.13348141360768</v>
      </c>
      <c r="F267" s="1">
        <f t="shared" si="103"/>
        <v>1008</v>
      </c>
      <c r="G267" s="2">
        <v>18</v>
      </c>
      <c r="H267" s="1">
        <v>38.174082300755984</v>
      </c>
      <c r="I267" s="1">
        <v>56</v>
      </c>
      <c r="J267" s="1">
        <f t="shared" si="105"/>
        <v>958389.09007072542</v>
      </c>
      <c r="K267" s="1">
        <f t="shared" si="106"/>
        <v>494118.09007072437</v>
      </c>
      <c r="N267">
        <f t="shared" si="104"/>
        <v>0</v>
      </c>
      <c r="O267">
        <f t="shared" si="104"/>
        <v>0</v>
      </c>
      <c r="P267">
        <f t="shared" si="104"/>
        <v>0</v>
      </c>
      <c r="Q267">
        <f t="shared" si="104"/>
        <v>0</v>
      </c>
      <c r="R267">
        <f t="shared" si="104"/>
        <v>0</v>
      </c>
      <c r="S267">
        <f t="shared" si="104"/>
        <v>0</v>
      </c>
      <c r="T267">
        <f t="shared" si="104"/>
        <v>0</v>
      </c>
      <c r="U267">
        <f t="shared" si="104"/>
        <v>0</v>
      </c>
      <c r="V267">
        <f t="shared" si="104"/>
        <v>0</v>
      </c>
      <c r="W267">
        <f t="shared" si="104"/>
        <v>0</v>
      </c>
      <c r="X267">
        <f t="shared" si="104"/>
        <v>0</v>
      </c>
      <c r="Y267">
        <f t="shared" si="104"/>
        <v>0</v>
      </c>
      <c r="Z267">
        <f t="shared" si="104"/>
        <v>0</v>
      </c>
      <c r="AA267">
        <f t="shared" si="104"/>
        <v>0</v>
      </c>
      <c r="AB267">
        <f t="shared" si="104"/>
        <v>0</v>
      </c>
      <c r="AC267">
        <f t="shared" si="104"/>
        <v>0</v>
      </c>
      <c r="AD267">
        <f t="shared" si="108"/>
        <v>0</v>
      </c>
      <c r="AE267">
        <f t="shared" si="108"/>
        <v>0</v>
      </c>
      <c r="AF267">
        <f t="shared" si="108"/>
        <v>0</v>
      </c>
      <c r="AG267">
        <f t="shared" si="108"/>
        <v>0</v>
      </c>
      <c r="AH267">
        <f t="shared" si="108"/>
        <v>0</v>
      </c>
      <c r="AI267">
        <f t="shared" si="108"/>
        <v>0</v>
      </c>
      <c r="AJ267">
        <f t="shared" si="108"/>
        <v>0</v>
      </c>
      <c r="AK267">
        <f t="shared" si="108"/>
        <v>0</v>
      </c>
      <c r="AL267">
        <f t="shared" si="108"/>
        <v>0</v>
      </c>
      <c r="AM267">
        <f t="shared" si="108"/>
        <v>0</v>
      </c>
      <c r="AN267">
        <f t="shared" si="108"/>
        <v>0</v>
      </c>
      <c r="AO267">
        <f t="shared" si="108"/>
        <v>0</v>
      </c>
      <c r="AP267">
        <f t="shared" si="108"/>
        <v>0</v>
      </c>
      <c r="AQ267">
        <f t="shared" si="108"/>
        <v>0</v>
      </c>
      <c r="AR267">
        <f t="shared" si="108"/>
        <v>0</v>
      </c>
      <c r="AS267">
        <f t="shared" si="108"/>
        <v>0</v>
      </c>
      <c r="AT267">
        <f t="shared" si="107"/>
        <v>0</v>
      </c>
      <c r="AU267">
        <f t="shared" si="107"/>
        <v>0</v>
      </c>
      <c r="AV267">
        <f t="shared" ref="AV267:AZ317" si="109">+IF(AV$5=$A267,1,0)</f>
        <v>0</v>
      </c>
      <c r="AW267">
        <f t="shared" si="109"/>
        <v>0</v>
      </c>
      <c r="AX267">
        <f t="shared" si="109"/>
        <v>0</v>
      </c>
      <c r="AY267">
        <f t="shared" si="109"/>
        <v>1</v>
      </c>
      <c r="AZ267">
        <f t="shared" si="109"/>
        <v>0</v>
      </c>
    </row>
    <row r="268" spans="1:52" x14ac:dyDescent="0.25">
      <c r="A268" t="s">
        <v>23</v>
      </c>
      <c r="B268" s="3">
        <v>42177</v>
      </c>
      <c r="C268" s="1">
        <v>1665.6016705894071</v>
      </c>
      <c r="D268" s="1">
        <v>237.94309579848672</v>
      </c>
      <c r="E268" s="1">
        <f t="shared" si="102"/>
        <v>741.60167058940704</v>
      </c>
      <c r="F268" s="1">
        <f t="shared" si="103"/>
        <v>924</v>
      </c>
      <c r="G268" s="2">
        <v>7</v>
      </c>
      <c r="H268" s="1">
        <v>105.94309579848672</v>
      </c>
      <c r="I268" s="1">
        <v>132</v>
      </c>
      <c r="J268" s="1">
        <f t="shared" si="105"/>
        <v>960054.69174131483</v>
      </c>
      <c r="K268" s="1">
        <f t="shared" si="106"/>
        <v>494859.69174131379</v>
      </c>
      <c r="N268">
        <f t="shared" si="104"/>
        <v>0</v>
      </c>
      <c r="O268">
        <f t="shared" si="104"/>
        <v>0</v>
      </c>
      <c r="P268">
        <f t="shared" si="104"/>
        <v>0</v>
      </c>
      <c r="Q268">
        <f t="shared" si="104"/>
        <v>0</v>
      </c>
      <c r="R268">
        <f t="shared" si="104"/>
        <v>0</v>
      </c>
      <c r="S268">
        <f t="shared" si="104"/>
        <v>0</v>
      </c>
      <c r="T268">
        <f t="shared" si="104"/>
        <v>0</v>
      </c>
      <c r="U268">
        <f t="shared" si="104"/>
        <v>0</v>
      </c>
      <c r="V268">
        <f t="shared" si="104"/>
        <v>0</v>
      </c>
      <c r="W268">
        <f t="shared" si="104"/>
        <v>0</v>
      </c>
      <c r="X268">
        <f t="shared" si="104"/>
        <v>0</v>
      </c>
      <c r="Y268">
        <f t="shared" si="104"/>
        <v>0</v>
      </c>
      <c r="Z268">
        <f t="shared" si="104"/>
        <v>0</v>
      </c>
      <c r="AA268">
        <f t="shared" si="104"/>
        <v>0</v>
      </c>
      <c r="AB268">
        <f t="shared" si="104"/>
        <v>0</v>
      </c>
      <c r="AC268">
        <f t="shared" si="104"/>
        <v>0</v>
      </c>
      <c r="AD268">
        <f t="shared" si="108"/>
        <v>0</v>
      </c>
      <c r="AE268">
        <f t="shared" si="108"/>
        <v>0</v>
      </c>
      <c r="AF268">
        <f t="shared" si="108"/>
        <v>0</v>
      </c>
      <c r="AG268">
        <f t="shared" si="108"/>
        <v>0</v>
      </c>
      <c r="AH268">
        <f t="shared" si="108"/>
        <v>0</v>
      </c>
      <c r="AI268">
        <f t="shared" si="108"/>
        <v>0</v>
      </c>
      <c r="AJ268">
        <f t="shared" si="108"/>
        <v>0</v>
      </c>
      <c r="AK268">
        <f t="shared" si="108"/>
        <v>0</v>
      </c>
      <c r="AL268">
        <f t="shared" si="108"/>
        <v>0</v>
      </c>
      <c r="AM268">
        <f t="shared" si="108"/>
        <v>1</v>
      </c>
      <c r="AN268">
        <f t="shared" si="108"/>
        <v>0</v>
      </c>
      <c r="AO268">
        <f t="shared" si="108"/>
        <v>0</v>
      </c>
      <c r="AP268">
        <f t="shared" si="108"/>
        <v>0</v>
      </c>
      <c r="AQ268">
        <f t="shared" si="108"/>
        <v>0</v>
      </c>
      <c r="AR268">
        <f t="shared" si="108"/>
        <v>0</v>
      </c>
      <c r="AS268">
        <f t="shared" si="108"/>
        <v>0</v>
      </c>
      <c r="AT268">
        <f t="shared" si="107"/>
        <v>0</v>
      </c>
      <c r="AU268">
        <f t="shared" si="107"/>
        <v>0</v>
      </c>
      <c r="AV268">
        <f t="shared" si="109"/>
        <v>0</v>
      </c>
      <c r="AW268">
        <f t="shared" si="109"/>
        <v>0</v>
      </c>
      <c r="AX268">
        <f t="shared" si="109"/>
        <v>0</v>
      </c>
      <c r="AY268">
        <f t="shared" si="109"/>
        <v>0</v>
      </c>
      <c r="AZ268">
        <f t="shared" si="109"/>
        <v>0</v>
      </c>
    </row>
    <row r="269" spans="1:52" x14ac:dyDescent="0.25">
      <c r="A269" t="s">
        <v>39</v>
      </c>
      <c r="B269" s="3">
        <v>42171</v>
      </c>
      <c r="C269" s="1">
        <v>9748.9687206601993</v>
      </c>
      <c r="D269" s="1">
        <v>105.9670513115239</v>
      </c>
      <c r="E269" s="1">
        <f t="shared" si="102"/>
        <v>4320.9687206601993</v>
      </c>
      <c r="F269" s="1">
        <f t="shared" si="103"/>
        <v>5428</v>
      </c>
      <c r="G269" s="2">
        <v>92</v>
      </c>
      <c r="H269" s="1">
        <v>46.967051311523903</v>
      </c>
      <c r="I269" s="1">
        <v>59</v>
      </c>
      <c r="J269" s="1">
        <f t="shared" si="105"/>
        <v>969803.66046197503</v>
      </c>
      <c r="K269" s="1">
        <f t="shared" si="106"/>
        <v>499180.66046197398</v>
      </c>
      <c r="N269">
        <f t="shared" si="104"/>
        <v>0</v>
      </c>
      <c r="O269">
        <f t="shared" si="104"/>
        <v>0</v>
      </c>
      <c r="P269">
        <f t="shared" si="104"/>
        <v>0</v>
      </c>
      <c r="Q269">
        <f t="shared" si="104"/>
        <v>0</v>
      </c>
      <c r="R269">
        <f t="shared" si="104"/>
        <v>0</v>
      </c>
      <c r="S269">
        <f t="shared" si="104"/>
        <v>0</v>
      </c>
      <c r="T269">
        <f t="shared" si="104"/>
        <v>0</v>
      </c>
      <c r="U269">
        <f t="shared" si="104"/>
        <v>0</v>
      </c>
      <c r="V269">
        <f t="shared" si="104"/>
        <v>0</v>
      </c>
      <c r="W269">
        <f t="shared" si="104"/>
        <v>0</v>
      </c>
      <c r="X269">
        <f t="shared" si="104"/>
        <v>0</v>
      </c>
      <c r="Y269">
        <f t="shared" si="104"/>
        <v>1</v>
      </c>
      <c r="Z269">
        <f t="shared" si="104"/>
        <v>0</v>
      </c>
      <c r="AA269">
        <f t="shared" si="104"/>
        <v>0</v>
      </c>
      <c r="AB269">
        <f t="shared" si="104"/>
        <v>0</v>
      </c>
      <c r="AC269">
        <f t="shared" si="104"/>
        <v>0</v>
      </c>
      <c r="AD269">
        <f t="shared" si="108"/>
        <v>0</v>
      </c>
      <c r="AE269">
        <f t="shared" si="108"/>
        <v>0</v>
      </c>
      <c r="AF269">
        <f t="shared" si="108"/>
        <v>0</v>
      </c>
      <c r="AG269">
        <f t="shared" si="108"/>
        <v>0</v>
      </c>
      <c r="AH269">
        <f t="shared" si="108"/>
        <v>0</v>
      </c>
      <c r="AI269">
        <f t="shared" si="108"/>
        <v>0</v>
      </c>
      <c r="AJ269">
        <f t="shared" si="108"/>
        <v>0</v>
      </c>
      <c r="AK269">
        <f t="shared" si="108"/>
        <v>0</v>
      </c>
      <c r="AL269">
        <f t="shared" si="108"/>
        <v>0</v>
      </c>
      <c r="AM269">
        <f t="shared" si="108"/>
        <v>0</v>
      </c>
      <c r="AN269">
        <f t="shared" si="108"/>
        <v>0</v>
      </c>
      <c r="AO269">
        <f t="shared" si="108"/>
        <v>0</v>
      </c>
      <c r="AP269">
        <f t="shared" si="108"/>
        <v>0</v>
      </c>
      <c r="AQ269">
        <f t="shared" si="108"/>
        <v>0</v>
      </c>
      <c r="AR269">
        <f t="shared" si="108"/>
        <v>0</v>
      </c>
      <c r="AS269">
        <f t="shared" si="108"/>
        <v>0</v>
      </c>
      <c r="AT269">
        <f t="shared" si="107"/>
        <v>0</v>
      </c>
      <c r="AU269">
        <f t="shared" si="107"/>
        <v>0</v>
      </c>
      <c r="AV269">
        <f t="shared" si="109"/>
        <v>0</v>
      </c>
      <c r="AW269">
        <f t="shared" si="109"/>
        <v>0</v>
      </c>
      <c r="AX269">
        <f t="shared" si="109"/>
        <v>0</v>
      </c>
      <c r="AY269">
        <f t="shared" si="109"/>
        <v>0</v>
      </c>
      <c r="AZ269">
        <f t="shared" si="109"/>
        <v>0</v>
      </c>
    </row>
    <row r="270" spans="1:52" x14ac:dyDescent="0.25">
      <c r="A270" t="s">
        <v>41</v>
      </c>
      <c r="B270" s="3">
        <v>42150</v>
      </c>
      <c r="C270" s="1">
        <v>2709.9220095987748</v>
      </c>
      <c r="D270" s="1">
        <v>225.82683413323124</v>
      </c>
      <c r="E270" s="1">
        <f t="shared" si="102"/>
        <v>1221.9220095987748</v>
      </c>
      <c r="F270" s="1">
        <f t="shared" si="103"/>
        <v>1488</v>
      </c>
      <c r="G270" s="2">
        <v>12</v>
      </c>
      <c r="H270" s="1">
        <v>101.82683413323124</v>
      </c>
      <c r="I270" s="1">
        <v>124</v>
      </c>
      <c r="J270" s="1">
        <f t="shared" si="105"/>
        <v>972513.58247157384</v>
      </c>
      <c r="K270" s="1">
        <f t="shared" si="106"/>
        <v>500402.58247157274</v>
      </c>
      <c r="N270">
        <f t="shared" si="104"/>
        <v>0</v>
      </c>
      <c r="O270">
        <f t="shared" si="104"/>
        <v>0</v>
      </c>
      <c r="P270">
        <f t="shared" si="104"/>
        <v>0</v>
      </c>
      <c r="Q270">
        <f t="shared" si="104"/>
        <v>1</v>
      </c>
      <c r="R270">
        <f t="shared" si="104"/>
        <v>0</v>
      </c>
      <c r="S270">
        <f t="shared" si="104"/>
        <v>0</v>
      </c>
      <c r="T270">
        <f t="shared" si="104"/>
        <v>0</v>
      </c>
      <c r="U270">
        <f t="shared" si="104"/>
        <v>0</v>
      </c>
      <c r="V270">
        <f t="shared" si="104"/>
        <v>0</v>
      </c>
      <c r="W270">
        <f t="shared" si="104"/>
        <v>0</v>
      </c>
      <c r="X270">
        <f t="shared" si="104"/>
        <v>0</v>
      </c>
      <c r="Y270">
        <f t="shared" si="104"/>
        <v>0</v>
      </c>
      <c r="Z270">
        <f t="shared" si="104"/>
        <v>0</v>
      </c>
      <c r="AA270">
        <f t="shared" si="104"/>
        <v>0</v>
      </c>
      <c r="AB270">
        <f t="shared" ref="AB270:AQ285" si="110">+IF(AB$5=$A270,1,0)</f>
        <v>0</v>
      </c>
      <c r="AC270">
        <f t="shared" si="110"/>
        <v>0</v>
      </c>
      <c r="AD270">
        <f t="shared" si="110"/>
        <v>0</v>
      </c>
      <c r="AE270">
        <f t="shared" si="110"/>
        <v>0</v>
      </c>
      <c r="AF270">
        <f t="shared" si="110"/>
        <v>0</v>
      </c>
      <c r="AG270">
        <f t="shared" si="110"/>
        <v>0</v>
      </c>
      <c r="AH270">
        <f t="shared" si="110"/>
        <v>0</v>
      </c>
      <c r="AI270">
        <f t="shared" si="110"/>
        <v>0</v>
      </c>
      <c r="AJ270">
        <f t="shared" si="110"/>
        <v>0</v>
      </c>
      <c r="AK270">
        <f t="shared" si="110"/>
        <v>0</v>
      </c>
      <c r="AL270">
        <f t="shared" si="110"/>
        <v>0</v>
      </c>
      <c r="AM270">
        <f t="shared" si="110"/>
        <v>0</v>
      </c>
      <c r="AN270">
        <f t="shared" si="110"/>
        <v>0</v>
      </c>
      <c r="AO270">
        <f t="shared" si="110"/>
        <v>0</v>
      </c>
      <c r="AP270">
        <f t="shared" si="110"/>
        <v>0</v>
      </c>
      <c r="AQ270">
        <f t="shared" si="110"/>
        <v>0</v>
      </c>
      <c r="AR270">
        <f t="shared" si="108"/>
        <v>0</v>
      </c>
      <c r="AS270">
        <f t="shared" si="108"/>
        <v>0</v>
      </c>
      <c r="AT270">
        <f t="shared" si="107"/>
        <v>0</v>
      </c>
      <c r="AU270">
        <f t="shared" si="107"/>
        <v>0</v>
      </c>
      <c r="AV270">
        <f t="shared" si="109"/>
        <v>0</v>
      </c>
      <c r="AW270">
        <f t="shared" si="109"/>
        <v>0</v>
      </c>
      <c r="AX270">
        <f t="shared" si="109"/>
        <v>0</v>
      </c>
      <c r="AY270">
        <f t="shared" si="109"/>
        <v>0</v>
      </c>
      <c r="AZ270">
        <f t="shared" si="109"/>
        <v>0</v>
      </c>
    </row>
    <row r="271" spans="1:52" x14ac:dyDescent="0.25">
      <c r="A271" t="s">
        <v>40</v>
      </c>
      <c r="B271" s="3">
        <v>42141</v>
      </c>
      <c r="C271" s="1">
        <v>929.66790699768262</v>
      </c>
      <c r="D271" s="1">
        <v>92.966790699768268</v>
      </c>
      <c r="E271" s="1">
        <f t="shared" si="102"/>
        <v>509.66790699768268</v>
      </c>
      <c r="F271" s="1">
        <f t="shared" si="103"/>
        <v>420</v>
      </c>
      <c r="G271" s="2">
        <v>10</v>
      </c>
      <c r="H271" s="1">
        <v>50.966790699768268</v>
      </c>
      <c r="I271" s="1">
        <v>42</v>
      </c>
      <c r="J271" s="1">
        <f t="shared" si="105"/>
        <v>973443.25037857157</v>
      </c>
      <c r="K271" s="1">
        <f t="shared" si="106"/>
        <v>500912.2503785704</v>
      </c>
      <c r="N271">
        <f t="shared" si="104"/>
        <v>0</v>
      </c>
      <c r="O271">
        <f t="shared" si="104"/>
        <v>0</v>
      </c>
      <c r="P271">
        <f t="shared" si="104"/>
        <v>0</v>
      </c>
      <c r="Q271">
        <f t="shared" ref="Q271:AF286" si="111">+IF(Q$5=$A271,1,0)</f>
        <v>0</v>
      </c>
      <c r="R271">
        <f t="shared" si="111"/>
        <v>0</v>
      </c>
      <c r="S271">
        <f t="shared" si="111"/>
        <v>0</v>
      </c>
      <c r="T271">
        <f t="shared" si="111"/>
        <v>0</v>
      </c>
      <c r="U271">
        <f t="shared" si="111"/>
        <v>0</v>
      </c>
      <c r="V271">
        <f t="shared" si="111"/>
        <v>0</v>
      </c>
      <c r="W271">
        <f t="shared" si="111"/>
        <v>0</v>
      </c>
      <c r="X271">
        <f t="shared" si="111"/>
        <v>1</v>
      </c>
      <c r="Y271">
        <f t="shared" si="111"/>
        <v>0</v>
      </c>
      <c r="Z271">
        <f t="shared" si="111"/>
        <v>0</v>
      </c>
      <c r="AA271">
        <f t="shared" si="111"/>
        <v>0</v>
      </c>
      <c r="AB271">
        <f t="shared" si="111"/>
        <v>0</v>
      </c>
      <c r="AC271">
        <f t="shared" si="111"/>
        <v>0</v>
      </c>
      <c r="AD271">
        <f t="shared" si="111"/>
        <v>0</v>
      </c>
      <c r="AE271">
        <f t="shared" si="111"/>
        <v>0</v>
      </c>
      <c r="AF271">
        <f t="shared" si="111"/>
        <v>0</v>
      </c>
      <c r="AG271">
        <f t="shared" si="110"/>
        <v>0</v>
      </c>
      <c r="AH271">
        <f t="shared" si="110"/>
        <v>0</v>
      </c>
      <c r="AI271">
        <f t="shared" si="110"/>
        <v>0</v>
      </c>
      <c r="AJ271">
        <f t="shared" si="110"/>
        <v>0</v>
      </c>
      <c r="AK271">
        <f t="shared" si="110"/>
        <v>0</v>
      </c>
      <c r="AL271">
        <f t="shared" si="110"/>
        <v>0</v>
      </c>
      <c r="AM271">
        <f t="shared" si="110"/>
        <v>0</v>
      </c>
      <c r="AN271">
        <f t="shared" si="110"/>
        <v>0</v>
      </c>
      <c r="AO271">
        <f t="shared" si="110"/>
        <v>0</v>
      </c>
      <c r="AP271">
        <f t="shared" si="110"/>
        <v>0</v>
      </c>
      <c r="AQ271">
        <f t="shared" si="110"/>
        <v>0</v>
      </c>
      <c r="AR271">
        <f t="shared" si="108"/>
        <v>0</v>
      </c>
      <c r="AS271">
        <f t="shared" si="108"/>
        <v>0</v>
      </c>
      <c r="AT271">
        <f t="shared" si="107"/>
        <v>0</v>
      </c>
      <c r="AU271">
        <f t="shared" si="107"/>
        <v>0</v>
      </c>
      <c r="AV271">
        <f t="shared" si="109"/>
        <v>0</v>
      </c>
      <c r="AW271">
        <f t="shared" si="109"/>
        <v>0</v>
      </c>
      <c r="AX271">
        <f t="shared" si="109"/>
        <v>0</v>
      </c>
      <c r="AY271">
        <f t="shared" si="109"/>
        <v>0</v>
      </c>
      <c r="AZ271">
        <f t="shared" si="109"/>
        <v>0</v>
      </c>
    </row>
    <row r="272" spans="1:52" x14ac:dyDescent="0.25">
      <c r="A272" t="s">
        <v>48</v>
      </c>
      <c r="B272" s="3">
        <v>42126</v>
      </c>
      <c r="C272" s="1">
        <v>21971.326567309126</v>
      </c>
      <c r="D272" s="1">
        <v>123.434418917467</v>
      </c>
      <c r="E272" s="1">
        <f t="shared" si="102"/>
        <v>14317.326567309126</v>
      </c>
      <c r="F272" s="1">
        <f t="shared" si="103"/>
        <v>7654</v>
      </c>
      <c r="G272" s="2">
        <v>178</v>
      </c>
      <c r="H272" s="1">
        <v>80.434418917466999</v>
      </c>
      <c r="I272" s="1">
        <v>43</v>
      </c>
      <c r="J272" s="1">
        <f t="shared" si="105"/>
        <v>995414.57694588066</v>
      </c>
      <c r="K272" s="1">
        <f t="shared" si="106"/>
        <v>515229.57694587955</v>
      </c>
      <c r="N272">
        <f t="shared" si="104"/>
        <v>0</v>
      </c>
      <c r="O272">
        <f t="shared" si="104"/>
        <v>0</v>
      </c>
      <c r="P272">
        <f t="shared" si="104"/>
        <v>0</v>
      </c>
      <c r="Q272">
        <f t="shared" si="111"/>
        <v>0</v>
      </c>
      <c r="R272">
        <f t="shared" si="111"/>
        <v>0</v>
      </c>
      <c r="S272">
        <f t="shared" si="111"/>
        <v>0</v>
      </c>
      <c r="T272">
        <f t="shared" si="111"/>
        <v>0</v>
      </c>
      <c r="U272">
        <f t="shared" si="111"/>
        <v>0</v>
      </c>
      <c r="V272">
        <f t="shared" si="111"/>
        <v>0</v>
      </c>
      <c r="W272">
        <f t="shared" si="111"/>
        <v>0</v>
      </c>
      <c r="X272">
        <f t="shared" si="111"/>
        <v>0</v>
      </c>
      <c r="Y272">
        <f t="shared" si="111"/>
        <v>0</v>
      </c>
      <c r="Z272">
        <f t="shared" si="111"/>
        <v>0</v>
      </c>
      <c r="AA272">
        <f t="shared" si="111"/>
        <v>0</v>
      </c>
      <c r="AB272">
        <f t="shared" si="111"/>
        <v>0</v>
      </c>
      <c r="AC272">
        <f t="shared" si="111"/>
        <v>0</v>
      </c>
      <c r="AD272">
        <f t="shared" si="111"/>
        <v>0</v>
      </c>
      <c r="AE272">
        <f t="shared" si="111"/>
        <v>0</v>
      </c>
      <c r="AF272">
        <f t="shared" si="111"/>
        <v>0</v>
      </c>
      <c r="AG272">
        <f t="shared" si="110"/>
        <v>0</v>
      </c>
      <c r="AH272">
        <f t="shared" si="110"/>
        <v>0</v>
      </c>
      <c r="AI272">
        <f t="shared" si="110"/>
        <v>1</v>
      </c>
      <c r="AJ272">
        <f t="shared" si="110"/>
        <v>0</v>
      </c>
      <c r="AK272">
        <f t="shared" si="110"/>
        <v>0</v>
      </c>
      <c r="AL272">
        <f t="shared" si="110"/>
        <v>0</v>
      </c>
      <c r="AM272">
        <f t="shared" si="110"/>
        <v>0</v>
      </c>
      <c r="AN272">
        <f t="shared" si="110"/>
        <v>0</v>
      </c>
      <c r="AO272">
        <f t="shared" si="110"/>
        <v>0</v>
      </c>
      <c r="AP272">
        <f t="shared" si="110"/>
        <v>0</v>
      </c>
      <c r="AQ272">
        <f t="shared" si="110"/>
        <v>0</v>
      </c>
      <c r="AR272">
        <f t="shared" si="108"/>
        <v>0</v>
      </c>
      <c r="AS272">
        <f t="shared" si="108"/>
        <v>0</v>
      </c>
      <c r="AT272">
        <f t="shared" si="107"/>
        <v>0</v>
      </c>
      <c r="AU272">
        <f t="shared" si="107"/>
        <v>0</v>
      </c>
      <c r="AV272">
        <f t="shared" si="109"/>
        <v>0</v>
      </c>
      <c r="AW272">
        <f t="shared" si="109"/>
        <v>0</v>
      </c>
      <c r="AX272">
        <f t="shared" si="109"/>
        <v>0</v>
      </c>
      <c r="AY272">
        <f t="shared" si="109"/>
        <v>0</v>
      </c>
      <c r="AZ272">
        <f t="shared" si="109"/>
        <v>0</v>
      </c>
    </row>
    <row r="273" spans="1:52" x14ac:dyDescent="0.25">
      <c r="A273" t="s">
        <v>41</v>
      </c>
      <c r="B273" s="3">
        <v>42113</v>
      </c>
      <c r="C273" s="1">
        <v>13695.881867259124</v>
      </c>
      <c r="D273" s="1">
        <v>180.20897193762005</v>
      </c>
      <c r="E273" s="1">
        <f t="shared" si="102"/>
        <v>7159.8818672591224</v>
      </c>
      <c r="F273" s="1">
        <f t="shared" si="103"/>
        <v>6536</v>
      </c>
      <c r="G273" s="2">
        <v>76</v>
      </c>
      <c r="H273" s="1">
        <v>94.208971937620035</v>
      </c>
      <c r="I273" s="1">
        <v>86</v>
      </c>
      <c r="J273" s="1">
        <f t="shared" si="105"/>
        <v>1009110.4588131398</v>
      </c>
      <c r="K273" s="1">
        <f t="shared" si="106"/>
        <v>522389.45881313866</v>
      </c>
      <c r="N273">
        <f t="shared" si="104"/>
        <v>0</v>
      </c>
      <c r="O273">
        <f t="shared" si="104"/>
        <v>0</v>
      </c>
      <c r="P273">
        <f t="shared" si="104"/>
        <v>0</v>
      </c>
      <c r="Q273">
        <f t="shared" si="111"/>
        <v>1</v>
      </c>
      <c r="R273">
        <f t="shared" si="111"/>
        <v>0</v>
      </c>
      <c r="S273">
        <f t="shared" si="111"/>
        <v>0</v>
      </c>
      <c r="T273">
        <f t="shared" si="111"/>
        <v>0</v>
      </c>
      <c r="U273">
        <f t="shared" si="111"/>
        <v>0</v>
      </c>
      <c r="V273">
        <f t="shared" si="111"/>
        <v>0</v>
      </c>
      <c r="W273">
        <f t="shared" si="111"/>
        <v>0</v>
      </c>
      <c r="X273">
        <f t="shared" si="111"/>
        <v>0</v>
      </c>
      <c r="Y273">
        <f t="shared" si="111"/>
        <v>0</v>
      </c>
      <c r="Z273">
        <f t="shared" si="111"/>
        <v>0</v>
      </c>
      <c r="AA273">
        <f t="shared" si="111"/>
        <v>0</v>
      </c>
      <c r="AB273">
        <f t="shared" si="111"/>
        <v>0</v>
      </c>
      <c r="AC273">
        <f t="shared" si="111"/>
        <v>0</v>
      </c>
      <c r="AD273">
        <f t="shared" si="111"/>
        <v>0</v>
      </c>
      <c r="AE273">
        <f t="shared" si="111"/>
        <v>0</v>
      </c>
      <c r="AF273">
        <f t="shared" si="111"/>
        <v>0</v>
      </c>
      <c r="AG273">
        <f t="shared" si="110"/>
        <v>0</v>
      </c>
      <c r="AH273">
        <f t="shared" si="110"/>
        <v>0</v>
      </c>
      <c r="AI273">
        <f t="shared" si="110"/>
        <v>0</v>
      </c>
      <c r="AJ273">
        <f t="shared" si="110"/>
        <v>0</v>
      </c>
      <c r="AK273">
        <f t="shared" si="110"/>
        <v>0</v>
      </c>
      <c r="AL273">
        <f t="shared" si="110"/>
        <v>0</v>
      </c>
      <c r="AM273">
        <f t="shared" si="110"/>
        <v>0</v>
      </c>
      <c r="AN273">
        <f t="shared" si="110"/>
        <v>0</v>
      </c>
      <c r="AO273">
        <f t="shared" si="110"/>
        <v>0</v>
      </c>
      <c r="AP273">
        <f t="shared" si="110"/>
        <v>0</v>
      </c>
      <c r="AQ273">
        <f t="shared" si="110"/>
        <v>0</v>
      </c>
      <c r="AR273">
        <f t="shared" si="108"/>
        <v>0</v>
      </c>
      <c r="AS273">
        <f t="shared" si="108"/>
        <v>0</v>
      </c>
      <c r="AT273">
        <f t="shared" si="107"/>
        <v>0</v>
      </c>
      <c r="AU273">
        <f t="shared" si="107"/>
        <v>0</v>
      </c>
      <c r="AV273">
        <f t="shared" si="109"/>
        <v>0</v>
      </c>
      <c r="AW273">
        <f t="shared" si="109"/>
        <v>0</v>
      </c>
      <c r="AX273">
        <f t="shared" si="109"/>
        <v>0</v>
      </c>
      <c r="AY273">
        <f t="shared" si="109"/>
        <v>0</v>
      </c>
      <c r="AZ273">
        <f t="shared" si="109"/>
        <v>0</v>
      </c>
    </row>
    <row r="274" spans="1:52" x14ac:dyDescent="0.25">
      <c r="A274" t="s">
        <v>29</v>
      </c>
      <c r="B274" s="3">
        <v>42098</v>
      </c>
      <c r="C274" s="1">
        <v>4062.4914354278553</v>
      </c>
      <c r="D274" s="1">
        <v>99.085156961655002</v>
      </c>
      <c r="E274" s="1">
        <f t="shared" si="102"/>
        <v>2299.4914354278553</v>
      </c>
      <c r="F274" s="1">
        <f t="shared" si="103"/>
        <v>1763</v>
      </c>
      <c r="G274" s="2">
        <v>41</v>
      </c>
      <c r="H274" s="1">
        <v>56.085156961655009</v>
      </c>
      <c r="I274" s="1">
        <v>43</v>
      </c>
      <c r="J274" s="1">
        <f t="shared" si="105"/>
        <v>1013172.9502485676</v>
      </c>
      <c r="K274" s="1">
        <f t="shared" si="106"/>
        <v>524688.95024856646</v>
      </c>
      <c r="N274">
        <f t="shared" si="104"/>
        <v>0</v>
      </c>
      <c r="O274">
        <f t="shared" si="104"/>
        <v>0</v>
      </c>
      <c r="P274">
        <f t="shared" si="104"/>
        <v>0</v>
      </c>
      <c r="Q274">
        <f t="shared" si="111"/>
        <v>0</v>
      </c>
      <c r="R274">
        <f t="shared" si="111"/>
        <v>0</v>
      </c>
      <c r="S274">
        <f t="shared" si="111"/>
        <v>0</v>
      </c>
      <c r="T274">
        <f t="shared" si="111"/>
        <v>0</v>
      </c>
      <c r="U274">
        <f t="shared" si="111"/>
        <v>0</v>
      </c>
      <c r="V274">
        <f t="shared" si="111"/>
        <v>0</v>
      </c>
      <c r="W274">
        <f t="shared" si="111"/>
        <v>0</v>
      </c>
      <c r="X274">
        <f t="shared" si="111"/>
        <v>0</v>
      </c>
      <c r="Y274">
        <f t="shared" si="111"/>
        <v>0</v>
      </c>
      <c r="Z274">
        <f t="shared" si="111"/>
        <v>0</v>
      </c>
      <c r="AA274">
        <f t="shared" si="111"/>
        <v>0</v>
      </c>
      <c r="AB274">
        <f t="shared" si="111"/>
        <v>0</v>
      </c>
      <c r="AC274">
        <f t="shared" si="111"/>
        <v>0</v>
      </c>
      <c r="AD274">
        <f t="shared" si="111"/>
        <v>0</v>
      </c>
      <c r="AE274">
        <f t="shared" si="111"/>
        <v>0</v>
      </c>
      <c r="AF274">
        <f t="shared" si="111"/>
        <v>0</v>
      </c>
      <c r="AG274">
        <f t="shared" si="110"/>
        <v>0</v>
      </c>
      <c r="AH274">
        <f t="shared" si="110"/>
        <v>0</v>
      </c>
      <c r="AI274">
        <f t="shared" si="110"/>
        <v>0</v>
      </c>
      <c r="AJ274">
        <f t="shared" si="110"/>
        <v>0</v>
      </c>
      <c r="AK274">
        <f t="shared" si="110"/>
        <v>0</v>
      </c>
      <c r="AL274">
        <f t="shared" si="110"/>
        <v>0</v>
      </c>
      <c r="AM274">
        <f t="shared" si="110"/>
        <v>0</v>
      </c>
      <c r="AN274">
        <f t="shared" si="110"/>
        <v>0</v>
      </c>
      <c r="AO274">
        <f t="shared" si="110"/>
        <v>0</v>
      </c>
      <c r="AP274">
        <f t="shared" si="110"/>
        <v>0</v>
      </c>
      <c r="AQ274">
        <f t="shared" si="110"/>
        <v>0</v>
      </c>
      <c r="AR274">
        <f t="shared" si="108"/>
        <v>0</v>
      </c>
      <c r="AS274">
        <f t="shared" si="108"/>
        <v>1</v>
      </c>
      <c r="AT274">
        <f t="shared" si="107"/>
        <v>0</v>
      </c>
      <c r="AU274">
        <f t="shared" si="107"/>
        <v>0</v>
      </c>
      <c r="AV274">
        <f t="shared" si="109"/>
        <v>0</v>
      </c>
      <c r="AW274">
        <f t="shared" si="109"/>
        <v>0</v>
      </c>
      <c r="AX274">
        <f t="shared" si="109"/>
        <v>0</v>
      </c>
      <c r="AY274">
        <f t="shared" si="109"/>
        <v>0</v>
      </c>
      <c r="AZ274">
        <f t="shared" si="109"/>
        <v>0</v>
      </c>
    </row>
    <row r="275" spans="1:52" x14ac:dyDescent="0.25">
      <c r="A275" t="s">
        <v>30</v>
      </c>
      <c r="B275" s="3">
        <v>42070</v>
      </c>
      <c r="C275" s="1">
        <v>5360.4246064487161</v>
      </c>
      <c r="D275" s="1">
        <v>101.14008691412671</v>
      </c>
      <c r="E275" s="1">
        <f t="shared" si="102"/>
        <v>2180.4246064487156</v>
      </c>
      <c r="F275" s="1">
        <f t="shared" si="103"/>
        <v>3180</v>
      </c>
      <c r="G275" s="2">
        <v>53</v>
      </c>
      <c r="H275" s="1">
        <v>41.140086914126712</v>
      </c>
      <c r="I275" s="1">
        <v>60</v>
      </c>
      <c r="J275" s="1">
        <f t="shared" si="105"/>
        <v>1018533.3748550164</v>
      </c>
      <c r="K275" s="1">
        <f t="shared" si="106"/>
        <v>526869.37485501519</v>
      </c>
      <c r="N275">
        <f t="shared" si="104"/>
        <v>0</v>
      </c>
      <c r="O275">
        <f t="shared" si="104"/>
        <v>0</v>
      </c>
      <c r="P275">
        <f t="shared" si="104"/>
        <v>0</v>
      </c>
      <c r="Q275">
        <f t="shared" si="111"/>
        <v>0</v>
      </c>
      <c r="R275">
        <f t="shared" si="111"/>
        <v>0</v>
      </c>
      <c r="S275">
        <f t="shared" si="111"/>
        <v>0</v>
      </c>
      <c r="T275">
        <f t="shared" si="111"/>
        <v>0</v>
      </c>
      <c r="U275">
        <f t="shared" si="111"/>
        <v>0</v>
      </c>
      <c r="V275">
        <f t="shared" si="111"/>
        <v>0</v>
      </c>
      <c r="W275">
        <f t="shared" si="111"/>
        <v>0</v>
      </c>
      <c r="X275">
        <f t="shared" si="111"/>
        <v>0</v>
      </c>
      <c r="Y275">
        <f t="shared" si="111"/>
        <v>0</v>
      </c>
      <c r="Z275">
        <f t="shared" si="111"/>
        <v>0</v>
      </c>
      <c r="AA275">
        <f t="shared" si="111"/>
        <v>0</v>
      </c>
      <c r="AB275">
        <f t="shared" si="111"/>
        <v>0</v>
      </c>
      <c r="AC275">
        <f t="shared" si="111"/>
        <v>0</v>
      </c>
      <c r="AD275">
        <f t="shared" si="111"/>
        <v>0</v>
      </c>
      <c r="AE275">
        <f t="shared" si="111"/>
        <v>0</v>
      </c>
      <c r="AF275">
        <f t="shared" si="111"/>
        <v>0</v>
      </c>
      <c r="AG275">
        <f t="shared" si="110"/>
        <v>0</v>
      </c>
      <c r="AH275">
        <f t="shared" si="110"/>
        <v>0</v>
      </c>
      <c r="AI275">
        <f t="shared" si="110"/>
        <v>0</v>
      </c>
      <c r="AJ275">
        <f t="shared" si="110"/>
        <v>0</v>
      </c>
      <c r="AK275">
        <f t="shared" si="110"/>
        <v>0</v>
      </c>
      <c r="AL275">
        <f t="shared" si="110"/>
        <v>0</v>
      </c>
      <c r="AM275">
        <f t="shared" si="110"/>
        <v>0</v>
      </c>
      <c r="AN275">
        <f t="shared" si="110"/>
        <v>0</v>
      </c>
      <c r="AO275">
        <f t="shared" si="110"/>
        <v>0</v>
      </c>
      <c r="AP275">
        <f t="shared" si="110"/>
        <v>0</v>
      </c>
      <c r="AQ275">
        <f t="shared" si="110"/>
        <v>0</v>
      </c>
      <c r="AR275">
        <f t="shared" si="108"/>
        <v>0</v>
      </c>
      <c r="AS275">
        <f t="shared" si="108"/>
        <v>0</v>
      </c>
      <c r="AT275">
        <f t="shared" si="107"/>
        <v>0</v>
      </c>
      <c r="AU275">
        <f t="shared" si="107"/>
        <v>0</v>
      </c>
      <c r="AV275">
        <f t="shared" si="109"/>
        <v>1</v>
      </c>
      <c r="AW275">
        <f t="shared" si="109"/>
        <v>0</v>
      </c>
      <c r="AX275">
        <f t="shared" si="109"/>
        <v>0</v>
      </c>
      <c r="AY275">
        <f t="shared" si="109"/>
        <v>0</v>
      </c>
      <c r="AZ275">
        <f t="shared" si="109"/>
        <v>0</v>
      </c>
    </row>
    <row r="276" spans="1:52" x14ac:dyDescent="0.25">
      <c r="A276" t="s">
        <v>15</v>
      </c>
      <c r="B276" s="3">
        <v>42060</v>
      </c>
      <c r="C276" s="1">
        <v>14022.850478921431</v>
      </c>
      <c r="D276" s="1">
        <v>164.97471151672272</v>
      </c>
      <c r="E276" s="1">
        <f t="shared" si="102"/>
        <v>6542.8504789214312</v>
      </c>
      <c r="F276" s="1">
        <f t="shared" si="103"/>
        <v>7480</v>
      </c>
      <c r="G276" s="2">
        <v>85</v>
      </c>
      <c r="H276" s="1">
        <v>76.974711516722721</v>
      </c>
      <c r="I276" s="1">
        <v>88</v>
      </c>
      <c r="J276" s="1">
        <f t="shared" si="105"/>
        <v>1032556.2253339378</v>
      </c>
      <c r="K276" s="1">
        <f t="shared" si="106"/>
        <v>533412.22533393663</v>
      </c>
      <c r="N276">
        <f t="shared" si="104"/>
        <v>0</v>
      </c>
      <c r="O276">
        <f t="shared" si="104"/>
        <v>0</v>
      </c>
      <c r="P276">
        <f t="shared" si="104"/>
        <v>0</v>
      </c>
      <c r="Q276">
        <f t="shared" si="111"/>
        <v>0</v>
      </c>
      <c r="R276">
        <f t="shared" si="111"/>
        <v>0</v>
      </c>
      <c r="S276">
        <f t="shared" si="111"/>
        <v>0</v>
      </c>
      <c r="T276">
        <f t="shared" si="111"/>
        <v>0</v>
      </c>
      <c r="U276">
        <f t="shared" si="111"/>
        <v>0</v>
      </c>
      <c r="V276">
        <f t="shared" si="111"/>
        <v>0</v>
      </c>
      <c r="W276">
        <f t="shared" si="111"/>
        <v>0</v>
      </c>
      <c r="X276">
        <f t="shared" si="111"/>
        <v>0</v>
      </c>
      <c r="Y276">
        <f t="shared" si="111"/>
        <v>0</v>
      </c>
      <c r="Z276">
        <f t="shared" si="111"/>
        <v>0</v>
      </c>
      <c r="AA276">
        <f t="shared" si="111"/>
        <v>0</v>
      </c>
      <c r="AB276">
        <f t="shared" si="111"/>
        <v>0</v>
      </c>
      <c r="AC276">
        <f t="shared" si="111"/>
        <v>0</v>
      </c>
      <c r="AD276">
        <f t="shared" si="111"/>
        <v>0</v>
      </c>
      <c r="AE276">
        <f t="shared" si="111"/>
        <v>0</v>
      </c>
      <c r="AF276">
        <f t="shared" si="111"/>
        <v>0</v>
      </c>
      <c r="AG276">
        <f t="shared" si="110"/>
        <v>0</v>
      </c>
      <c r="AH276">
        <f t="shared" si="110"/>
        <v>0</v>
      </c>
      <c r="AI276">
        <f t="shared" si="110"/>
        <v>0</v>
      </c>
      <c r="AJ276">
        <f t="shared" si="110"/>
        <v>0</v>
      </c>
      <c r="AK276">
        <f t="shared" si="110"/>
        <v>0</v>
      </c>
      <c r="AL276">
        <f t="shared" si="110"/>
        <v>0</v>
      </c>
      <c r="AM276">
        <f t="shared" si="110"/>
        <v>0</v>
      </c>
      <c r="AN276">
        <f t="shared" si="110"/>
        <v>0</v>
      </c>
      <c r="AO276">
        <f t="shared" si="110"/>
        <v>0</v>
      </c>
      <c r="AP276">
        <f t="shared" si="110"/>
        <v>0</v>
      </c>
      <c r="AQ276">
        <f t="shared" si="110"/>
        <v>0</v>
      </c>
      <c r="AR276">
        <f t="shared" si="108"/>
        <v>1</v>
      </c>
      <c r="AS276">
        <f t="shared" si="108"/>
        <v>0</v>
      </c>
      <c r="AT276">
        <f t="shared" si="107"/>
        <v>0</v>
      </c>
      <c r="AU276">
        <f t="shared" si="107"/>
        <v>0</v>
      </c>
      <c r="AV276">
        <f t="shared" si="109"/>
        <v>0</v>
      </c>
      <c r="AW276">
        <f t="shared" si="109"/>
        <v>0</v>
      </c>
      <c r="AX276">
        <f t="shared" si="109"/>
        <v>0</v>
      </c>
      <c r="AY276">
        <f t="shared" si="109"/>
        <v>0</v>
      </c>
      <c r="AZ276">
        <f t="shared" si="109"/>
        <v>0</v>
      </c>
    </row>
    <row r="277" spans="1:52" x14ac:dyDescent="0.25">
      <c r="A277" t="s">
        <v>18</v>
      </c>
      <c r="B277" s="3">
        <v>42049</v>
      </c>
      <c r="C277" s="1">
        <v>3493.6484225825643</v>
      </c>
      <c r="D277" s="1">
        <v>166.36421059916972</v>
      </c>
      <c r="E277" s="1">
        <f t="shared" si="102"/>
        <v>1414.6484225825639</v>
      </c>
      <c r="F277" s="1">
        <f t="shared" si="103"/>
        <v>2079</v>
      </c>
      <c r="G277" s="2">
        <v>21</v>
      </c>
      <c r="H277" s="1">
        <v>67.364210599169709</v>
      </c>
      <c r="I277" s="1">
        <v>99</v>
      </c>
      <c r="J277" s="1">
        <f t="shared" si="105"/>
        <v>1036049.8737565203</v>
      </c>
      <c r="K277" s="1">
        <f t="shared" si="106"/>
        <v>534826.87375651917</v>
      </c>
      <c r="N277">
        <f t="shared" si="104"/>
        <v>0</v>
      </c>
      <c r="O277">
        <f t="shared" si="104"/>
        <v>0</v>
      </c>
      <c r="P277">
        <f t="shared" si="104"/>
        <v>0</v>
      </c>
      <c r="Q277">
        <f t="shared" si="111"/>
        <v>0</v>
      </c>
      <c r="R277">
        <f t="shared" si="111"/>
        <v>0</v>
      </c>
      <c r="S277">
        <f t="shared" si="111"/>
        <v>0</v>
      </c>
      <c r="T277">
        <f t="shared" si="111"/>
        <v>0</v>
      </c>
      <c r="U277">
        <f t="shared" si="111"/>
        <v>1</v>
      </c>
      <c r="V277">
        <f t="shared" si="111"/>
        <v>0</v>
      </c>
      <c r="W277">
        <f t="shared" si="111"/>
        <v>0</v>
      </c>
      <c r="X277">
        <f t="shared" si="111"/>
        <v>0</v>
      </c>
      <c r="Y277">
        <f t="shared" si="111"/>
        <v>0</v>
      </c>
      <c r="Z277">
        <f t="shared" si="111"/>
        <v>0</v>
      </c>
      <c r="AA277">
        <f t="shared" si="111"/>
        <v>0</v>
      </c>
      <c r="AB277">
        <f t="shared" si="111"/>
        <v>0</v>
      </c>
      <c r="AC277">
        <f t="shared" si="111"/>
        <v>0</v>
      </c>
      <c r="AD277">
        <f t="shared" si="111"/>
        <v>0</v>
      </c>
      <c r="AE277">
        <f t="shared" si="111"/>
        <v>0</v>
      </c>
      <c r="AF277">
        <f t="shared" si="111"/>
        <v>0</v>
      </c>
      <c r="AG277">
        <f t="shared" si="110"/>
        <v>0</v>
      </c>
      <c r="AH277">
        <f t="shared" si="110"/>
        <v>0</v>
      </c>
      <c r="AI277">
        <f t="shared" si="110"/>
        <v>0</v>
      </c>
      <c r="AJ277">
        <f t="shared" si="110"/>
        <v>0</v>
      </c>
      <c r="AK277">
        <f t="shared" si="110"/>
        <v>0</v>
      </c>
      <c r="AL277">
        <f t="shared" si="110"/>
        <v>0</v>
      </c>
      <c r="AM277">
        <f t="shared" si="110"/>
        <v>0</v>
      </c>
      <c r="AN277">
        <f t="shared" si="110"/>
        <v>0</v>
      </c>
      <c r="AO277">
        <f t="shared" si="110"/>
        <v>0</v>
      </c>
      <c r="AP277">
        <f t="shared" si="110"/>
        <v>0</v>
      </c>
      <c r="AQ277">
        <f t="shared" si="110"/>
        <v>0</v>
      </c>
      <c r="AR277">
        <f t="shared" si="108"/>
        <v>0</v>
      </c>
      <c r="AS277">
        <f t="shared" si="108"/>
        <v>0</v>
      </c>
      <c r="AT277">
        <f t="shared" si="107"/>
        <v>0</v>
      </c>
      <c r="AU277">
        <f t="shared" si="107"/>
        <v>0</v>
      </c>
      <c r="AV277">
        <f t="shared" si="109"/>
        <v>0</v>
      </c>
      <c r="AW277">
        <f t="shared" si="109"/>
        <v>0</v>
      </c>
      <c r="AX277">
        <f t="shared" si="109"/>
        <v>0</v>
      </c>
      <c r="AY277">
        <f t="shared" si="109"/>
        <v>0</v>
      </c>
      <c r="AZ277">
        <f t="shared" si="109"/>
        <v>0</v>
      </c>
    </row>
    <row r="278" spans="1:52" x14ac:dyDescent="0.25">
      <c r="A278" t="s">
        <v>38</v>
      </c>
      <c r="B278" s="3">
        <v>42048</v>
      </c>
      <c r="C278" s="1">
        <v>2370.8703122519032</v>
      </c>
      <c r="D278" s="1">
        <v>182.37463940399255</v>
      </c>
      <c r="E278" s="1">
        <f t="shared" si="102"/>
        <v>979.87031225190333</v>
      </c>
      <c r="F278" s="1">
        <f t="shared" si="103"/>
        <v>1391</v>
      </c>
      <c r="G278" s="2">
        <v>13</v>
      </c>
      <c r="H278" s="1">
        <v>75.37463940399256</v>
      </c>
      <c r="I278" s="1">
        <v>107</v>
      </c>
      <c r="J278" s="1">
        <f t="shared" si="105"/>
        <v>1038420.7440687722</v>
      </c>
      <c r="K278" s="1">
        <f t="shared" si="106"/>
        <v>535806.74406877102</v>
      </c>
      <c r="N278">
        <f t="shared" si="104"/>
        <v>0</v>
      </c>
      <c r="O278">
        <f t="shared" si="104"/>
        <v>0</v>
      </c>
      <c r="P278">
        <f t="shared" si="104"/>
        <v>0</v>
      </c>
      <c r="Q278">
        <f t="shared" si="111"/>
        <v>0</v>
      </c>
      <c r="R278">
        <f t="shared" si="111"/>
        <v>0</v>
      </c>
      <c r="S278">
        <f t="shared" si="111"/>
        <v>0</v>
      </c>
      <c r="T278">
        <f t="shared" si="111"/>
        <v>0</v>
      </c>
      <c r="U278">
        <f t="shared" si="111"/>
        <v>0</v>
      </c>
      <c r="V278">
        <f t="shared" si="111"/>
        <v>0</v>
      </c>
      <c r="W278">
        <f t="shared" si="111"/>
        <v>0</v>
      </c>
      <c r="X278">
        <f t="shared" si="111"/>
        <v>0</v>
      </c>
      <c r="Y278">
        <f t="shared" si="111"/>
        <v>0</v>
      </c>
      <c r="Z278">
        <f t="shared" si="111"/>
        <v>0</v>
      </c>
      <c r="AA278">
        <f t="shared" si="111"/>
        <v>0</v>
      </c>
      <c r="AB278">
        <f t="shared" si="111"/>
        <v>1</v>
      </c>
      <c r="AC278">
        <f t="shared" si="111"/>
        <v>0</v>
      </c>
      <c r="AD278">
        <f t="shared" si="111"/>
        <v>0</v>
      </c>
      <c r="AE278">
        <f t="shared" si="111"/>
        <v>0</v>
      </c>
      <c r="AF278">
        <f t="shared" si="111"/>
        <v>0</v>
      </c>
      <c r="AG278">
        <f t="shared" si="110"/>
        <v>0</v>
      </c>
      <c r="AH278">
        <f t="shared" si="110"/>
        <v>0</v>
      </c>
      <c r="AI278">
        <f t="shared" si="110"/>
        <v>0</v>
      </c>
      <c r="AJ278">
        <f t="shared" si="110"/>
        <v>0</v>
      </c>
      <c r="AK278">
        <f t="shared" si="110"/>
        <v>0</v>
      </c>
      <c r="AL278">
        <f t="shared" si="110"/>
        <v>0</v>
      </c>
      <c r="AM278">
        <f t="shared" si="110"/>
        <v>0</v>
      </c>
      <c r="AN278">
        <f t="shared" si="110"/>
        <v>0</v>
      </c>
      <c r="AO278">
        <f t="shared" si="110"/>
        <v>0</v>
      </c>
      <c r="AP278">
        <f t="shared" si="110"/>
        <v>0</v>
      </c>
      <c r="AQ278">
        <f t="shared" si="110"/>
        <v>0</v>
      </c>
      <c r="AR278">
        <f t="shared" si="108"/>
        <v>0</v>
      </c>
      <c r="AS278">
        <f t="shared" si="108"/>
        <v>0</v>
      </c>
      <c r="AT278">
        <f t="shared" si="107"/>
        <v>0</v>
      </c>
      <c r="AU278">
        <f t="shared" si="107"/>
        <v>0</v>
      </c>
      <c r="AV278">
        <f t="shared" si="109"/>
        <v>0</v>
      </c>
      <c r="AW278">
        <f t="shared" si="109"/>
        <v>0</v>
      </c>
      <c r="AX278">
        <f t="shared" si="109"/>
        <v>0</v>
      </c>
      <c r="AY278">
        <f t="shared" si="109"/>
        <v>0</v>
      </c>
      <c r="AZ278">
        <f t="shared" si="109"/>
        <v>0</v>
      </c>
    </row>
    <row r="279" spans="1:52" x14ac:dyDescent="0.25">
      <c r="A279" t="s">
        <v>24</v>
      </c>
      <c r="B279" s="3">
        <v>42044</v>
      </c>
      <c r="C279" s="1">
        <v>2522.4671144032941</v>
      </c>
      <c r="D279" s="1">
        <v>180.17622245737815</v>
      </c>
      <c r="E279" s="1">
        <f t="shared" si="102"/>
        <v>1108.4671144032941</v>
      </c>
      <c r="F279" s="1">
        <f t="shared" si="103"/>
        <v>1414</v>
      </c>
      <c r="G279" s="2">
        <v>14</v>
      </c>
      <c r="H279" s="1">
        <v>79.176222457378145</v>
      </c>
      <c r="I279" s="1">
        <v>101</v>
      </c>
      <c r="J279" s="1">
        <f t="shared" si="105"/>
        <v>1040943.2111831754</v>
      </c>
      <c r="K279" s="1">
        <f t="shared" si="106"/>
        <v>536915.21118317428</v>
      </c>
      <c r="N279">
        <f t="shared" si="104"/>
        <v>0</v>
      </c>
      <c r="O279">
        <f t="shared" si="104"/>
        <v>0</v>
      </c>
      <c r="P279">
        <f t="shared" si="104"/>
        <v>0</v>
      </c>
      <c r="Q279">
        <f t="shared" si="111"/>
        <v>0</v>
      </c>
      <c r="R279">
        <f t="shared" si="111"/>
        <v>0</v>
      </c>
      <c r="S279">
        <f t="shared" si="111"/>
        <v>0</v>
      </c>
      <c r="T279">
        <f t="shared" si="111"/>
        <v>0</v>
      </c>
      <c r="U279">
        <f t="shared" si="111"/>
        <v>0</v>
      </c>
      <c r="V279">
        <f t="shared" si="111"/>
        <v>1</v>
      </c>
      <c r="W279">
        <f t="shared" si="111"/>
        <v>0</v>
      </c>
      <c r="X279">
        <f t="shared" si="111"/>
        <v>0</v>
      </c>
      <c r="Y279">
        <f t="shared" si="111"/>
        <v>0</v>
      </c>
      <c r="Z279">
        <f t="shared" si="111"/>
        <v>0</v>
      </c>
      <c r="AA279">
        <f t="shared" si="111"/>
        <v>0</v>
      </c>
      <c r="AB279">
        <f t="shared" si="111"/>
        <v>0</v>
      </c>
      <c r="AC279">
        <f t="shared" si="111"/>
        <v>0</v>
      </c>
      <c r="AD279">
        <f t="shared" si="111"/>
        <v>0</v>
      </c>
      <c r="AE279">
        <f t="shared" si="111"/>
        <v>0</v>
      </c>
      <c r="AF279">
        <f t="shared" si="111"/>
        <v>0</v>
      </c>
      <c r="AG279">
        <f t="shared" si="110"/>
        <v>0</v>
      </c>
      <c r="AH279">
        <f t="shared" si="110"/>
        <v>0</v>
      </c>
      <c r="AI279">
        <f t="shared" si="110"/>
        <v>0</v>
      </c>
      <c r="AJ279">
        <f t="shared" si="110"/>
        <v>0</v>
      </c>
      <c r="AK279">
        <f t="shared" si="110"/>
        <v>0</v>
      </c>
      <c r="AL279">
        <f t="shared" si="110"/>
        <v>0</v>
      </c>
      <c r="AM279">
        <f t="shared" si="110"/>
        <v>0</v>
      </c>
      <c r="AN279">
        <f t="shared" si="110"/>
        <v>0</v>
      </c>
      <c r="AO279">
        <f t="shared" si="110"/>
        <v>0</v>
      </c>
      <c r="AP279">
        <f t="shared" si="110"/>
        <v>0</v>
      </c>
      <c r="AQ279">
        <f t="shared" si="110"/>
        <v>0</v>
      </c>
      <c r="AR279">
        <f t="shared" si="108"/>
        <v>0</v>
      </c>
      <c r="AS279">
        <f t="shared" si="108"/>
        <v>0</v>
      </c>
      <c r="AT279">
        <f t="shared" si="107"/>
        <v>0</v>
      </c>
      <c r="AU279">
        <f t="shared" si="107"/>
        <v>0</v>
      </c>
      <c r="AV279">
        <f t="shared" si="109"/>
        <v>0</v>
      </c>
      <c r="AW279">
        <f t="shared" si="109"/>
        <v>0</v>
      </c>
      <c r="AX279">
        <f t="shared" si="109"/>
        <v>0</v>
      </c>
      <c r="AY279">
        <f t="shared" si="109"/>
        <v>0</v>
      </c>
      <c r="AZ279">
        <f t="shared" si="109"/>
        <v>0</v>
      </c>
    </row>
    <row r="280" spans="1:52" x14ac:dyDescent="0.25">
      <c r="A280" t="s">
        <v>14</v>
      </c>
      <c r="B280" s="3">
        <v>42038</v>
      </c>
      <c r="C280" s="1">
        <v>1052.5905044766482</v>
      </c>
      <c r="D280" s="1">
        <v>131.57381305958103</v>
      </c>
      <c r="E280" s="1">
        <f t="shared" si="102"/>
        <v>540.59050447664822</v>
      </c>
      <c r="F280" s="1">
        <f t="shared" si="103"/>
        <v>512</v>
      </c>
      <c r="G280" s="2">
        <v>8</v>
      </c>
      <c r="H280" s="1">
        <v>67.573813059581028</v>
      </c>
      <c r="I280" s="1">
        <v>64</v>
      </c>
      <c r="J280" s="1">
        <f t="shared" si="105"/>
        <v>1041995.8016876521</v>
      </c>
      <c r="K280" s="1">
        <f t="shared" si="106"/>
        <v>537455.80168765096</v>
      </c>
      <c r="N280">
        <f t="shared" si="104"/>
        <v>0</v>
      </c>
      <c r="O280">
        <f t="shared" si="104"/>
        <v>0</v>
      </c>
      <c r="P280">
        <f t="shared" si="104"/>
        <v>0</v>
      </c>
      <c r="Q280">
        <f t="shared" si="111"/>
        <v>0</v>
      </c>
      <c r="R280">
        <f t="shared" si="111"/>
        <v>0</v>
      </c>
      <c r="S280">
        <f t="shared" si="111"/>
        <v>0</v>
      </c>
      <c r="T280">
        <f t="shared" si="111"/>
        <v>0</v>
      </c>
      <c r="U280">
        <f t="shared" si="111"/>
        <v>0</v>
      </c>
      <c r="V280">
        <f t="shared" si="111"/>
        <v>0</v>
      </c>
      <c r="W280">
        <f t="shared" si="111"/>
        <v>0</v>
      </c>
      <c r="X280">
        <f t="shared" si="111"/>
        <v>0</v>
      </c>
      <c r="Y280">
        <f t="shared" si="111"/>
        <v>0</v>
      </c>
      <c r="Z280">
        <f t="shared" si="111"/>
        <v>0</v>
      </c>
      <c r="AA280">
        <f t="shared" si="111"/>
        <v>0</v>
      </c>
      <c r="AB280">
        <f t="shared" si="111"/>
        <v>0</v>
      </c>
      <c r="AC280">
        <f t="shared" si="111"/>
        <v>0</v>
      </c>
      <c r="AD280">
        <f t="shared" si="111"/>
        <v>0</v>
      </c>
      <c r="AE280">
        <f t="shared" si="111"/>
        <v>0</v>
      </c>
      <c r="AF280">
        <f t="shared" si="111"/>
        <v>0</v>
      </c>
      <c r="AG280">
        <f t="shared" si="110"/>
        <v>0</v>
      </c>
      <c r="AH280">
        <f t="shared" si="110"/>
        <v>0</v>
      </c>
      <c r="AI280">
        <f t="shared" si="110"/>
        <v>0</v>
      </c>
      <c r="AJ280">
        <f t="shared" si="110"/>
        <v>0</v>
      </c>
      <c r="AK280">
        <f t="shared" si="110"/>
        <v>0</v>
      </c>
      <c r="AL280">
        <f t="shared" si="110"/>
        <v>0</v>
      </c>
      <c r="AM280">
        <f t="shared" si="110"/>
        <v>0</v>
      </c>
      <c r="AN280">
        <f t="shared" si="110"/>
        <v>0</v>
      </c>
      <c r="AO280">
        <f t="shared" si="110"/>
        <v>0</v>
      </c>
      <c r="AP280">
        <f t="shared" si="110"/>
        <v>1</v>
      </c>
      <c r="AQ280">
        <f t="shared" si="110"/>
        <v>0</v>
      </c>
      <c r="AR280">
        <f t="shared" si="108"/>
        <v>0</v>
      </c>
      <c r="AS280">
        <f t="shared" si="108"/>
        <v>0</v>
      </c>
      <c r="AT280">
        <f t="shared" si="107"/>
        <v>0</v>
      </c>
      <c r="AU280">
        <f t="shared" si="107"/>
        <v>0</v>
      </c>
      <c r="AV280">
        <f t="shared" si="109"/>
        <v>0</v>
      </c>
      <c r="AW280">
        <f t="shared" si="109"/>
        <v>0</v>
      </c>
      <c r="AX280">
        <f t="shared" si="109"/>
        <v>0</v>
      </c>
      <c r="AY280">
        <f t="shared" si="109"/>
        <v>0</v>
      </c>
      <c r="AZ280">
        <f t="shared" si="109"/>
        <v>0</v>
      </c>
    </row>
    <row r="281" spans="1:52" x14ac:dyDescent="0.25">
      <c r="A281" t="s">
        <v>48</v>
      </c>
      <c r="B281" s="3">
        <v>42025</v>
      </c>
      <c r="C281" s="1">
        <v>689.36879897867198</v>
      </c>
      <c r="D281" s="1">
        <v>86.171099872333997</v>
      </c>
      <c r="E281" s="1">
        <f t="shared" si="102"/>
        <v>281.36879897867203</v>
      </c>
      <c r="F281" s="1">
        <f t="shared" si="103"/>
        <v>408</v>
      </c>
      <c r="G281" s="2">
        <v>8</v>
      </c>
      <c r="H281" s="1">
        <v>35.171099872334004</v>
      </c>
      <c r="I281" s="1">
        <v>51</v>
      </c>
      <c r="J281" s="1">
        <f t="shared" si="105"/>
        <v>1042685.1704866308</v>
      </c>
      <c r="K281" s="1">
        <f t="shared" si="106"/>
        <v>537737.17048662959</v>
      </c>
      <c r="N281">
        <f t="shared" si="104"/>
        <v>0</v>
      </c>
      <c r="O281">
        <f t="shared" si="104"/>
        <v>0</v>
      </c>
      <c r="P281">
        <f t="shared" si="104"/>
        <v>0</v>
      </c>
      <c r="Q281">
        <f t="shared" si="111"/>
        <v>0</v>
      </c>
      <c r="R281">
        <f t="shared" si="111"/>
        <v>0</v>
      </c>
      <c r="S281">
        <f t="shared" si="111"/>
        <v>0</v>
      </c>
      <c r="T281">
        <f t="shared" si="111"/>
        <v>0</v>
      </c>
      <c r="U281">
        <f t="shared" si="111"/>
        <v>0</v>
      </c>
      <c r="V281">
        <f t="shared" si="111"/>
        <v>0</v>
      </c>
      <c r="W281">
        <f t="shared" si="111"/>
        <v>0</v>
      </c>
      <c r="X281">
        <f t="shared" si="111"/>
        <v>0</v>
      </c>
      <c r="Y281">
        <f t="shared" si="111"/>
        <v>0</v>
      </c>
      <c r="Z281">
        <f t="shared" si="111"/>
        <v>0</v>
      </c>
      <c r="AA281">
        <f t="shared" si="111"/>
        <v>0</v>
      </c>
      <c r="AB281">
        <f t="shared" si="111"/>
        <v>0</v>
      </c>
      <c r="AC281">
        <f t="shared" si="111"/>
        <v>0</v>
      </c>
      <c r="AD281">
        <f t="shared" si="111"/>
        <v>0</v>
      </c>
      <c r="AE281">
        <f t="shared" si="111"/>
        <v>0</v>
      </c>
      <c r="AF281">
        <f t="shared" si="111"/>
        <v>0</v>
      </c>
      <c r="AG281">
        <f t="shared" si="110"/>
        <v>0</v>
      </c>
      <c r="AH281">
        <f t="shared" si="110"/>
        <v>0</v>
      </c>
      <c r="AI281">
        <f t="shared" si="110"/>
        <v>1</v>
      </c>
      <c r="AJ281">
        <f t="shared" si="110"/>
        <v>0</v>
      </c>
      <c r="AK281">
        <f t="shared" si="110"/>
        <v>0</v>
      </c>
      <c r="AL281">
        <f t="shared" si="110"/>
        <v>0</v>
      </c>
      <c r="AM281">
        <f t="shared" si="110"/>
        <v>0</v>
      </c>
      <c r="AN281">
        <f t="shared" si="110"/>
        <v>0</v>
      </c>
      <c r="AO281">
        <f t="shared" si="110"/>
        <v>0</v>
      </c>
      <c r="AP281">
        <f t="shared" si="110"/>
        <v>0</v>
      </c>
      <c r="AQ281">
        <f t="shared" si="110"/>
        <v>0</v>
      </c>
      <c r="AR281">
        <f t="shared" si="108"/>
        <v>0</v>
      </c>
      <c r="AS281">
        <f t="shared" si="108"/>
        <v>0</v>
      </c>
      <c r="AT281">
        <f t="shared" si="107"/>
        <v>0</v>
      </c>
      <c r="AU281">
        <f t="shared" si="107"/>
        <v>0</v>
      </c>
      <c r="AV281">
        <f t="shared" si="109"/>
        <v>0</v>
      </c>
      <c r="AW281">
        <f t="shared" si="109"/>
        <v>0</v>
      </c>
      <c r="AX281">
        <f t="shared" si="109"/>
        <v>0</v>
      </c>
      <c r="AY281">
        <f t="shared" si="109"/>
        <v>0</v>
      </c>
      <c r="AZ281">
        <f t="shared" si="109"/>
        <v>0</v>
      </c>
    </row>
    <row r="282" spans="1:52" x14ac:dyDescent="0.25">
      <c r="A282" t="s">
        <v>41</v>
      </c>
      <c r="B282" s="3">
        <v>42007</v>
      </c>
      <c r="C282" s="1">
        <v>1636.2880825833699</v>
      </c>
      <c r="D282" s="1">
        <v>102.26800516146062</v>
      </c>
      <c r="E282" s="1">
        <f t="shared" si="102"/>
        <v>932.28808258337006</v>
      </c>
      <c r="F282" s="1">
        <f t="shared" si="103"/>
        <v>704</v>
      </c>
      <c r="G282" s="2">
        <v>16</v>
      </c>
      <c r="H282" s="1">
        <v>58.268005161460628</v>
      </c>
      <c r="I282" s="1">
        <v>44</v>
      </c>
      <c r="J282" s="1">
        <f t="shared" si="105"/>
        <v>1044321.4585692141</v>
      </c>
      <c r="K282" s="1">
        <f t="shared" si="106"/>
        <v>538669.45856921293</v>
      </c>
      <c r="N282">
        <f t="shared" si="104"/>
        <v>0</v>
      </c>
      <c r="O282">
        <f t="shared" si="104"/>
        <v>0</v>
      </c>
      <c r="P282">
        <f t="shared" si="104"/>
        <v>0</v>
      </c>
      <c r="Q282">
        <f t="shared" si="111"/>
        <v>1</v>
      </c>
      <c r="R282">
        <f t="shared" si="111"/>
        <v>0</v>
      </c>
      <c r="S282">
        <f t="shared" si="111"/>
        <v>0</v>
      </c>
      <c r="T282">
        <f t="shared" si="111"/>
        <v>0</v>
      </c>
      <c r="U282">
        <f t="shared" si="111"/>
        <v>0</v>
      </c>
      <c r="V282">
        <f t="shared" si="111"/>
        <v>0</v>
      </c>
      <c r="W282">
        <f t="shared" si="111"/>
        <v>0</v>
      </c>
      <c r="X282">
        <f t="shared" si="111"/>
        <v>0</v>
      </c>
      <c r="Y282">
        <f t="shared" si="111"/>
        <v>0</v>
      </c>
      <c r="Z282">
        <f t="shared" si="111"/>
        <v>0</v>
      </c>
      <c r="AA282">
        <f t="shared" si="111"/>
        <v>0</v>
      </c>
      <c r="AB282">
        <f t="shared" si="111"/>
        <v>0</v>
      </c>
      <c r="AC282">
        <f t="shared" si="111"/>
        <v>0</v>
      </c>
      <c r="AD282">
        <f t="shared" si="111"/>
        <v>0</v>
      </c>
      <c r="AE282">
        <f t="shared" si="111"/>
        <v>0</v>
      </c>
      <c r="AF282">
        <f t="shared" si="111"/>
        <v>0</v>
      </c>
      <c r="AG282">
        <f t="shared" si="110"/>
        <v>0</v>
      </c>
      <c r="AH282">
        <f t="shared" si="110"/>
        <v>0</v>
      </c>
      <c r="AI282">
        <f t="shared" si="110"/>
        <v>0</v>
      </c>
      <c r="AJ282">
        <f t="shared" si="110"/>
        <v>0</v>
      </c>
      <c r="AK282">
        <f t="shared" si="110"/>
        <v>0</v>
      </c>
      <c r="AL282">
        <f t="shared" si="110"/>
        <v>0</v>
      </c>
      <c r="AM282">
        <f t="shared" si="110"/>
        <v>0</v>
      </c>
      <c r="AN282">
        <f t="shared" si="110"/>
        <v>0</v>
      </c>
      <c r="AO282">
        <f t="shared" si="110"/>
        <v>0</v>
      </c>
      <c r="AP282">
        <f t="shared" si="110"/>
        <v>0</v>
      </c>
      <c r="AQ282">
        <f t="shared" si="110"/>
        <v>0</v>
      </c>
      <c r="AR282">
        <f t="shared" si="108"/>
        <v>0</v>
      </c>
      <c r="AS282">
        <f t="shared" si="108"/>
        <v>0</v>
      </c>
      <c r="AT282">
        <f t="shared" si="107"/>
        <v>0</v>
      </c>
      <c r="AU282">
        <f t="shared" si="107"/>
        <v>0</v>
      </c>
      <c r="AV282">
        <f t="shared" si="109"/>
        <v>0</v>
      </c>
      <c r="AW282">
        <f t="shared" si="109"/>
        <v>0</v>
      </c>
      <c r="AX282">
        <f t="shared" si="109"/>
        <v>0</v>
      </c>
      <c r="AY282">
        <f t="shared" si="109"/>
        <v>0</v>
      </c>
      <c r="AZ282">
        <f t="shared" si="109"/>
        <v>0</v>
      </c>
    </row>
    <row r="283" spans="1:52" x14ac:dyDescent="0.25">
      <c r="A283" t="s">
        <v>24</v>
      </c>
      <c r="B283" s="3">
        <v>42001</v>
      </c>
      <c r="C283" s="1">
        <v>555.69273382077893</v>
      </c>
      <c r="D283" s="1">
        <v>111.13854676415579</v>
      </c>
      <c r="E283" s="1">
        <f t="shared" si="102"/>
        <v>260.69273382077893</v>
      </c>
      <c r="F283" s="1">
        <f t="shared" si="103"/>
        <v>295</v>
      </c>
      <c r="G283" s="2">
        <v>5</v>
      </c>
      <c r="H283" s="1">
        <v>52.138546764155791</v>
      </c>
      <c r="I283" s="1">
        <v>59</v>
      </c>
      <c r="J283" s="1">
        <f t="shared" si="105"/>
        <v>1044877.1513030349</v>
      </c>
      <c r="K283" s="1">
        <f t="shared" si="106"/>
        <v>538930.15130303369</v>
      </c>
      <c r="N283">
        <f t="shared" si="104"/>
        <v>0</v>
      </c>
      <c r="O283">
        <f t="shared" si="104"/>
        <v>0</v>
      </c>
      <c r="P283">
        <f t="shared" si="104"/>
        <v>0</v>
      </c>
      <c r="Q283">
        <f t="shared" si="111"/>
        <v>0</v>
      </c>
      <c r="R283">
        <f t="shared" si="111"/>
        <v>0</v>
      </c>
      <c r="S283">
        <f t="shared" si="111"/>
        <v>0</v>
      </c>
      <c r="T283">
        <f t="shared" si="111"/>
        <v>0</v>
      </c>
      <c r="U283">
        <f t="shared" si="111"/>
        <v>0</v>
      </c>
      <c r="V283">
        <f t="shared" si="111"/>
        <v>1</v>
      </c>
      <c r="W283">
        <f t="shared" si="111"/>
        <v>0</v>
      </c>
      <c r="X283">
        <f t="shared" si="111"/>
        <v>0</v>
      </c>
      <c r="Y283">
        <f t="shared" si="111"/>
        <v>0</v>
      </c>
      <c r="Z283">
        <f t="shared" si="111"/>
        <v>0</v>
      </c>
      <c r="AA283">
        <f t="shared" si="111"/>
        <v>0</v>
      </c>
      <c r="AB283">
        <f t="shared" si="111"/>
        <v>0</v>
      </c>
      <c r="AC283">
        <f t="shared" si="111"/>
        <v>0</v>
      </c>
      <c r="AD283">
        <f t="shared" si="111"/>
        <v>0</v>
      </c>
      <c r="AE283">
        <f t="shared" si="111"/>
        <v>0</v>
      </c>
      <c r="AF283">
        <f t="shared" si="111"/>
        <v>0</v>
      </c>
      <c r="AG283">
        <f t="shared" si="110"/>
        <v>0</v>
      </c>
      <c r="AH283">
        <f t="shared" si="110"/>
        <v>0</v>
      </c>
      <c r="AI283">
        <f t="shared" si="110"/>
        <v>0</v>
      </c>
      <c r="AJ283">
        <f t="shared" si="110"/>
        <v>0</v>
      </c>
      <c r="AK283">
        <f t="shared" si="110"/>
        <v>0</v>
      </c>
      <c r="AL283">
        <f t="shared" si="110"/>
        <v>0</v>
      </c>
      <c r="AM283">
        <f t="shared" si="110"/>
        <v>0</v>
      </c>
      <c r="AN283">
        <f t="shared" si="110"/>
        <v>0</v>
      </c>
      <c r="AO283">
        <f t="shared" si="110"/>
        <v>0</v>
      </c>
      <c r="AP283">
        <f t="shared" si="110"/>
        <v>0</v>
      </c>
      <c r="AQ283">
        <f t="shared" si="110"/>
        <v>0</v>
      </c>
      <c r="AR283">
        <f t="shared" si="108"/>
        <v>0</v>
      </c>
      <c r="AS283">
        <f t="shared" si="108"/>
        <v>0</v>
      </c>
      <c r="AT283">
        <f t="shared" si="107"/>
        <v>0</v>
      </c>
      <c r="AU283">
        <f t="shared" si="107"/>
        <v>0</v>
      </c>
      <c r="AV283">
        <f t="shared" si="109"/>
        <v>0</v>
      </c>
      <c r="AW283">
        <f t="shared" si="109"/>
        <v>0</v>
      </c>
      <c r="AX283">
        <f t="shared" si="109"/>
        <v>0</v>
      </c>
      <c r="AY283">
        <f t="shared" si="109"/>
        <v>0</v>
      </c>
      <c r="AZ283">
        <f t="shared" si="109"/>
        <v>0</v>
      </c>
    </row>
    <row r="284" spans="1:52" x14ac:dyDescent="0.25">
      <c r="A284" t="s">
        <v>21</v>
      </c>
      <c r="B284" s="3">
        <v>41996</v>
      </c>
      <c r="C284" s="1">
        <v>5268.6441930678029</v>
      </c>
      <c r="D284" s="1">
        <v>122.52660914111169</v>
      </c>
      <c r="E284" s="1">
        <f t="shared" si="102"/>
        <v>2731.6441930678029</v>
      </c>
      <c r="F284" s="1">
        <f t="shared" si="103"/>
        <v>2537</v>
      </c>
      <c r="G284" s="2">
        <v>43</v>
      </c>
      <c r="H284" s="1">
        <v>63.526609141111699</v>
      </c>
      <c r="I284" s="1">
        <v>59</v>
      </c>
      <c r="J284" s="1">
        <f t="shared" si="105"/>
        <v>1050145.7954961027</v>
      </c>
      <c r="K284" s="1">
        <f t="shared" si="106"/>
        <v>541661.79549610149</v>
      </c>
      <c r="N284">
        <f t="shared" si="104"/>
        <v>0</v>
      </c>
      <c r="O284">
        <f t="shared" si="104"/>
        <v>0</v>
      </c>
      <c r="P284">
        <f t="shared" si="104"/>
        <v>0</v>
      </c>
      <c r="Q284">
        <f t="shared" si="111"/>
        <v>0</v>
      </c>
      <c r="R284">
        <f t="shared" si="111"/>
        <v>0</v>
      </c>
      <c r="S284">
        <f t="shared" si="111"/>
        <v>0</v>
      </c>
      <c r="T284">
        <f t="shared" si="111"/>
        <v>1</v>
      </c>
      <c r="U284">
        <f t="shared" si="111"/>
        <v>0</v>
      </c>
      <c r="V284">
        <f t="shared" si="111"/>
        <v>0</v>
      </c>
      <c r="W284">
        <f t="shared" si="111"/>
        <v>0</v>
      </c>
      <c r="X284">
        <f t="shared" si="111"/>
        <v>0</v>
      </c>
      <c r="Y284">
        <f t="shared" si="111"/>
        <v>0</v>
      </c>
      <c r="Z284">
        <f t="shared" si="111"/>
        <v>0</v>
      </c>
      <c r="AA284">
        <f t="shared" si="111"/>
        <v>0</v>
      </c>
      <c r="AB284">
        <f t="shared" si="111"/>
        <v>0</v>
      </c>
      <c r="AC284">
        <f t="shared" si="111"/>
        <v>0</v>
      </c>
      <c r="AD284">
        <f t="shared" si="111"/>
        <v>0</v>
      </c>
      <c r="AE284">
        <f t="shared" si="111"/>
        <v>0</v>
      </c>
      <c r="AF284">
        <f t="shared" si="111"/>
        <v>0</v>
      </c>
      <c r="AG284">
        <f t="shared" si="110"/>
        <v>0</v>
      </c>
      <c r="AH284">
        <f t="shared" si="110"/>
        <v>0</v>
      </c>
      <c r="AI284">
        <f t="shared" si="110"/>
        <v>0</v>
      </c>
      <c r="AJ284">
        <f t="shared" si="110"/>
        <v>0</v>
      </c>
      <c r="AK284">
        <f t="shared" si="110"/>
        <v>0</v>
      </c>
      <c r="AL284">
        <f t="shared" si="110"/>
        <v>0</v>
      </c>
      <c r="AM284">
        <f t="shared" si="110"/>
        <v>0</v>
      </c>
      <c r="AN284">
        <f t="shared" si="110"/>
        <v>0</v>
      </c>
      <c r="AO284">
        <f t="shared" si="110"/>
        <v>0</v>
      </c>
      <c r="AP284">
        <f t="shared" si="110"/>
        <v>0</v>
      </c>
      <c r="AQ284">
        <f t="shared" si="110"/>
        <v>0</v>
      </c>
      <c r="AR284">
        <f t="shared" si="108"/>
        <v>0</v>
      </c>
      <c r="AS284">
        <f t="shared" si="108"/>
        <v>0</v>
      </c>
      <c r="AT284">
        <f t="shared" si="107"/>
        <v>0</v>
      </c>
      <c r="AU284">
        <f t="shared" si="107"/>
        <v>0</v>
      </c>
      <c r="AV284">
        <f t="shared" si="109"/>
        <v>0</v>
      </c>
      <c r="AW284">
        <f t="shared" si="109"/>
        <v>0</v>
      </c>
      <c r="AX284">
        <f t="shared" si="109"/>
        <v>0</v>
      </c>
      <c r="AY284">
        <f t="shared" si="109"/>
        <v>0</v>
      </c>
      <c r="AZ284">
        <f t="shared" si="109"/>
        <v>0</v>
      </c>
    </row>
    <row r="285" spans="1:52" x14ac:dyDescent="0.25">
      <c r="A285" t="s">
        <v>49</v>
      </c>
      <c r="B285" s="3">
        <v>41975</v>
      </c>
      <c r="C285" s="1">
        <v>1751.0996353419141</v>
      </c>
      <c r="D285" s="1">
        <v>109.44372720886963</v>
      </c>
      <c r="E285" s="1">
        <f t="shared" si="102"/>
        <v>1015.0996353419141</v>
      </c>
      <c r="F285" s="1">
        <f t="shared" si="103"/>
        <v>736</v>
      </c>
      <c r="G285" s="2">
        <v>16</v>
      </c>
      <c r="H285" s="1">
        <v>63.443727208869632</v>
      </c>
      <c r="I285" s="1">
        <v>46</v>
      </c>
      <c r="J285" s="1">
        <f t="shared" si="105"/>
        <v>1051896.8951314446</v>
      </c>
      <c r="K285" s="1">
        <f t="shared" si="106"/>
        <v>542676.89513144339</v>
      </c>
      <c r="N285">
        <f t="shared" si="104"/>
        <v>0</v>
      </c>
      <c r="O285">
        <f t="shared" si="104"/>
        <v>0</v>
      </c>
      <c r="P285">
        <f t="shared" si="104"/>
        <v>0</v>
      </c>
      <c r="Q285">
        <f t="shared" si="111"/>
        <v>0</v>
      </c>
      <c r="R285">
        <f t="shared" si="111"/>
        <v>0</v>
      </c>
      <c r="S285">
        <f t="shared" si="111"/>
        <v>0</v>
      </c>
      <c r="T285">
        <f t="shared" si="111"/>
        <v>0</v>
      </c>
      <c r="U285">
        <f t="shared" si="111"/>
        <v>0</v>
      </c>
      <c r="V285">
        <f t="shared" si="111"/>
        <v>0</v>
      </c>
      <c r="W285">
        <f t="shared" si="111"/>
        <v>0</v>
      </c>
      <c r="X285">
        <f t="shared" si="111"/>
        <v>0</v>
      </c>
      <c r="Y285">
        <f t="shared" si="111"/>
        <v>0</v>
      </c>
      <c r="Z285">
        <f t="shared" si="111"/>
        <v>0</v>
      </c>
      <c r="AA285">
        <f t="shared" si="111"/>
        <v>1</v>
      </c>
      <c r="AB285">
        <f t="shared" si="111"/>
        <v>0</v>
      </c>
      <c r="AC285">
        <f t="shared" si="111"/>
        <v>0</v>
      </c>
      <c r="AD285">
        <f t="shared" si="111"/>
        <v>0</v>
      </c>
      <c r="AE285">
        <f t="shared" si="111"/>
        <v>0</v>
      </c>
      <c r="AF285">
        <f t="shared" si="111"/>
        <v>0</v>
      </c>
      <c r="AG285">
        <f t="shared" si="110"/>
        <v>0</v>
      </c>
      <c r="AH285">
        <f t="shared" si="110"/>
        <v>0</v>
      </c>
      <c r="AI285">
        <f t="shared" si="110"/>
        <v>0</v>
      </c>
      <c r="AJ285">
        <f t="shared" si="110"/>
        <v>0</v>
      </c>
      <c r="AK285">
        <f t="shared" si="110"/>
        <v>0</v>
      </c>
      <c r="AL285">
        <f t="shared" si="110"/>
        <v>0</v>
      </c>
      <c r="AM285">
        <f t="shared" si="110"/>
        <v>0</v>
      </c>
      <c r="AN285">
        <f t="shared" si="110"/>
        <v>0</v>
      </c>
      <c r="AO285">
        <f t="shared" si="110"/>
        <v>0</v>
      </c>
      <c r="AP285">
        <f t="shared" si="110"/>
        <v>0</v>
      </c>
      <c r="AQ285">
        <f t="shared" si="110"/>
        <v>0</v>
      </c>
      <c r="AR285">
        <f t="shared" si="108"/>
        <v>0</v>
      </c>
      <c r="AS285">
        <f t="shared" si="108"/>
        <v>0</v>
      </c>
      <c r="AT285">
        <f t="shared" si="107"/>
        <v>0</v>
      </c>
      <c r="AU285">
        <f t="shared" si="107"/>
        <v>0</v>
      </c>
      <c r="AV285">
        <f t="shared" si="109"/>
        <v>0</v>
      </c>
      <c r="AW285">
        <f t="shared" si="109"/>
        <v>0</v>
      </c>
      <c r="AX285">
        <f t="shared" si="109"/>
        <v>0</v>
      </c>
      <c r="AY285">
        <f t="shared" si="109"/>
        <v>0</v>
      </c>
      <c r="AZ285">
        <f t="shared" si="109"/>
        <v>0</v>
      </c>
    </row>
    <row r="286" spans="1:52" x14ac:dyDescent="0.25">
      <c r="A286" t="s">
        <v>42</v>
      </c>
      <c r="B286" s="3">
        <v>41951</v>
      </c>
      <c r="C286" s="1">
        <v>1325.6874043167822</v>
      </c>
      <c r="D286" s="1">
        <v>94.691957451198732</v>
      </c>
      <c r="E286" s="1">
        <f t="shared" si="102"/>
        <v>737.68740431678236</v>
      </c>
      <c r="F286" s="1">
        <f t="shared" si="103"/>
        <v>588</v>
      </c>
      <c r="G286" s="2">
        <v>14</v>
      </c>
      <c r="H286" s="1">
        <v>52.691957451198739</v>
      </c>
      <c r="I286" s="1">
        <v>42</v>
      </c>
      <c r="J286" s="1">
        <f t="shared" si="105"/>
        <v>1053222.5825357614</v>
      </c>
      <c r="K286" s="1">
        <f t="shared" si="106"/>
        <v>543414.58253576013</v>
      </c>
      <c r="N286">
        <f t="shared" si="104"/>
        <v>0</v>
      </c>
      <c r="O286">
        <f t="shared" si="104"/>
        <v>0</v>
      </c>
      <c r="P286">
        <f t="shared" si="104"/>
        <v>0</v>
      </c>
      <c r="Q286">
        <f t="shared" si="111"/>
        <v>0</v>
      </c>
      <c r="R286">
        <f t="shared" si="111"/>
        <v>0</v>
      </c>
      <c r="S286">
        <f t="shared" si="111"/>
        <v>0</v>
      </c>
      <c r="T286">
        <f t="shared" si="111"/>
        <v>0</v>
      </c>
      <c r="U286">
        <f t="shared" si="111"/>
        <v>0</v>
      </c>
      <c r="V286">
        <f t="shared" si="111"/>
        <v>0</v>
      </c>
      <c r="W286">
        <f t="shared" si="111"/>
        <v>0</v>
      </c>
      <c r="X286">
        <f t="shared" si="111"/>
        <v>0</v>
      </c>
      <c r="Y286">
        <f t="shared" si="111"/>
        <v>0</v>
      </c>
      <c r="Z286">
        <f t="shared" si="111"/>
        <v>1</v>
      </c>
      <c r="AA286">
        <f t="shared" si="111"/>
        <v>0</v>
      </c>
      <c r="AB286">
        <f t="shared" si="111"/>
        <v>0</v>
      </c>
      <c r="AC286">
        <f t="shared" si="111"/>
        <v>0</v>
      </c>
      <c r="AD286">
        <f t="shared" si="111"/>
        <v>0</v>
      </c>
      <c r="AE286">
        <f t="shared" si="111"/>
        <v>0</v>
      </c>
      <c r="AF286">
        <f t="shared" ref="AF286:AU301" si="112">+IF(AF$5=$A286,1,0)</f>
        <v>0</v>
      </c>
      <c r="AG286">
        <f t="shared" si="112"/>
        <v>0</v>
      </c>
      <c r="AH286">
        <f t="shared" si="112"/>
        <v>0</v>
      </c>
      <c r="AI286">
        <f t="shared" si="112"/>
        <v>0</v>
      </c>
      <c r="AJ286">
        <f t="shared" si="112"/>
        <v>0</v>
      </c>
      <c r="AK286">
        <f t="shared" si="112"/>
        <v>0</v>
      </c>
      <c r="AL286">
        <f t="shared" si="112"/>
        <v>0</v>
      </c>
      <c r="AM286">
        <f t="shared" si="112"/>
        <v>0</v>
      </c>
      <c r="AN286">
        <f t="shared" si="112"/>
        <v>0</v>
      </c>
      <c r="AO286">
        <f t="shared" si="112"/>
        <v>0</v>
      </c>
      <c r="AP286">
        <f t="shared" si="112"/>
        <v>0</v>
      </c>
      <c r="AQ286">
        <f t="shared" si="112"/>
        <v>0</v>
      </c>
      <c r="AR286">
        <f t="shared" si="112"/>
        <v>0</v>
      </c>
      <c r="AS286">
        <f t="shared" si="112"/>
        <v>0</v>
      </c>
      <c r="AT286">
        <f t="shared" si="112"/>
        <v>0</v>
      </c>
      <c r="AU286">
        <f t="shared" si="112"/>
        <v>0</v>
      </c>
      <c r="AV286">
        <f t="shared" si="109"/>
        <v>0</v>
      </c>
      <c r="AW286">
        <f t="shared" si="109"/>
        <v>0</v>
      </c>
      <c r="AX286">
        <f t="shared" si="109"/>
        <v>0</v>
      </c>
      <c r="AY286">
        <f t="shared" si="109"/>
        <v>0</v>
      </c>
      <c r="AZ286">
        <f t="shared" si="109"/>
        <v>0</v>
      </c>
    </row>
    <row r="287" spans="1:52" x14ac:dyDescent="0.25">
      <c r="A287" t="s">
        <v>41</v>
      </c>
      <c r="B287" s="3">
        <v>41933</v>
      </c>
      <c r="C287" s="1">
        <v>2843.3875610632108</v>
      </c>
      <c r="D287" s="1">
        <v>94.779585368773695</v>
      </c>
      <c r="E287" s="1">
        <f t="shared" si="102"/>
        <v>1463.387561063211</v>
      </c>
      <c r="F287" s="1">
        <f t="shared" si="103"/>
        <v>1380</v>
      </c>
      <c r="G287" s="2">
        <v>30</v>
      </c>
      <c r="H287" s="1">
        <v>48.779585368773702</v>
      </c>
      <c r="I287" s="1">
        <v>46</v>
      </c>
      <c r="J287" s="1">
        <f t="shared" si="105"/>
        <v>1056065.9700968247</v>
      </c>
      <c r="K287" s="1">
        <f t="shared" si="106"/>
        <v>544877.97009682329</v>
      </c>
      <c r="N287">
        <f t="shared" si="104"/>
        <v>0</v>
      </c>
      <c r="O287">
        <f t="shared" si="104"/>
        <v>0</v>
      </c>
      <c r="P287">
        <f t="shared" si="104"/>
        <v>0</v>
      </c>
      <c r="Q287">
        <f t="shared" ref="Q287:AF302" si="113">+IF(Q$5=$A287,1,0)</f>
        <v>1</v>
      </c>
      <c r="R287">
        <f t="shared" si="113"/>
        <v>0</v>
      </c>
      <c r="S287">
        <f t="shared" si="113"/>
        <v>0</v>
      </c>
      <c r="T287">
        <f t="shared" si="113"/>
        <v>0</v>
      </c>
      <c r="U287">
        <f t="shared" si="113"/>
        <v>0</v>
      </c>
      <c r="V287">
        <f t="shared" si="113"/>
        <v>0</v>
      </c>
      <c r="W287">
        <f t="shared" si="113"/>
        <v>0</v>
      </c>
      <c r="X287">
        <f t="shared" si="113"/>
        <v>0</v>
      </c>
      <c r="Y287">
        <f t="shared" si="113"/>
        <v>0</v>
      </c>
      <c r="Z287">
        <f t="shared" si="113"/>
        <v>0</v>
      </c>
      <c r="AA287">
        <f t="shared" si="113"/>
        <v>0</v>
      </c>
      <c r="AB287">
        <f t="shared" si="113"/>
        <v>0</v>
      </c>
      <c r="AC287">
        <f t="shared" si="113"/>
        <v>0</v>
      </c>
      <c r="AD287">
        <f t="shared" si="113"/>
        <v>0</v>
      </c>
      <c r="AE287">
        <f t="shared" si="113"/>
        <v>0</v>
      </c>
      <c r="AF287">
        <f t="shared" si="113"/>
        <v>0</v>
      </c>
      <c r="AG287">
        <f t="shared" si="112"/>
        <v>0</v>
      </c>
      <c r="AH287">
        <f t="shared" si="112"/>
        <v>0</v>
      </c>
      <c r="AI287">
        <f t="shared" si="112"/>
        <v>0</v>
      </c>
      <c r="AJ287">
        <f t="shared" si="112"/>
        <v>0</v>
      </c>
      <c r="AK287">
        <f t="shared" si="112"/>
        <v>0</v>
      </c>
      <c r="AL287">
        <f t="shared" si="112"/>
        <v>0</v>
      </c>
      <c r="AM287">
        <f t="shared" si="112"/>
        <v>0</v>
      </c>
      <c r="AN287">
        <f t="shared" si="112"/>
        <v>0</v>
      </c>
      <c r="AO287">
        <f t="shared" si="112"/>
        <v>0</v>
      </c>
      <c r="AP287">
        <f t="shared" si="112"/>
        <v>0</v>
      </c>
      <c r="AQ287">
        <f t="shared" si="112"/>
        <v>0</v>
      </c>
      <c r="AR287">
        <f t="shared" si="112"/>
        <v>0</v>
      </c>
      <c r="AS287">
        <f t="shared" si="112"/>
        <v>0</v>
      </c>
      <c r="AT287">
        <f t="shared" si="112"/>
        <v>0</v>
      </c>
      <c r="AU287">
        <f t="shared" si="112"/>
        <v>0</v>
      </c>
      <c r="AV287">
        <f t="shared" si="109"/>
        <v>0</v>
      </c>
      <c r="AW287">
        <f t="shared" si="109"/>
        <v>0</v>
      </c>
      <c r="AX287">
        <f t="shared" si="109"/>
        <v>0</v>
      </c>
      <c r="AY287">
        <f t="shared" si="109"/>
        <v>0</v>
      </c>
      <c r="AZ287">
        <f t="shared" si="109"/>
        <v>0</v>
      </c>
    </row>
    <row r="288" spans="1:52" x14ac:dyDescent="0.25">
      <c r="A288" t="s">
        <v>33</v>
      </c>
      <c r="B288" s="3">
        <v>41916</v>
      </c>
      <c r="C288" s="1">
        <v>7486.5676338455996</v>
      </c>
      <c r="D288" s="1">
        <v>207.96021205126667</v>
      </c>
      <c r="E288" s="1">
        <f t="shared" si="102"/>
        <v>3238.5676338456001</v>
      </c>
      <c r="F288" s="1">
        <f t="shared" si="103"/>
        <v>4248</v>
      </c>
      <c r="G288" s="2">
        <v>36</v>
      </c>
      <c r="H288" s="1">
        <v>89.960212051266666</v>
      </c>
      <c r="I288" s="1">
        <v>118</v>
      </c>
      <c r="J288" s="1">
        <f t="shared" si="105"/>
        <v>1063552.5377306703</v>
      </c>
      <c r="K288" s="1">
        <f t="shared" si="106"/>
        <v>548116.5377306689</v>
      </c>
      <c r="N288">
        <f t="shared" si="104"/>
        <v>0</v>
      </c>
      <c r="O288">
        <f t="shared" si="104"/>
        <v>0</v>
      </c>
      <c r="P288">
        <f t="shared" si="104"/>
        <v>0</v>
      </c>
      <c r="Q288">
        <f t="shared" si="113"/>
        <v>0</v>
      </c>
      <c r="R288">
        <f t="shared" si="113"/>
        <v>0</v>
      </c>
      <c r="S288">
        <f t="shared" si="113"/>
        <v>0</v>
      </c>
      <c r="T288">
        <f t="shared" si="113"/>
        <v>0</v>
      </c>
      <c r="U288">
        <f t="shared" si="113"/>
        <v>0</v>
      </c>
      <c r="V288">
        <f t="shared" si="113"/>
        <v>0</v>
      </c>
      <c r="W288">
        <f t="shared" si="113"/>
        <v>0</v>
      </c>
      <c r="X288">
        <f t="shared" si="113"/>
        <v>0</v>
      </c>
      <c r="Y288">
        <f t="shared" si="113"/>
        <v>0</v>
      </c>
      <c r="Z288">
        <f t="shared" si="113"/>
        <v>0</v>
      </c>
      <c r="AA288">
        <f t="shared" si="113"/>
        <v>0</v>
      </c>
      <c r="AB288">
        <f t="shared" si="113"/>
        <v>0</v>
      </c>
      <c r="AC288">
        <f t="shared" si="113"/>
        <v>0</v>
      </c>
      <c r="AD288">
        <f t="shared" si="113"/>
        <v>0</v>
      </c>
      <c r="AE288">
        <f t="shared" si="113"/>
        <v>0</v>
      </c>
      <c r="AF288">
        <f t="shared" si="113"/>
        <v>0</v>
      </c>
      <c r="AG288">
        <f t="shared" si="112"/>
        <v>0</v>
      </c>
      <c r="AH288">
        <f t="shared" si="112"/>
        <v>0</v>
      </c>
      <c r="AI288">
        <f t="shared" si="112"/>
        <v>0</v>
      </c>
      <c r="AJ288">
        <f t="shared" si="112"/>
        <v>0</v>
      </c>
      <c r="AK288">
        <f t="shared" si="112"/>
        <v>0</v>
      </c>
      <c r="AL288">
        <f t="shared" si="112"/>
        <v>0</v>
      </c>
      <c r="AM288">
        <f t="shared" si="112"/>
        <v>0</v>
      </c>
      <c r="AN288">
        <f t="shared" si="112"/>
        <v>0</v>
      </c>
      <c r="AO288">
        <f t="shared" si="112"/>
        <v>0</v>
      </c>
      <c r="AP288">
        <f t="shared" si="112"/>
        <v>0</v>
      </c>
      <c r="AQ288">
        <f t="shared" si="112"/>
        <v>1</v>
      </c>
      <c r="AR288">
        <f t="shared" si="112"/>
        <v>0</v>
      </c>
      <c r="AS288">
        <f t="shared" si="112"/>
        <v>0</v>
      </c>
      <c r="AT288">
        <f t="shared" si="112"/>
        <v>0</v>
      </c>
      <c r="AU288">
        <f t="shared" si="112"/>
        <v>0</v>
      </c>
      <c r="AV288">
        <f t="shared" si="109"/>
        <v>0</v>
      </c>
      <c r="AW288">
        <f t="shared" si="109"/>
        <v>0</v>
      </c>
      <c r="AX288">
        <f t="shared" si="109"/>
        <v>0</v>
      </c>
      <c r="AY288">
        <f t="shared" si="109"/>
        <v>0</v>
      </c>
      <c r="AZ288">
        <f t="shared" si="109"/>
        <v>0</v>
      </c>
    </row>
    <row r="289" spans="1:52" x14ac:dyDescent="0.25">
      <c r="A289" t="s">
        <v>27</v>
      </c>
      <c r="B289" s="3">
        <v>41892</v>
      </c>
      <c r="C289" s="1">
        <v>6059.0467549208452</v>
      </c>
      <c r="D289" s="1">
        <v>116.52012990232394</v>
      </c>
      <c r="E289" s="1">
        <f t="shared" si="102"/>
        <v>2523.0467549208452</v>
      </c>
      <c r="F289" s="1">
        <f t="shared" si="103"/>
        <v>3536</v>
      </c>
      <c r="G289" s="2">
        <v>52</v>
      </c>
      <c r="H289" s="1">
        <v>48.520129902323944</v>
      </c>
      <c r="I289" s="1">
        <v>68</v>
      </c>
      <c r="J289" s="1">
        <f t="shared" si="105"/>
        <v>1069611.5844855912</v>
      </c>
      <c r="K289" s="1">
        <f t="shared" si="106"/>
        <v>550639.58448558976</v>
      </c>
      <c r="N289">
        <f t="shared" si="104"/>
        <v>0</v>
      </c>
      <c r="O289">
        <f t="shared" si="104"/>
        <v>0</v>
      </c>
      <c r="P289">
        <f t="shared" si="104"/>
        <v>0</v>
      </c>
      <c r="Q289">
        <f t="shared" si="113"/>
        <v>0</v>
      </c>
      <c r="R289">
        <f t="shared" si="113"/>
        <v>0</v>
      </c>
      <c r="S289">
        <f t="shared" si="113"/>
        <v>0</v>
      </c>
      <c r="T289">
        <f t="shared" si="113"/>
        <v>0</v>
      </c>
      <c r="U289">
        <f t="shared" si="113"/>
        <v>0</v>
      </c>
      <c r="V289">
        <f t="shared" si="113"/>
        <v>0</v>
      </c>
      <c r="W289">
        <f t="shared" si="113"/>
        <v>0</v>
      </c>
      <c r="X289">
        <f t="shared" si="113"/>
        <v>0</v>
      </c>
      <c r="Y289">
        <f t="shared" si="113"/>
        <v>0</v>
      </c>
      <c r="Z289">
        <f t="shared" si="113"/>
        <v>0</v>
      </c>
      <c r="AA289">
        <f t="shared" si="113"/>
        <v>0</v>
      </c>
      <c r="AB289">
        <f t="shared" si="113"/>
        <v>0</v>
      </c>
      <c r="AC289">
        <f t="shared" si="113"/>
        <v>1</v>
      </c>
      <c r="AD289">
        <f t="shared" si="113"/>
        <v>0</v>
      </c>
      <c r="AE289">
        <f t="shared" si="113"/>
        <v>0</v>
      </c>
      <c r="AF289">
        <f t="shared" si="113"/>
        <v>0</v>
      </c>
      <c r="AG289">
        <f t="shared" si="112"/>
        <v>0</v>
      </c>
      <c r="AH289">
        <f t="shared" si="112"/>
        <v>0</v>
      </c>
      <c r="AI289">
        <f t="shared" si="112"/>
        <v>0</v>
      </c>
      <c r="AJ289">
        <f t="shared" si="112"/>
        <v>0</v>
      </c>
      <c r="AK289">
        <f t="shared" si="112"/>
        <v>0</v>
      </c>
      <c r="AL289">
        <f t="shared" si="112"/>
        <v>0</v>
      </c>
      <c r="AM289">
        <f t="shared" si="112"/>
        <v>0</v>
      </c>
      <c r="AN289">
        <f t="shared" si="112"/>
        <v>0</v>
      </c>
      <c r="AO289">
        <f t="shared" si="112"/>
        <v>0</v>
      </c>
      <c r="AP289">
        <f t="shared" si="112"/>
        <v>0</v>
      </c>
      <c r="AQ289">
        <f t="shared" si="112"/>
        <v>0</v>
      </c>
      <c r="AR289">
        <f t="shared" si="112"/>
        <v>0</v>
      </c>
      <c r="AS289">
        <f t="shared" si="112"/>
        <v>0</v>
      </c>
      <c r="AT289">
        <f t="shared" si="112"/>
        <v>0</v>
      </c>
      <c r="AU289">
        <f t="shared" si="112"/>
        <v>0</v>
      </c>
      <c r="AV289">
        <f t="shared" si="109"/>
        <v>0</v>
      </c>
      <c r="AW289">
        <f t="shared" si="109"/>
        <v>0</v>
      </c>
      <c r="AX289">
        <f t="shared" si="109"/>
        <v>0</v>
      </c>
      <c r="AY289">
        <f t="shared" si="109"/>
        <v>0</v>
      </c>
      <c r="AZ289">
        <f t="shared" si="109"/>
        <v>0</v>
      </c>
    </row>
    <row r="290" spans="1:52" x14ac:dyDescent="0.25">
      <c r="A290" t="s">
        <v>22</v>
      </c>
      <c r="B290" s="3">
        <v>41872</v>
      </c>
      <c r="C290" s="1">
        <v>2774.4678713941657</v>
      </c>
      <c r="D290" s="1">
        <v>163.20399243495092</v>
      </c>
      <c r="E290" s="1">
        <f t="shared" si="102"/>
        <v>1193.4678713941653</v>
      </c>
      <c r="F290" s="1">
        <f t="shared" si="103"/>
        <v>1581</v>
      </c>
      <c r="G290" s="2">
        <v>17</v>
      </c>
      <c r="H290" s="1">
        <v>70.203992434950905</v>
      </c>
      <c r="I290" s="1">
        <v>93</v>
      </c>
      <c r="J290" s="1">
        <f t="shared" si="105"/>
        <v>1072386.0523569854</v>
      </c>
      <c r="K290" s="1">
        <f t="shared" si="106"/>
        <v>551833.05235698388</v>
      </c>
      <c r="N290">
        <f t="shared" si="104"/>
        <v>0</v>
      </c>
      <c r="O290">
        <f t="shared" si="104"/>
        <v>0</v>
      </c>
      <c r="P290">
        <f t="shared" si="104"/>
        <v>0</v>
      </c>
      <c r="Q290">
        <f t="shared" si="113"/>
        <v>0</v>
      </c>
      <c r="R290">
        <f t="shared" si="113"/>
        <v>0</v>
      </c>
      <c r="S290">
        <f t="shared" si="113"/>
        <v>0</v>
      </c>
      <c r="T290">
        <f t="shared" si="113"/>
        <v>0</v>
      </c>
      <c r="U290">
        <f t="shared" si="113"/>
        <v>0</v>
      </c>
      <c r="V290">
        <f t="shared" si="113"/>
        <v>0</v>
      </c>
      <c r="W290">
        <f t="shared" si="113"/>
        <v>0</v>
      </c>
      <c r="X290">
        <f t="shared" si="113"/>
        <v>0</v>
      </c>
      <c r="Y290">
        <f t="shared" si="113"/>
        <v>0</v>
      </c>
      <c r="Z290">
        <f t="shared" si="113"/>
        <v>0</v>
      </c>
      <c r="AA290">
        <f t="shared" si="113"/>
        <v>0</v>
      </c>
      <c r="AB290">
        <f t="shared" si="113"/>
        <v>0</v>
      </c>
      <c r="AC290">
        <f t="shared" si="113"/>
        <v>0</v>
      </c>
      <c r="AD290">
        <f t="shared" si="113"/>
        <v>0</v>
      </c>
      <c r="AE290">
        <f t="shared" si="113"/>
        <v>0</v>
      </c>
      <c r="AF290">
        <f t="shared" si="113"/>
        <v>0</v>
      </c>
      <c r="AG290">
        <f t="shared" si="112"/>
        <v>0</v>
      </c>
      <c r="AH290">
        <f t="shared" si="112"/>
        <v>0</v>
      </c>
      <c r="AI290">
        <f t="shared" si="112"/>
        <v>0</v>
      </c>
      <c r="AJ290">
        <f t="shared" si="112"/>
        <v>0</v>
      </c>
      <c r="AK290">
        <f t="shared" si="112"/>
        <v>0</v>
      </c>
      <c r="AL290">
        <f t="shared" si="112"/>
        <v>0</v>
      </c>
      <c r="AM290">
        <f t="shared" si="112"/>
        <v>0</v>
      </c>
      <c r="AN290">
        <f t="shared" si="112"/>
        <v>0</v>
      </c>
      <c r="AO290">
        <f t="shared" si="112"/>
        <v>0</v>
      </c>
      <c r="AP290">
        <f t="shared" si="112"/>
        <v>0</v>
      </c>
      <c r="AQ290">
        <f t="shared" si="112"/>
        <v>0</v>
      </c>
      <c r="AR290">
        <f t="shared" si="112"/>
        <v>0</v>
      </c>
      <c r="AS290">
        <f t="shared" si="112"/>
        <v>0</v>
      </c>
      <c r="AT290">
        <f t="shared" si="112"/>
        <v>0</v>
      </c>
      <c r="AU290">
        <f t="shared" si="112"/>
        <v>0</v>
      </c>
      <c r="AV290">
        <f t="shared" si="109"/>
        <v>0</v>
      </c>
      <c r="AW290">
        <f t="shared" si="109"/>
        <v>0</v>
      </c>
      <c r="AX290">
        <f t="shared" si="109"/>
        <v>1</v>
      </c>
      <c r="AY290">
        <f t="shared" si="109"/>
        <v>0</v>
      </c>
      <c r="AZ290">
        <f t="shared" si="109"/>
        <v>0</v>
      </c>
    </row>
    <row r="291" spans="1:52" x14ac:dyDescent="0.25">
      <c r="A291" t="s">
        <v>26</v>
      </c>
      <c r="B291" s="3">
        <v>41848</v>
      </c>
      <c r="C291" s="1">
        <v>2071.6369177692832</v>
      </c>
      <c r="D291" s="1">
        <v>109.033521987857</v>
      </c>
      <c r="E291" s="1">
        <f t="shared" si="102"/>
        <v>1330.6369177692829</v>
      </c>
      <c r="F291" s="1">
        <f t="shared" si="103"/>
        <v>741</v>
      </c>
      <c r="G291" s="2">
        <v>19</v>
      </c>
      <c r="H291" s="1">
        <v>70.033521987857</v>
      </c>
      <c r="I291" s="1">
        <v>39</v>
      </c>
      <c r="J291" s="1">
        <f t="shared" si="105"/>
        <v>1074457.6892747546</v>
      </c>
      <c r="K291" s="1">
        <f t="shared" si="106"/>
        <v>553163.68927475321</v>
      </c>
      <c r="N291">
        <f t="shared" si="104"/>
        <v>1</v>
      </c>
      <c r="O291">
        <f t="shared" si="104"/>
        <v>0</v>
      </c>
      <c r="P291">
        <f t="shared" si="104"/>
        <v>0</v>
      </c>
      <c r="Q291">
        <f t="shared" si="113"/>
        <v>0</v>
      </c>
      <c r="R291">
        <f t="shared" si="113"/>
        <v>0</v>
      </c>
      <c r="S291">
        <f t="shared" si="113"/>
        <v>0</v>
      </c>
      <c r="T291">
        <f t="shared" si="113"/>
        <v>0</v>
      </c>
      <c r="U291">
        <f t="shared" si="113"/>
        <v>0</v>
      </c>
      <c r="V291">
        <f t="shared" si="113"/>
        <v>0</v>
      </c>
      <c r="W291">
        <f t="shared" si="113"/>
        <v>0</v>
      </c>
      <c r="X291">
        <f t="shared" si="113"/>
        <v>0</v>
      </c>
      <c r="Y291">
        <f t="shared" si="113"/>
        <v>0</v>
      </c>
      <c r="Z291">
        <f t="shared" si="113"/>
        <v>0</v>
      </c>
      <c r="AA291">
        <f t="shared" si="113"/>
        <v>0</v>
      </c>
      <c r="AB291">
        <f t="shared" si="113"/>
        <v>0</v>
      </c>
      <c r="AC291">
        <f t="shared" si="113"/>
        <v>0</v>
      </c>
      <c r="AD291">
        <f t="shared" si="113"/>
        <v>0</v>
      </c>
      <c r="AE291">
        <f t="shared" si="113"/>
        <v>0</v>
      </c>
      <c r="AF291">
        <f t="shared" si="113"/>
        <v>0</v>
      </c>
      <c r="AG291">
        <f t="shared" si="112"/>
        <v>0</v>
      </c>
      <c r="AH291">
        <f t="shared" si="112"/>
        <v>0</v>
      </c>
      <c r="AI291">
        <f t="shared" si="112"/>
        <v>0</v>
      </c>
      <c r="AJ291">
        <f t="shared" si="112"/>
        <v>0</v>
      </c>
      <c r="AK291">
        <f t="shared" si="112"/>
        <v>0</v>
      </c>
      <c r="AL291">
        <f t="shared" si="112"/>
        <v>0</v>
      </c>
      <c r="AM291">
        <f t="shared" si="112"/>
        <v>0</v>
      </c>
      <c r="AN291">
        <f t="shared" si="112"/>
        <v>0</v>
      </c>
      <c r="AO291">
        <f t="shared" si="112"/>
        <v>0</v>
      </c>
      <c r="AP291">
        <f t="shared" si="112"/>
        <v>0</v>
      </c>
      <c r="AQ291">
        <f t="shared" si="112"/>
        <v>0</v>
      </c>
      <c r="AR291">
        <f t="shared" si="112"/>
        <v>0</v>
      </c>
      <c r="AS291">
        <f t="shared" si="112"/>
        <v>0</v>
      </c>
      <c r="AT291">
        <f t="shared" si="112"/>
        <v>0</v>
      </c>
      <c r="AU291">
        <f t="shared" si="112"/>
        <v>0</v>
      </c>
      <c r="AV291">
        <f t="shared" si="109"/>
        <v>0</v>
      </c>
      <c r="AW291">
        <f t="shared" si="109"/>
        <v>0</v>
      </c>
      <c r="AX291">
        <f t="shared" si="109"/>
        <v>0</v>
      </c>
      <c r="AY291">
        <f t="shared" si="109"/>
        <v>0</v>
      </c>
      <c r="AZ291">
        <f t="shared" si="109"/>
        <v>0</v>
      </c>
    </row>
    <row r="292" spans="1:52" x14ac:dyDescent="0.25">
      <c r="A292" t="s">
        <v>34</v>
      </c>
      <c r="B292" s="3">
        <v>41843</v>
      </c>
      <c r="C292" s="1">
        <v>2315.7503528825837</v>
      </c>
      <c r="D292" s="1">
        <v>96.489598036774311</v>
      </c>
      <c r="E292" s="1">
        <f t="shared" si="102"/>
        <v>1043.7503528825835</v>
      </c>
      <c r="F292" s="1">
        <f t="shared" si="103"/>
        <v>1272</v>
      </c>
      <c r="G292" s="2">
        <v>24</v>
      </c>
      <c r="H292" s="1">
        <v>43.489598036774311</v>
      </c>
      <c r="I292" s="1">
        <v>53</v>
      </c>
      <c r="J292" s="1">
        <f t="shared" si="105"/>
        <v>1076773.4396276372</v>
      </c>
      <c r="K292" s="1">
        <f t="shared" si="106"/>
        <v>554207.43962763576</v>
      </c>
      <c r="N292">
        <f t="shared" si="104"/>
        <v>0</v>
      </c>
      <c r="O292">
        <f t="shared" si="104"/>
        <v>0</v>
      </c>
      <c r="P292">
        <f t="shared" si="104"/>
        <v>0</v>
      </c>
      <c r="Q292">
        <f t="shared" si="113"/>
        <v>0</v>
      </c>
      <c r="R292">
        <f t="shared" si="113"/>
        <v>0</v>
      </c>
      <c r="S292">
        <f t="shared" si="113"/>
        <v>0</v>
      </c>
      <c r="T292">
        <f t="shared" si="113"/>
        <v>0</v>
      </c>
      <c r="U292">
        <f t="shared" si="113"/>
        <v>0</v>
      </c>
      <c r="V292">
        <f t="shared" si="113"/>
        <v>0</v>
      </c>
      <c r="W292">
        <f t="shared" si="113"/>
        <v>0</v>
      </c>
      <c r="X292">
        <f t="shared" si="113"/>
        <v>0</v>
      </c>
      <c r="Y292">
        <f t="shared" si="113"/>
        <v>0</v>
      </c>
      <c r="Z292">
        <f t="shared" si="113"/>
        <v>0</v>
      </c>
      <c r="AA292">
        <f t="shared" si="113"/>
        <v>0</v>
      </c>
      <c r="AB292">
        <f t="shared" si="113"/>
        <v>0</v>
      </c>
      <c r="AC292">
        <f t="shared" si="113"/>
        <v>0</v>
      </c>
      <c r="AD292">
        <f t="shared" si="113"/>
        <v>0</v>
      </c>
      <c r="AE292">
        <f t="shared" si="113"/>
        <v>0</v>
      </c>
      <c r="AF292">
        <f t="shared" si="113"/>
        <v>1</v>
      </c>
      <c r="AG292">
        <f t="shared" si="112"/>
        <v>0</v>
      </c>
      <c r="AH292">
        <f t="shared" si="112"/>
        <v>0</v>
      </c>
      <c r="AI292">
        <f t="shared" si="112"/>
        <v>0</v>
      </c>
      <c r="AJ292">
        <f t="shared" si="112"/>
        <v>0</v>
      </c>
      <c r="AK292">
        <f t="shared" si="112"/>
        <v>0</v>
      </c>
      <c r="AL292">
        <f t="shared" si="112"/>
        <v>0</v>
      </c>
      <c r="AM292">
        <f t="shared" si="112"/>
        <v>0</v>
      </c>
      <c r="AN292">
        <f t="shared" si="112"/>
        <v>0</v>
      </c>
      <c r="AO292">
        <f t="shared" si="112"/>
        <v>0</v>
      </c>
      <c r="AP292">
        <f t="shared" si="112"/>
        <v>0</v>
      </c>
      <c r="AQ292">
        <f t="shared" si="112"/>
        <v>0</v>
      </c>
      <c r="AR292">
        <f t="shared" si="112"/>
        <v>0</v>
      </c>
      <c r="AS292">
        <f t="shared" si="112"/>
        <v>0</v>
      </c>
      <c r="AT292">
        <f t="shared" si="112"/>
        <v>0</v>
      </c>
      <c r="AU292">
        <f t="shared" si="112"/>
        <v>0</v>
      </c>
      <c r="AV292">
        <f t="shared" si="109"/>
        <v>0</v>
      </c>
      <c r="AW292">
        <f t="shared" si="109"/>
        <v>0</v>
      </c>
      <c r="AX292">
        <f t="shared" si="109"/>
        <v>0</v>
      </c>
      <c r="AY292">
        <f t="shared" si="109"/>
        <v>0</v>
      </c>
      <c r="AZ292">
        <f t="shared" si="109"/>
        <v>0</v>
      </c>
    </row>
    <row r="293" spans="1:52" x14ac:dyDescent="0.25">
      <c r="A293" t="s">
        <v>24</v>
      </c>
      <c r="B293" s="3">
        <v>41842</v>
      </c>
      <c r="C293" s="1">
        <v>828.01284583996312</v>
      </c>
      <c r="D293" s="1">
        <v>138.00214097332719</v>
      </c>
      <c r="E293" s="1">
        <f t="shared" si="102"/>
        <v>408.01284583996301</v>
      </c>
      <c r="F293" s="1">
        <f t="shared" si="103"/>
        <v>420</v>
      </c>
      <c r="G293" s="2">
        <v>6</v>
      </c>
      <c r="H293" s="1">
        <v>68.002140973327172</v>
      </c>
      <c r="I293" s="1">
        <v>70</v>
      </c>
      <c r="J293" s="1">
        <f t="shared" si="105"/>
        <v>1077601.4524734772</v>
      </c>
      <c r="K293" s="1">
        <f t="shared" si="106"/>
        <v>554615.45247347571</v>
      </c>
      <c r="N293">
        <f t="shared" si="104"/>
        <v>0</v>
      </c>
      <c r="O293">
        <f t="shared" si="104"/>
        <v>0</v>
      </c>
      <c r="P293">
        <f t="shared" si="104"/>
        <v>0</v>
      </c>
      <c r="Q293">
        <f t="shared" si="113"/>
        <v>0</v>
      </c>
      <c r="R293">
        <f t="shared" si="113"/>
        <v>0</v>
      </c>
      <c r="S293">
        <f t="shared" si="113"/>
        <v>0</v>
      </c>
      <c r="T293">
        <f t="shared" si="113"/>
        <v>0</v>
      </c>
      <c r="U293">
        <f t="shared" si="113"/>
        <v>0</v>
      </c>
      <c r="V293">
        <f t="shared" si="113"/>
        <v>1</v>
      </c>
      <c r="W293">
        <f t="shared" si="113"/>
        <v>0</v>
      </c>
      <c r="X293">
        <f t="shared" si="113"/>
        <v>0</v>
      </c>
      <c r="Y293">
        <f t="shared" si="113"/>
        <v>0</v>
      </c>
      <c r="Z293">
        <f t="shared" si="113"/>
        <v>0</v>
      </c>
      <c r="AA293">
        <f t="shared" si="113"/>
        <v>0</v>
      </c>
      <c r="AB293">
        <f t="shared" si="113"/>
        <v>0</v>
      </c>
      <c r="AC293">
        <f t="shared" si="113"/>
        <v>0</v>
      </c>
      <c r="AD293">
        <f t="shared" si="113"/>
        <v>0</v>
      </c>
      <c r="AE293">
        <f t="shared" si="113"/>
        <v>0</v>
      </c>
      <c r="AF293">
        <f t="shared" si="113"/>
        <v>0</v>
      </c>
      <c r="AG293">
        <f t="shared" si="112"/>
        <v>0</v>
      </c>
      <c r="AH293">
        <f t="shared" si="112"/>
        <v>0</v>
      </c>
      <c r="AI293">
        <f t="shared" si="112"/>
        <v>0</v>
      </c>
      <c r="AJ293">
        <f t="shared" si="112"/>
        <v>0</v>
      </c>
      <c r="AK293">
        <f t="shared" si="112"/>
        <v>0</v>
      </c>
      <c r="AL293">
        <f t="shared" si="112"/>
        <v>0</v>
      </c>
      <c r="AM293">
        <f t="shared" si="112"/>
        <v>0</v>
      </c>
      <c r="AN293">
        <f t="shared" si="112"/>
        <v>0</v>
      </c>
      <c r="AO293">
        <f t="shared" si="112"/>
        <v>0</v>
      </c>
      <c r="AP293">
        <f t="shared" si="112"/>
        <v>0</v>
      </c>
      <c r="AQ293">
        <f t="shared" si="112"/>
        <v>0</v>
      </c>
      <c r="AR293">
        <f t="shared" si="112"/>
        <v>0</v>
      </c>
      <c r="AS293">
        <f t="shared" si="112"/>
        <v>0</v>
      </c>
      <c r="AT293">
        <f t="shared" si="112"/>
        <v>0</v>
      </c>
      <c r="AU293">
        <f t="shared" si="112"/>
        <v>0</v>
      </c>
      <c r="AV293">
        <f t="shared" si="109"/>
        <v>0</v>
      </c>
      <c r="AW293">
        <f t="shared" si="109"/>
        <v>0</v>
      </c>
      <c r="AX293">
        <f t="shared" si="109"/>
        <v>0</v>
      </c>
      <c r="AY293">
        <f t="shared" si="109"/>
        <v>0</v>
      </c>
      <c r="AZ293">
        <f t="shared" si="109"/>
        <v>0</v>
      </c>
    </row>
    <row r="294" spans="1:52" x14ac:dyDescent="0.25">
      <c r="A294" t="s">
        <v>29</v>
      </c>
      <c r="B294" s="3">
        <v>41834</v>
      </c>
      <c r="C294" s="1">
        <v>6640.5699105719432</v>
      </c>
      <c r="D294" s="1">
        <v>170.27102334799855</v>
      </c>
      <c r="E294" s="1">
        <f t="shared" si="102"/>
        <v>2740.5699105719441</v>
      </c>
      <c r="F294" s="1">
        <f t="shared" si="103"/>
        <v>3900</v>
      </c>
      <c r="G294" s="2">
        <v>39</v>
      </c>
      <c r="H294" s="1">
        <v>70.271023347998565</v>
      </c>
      <c r="I294" s="1">
        <v>100</v>
      </c>
      <c r="J294" s="1">
        <f t="shared" si="105"/>
        <v>1084242.0223840491</v>
      </c>
      <c r="K294" s="1">
        <f t="shared" si="106"/>
        <v>557356.02238404762</v>
      </c>
      <c r="N294">
        <f t="shared" si="104"/>
        <v>0</v>
      </c>
      <c r="O294">
        <f t="shared" si="104"/>
        <v>0</v>
      </c>
      <c r="P294">
        <f t="shared" si="104"/>
        <v>0</v>
      </c>
      <c r="Q294">
        <f t="shared" si="113"/>
        <v>0</v>
      </c>
      <c r="R294">
        <f t="shared" si="113"/>
        <v>0</v>
      </c>
      <c r="S294">
        <f t="shared" si="113"/>
        <v>0</v>
      </c>
      <c r="T294">
        <f t="shared" si="113"/>
        <v>0</v>
      </c>
      <c r="U294">
        <f t="shared" si="113"/>
        <v>0</v>
      </c>
      <c r="V294">
        <f t="shared" si="113"/>
        <v>0</v>
      </c>
      <c r="W294">
        <f t="shared" si="113"/>
        <v>0</v>
      </c>
      <c r="X294">
        <f t="shared" si="113"/>
        <v>0</v>
      </c>
      <c r="Y294">
        <f t="shared" si="113"/>
        <v>0</v>
      </c>
      <c r="Z294">
        <f t="shared" si="113"/>
        <v>0</v>
      </c>
      <c r="AA294">
        <f t="shared" si="113"/>
        <v>0</v>
      </c>
      <c r="AB294">
        <f t="shared" si="113"/>
        <v>0</v>
      </c>
      <c r="AC294">
        <f t="shared" si="113"/>
        <v>0</v>
      </c>
      <c r="AD294">
        <f t="shared" si="113"/>
        <v>0</v>
      </c>
      <c r="AE294">
        <f t="shared" si="113"/>
        <v>0</v>
      </c>
      <c r="AF294">
        <f t="shared" si="113"/>
        <v>0</v>
      </c>
      <c r="AG294">
        <f t="shared" si="112"/>
        <v>0</v>
      </c>
      <c r="AH294">
        <f t="shared" si="112"/>
        <v>0</v>
      </c>
      <c r="AI294">
        <f t="shared" si="112"/>
        <v>0</v>
      </c>
      <c r="AJ294">
        <f t="shared" si="112"/>
        <v>0</v>
      </c>
      <c r="AK294">
        <f t="shared" si="112"/>
        <v>0</v>
      </c>
      <c r="AL294">
        <f t="shared" si="112"/>
        <v>0</v>
      </c>
      <c r="AM294">
        <f t="shared" si="112"/>
        <v>0</v>
      </c>
      <c r="AN294">
        <f t="shared" si="112"/>
        <v>0</v>
      </c>
      <c r="AO294">
        <f t="shared" si="112"/>
        <v>0</v>
      </c>
      <c r="AP294">
        <f t="shared" si="112"/>
        <v>0</v>
      </c>
      <c r="AQ294">
        <f t="shared" si="112"/>
        <v>0</v>
      </c>
      <c r="AR294">
        <f t="shared" si="112"/>
        <v>0</v>
      </c>
      <c r="AS294">
        <f t="shared" si="112"/>
        <v>1</v>
      </c>
      <c r="AT294">
        <f t="shared" si="112"/>
        <v>0</v>
      </c>
      <c r="AU294">
        <f t="shared" si="112"/>
        <v>0</v>
      </c>
      <c r="AV294">
        <f t="shared" si="109"/>
        <v>0</v>
      </c>
      <c r="AW294">
        <f t="shared" si="109"/>
        <v>0</v>
      </c>
      <c r="AX294">
        <f t="shared" si="109"/>
        <v>0</v>
      </c>
      <c r="AY294">
        <f t="shared" si="109"/>
        <v>0</v>
      </c>
      <c r="AZ294">
        <f t="shared" si="109"/>
        <v>0</v>
      </c>
    </row>
    <row r="295" spans="1:52" x14ac:dyDescent="0.25">
      <c r="A295" t="s">
        <v>31</v>
      </c>
      <c r="B295" s="3">
        <v>41833</v>
      </c>
      <c r="C295" s="1">
        <v>3045.2144558087725</v>
      </c>
      <c r="D295" s="1">
        <v>74.273523312409083</v>
      </c>
      <c r="E295" s="1">
        <f t="shared" si="102"/>
        <v>1938.2144558087721</v>
      </c>
      <c r="F295" s="1">
        <f t="shared" si="103"/>
        <v>1107</v>
      </c>
      <c r="G295" s="2">
        <v>41</v>
      </c>
      <c r="H295" s="1">
        <v>47.273523312409075</v>
      </c>
      <c r="I295" s="1">
        <v>27</v>
      </c>
      <c r="J295" s="1">
        <f t="shared" si="105"/>
        <v>1087287.2368398579</v>
      </c>
      <c r="K295" s="1">
        <f t="shared" si="106"/>
        <v>559294.23683985637</v>
      </c>
      <c r="N295">
        <f t="shared" si="104"/>
        <v>0</v>
      </c>
      <c r="O295">
        <f t="shared" si="104"/>
        <v>0</v>
      </c>
      <c r="P295">
        <f t="shared" si="104"/>
        <v>0</v>
      </c>
      <c r="Q295">
        <f t="shared" si="113"/>
        <v>0</v>
      </c>
      <c r="R295">
        <f t="shared" si="113"/>
        <v>0</v>
      </c>
      <c r="S295">
        <f t="shared" si="113"/>
        <v>0</v>
      </c>
      <c r="T295">
        <f t="shared" si="113"/>
        <v>0</v>
      </c>
      <c r="U295">
        <f t="shared" si="113"/>
        <v>0</v>
      </c>
      <c r="V295">
        <f t="shared" si="113"/>
        <v>0</v>
      </c>
      <c r="W295">
        <f t="shared" si="113"/>
        <v>1</v>
      </c>
      <c r="X295">
        <f t="shared" si="113"/>
        <v>0</v>
      </c>
      <c r="Y295">
        <f t="shared" si="113"/>
        <v>0</v>
      </c>
      <c r="Z295">
        <f t="shared" si="113"/>
        <v>0</v>
      </c>
      <c r="AA295">
        <f t="shared" si="113"/>
        <v>0</v>
      </c>
      <c r="AB295">
        <f t="shared" si="113"/>
        <v>0</v>
      </c>
      <c r="AC295">
        <f t="shared" si="113"/>
        <v>0</v>
      </c>
      <c r="AD295">
        <f t="shared" si="113"/>
        <v>0</v>
      </c>
      <c r="AE295">
        <f t="shared" si="113"/>
        <v>0</v>
      </c>
      <c r="AF295">
        <f t="shared" si="113"/>
        <v>0</v>
      </c>
      <c r="AG295">
        <f t="shared" si="112"/>
        <v>0</v>
      </c>
      <c r="AH295">
        <f t="shared" si="112"/>
        <v>0</v>
      </c>
      <c r="AI295">
        <f t="shared" si="112"/>
        <v>0</v>
      </c>
      <c r="AJ295">
        <f t="shared" si="112"/>
        <v>0</v>
      </c>
      <c r="AK295">
        <f t="shared" si="112"/>
        <v>0</v>
      </c>
      <c r="AL295">
        <f t="shared" si="112"/>
        <v>0</v>
      </c>
      <c r="AM295">
        <f t="shared" si="112"/>
        <v>0</v>
      </c>
      <c r="AN295">
        <f t="shared" si="112"/>
        <v>0</v>
      </c>
      <c r="AO295">
        <f t="shared" si="112"/>
        <v>0</v>
      </c>
      <c r="AP295">
        <f t="shared" si="112"/>
        <v>0</v>
      </c>
      <c r="AQ295">
        <f t="shared" si="112"/>
        <v>0</v>
      </c>
      <c r="AR295">
        <f t="shared" si="112"/>
        <v>0</v>
      </c>
      <c r="AS295">
        <f t="shared" si="112"/>
        <v>0</v>
      </c>
      <c r="AT295">
        <f t="shared" si="112"/>
        <v>0</v>
      </c>
      <c r="AU295">
        <f t="shared" si="112"/>
        <v>0</v>
      </c>
      <c r="AV295">
        <f t="shared" si="109"/>
        <v>0</v>
      </c>
      <c r="AW295">
        <f t="shared" si="109"/>
        <v>0</v>
      </c>
      <c r="AX295">
        <f t="shared" si="109"/>
        <v>0</v>
      </c>
      <c r="AY295">
        <f t="shared" si="109"/>
        <v>0</v>
      </c>
      <c r="AZ295">
        <f t="shared" si="109"/>
        <v>0</v>
      </c>
    </row>
    <row r="296" spans="1:52" x14ac:dyDescent="0.25">
      <c r="A296" t="s">
        <v>48</v>
      </c>
      <c r="B296" s="3">
        <v>41819</v>
      </c>
      <c r="C296" s="1">
        <v>577.67170336946083</v>
      </c>
      <c r="D296" s="1">
        <v>288.83585168473041</v>
      </c>
      <c r="E296" s="1">
        <f t="shared" si="102"/>
        <v>267.67170336946089</v>
      </c>
      <c r="F296" s="1">
        <f t="shared" si="103"/>
        <v>310</v>
      </c>
      <c r="G296" s="2">
        <v>2</v>
      </c>
      <c r="H296" s="1">
        <v>133.83585168473044</v>
      </c>
      <c r="I296" s="1">
        <v>155</v>
      </c>
      <c r="J296" s="1">
        <f t="shared" si="105"/>
        <v>1087864.9085432272</v>
      </c>
      <c r="K296" s="1">
        <f t="shared" si="106"/>
        <v>559561.90854322584</v>
      </c>
      <c r="N296">
        <f t="shared" si="104"/>
        <v>0</v>
      </c>
      <c r="O296">
        <f t="shared" si="104"/>
        <v>0</v>
      </c>
      <c r="P296">
        <f t="shared" si="104"/>
        <v>0</v>
      </c>
      <c r="Q296">
        <f t="shared" si="113"/>
        <v>0</v>
      </c>
      <c r="R296">
        <f t="shared" si="113"/>
        <v>0</v>
      </c>
      <c r="S296">
        <f t="shared" si="113"/>
        <v>0</v>
      </c>
      <c r="T296">
        <f t="shared" si="113"/>
        <v>0</v>
      </c>
      <c r="U296">
        <f t="shared" si="113"/>
        <v>0</v>
      </c>
      <c r="V296">
        <f t="shared" si="113"/>
        <v>0</v>
      </c>
      <c r="W296">
        <f t="shared" si="113"/>
        <v>0</v>
      </c>
      <c r="X296">
        <f t="shared" si="113"/>
        <v>0</v>
      </c>
      <c r="Y296">
        <f t="shared" si="113"/>
        <v>0</v>
      </c>
      <c r="Z296">
        <f t="shared" si="113"/>
        <v>0</v>
      </c>
      <c r="AA296">
        <f t="shared" si="113"/>
        <v>0</v>
      </c>
      <c r="AB296">
        <f t="shared" si="113"/>
        <v>0</v>
      </c>
      <c r="AC296">
        <f t="shared" si="113"/>
        <v>0</v>
      </c>
      <c r="AD296">
        <f t="shared" si="113"/>
        <v>0</v>
      </c>
      <c r="AE296">
        <f t="shared" si="113"/>
        <v>0</v>
      </c>
      <c r="AF296">
        <f t="shared" si="113"/>
        <v>0</v>
      </c>
      <c r="AG296">
        <f t="shared" si="112"/>
        <v>0</v>
      </c>
      <c r="AH296">
        <f t="shared" si="112"/>
        <v>0</v>
      </c>
      <c r="AI296">
        <f t="shared" si="112"/>
        <v>1</v>
      </c>
      <c r="AJ296">
        <f t="shared" si="112"/>
        <v>0</v>
      </c>
      <c r="AK296">
        <f t="shared" si="112"/>
        <v>0</v>
      </c>
      <c r="AL296">
        <f t="shared" si="112"/>
        <v>0</v>
      </c>
      <c r="AM296">
        <f t="shared" si="112"/>
        <v>0</v>
      </c>
      <c r="AN296">
        <f t="shared" si="112"/>
        <v>0</v>
      </c>
      <c r="AO296">
        <f t="shared" si="112"/>
        <v>0</v>
      </c>
      <c r="AP296">
        <f t="shared" si="112"/>
        <v>0</v>
      </c>
      <c r="AQ296">
        <f t="shared" si="112"/>
        <v>0</v>
      </c>
      <c r="AR296">
        <f t="shared" si="112"/>
        <v>0</v>
      </c>
      <c r="AS296">
        <f t="shared" si="112"/>
        <v>0</v>
      </c>
      <c r="AT296">
        <f t="shared" si="112"/>
        <v>0</v>
      </c>
      <c r="AU296">
        <f t="shared" si="112"/>
        <v>0</v>
      </c>
      <c r="AV296">
        <f t="shared" si="109"/>
        <v>0</v>
      </c>
      <c r="AW296">
        <f t="shared" si="109"/>
        <v>0</v>
      </c>
      <c r="AX296">
        <f t="shared" si="109"/>
        <v>0</v>
      </c>
      <c r="AY296">
        <f t="shared" si="109"/>
        <v>0</v>
      </c>
      <c r="AZ296">
        <f t="shared" si="109"/>
        <v>0</v>
      </c>
    </row>
    <row r="297" spans="1:52" x14ac:dyDescent="0.25">
      <c r="A297" t="s">
        <v>28</v>
      </c>
      <c r="B297" s="3">
        <v>41809</v>
      </c>
      <c r="C297" s="1">
        <v>1927.1890924196027</v>
      </c>
      <c r="D297" s="1">
        <v>96.359454620980131</v>
      </c>
      <c r="E297" s="1">
        <f t="shared" si="102"/>
        <v>1187.1890924196027</v>
      </c>
      <c r="F297" s="1">
        <f t="shared" si="103"/>
        <v>740</v>
      </c>
      <c r="G297" s="2">
        <v>20</v>
      </c>
      <c r="H297" s="1">
        <v>59.359454620980131</v>
      </c>
      <c r="I297" s="1">
        <v>37</v>
      </c>
      <c r="J297" s="1">
        <f t="shared" si="105"/>
        <v>1089792.0976356468</v>
      </c>
      <c r="K297" s="1">
        <f t="shared" si="106"/>
        <v>560749.09763564542</v>
      </c>
      <c r="N297">
        <f t="shared" si="104"/>
        <v>0</v>
      </c>
      <c r="O297">
        <f t="shared" si="104"/>
        <v>0</v>
      </c>
      <c r="P297">
        <f t="shared" si="104"/>
        <v>0</v>
      </c>
      <c r="Q297">
        <f t="shared" si="113"/>
        <v>0</v>
      </c>
      <c r="R297">
        <f t="shared" si="113"/>
        <v>0</v>
      </c>
      <c r="S297">
        <f t="shared" si="113"/>
        <v>0</v>
      </c>
      <c r="T297">
        <f t="shared" si="113"/>
        <v>0</v>
      </c>
      <c r="U297">
        <f t="shared" si="113"/>
        <v>0</v>
      </c>
      <c r="V297">
        <f t="shared" si="113"/>
        <v>0</v>
      </c>
      <c r="W297">
        <f t="shared" si="113"/>
        <v>0</v>
      </c>
      <c r="X297">
        <f t="shared" si="113"/>
        <v>0</v>
      </c>
      <c r="Y297">
        <f t="shared" si="113"/>
        <v>0</v>
      </c>
      <c r="Z297">
        <f t="shared" si="113"/>
        <v>0</v>
      </c>
      <c r="AA297">
        <f t="shared" si="113"/>
        <v>0</v>
      </c>
      <c r="AB297">
        <f t="shared" si="113"/>
        <v>0</v>
      </c>
      <c r="AC297">
        <f t="shared" si="113"/>
        <v>0</v>
      </c>
      <c r="AD297">
        <f t="shared" si="113"/>
        <v>0</v>
      </c>
      <c r="AE297">
        <f t="shared" si="113"/>
        <v>0</v>
      </c>
      <c r="AF297">
        <f t="shared" si="113"/>
        <v>0</v>
      </c>
      <c r="AG297">
        <f t="shared" si="112"/>
        <v>0</v>
      </c>
      <c r="AH297">
        <f t="shared" si="112"/>
        <v>0</v>
      </c>
      <c r="AI297">
        <f t="shared" si="112"/>
        <v>0</v>
      </c>
      <c r="AJ297">
        <f t="shared" si="112"/>
        <v>0</v>
      </c>
      <c r="AK297">
        <f t="shared" si="112"/>
        <v>0</v>
      </c>
      <c r="AL297">
        <f t="shared" si="112"/>
        <v>0</v>
      </c>
      <c r="AM297">
        <f t="shared" si="112"/>
        <v>0</v>
      </c>
      <c r="AN297">
        <f t="shared" si="112"/>
        <v>0</v>
      </c>
      <c r="AO297">
        <f t="shared" si="112"/>
        <v>0</v>
      </c>
      <c r="AP297">
        <f t="shared" si="112"/>
        <v>0</v>
      </c>
      <c r="AQ297">
        <f t="shared" si="112"/>
        <v>0</v>
      </c>
      <c r="AR297">
        <f t="shared" si="112"/>
        <v>0</v>
      </c>
      <c r="AS297">
        <f t="shared" si="112"/>
        <v>0</v>
      </c>
      <c r="AT297">
        <f t="shared" si="112"/>
        <v>1</v>
      </c>
      <c r="AU297">
        <f t="shared" si="112"/>
        <v>0</v>
      </c>
      <c r="AV297">
        <f t="shared" si="109"/>
        <v>0</v>
      </c>
      <c r="AW297">
        <f t="shared" si="109"/>
        <v>0</v>
      </c>
      <c r="AX297">
        <f t="shared" si="109"/>
        <v>0</v>
      </c>
      <c r="AY297">
        <f t="shared" si="109"/>
        <v>0</v>
      </c>
      <c r="AZ297">
        <f t="shared" si="109"/>
        <v>0</v>
      </c>
    </row>
    <row r="298" spans="1:52" x14ac:dyDescent="0.25">
      <c r="A298" t="s">
        <v>47</v>
      </c>
      <c r="B298" s="3">
        <v>41787</v>
      </c>
      <c r="C298" s="1">
        <v>4700.580341368629</v>
      </c>
      <c r="D298" s="1">
        <v>247.39896533519101</v>
      </c>
      <c r="E298" s="1">
        <f t="shared" si="102"/>
        <v>2344.5803413686294</v>
      </c>
      <c r="F298" s="1">
        <f t="shared" si="103"/>
        <v>2356</v>
      </c>
      <c r="G298" s="2">
        <v>19</v>
      </c>
      <c r="H298" s="1">
        <v>123.39896533519102</v>
      </c>
      <c r="I298" s="1">
        <v>124</v>
      </c>
      <c r="J298" s="1">
        <f t="shared" si="105"/>
        <v>1094492.6779770155</v>
      </c>
      <c r="K298" s="1">
        <f t="shared" si="106"/>
        <v>563093.6779770141</v>
      </c>
      <c r="N298">
        <f t="shared" si="104"/>
        <v>0</v>
      </c>
      <c r="O298">
        <f t="shared" si="104"/>
        <v>0</v>
      </c>
      <c r="P298">
        <f t="shared" si="104"/>
        <v>0</v>
      </c>
      <c r="Q298">
        <f t="shared" si="113"/>
        <v>0</v>
      </c>
      <c r="R298">
        <f t="shared" si="113"/>
        <v>0</v>
      </c>
      <c r="S298">
        <f t="shared" si="113"/>
        <v>0</v>
      </c>
      <c r="T298">
        <f t="shared" si="113"/>
        <v>0</v>
      </c>
      <c r="U298">
        <f t="shared" si="113"/>
        <v>0</v>
      </c>
      <c r="V298">
        <f t="shared" si="113"/>
        <v>0</v>
      </c>
      <c r="W298">
        <f t="shared" si="113"/>
        <v>0</v>
      </c>
      <c r="X298">
        <f t="shared" si="113"/>
        <v>0</v>
      </c>
      <c r="Y298">
        <f t="shared" si="113"/>
        <v>0</v>
      </c>
      <c r="Z298">
        <f t="shared" si="113"/>
        <v>0</v>
      </c>
      <c r="AA298">
        <f t="shared" si="113"/>
        <v>0</v>
      </c>
      <c r="AB298">
        <f t="shared" si="113"/>
        <v>0</v>
      </c>
      <c r="AC298">
        <f t="shared" si="113"/>
        <v>0</v>
      </c>
      <c r="AD298">
        <f t="shared" si="113"/>
        <v>0</v>
      </c>
      <c r="AE298">
        <f t="shared" si="113"/>
        <v>0</v>
      </c>
      <c r="AF298">
        <f t="shared" si="113"/>
        <v>0</v>
      </c>
      <c r="AG298">
        <f t="shared" si="112"/>
        <v>0</v>
      </c>
      <c r="AH298">
        <f t="shared" si="112"/>
        <v>0</v>
      </c>
      <c r="AI298">
        <f t="shared" si="112"/>
        <v>0</v>
      </c>
      <c r="AJ298">
        <f t="shared" si="112"/>
        <v>0</v>
      </c>
      <c r="AK298">
        <f t="shared" si="112"/>
        <v>0</v>
      </c>
      <c r="AL298">
        <f t="shared" si="112"/>
        <v>0</v>
      </c>
      <c r="AM298">
        <f t="shared" si="112"/>
        <v>0</v>
      </c>
      <c r="AN298">
        <f t="shared" si="112"/>
        <v>0</v>
      </c>
      <c r="AO298">
        <f t="shared" si="112"/>
        <v>0</v>
      </c>
      <c r="AP298">
        <f t="shared" si="112"/>
        <v>0</v>
      </c>
      <c r="AQ298">
        <f t="shared" si="112"/>
        <v>0</v>
      </c>
      <c r="AR298">
        <f t="shared" si="112"/>
        <v>0</v>
      </c>
      <c r="AS298">
        <f t="shared" si="112"/>
        <v>0</v>
      </c>
      <c r="AT298">
        <f t="shared" si="112"/>
        <v>0</v>
      </c>
      <c r="AU298">
        <f t="shared" si="112"/>
        <v>0</v>
      </c>
      <c r="AV298">
        <f t="shared" si="109"/>
        <v>0</v>
      </c>
      <c r="AW298">
        <f t="shared" si="109"/>
        <v>0</v>
      </c>
      <c r="AX298">
        <f t="shared" si="109"/>
        <v>0</v>
      </c>
      <c r="AY298">
        <f t="shared" si="109"/>
        <v>0</v>
      </c>
      <c r="AZ298">
        <f t="shared" si="109"/>
        <v>1</v>
      </c>
    </row>
    <row r="299" spans="1:52" x14ac:dyDescent="0.25">
      <c r="A299" t="s">
        <v>39</v>
      </c>
      <c r="B299" s="3">
        <v>41765</v>
      </c>
      <c r="C299" s="1">
        <v>1590.8215668640046</v>
      </c>
      <c r="D299" s="1">
        <v>113.63011191885747</v>
      </c>
      <c r="E299" s="1">
        <f t="shared" si="102"/>
        <v>960.82156686400458</v>
      </c>
      <c r="F299" s="1">
        <f t="shared" si="103"/>
        <v>630</v>
      </c>
      <c r="G299" s="2">
        <v>14</v>
      </c>
      <c r="H299" s="1">
        <v>68.630111918857466</v>
      </c>
      <c r="I299" s="1">
        <v>45</v>
      </c>
      <c r="J299" s="1">
        <f t="shared" si="105"/>
        <v>1096083.4995438794</v>
      </c>
      <c r="K299" s="1">
        <f t="shared" si="106"/>
        <v>564054.49954387813</v>
      </c>
      <c r="N299">
        <f t="shared" si="104"/>
        <v>0</v>
      </c>
      <c r="O299">
        <f t="shared" si="104"/>
        <v>0</v>
      </c>
      <c r="P299">
        <f t="shared" si="104"/>
        <v>0</v>
      </c>
      <c r="Q299">
        <f t="shared" si="113"/>
        <v>0</v>
      </c>
      <c r="R299">
        <f t="shared" si="113"/>
        <v>0</v>
      </c>
      <c r="S299">
        <f t="shared" si="113"/>
        <v>0</v>
      </c>
      <c r="T299">
        <f t="shared" si="113"/>
        <v>0</v>
      </c>
      <c r="U299">
        <f t="shared" si="113"/>
        <v>0</v>
      </c>
      <c r="V299">
        <f t="shared" si="113"/>
        <v>0</v>
      </c>
      <c r="W299">
        <f t="shared" si="113"/>
        <v>0</v>
      </c>
      <c r="X299">
        <f t="shared" si="113"/>
        <v>0</v>
      </c>
      <c r="Y299">
        <f t="shared" si="113"/>
        <v>1</v>
      </c>
      <c r="Z299">
        <f t="shared" si="113"/>
        <v>0</v>
      </c>
      <c r="AA299">
        <f t="shared" si="113"/>
        <v>0</v>
      </c>
      <c r="AB299">
        <f t="shared" si="113"/>
        <v>0</v>
      </c>
      <c r="AC299">
        <f t="shared" si="113"/>
        <v>0</v>
      </c>
      <c r="AD299">
        <f t="shared" si="113"/>
        <v>0</v>
      </c>
      <c r="AE299">
        <f t="shared" si="113"/>
        <v>0</v>
      </c>
      <c r="AF299">
        <f t="shared" si="113"/>
        <v>0</v>
      </c>
      <c r="AG299">
        <f t="shared" si="112"/>
        <v>0</v>
      </c>
      <c r="AH299">
        <f t="shared" si="112"/>
        <v>0</v>
      </c>
      <c r="AI299">
        <f t="shared" si="112"/>
        <v>0</v>
      </c>
      <c r="AJ299">
        <f t="shared" si="112"/>
        <v>0</v>
      </c>
      <c r="AK299">
        <f t="shared" si="112"/>
        <v>0</v>
      </c>
      <c r="AL299">
        <f t="shared" si="112"/>
        <v>0</v>
      </c>
      <c r="AM299">
        <f t="shared" si="112"/>
        <v>0</v>
      </c>
      <c r="AN299">
        <f t="shared" si="112"/>
        <v>0</v>
      </c>
      <c r="AO299">
        <f t="shared" si="112"/>
        <v>0</v>
      </c>
      <c r="AP299">
        <f t="shared" si="112"/>
        <v>0</v>
      </c>
      <c r="AQ299">
        <f t="shared" si="112"/>
        <v>0</v>
      </c>
      <c r="AR299">
        <f t="shared" si="112"/>
        <v>0</v>
      </c>
      <c r="AS299">
        <f t="shared" si="112"/>
        <v>0</v>
      </c>
      <c r="AT299">
        <f t="shared" si="112"/>
        <v>0</v>
      </c>
      <c r="AU299">
        <f t="shared" si="112"/>
        <v>0</v>
      </c>
      <c r="AV299">
        <f t="shared" si="109"/>
        <v>0</v>
      </c>
      <c r="AW299">
        <f t="shared" si="109"/>
        <v>0</v>
      </c>
      <c r="AX299">
        <f t="shared" si="109"/>
        <v>0</v>
      </c>
      <c r="AY299">
        <f t="shared" si="109"/>
        <v>0</v>
      </c>
      <c r="AZ299">
        <f t="shared" si="109"/>
        <v>0</v>
      </c>
    </row>
    <row r="300" spans="1:52" x14ac:dyDescent="0.25">
      <c r="A300" t="s">
        <v>38</v>
      </c>
      <c r="B300" s="3">
        <v>41761</v>
      </c>
      <c r="C300" s="1">
        <v>13525.22631399288</v>
      </c>
      <c r="D300" s="1">
        <v>211.33166115613875</v>
      </c>
      <c r="E300" s="1">
        <f t="shared" si="102"/>
        <v>6613.22631399288</v>
      </c>
      <c r="F300" s="1">
        <f t="shared" si="103"/>
        <v>6912</v>
      </c>
      <c r="G300" s="2">
        <v>64</v>
      </c>
      <c r="H300" s="1">
        <v>103.33166115613875</v>
      </c>
      <c r="I300" s="1">
        <v>108</v>
      </c>
      <c r="J300" s="1">
        <f t="shared" si="105"/>
        <v>1109608.7258578723</v>
      </c>
      <c r="K300" s="1">
        <f t="shared" si="106"/>
        <v>570667.725857871</v>
      </c>
      <c r="N300">
        <f t="shared" si="104"/>
        <v>0</v>
      </c>
      <c r="O300">
        <f t="shared" si="104"/>
        <v>0</v>
      </c>
      <c r="P300">
        <f t="shared" si="104"/>
        <v>0</v>
      </c>
      <c r="Q300">
        <f t="shared" si="113"/>
        <v>0</v>
      </c>
      <c r="R300">
        <f t="shared" si="113"/>
        <v>0</v>
      </c>
      <c r="S300">
        <f t="shared" si="113"/>
        <v>0</v>
      </c>
      <c r="T300">
        <f t="shared" si="113"/>
        <v>0</v>
      </c>
      <c r="U300">
        <f t="shared" si="113"/>
        <v>0</v>
      </c>
      <c r="V300">
        <f t="shared" si="113"/>
        <v>0</v>
      </c>
      <c r="W300">
        <f t="shared" si="113"/>
        <v>0</v>
      </c>
      <c r="X300">
        <f t="shared" si="113"/>
        <v>0</v>
      </c>
      <c r="Y300">
        <f t="shared" si="113"/>
        <v>0</v>
      </c>
      <c r="Z300">
        <f t="shared" si="113"/>
        <v>0</v>
      </c>
      <c r="AA300">
        <f t="shared" si="113"/>
        <v>0</v>
      </c>
      <c r="AB300">
        <f t="shared" si="113"/>
        <v>1</v>
      </c>
      <c r="AC300">
        <f t="shared" si="113"/>
        <v>0</v>
      </c>
      <c r="AD300">
        <f t="shared" si="113"/>
        <v>0</v>
      </c>
      <c r="AE300">
        <f t="shared" si="113"/>
        <v>0</v>
      </c>
      <c r="AF300">
        <f t="shared" si="113"/>
        <v>0</v>
      </c>
      <c r="AG300">
        <f t="shared" si="112"/>
        <v>0</v>
      </c>
      <c r="AH300">
        <f t="shared" si="112"/>
        <v>0</v>
      </c>
      <c r="AI300">
        <f t="shared" si="112"/>
        <v>0</v>
      </c>
      <c r="AJ300">
        <f t="shared" si="112"/>
        <v>0</v>
      </c>
      <c r="AK300">
        <f t="shared" si="112"/>
        <v>0</v>
      </c>
      <c r="AL300">
        <f t="shared" si="112"/>
        <v>0</v>
      </c>
      <c r="AM300">
        <f t="shared" si="112"/>
        <v>0</v>
      </c>
      <c r="AN300">
        <f t="shared" si="112"/>
        <v>0</v>
      </c>
      <c r="AO300">
        <f t="shared" si="112"/>
        <v>0</v>
      </c>
      <c r="AP300">
        <f t="shared" si="112"/>
        <v>0</v>
      </c>
      <c r="AQ300">
        <f t="shared" si="112"/>
        <v>0</v>
      </c>
      <c r="AR300">
        <f t="shared" si="112"/>
        <v>0</v>
      </c>
      <c r="AS300">
        <f t="shared" si="112"/>
        <v>0</v>
      </c>
      <c r="AT300">
        <f t="shared" si="112"/>
        <v>0</v>
      </c>
      <c r="AU300">
        <f t="shared" si="112"/>
        <v>0</v>
      </c>
      <c r="AV300">
        <f t="shared" si="109"/>
        <v>0</v>
      </c>
      <c r="AW300">
        <f t="shared" si="109"/>
        <v>0</v>
      </c>
      <c r="AX300">
        <f t="shared" si="109"/>
        <v>0</v>
      </c>
      <c r="AY300">
        <f t="shared" si="109"/>
        <v>0</v>
      </c>
      <c r="AZ300">
        <f t="shared" si="109"/>
        <v>0</v>
      </c>
    </row>
    <row r="301" spans="1:52" x14ac:dyDescent="0.25">
      <c r="A301" t="s">
        <v>29</v>
      </c>
      <c r="B301" s="3">
        <v>41755</v>
      </c>
      <c r="C301" s="1">
        <v>2091.1930111384509</v>
      </c>
      <c r="D301" s="1">
        <v>123.01135359637946</v>
      </c>
      <c r="E301" s="1">
        <f t="shared" si="102"/>
        <v>1088.1930111384509</v>
      </c>
      <c r="F301" s="1">
        <f t="shared" si="103"/>
        <v>1003</v>
      </c>
      <c r="G301" s="2">
        <v>17</v>
      </c>
      <c r="H301" s="1">
        <v>64.011353596379465</v>
      </c>
      <c r="I301" s="1">
        <v>59</v>
      </c>
      <c r="J301" s="1">
        <f t="shared" si="105"/>
        <v>1111699.9188690106</v>
      </c>
      <c r="K301" s="1">
        <f t="shared" si="106"/>
        <v>571755.91886900947</v>
      </c>
      <c r="N301">
        <f t="shared" si="104"/>
        <v>0</v>
      </c>
      <c r="O301">
        <f t="shared" si="104"/>
        <v>0</v>
      </c>
      <c r="P301">
        <f t="shared" si="104"/>
        <v>0</v>
      </c>
      <c r="Q301">
        <f t="shared" si="113"/>
        <v>0</v>
      </c>
      <c r="R301">
        <f t="shared" si="113"/>
        <v>0</v>
      </c>
      <c r="S301">
        <f t="shared" si="113"/>
        <v>0</v>
      </c>
      <c r="T301">
        <f t="shared" si="113"/>
        <v>0</v>
      </c>
      <c r="U301">
        <f t="shared" si="113"/>
        <v>0</v>
      </c>
      <c r="V301">
        <f t="shared" si="113"/>
        <v>0</v>
      </c>
      <c r="W301">
        <f t="shared" si="113"/>
        <v>0</v>
      </c>
      <c r="X301">
        <f t="shared" si="113"/>
        <v>0</v>
      </c>
      <c r="Y301">
        <f t="shared" si="113"/>
        <v>0</v>
      </c>
      <c r="Z301">
        <f t="shared" si="113"/>
        <v>0</v>
      </c>
      <c r="AA301">
        <f t="shared" si="113"/>
        <v>0</v>
      </c>
      <c r="AB301">
        <f t="shared" si="113"/>
        <v>0</v>
      </c>
      <c r="AC301">
        <f t="shared" si="113"/>
        <v>0</v>
      </c>
      <c r="AD301">
        <f t="shared" si="113"/>
        <v>0</v>
      </c>
      <c r="AE301">
        <f t="shared" si="113"/>
        <v>0</v>
      </c>
      <c r="AF301">
        <f t="shared" si="113"/>
        <v>0</v>
      </c>
      <c r="AG301">
        <f t="shared" si="112"/>
        <v>0</v>
      </c>
      <c r="AH301">
        <f t="shared" si="112"/>
        <v>0</v>
      </c>
      <c r="AI301">
        <f t="shared" si="112"/>
        <v>0</v>
      </c>
      <c r="AJ301">
        <f t="shared" si="112"/>
        <v>0</v>
      </c>
      <c r="AK301">
        <f t="shared" si="112"/>
        <v>0</v>
      </c>
      <c r="AL301">
        <f t="shared" si="112"/>
        <v>0</v>
      </c>
      <c r="AM301">
        <f t="shared" si="112"/>
        <v>0</v>
      </c>
      <c r="AN301">
        <f t="shared" si="112"/>
        <v>0</v>
      </c>
      <c r="AO301">
        <f t="shared" si="112"/>
        <v>0</v>
      </c>
      <c r="AP301">
        <f t="shared" si="112"/>
        <v>0</v>
      </c>
      <c r="AQ301">
        <f t="shared" si="112"/>
        <v>0</v>
      </c>
      <c r="AR301">
        <f t="shared" si="112"/>
        <v>0</v>
      </c>
      <c r="AS301">
        <f t="shared" si="112"/>
        <v>1</v>
      </c>
      <c r="AT301">
        <f t="shared" si="112"/>
        <v>0</v>
      </c>
      <c r="AU301">
        <f t="shared" si="112"/>
        <v>0</v>
      </c>
      <c r="AV301">
        <f t="shared" si="109"/>
        <v>0</v>
      </c>
      <c r="AW301">
        <f t="shared" si="109"/>
        <v>0</v>
      </c>
      <c r="AX301">
        <f t="shared" si="109"/>
        <v>0</v>
      </c>
      <c r="AY301">
        <f t="shared" si="109"/>
        <v>0</v>
      </c>
      <c r="AZ301">
        <f t="shared" si="109"/>
        <v>0</v>
      </c>
    </row>
    <row r="302" spans="1:52" x14ac:dyDescent="0.25">
      <c r="A302" t="s">
        <v>44</v>
      </c>
      <c r="B302" s="3">
        <v>41755</v>
      </c>
      <c r="C302" s="1">
        <v>2192.3799680411012</v>
      </c>
      <c r="D302" s="1">
        <v>35.36096722646937</v>
      </c>
      <c r="E302" s="1">
        <f t="shared" si="102"/>
        <v>1262.3799680411012</v>
      </c>
      <c r="F302" s="1">
        <f t="shared" si="103"/>
        <v>930</v>
      </c>
      <c r="G302" s="2">
        <v>62</v>
      </c>
      <c r="H302" s="1">
        <v>20.360967226469374</v>
      </c>
      <c r="I302" s="1">
        <v>15</v>
      </c>
      <c r="J302" s="1">
        <f t="shared" si="105"/>
        <v>1113892.2988370517</v>
      </c>
      <c r="K302" s="1">
        <f t="shared" si="106"/>
        <v>573018.29883705056</v>
      </c>
      <c r="N302">
        <f t="shared" si="104"/>
        <v>0</v>
      </c>
      <c r="O302">
        <f t="shared" si="104"/>
        <v>0</v>
      </c>
      <c r="P302">
        <f t="shared" si="104"/>
        <v>0</v>
      </c>
      <c r="Q302">
        <f t="shared" si="113"/>
        <v>0</v>
      </c>
      <c r="R302">
        <f t="shared" si="113"/>
        <v>0</v>
      </c>
      <c r="S302">
        <f t="shared" si="113"/>
        <v>0</v>
      </c>
      <c r="T302">
        <f t="shared" si="113"/>
        <v>0</v>
      </c>
      <c r="U302">
        <f t="shared" si="113"/>
        <v>0</v>
      </c>
      <c r="V302">
        <f t="shared" si="113"/>
        <v>0</v>
      </c>
      <c r="W302">
        <f t="shared" si="113"/>
        <v>0</v>
      </c>
      <c r="X302">
        <f t="shared" si="113"/>
        <v>0</v>
      </c>
      <c r="Y302">
        <f t="shared" si="113"/>
        <v>0</v>
      </c>
      <c r="Z302">
        <f t="shared" si="113"/>
        <v>0</v>
      </c>
      <c r="AA302">
        <f t="shared" si="113"/>
        <v>0</v>
      </c>
      <c r="AB302">
        <f t="shared" si="113"/>
        <v>0</v>
      </c>
      <c r="AC302">
        <f t="shared" si="113"/>
        <v>0</v>
      </c>
      <c r="AD302">
        <f t="shared" si="113"/>
        <v>0</v>
      </c>
      <c r="AE302">
        <f t="shared" si="113"/>
        <v>0</v>
      </c>
      <c r="AF302">
        <f t="shared" ref="AF302:AU317" si="114">+IF(AF$5=$A302,1,0)</f>
        <v>0</v>
      </c>
      <c r="AG302">
        <f t="shared" si="114"/>
        <v>0</v>
      </c>
      <c r="AH302">
        <f t="shared" si="114"/>
        <v>0</v>
      </c>
      <c r="AI302">
        <f t="shared" si="114"/>
        <v>0</v>
      </c>
      <c r="AJ302">
        <f t="shared" si="114"/>
        <v>0</v>
      </c>
      <c r="AK302">
        <f t="shared" si="114"/>
        <v>0</v>
      </c>
      <c r="AL302">
        <f t="shared" si="114"/>
        <v>0</v>
      </c>
      <c r="AM302">
        <f t="shared" si="114"/>
        <v>0</v>
      </c>
      <c r="AN302">
        <f t="shared" si="114"/>
        <v>0</v>
      </c>
      <c r="AO302">
        <f t="shared" si="114"/>
        <v>0</v>
      </c>
      <c r="AP302">
        <f t="shared" si="114"/>
        <v>0</v>
      </c>
      <c r="AQ302">
        <f t="shared" si="114"/>
        <v>0</v>
      </c>
      <c r="AR302">
        <f t="shared" si="114"/>
        <v>0</v>
      </c>
      <c r="AS302">
        <f t="shared" si="114"/>
        <v>0</v>
      </c>
      <c r="AT302">
        <f t="shared" si="114"/>
        <v>0</v>
      </c>
      <c r="AU302">
        <f t="shared" si="114"/>
        <v>1</v>
      </c>
      <c r="AV302">
        <f t="shared" si="109"/>
        <v>0</v>
      </c>
      <c r="AW302">
        <f t="shared" si="109"/>
        <v>0</v>
      </c>
      <c r="AX302">
        <f t="shared" si="109"/>
        <v>0</v>
      </c>
      <c r="AY302">
        <f t="shared" si="109"/>
        <v>0</v>
      </c>
      <c r="AZ302">
        <f t="shared" si="109"/>
        <v>0</v>
      </c>
    </row>
    <row r="303" spans="1:52" x14ac:dyDescent="0.25">
      <c r="A303" t="s">
        <v>45</v>
      </c>
      <c r="B303" s="3">
        <v>41751</v>
      </c>
      <c r="C303" s="1">
        <v>1299.2252770594491</v>
      </c>
      <c r="D303" s="1">
        <v>129.9225277059449</v>
      </c>
      <c r="E303" s="1">
        <f t="shared" si="102"/>
        <v>689.22527705944901</v>
      </c>
      <c r="F303" s="1">
        <f t="shared" si="103"/>
        <v>610</v>
      </c>
      <c r="G303" s="2">
        <v>10</v>
      </c>
      <c r="H303" s="1">
        <v>68.922527705944901</v>
      </c>
      <c r="I303" s="1">
        <v>61</v>
      </c>
      <c r="J303" s="1">
        <f t="shared" si="105"/>
        <v>1115191.5241141112</v>
      </c>
      <c r="K303" s="1">
        <f t="shared" si="106"/>
        <v>573707.52411411004</v>
      </c>
      <c r="N303">
        <f t="shared" si="104"/>
        <v>0</v>
      </c>
      <c r="O303">
        <f t="shared" si="104"/>
        <v>0</v>
      </c>
      <c r="P303">
        <f t="shared" si="104"/>
        <v>0</v>
      </c>
      <c r="Q303">
        <f t="shared" ref="Q303:AF318" si="115">+IF(Q$5=$A303,1,0)</f>
        <v>0</v>
      </c>
      <c r="R303">
        <f t="shared" si="115"/>
        <v>0</v>
      </c>
      <c r="S303">
        <f t="shared" si="115"/>
        <v>0</v>
      </c>
      <c r="T303">
        <f t="shared" si="115"/>
        <v>0</v>
      </c>
      <c r="U303">
        <f t="shared" si="115"/>
        <v>0</v>
      </c>
      <c r="V303">
        <f t="shared" si="115"/>
        <v>0</v>
      </c>
      <c r="W303">
        <f t="shared" si="115"/>
        <v>0</v>
      </c>
      <c r="X303">
        <f t="shared" si="115"/>
        <v>0</v>
      </c>
      <c r="Y303">
        <f t="shared" si="115"/>
        <v>0</v>
      </c>
      <c r="Z303">
        <f t="shared" si="115"/>
        <v>0</v>
      </c>
      <c r="AA303">
        <f t="shared" si="115"/>
        <v>0</v>
      </c>
      <c r="AB303">
        <f t="shared" si="115"/>
        <v>0</v>
      </c>
      <c r="AC303">
        <f t="shared" si="115"/>
        <v>0</v>
      </c>
      <c r="AD303">
        <f t="shared" si="115"/>
        <v>0</v>
      </c>
      <c r="AE303">
        <f t="shared" si="115"/>
        <v>0</v>
      </c>
      <c r="AF303">
        <f t="shared" si="115"/>
        <v>0</v>
      </c>
      <c r="AG303">
        <f t="shared" si="114"/>
        <v>0</v>
      </c>
      <c r="AH303">
        <f t="shared" si="114"/>
        <v>0</v>
      </c>
      <c r="AI303">
        <f t="shared" si="114"/>
        <v>0</v>
      </c>
      <c r="AJ303">
        <f t="shared" si="114"/>
        <v>1</v>
      </c>
      <c r="AK303">
        <f t="shared" si="114"/>
        <v>0</v>
      </c>
      <c r="AL303">
        <f t="shared" si="114"/>
        <v>0</v>
      </c>
      <c r="AM303">
        <f t="shared" si="114"/>
        <v>0</v>
      </c>
      <c r="AN303">
        <f t="shared" si="114"/>
        <v>0</v>
      </c>
      <c r="AO303">
        <f t="shared" si="114"/>
        <v>0</v>
      </c>
      <c r="AP303">
        <f t="shared" si="114"/>
        <v>0</v>
      </c>
      <c r="AQ303">
        <f t="shared" si="114"/>
        <v>0</v>
      </c>
      <c r="AR303">
        <f t="shared" si="114"/>
        <v>0</v>
      </c>
      <c r="AS303">
        <f t="shared" si="114"/>
        <v>0</v>
      </c>
      <c r="AT303">
        <f t="shared" si="114"/>
        <v>0</v>
      </c>
      <c r="AU303">
        <f t="shared" si="114"/>
        <v>0</v>
      </c>
      <c r="AV303">
        <f t="shared" si="109"/>
        <v>0</v>
      </c>
      <c r="AW303">
        <f t="shared" si="109"/>
        <v>0</v>
      </c>
      <c r="AX303">
        <f t="shared" si="109"/>
        <v>0</v>
      </c>
      <c r="AY303">
        <f t="shared" si="109"/>
        <v>0</v>
      </c>
      <c r="AZ303">
        <f t="shared" si="109"/>
        <v>0</v>
      </c>
    </row>
    <row r="304" spans="1:52" x14ac:dyDescent="0.25">
      <c r="A304" t="s">
        <v>39</v>
      </c>
      <c r="B304" s="3">
        <v>41746</v>
      </c>
      <c r="C304" s="1">
        <v>12697.555740437121</v>
      </c>
      <c r="D304" s="1">
        <v>90.053586811610785</v>
      </c>
      <c r="E304" s="1">
        <f t="shared" si="102"/>
        <v>5224.5557404371193</v>
      </c>
      <c r="F304" s="1">
        <f t="shared" si="103"/>
        <v>7473</v>
      </c>
      <c r="G304" s="2">
        <v>141</v>
      </c>
      <c r="H304" s="1">
        <v>37.053586811610778</v>
      </c>
      <c r="I304" s="1">
        <v>53</v>
      </c>
      <c r="J304" s="1">
        <f t="shared" si="105"/>
        <v>1127889.0798545484</v>
      </c>
      <c r="K304" s="1">
        <f t="shared" si="106"/>
        <v>578932.07985454716</v>
      </c>
      <c r="N304">
        <f t="shared" si="104"/>
        <v>0</v>
      </c>
      <c r="O304">
        <f t="shared" si="104"/>
        <v>0</v>
      </c>
      <c r="P304">
        <f t="shared" si="104"/>
        <v>0</v>
      </c>
      <c r="Q304">
        <f t="shared" si="115"/>
        <v>0</v>
      </c>
      <c r="R304">
        <f t="shared" si="115"/>
        <v>0</v>
      </c>
      <c r="S304">
        <f t="shared" si="115"/>
        <v>0</v>
      </c>
      <c r="T304">
        <f t="shared" si="115"/>
        <v>0</v>
      </c>
      <c r="U304">
        <f t="shared" si="115"/>
        <v>0</v>
      </c>
      <c r="V304">
        <f t="shared" si="115"/>
        <v>0</v>
      </c>
      <c r="W304">
        <f t="shared" si="115"/>
        <v>0</v>
      </c>
      <c r="X304">
        <f t="shared" si="115"/>
        <v>0</v>
      </c>
      <c r="Y304">
        <f t="shared" si="115"/>
        <v>1</v>
      </c>
      <c r="Z304">
        <f t="shared" si="115"/>
        <v>0</v>
      </c>
      <c r="AA304">
        <f t="shared" si="115"/>
        <v>0</v>
      </c>
      <c r="AB304">
        <f t="shared" si="115"/>
        <v>0</v>
      </c>
      <c r="AC304">
        <f t="shared" si="115"/>
        <v>0</v>
      </c>
      <c r="AD304">
        <f t="shared" si="115"/>
        <v>0</v>
      </c>
      <c r="AE304">
        <f t="shared" si="115"/>
        <v>0</v>
      </c>
      <c r="AF304">
        <f t="shared" si="115"/>
        <v>0</v>
      </c>
      <c r="AG304">
        <f t="shared" si="114"/>
        <v>0</v>
      </c>
      <c r="AH304">
        <f t="shared" si="114"/>
        <v>0</v>
      </c>
      <c r="AI304">
        <f t="shared" si="114"/>
        <v>0</v>
      </c>
      <c r="AJ304">
        <f t="shared" si="114"/>
        <v>0</v>
      </c>
      <c r="AK304">
        <f t="shared" si="114"/>
        <v>0</v>
      </c>
      <c r="AL304">
        <f t="shared" si="114"/>
        <v>0</v>
      </c>
      <c r="AM304">
        <f t="shared" si="114"/>
        <v>0</v>
      </c>
      <c r="AN304">
        <f t="shared" si="114"/>
        <v>0</v>
      </c>
      <c r="AO304">
        <f t="shared" si="114"/>
        <v>0</v>
      </c>
      <c r="AP304">
        <f t="shared" si="114"/>
        <v>0</v>
      </c>
      <c r="AQ304">
        <f t="shared" si="114"/>
        <v>0</v>
      </c>
      <c r="AR304">
        <f t="shared" si="114"/>
        <v>0</v>
      </c>
      <c r="AS304">
        <f t="shared" si="114"/>
        <v>0</v>
      </c>
      <c r="AT304">
        <f t="shared" si="114"/>
        <v>0</v>
      </c>
      <c r="AU304">
        <f t="shared" si="114"/>
        <v>0</v>
      </c>
      <c r="AV304">
        <f t="shared" si="109"/>
        <v>0</v>
      </c>
      <c r="AW304">
        <f t="shared" si="109"/>
        <v>0</v>
      </c>
      <c r="AX304">
        <f t="shared" si="109"/>
        <v>0</v>
      </c>
      <c r="AY304">
        <f t="shared" si="109"/>
        <v>0</v>
      </c>
      <c r="AZ304">
        <f t="shared" si="109"/>
        <v>0</v>
      </c>
    </row>
    <row r="305" spans="1:52" x14ac:dyDescent="0.25">
      <c r="A305" t="s">
        <v>42</v>
      </c>
      <c r="B305" s="3">
        <v>41743</v>
      </c>
      <c r="C305" s="1">
        <v>361.94126916518087</v>
      </c>
      <c r="D305" s="1">
        <v>90.485317291295218</v>
      </c>
      <c r="E305" s="1">
        <f t="shared" si="102"/>
        <v>197.94126916518084</v>
      </c>
      <c r="F305" s="1">
        <f t="shared" si="103"/>
        <v>164</v>
      </c>
      <c r="G305" s="2">
        <v>4</v>
      </c>
      <c r="H305" s="1">
        <v>49.48531729129521</v>
      </c>
      <c r="I305" s="1">
        <v>41</v>
      </c>
      <c r="J305" s="1">
        <f t="shared" si="105"/>
        <v>1128251.0211237136</v>
      </c>
      <c r="K305" s="1">
        <f t="shared" si="106"/>
        <v>579130.0211237123</v>
      </c>
      <c r="N305">
        <f t="shared" si="104"/>
        <v>0</v>
      </c>
      <c r="O305">
        <f t="shared" si="104"/>
        <v>0</v>
      </c>
      <c r="P305">
        <f t="shared" si="104"/>
        <v>0</v>
      </c>
      <c r="Q305">
        <f t="shared" si="115"/>
        <v>0</v>
      </c>
      <c r="R305">
        <f t="shared" si="115"/>
        <v>0</v>
      </c>
      <c r="S305">
        <f t="shared" si="115"/>
        <v>0</v>
      </c>
      <c r="T305">
        <f t="shared" si="115"/>
        <v>0</v>
      </c>
      <c r="U305">
        <f t="shared" si="115"/>
        <v>0</v>
      </c>
      <c r="V305">
        <f t="shared" si="115"/>
        <v>0</v>
      </c>
      <c r="W305">
        <f t="shared" si="115"/>
        <v>0</v>
      </c>
      <c r="X305">
        <f t="shared" si="115"/>
        <v>0</v>
      </c>
      <c r="Y305">
        <f t="shared" si="115"/>
        <v>0</v>
      </c>
      <c r="Z305">
        <f t="shared" si="115"/>
        <v>1</v>
      </c>
      <c r="AA305">
        <f t="shared" si="115"/>
        <v>0</v>
      </c>
      <c r="AB305">
        <f t="shared" si="115"/>
        <v>0</v>
      </c>
      <c r="AC305">
        <f t="shared" si="115"/>
        <v>0</v>
      </c>
      <c r="AD305">
        <f t="shared" si="115"/>
        <v>0</v>
      </c>
      <c r="AE305">
        <f t="shared" si="115"/>
        <v>0</v>
      </c>
      <c r="AF305">
        <f t="shared" si="115"/>
        <v>0</v>
      </c>
      <c r="AG305">
        <f t="shared" si="114"/>
        <v>0</v>
      </c>
      <c r="AH305">
        <f t="shared" si="114"/>
        <v>0</v>
      </c>
      <c r="AI305">
        <f t="shared" si="114"/>
        <v>0</v>
      </c>
      <c r="AJ305">
        <f t="shared" si="114"/>
        <v>0</v>
      </c>
      <c r="AK305">
        <f t="shared" si="114"/>
        <v>0</v>
      </c>
      <c r="AL305">
        <f t="shared" si="114"/>
        <v>0</v>
      </c>
      <c r="AM305">
        <f t="shared" si="114"/>
        <v>0</v>
      </c>
      <c r="AN305">
        <f t="shared" si="114"/>
        <v>0</v>
      </c>
      <c r="AO305">
        <f t="shared" si="114"/>
        <v>0</v>
      </c>
      <c r="AP305">
        <f t="shared" si="114"/>
        <v>0</v>
      </c>
      <c r="AQ305">
        <f t="shared" si="114"/>
        <v>0</v>
      </c>
      <c r="AR305">
        <f t="shared" si="114"/>
        <v>0</v>
      </c>
      <c r="AS305">
        <f t="shared" si="114"/>
        <v>0</v>
      </c>
      <c r="AT305">
        <f t="shared" si="114"/>
        <v>0</v>
      </c>
      <c r="AU305">
        <f t="shared" si="114"/>
        <v>0</v>
      </c>
      <c r="AV305">
        <f t="shared" si="109"/>
        <v>0</v>
      </c>
      <c r="AW305">
        <f t="shared" si="109"/>
        <v>0</v>
      </c>
      <c r="AX305">
        <f t="shared" si="109"/>
        <v>0</v>
      </c>
      <c r="AY305">
        <f t="shared" si="109"/>
        <v>0</v>
      </c>
      <c r="AZ305">
        <f t="shared" si="109"/>
        <v>0</v>
      </c>
    </row>
    <row r="306" spans="1:52" x14ac:dyDescent="0.25">
      <c r="A306" t="s">
        <v>16</v>
      </c>
      <c r="B306" s="3">
        <v>41724</v>
      </c>
      <c r="C306" s="1">
        <v>433.26655361847918</v>
      </c>
      <c r="D306" s="1">
        <v>108.31663840461979</v>
      </c>
      <c r="E306" s="1">
        <f t="shared" si="102"/>
        <v>285.26655361847918</v>
      </c>
      <c r="F306" s="1">
        <f t="shared" si="103"/>
        <v>148</v>
      </c>
      <c r="G306" s="2">
        <v>4</v>
      </c>
      <c r="H306" s="1">
        <v>71.316638404619795</v>
      </c>
      <c r="I306" s="1">
        <v>37</v>
      </c>
      <c r="J306" s="1">
        <f t="shared" si="105"/>
        <v>1128684.2876773321</v>
      </c>
      <c r="K306" s="1">
        <f t="shared" si="106"/>
        <v>579415.28767733078</v>
      </c>
      <c r="N306">
        <f t="shared" si="104"/>
        <v>0</v>
      </c>
      <c r="O306">
        <f t="shared" si="104"/>
        <v>0</v>
      </c>
      <c r="P306">
        <f t="shared" si="104"/>
        <v>0</v>
      </c>
      <c r="Q306">
        <f t="shared" si="115"/>
        <v>0</v>
      </c>
      <c r="R306">
        <f t="shared" si="115"/>
        <v>0</v>
      </c>
      <c r="S306">
        <f t="shared" si="115"/>
        <v>0</v>
      </c>
      <c r="T306">
        <f t="shared" si="115"/>
        <v>0</v>
      </c>
      <c r="U306">
        <f t="shared" si="115"/>
        <v>0</v>
      </c>
      <c r="V306">
        <f t="shared" si="115"/>
        <v>0</v>
      </c>
      <c r="W306">
        <f t="shared" si="115"/>
        <v>0</v>
      </c>
      <c r="X306">
        <f t="shared" si="115"/>
        <v>0</v>
      </c>
      <c r="Y306">
        <f t="shared" si="115"/>
        <v>0</v>
      </c>
      <c r="Z306">
        <f t="shared" si="115"/>
        <v>0</v>
      </c>
      <c r="AA306">
        <f t="shared" si="115"/>
        <v>0</v>
      </c>
      <c r="AB306">
        <f t="shared" si="115"/>
        <v>0</v>
      </c>
      <c r="AC306">
        <f t="shared" si="115"/>
        <v>0</v>
      </c>
      <c r="AD306">
        <f t="shared" si="115"/>
        <v>0</v>
      </c>
      <c r="AE306">
        <f t="shared" si="115"/>
        <v>0</v>
      </c>
      <c r="AF306">
        <f t="shared" si="115"/>
        <v>0</v>
      </c>
      <c r="AG306">
        <f t="shared" si="114"/>
        <v>0</v>
      </c>
      <c r="AH306">
        <f t="shared" si="114"/>
        <v>0</v>
      </c>
      <c r="AI306">
        <f t="shared" si="114"/>
        <v>0</v>
      </c>
      <c r="AJ306">
        <f t="shared" si="114"/>
        <v>0</v>
      </c>
      <c r="AK306">
        <f t="shared" si="114"/>
        <v>0</v>
      </c>
      <c r="AL306">
        <f t="shared" si="114"/>
        <v>0</v>
      </c>
      <c r="AM306">
        <f t="shared" si="114"/>
        <v>0</v>
      </c>
      <c r="AN306">
        <f t="shared" si="114"/>
        <v>1</v>
      </c>
      <c r="AO306">
        <f t="shared" si="114"/>
        <v>0</v>
      </c>
      <c r="AP306">
        <f t="shared" si="114"/>
        <v>0</v>
      </c>
      <c r="AQ306">
        <f t="shared" si="114"/>
        <v>0</v>
      </c>
      <c r="AR306">
        <f t="shared" si="114"/>
        <v>0</v>
      </c>
      <c r="AS306">
        <f t="shared" si="114"/>
        <v>0</v>
      </c>
      <c r="AT306">
        <f t="shared" si="114"/>
        <v>0</v>
      </c>
      <c r="AU306">
        <f t="shared" si="114"/>
        <v>0</v>
      </c>
      <c r="AV306">
        <f t="shared" si="109"/>
        <v>0</v>
      </c>
      <c r="AW306">
        <f t="shared" si="109"/>
        <v>0</v>
      </c>
      <c r="AX306">
        <f t="shared" si="109"/>
        <v>0</v>
      </c>
      <c r="AY306">
        <f t="shared" si="109"/>
        <v>0</v>
      </c>
      <c r="AZ306">
        <f t="shared" si="109"/>
        <v>0</v>
      </c>
    </row>
    <row r="307" spans="1:52" x14ac:dyDescent="0.25">
      <c r="A307" t="s">
        <v>27</v>
      </c>
      <c r="B307" s="3">
        <v>41717</v>
      </c>
      <c r="C307" s="1">
        <v>22377.89245883936</v>
      </c>
      <c r="D307" s="1">
        <v>121.61898075456173</v>
      </c>
      <c r="E307" s="1">
        <f t="shared" si="102"/>
        <v>12441.892458839358</v>
      </c>
      <c r="F307" s="1">
        <f t="shared" si="103"/>
        <v>9936</v>
      </c>
      <c r="G307" s="2">
        <v>184</v>
      </c>
      <c r="H307" s="1">
        <v>67.618980754561733</v>
      </c>
      <c r="I307" s="1">
        <v>54</v>
      </c>
      <c r="J307" s="1">
        <f t="shared" si="105"/>
        <v>1151062.1801361714</v>
      </c>
      <c r="K307" s="1">
        <f t="shared" si="106"/>
        <v>591857.18013617012</v>
      </c>
      <c r="N307">
        <f t="shared" si="104"/>
        <v>0</v>
      </c>
      <c r="O307">
        <f t="shared" si="104"/>
        <v>0</v>
      </c>
      <c r="P307">
        <f t="shared" si="104"/>
        <v>0</v>
      </c>
      <c r="Q307">
        <f t="shared" si="115"/>
        <v>0</v>
      </c>
      <c r="R307">
        <f t="shared" si="115"/>
        <v>0</v>
      </c>
      <c r="S307">
        <f t="shared" si="115"/>
        <v>0</v>
      </c>
      <c r="T307">
        <f t="shared" si="115"/>
        <v>0</v>
      </c>
      <c r="U307">
        <f t="shared" si="115"/>
        <v>0</v>
      </c>
      <c r="V307">
        <f t="shared" si="115"/>
        <v>0</v>
      </c>
      <c r="W307">
        <f t="shared" si="115"/>
        <v>0</v>
      </c>
      <c r="X307">
        <f t="shared" si="115"/>
        <v>0</v>
      </c>
      <c r="Y307">
        <f t="shared" si="115"/>
        <v>0</v>
      </c>
      <c r="Z307">
        <f t="shared" si="115"/>
        <v>0</v>
      </c>
      <c r="AA307">
        <f t="shared" si="115"/>
        <v>0</v>
      </c>
      <c r="AB307">
        <f t="shared" si="115"/>
        <v>0</v>
      </c>
      <c r="AC307">
        <f t="shared" si="115"/>
        <v>1</v>
      </c>
      <c r="AD307">
        <f t="shared" si="115"/>
        <v>0</v>
      </c>
      <c r="AE307">
        <f t="shared" si="115"/>
        <v>0</v>
      </c>
      <c r="AF307">
        <f t="shared" si="115"/>
        <v>0</v>
      </c>
      <c r="AG307">
        <f t="shared" si="114"/>
        <v>0</v>
      </c>
      <c r="AH307">
        <f t="shared" si="114"/>
        <v>0</v>
      </c>
      <c r="AI307">
        <f t="shared" si="114"/>
        <v>0</v>
      </c>
      <c r="AJ307">
        <f t="shared" si="114"/>
        <v>0</v>
      </c>
      <c r="AK307">
        <f t="shared" si="114"/>
        <v>0</v>
      </c>
      <c r="AL307">
        <f t="shared" si="114"/>
        <v>0</v>
      </c>
      <c r="AM307">
        <f t="shared" si="114"/>
        <v>0</v>
      </c>
      <c r="AN307">
        <f t="shared" si="114"/>
        <v>0</v>
      </c>
      <c r="AO307">
        <f t="shared" si="114"/>
        <v>0</v>
      </c>
      <c r="AP307">
        <f t="shared" si="114"/>
        <v>0</v>
      </c>
      <c r="AQ307">
        <f t="shared" si="114"/>
        <v>0</v>
      </c>
      <c r="AR307">
        <f t="shared" si="114"/>
        <v>0</v>
      </c>
      <c r="AS307">
        <f t="shared" si="114"/>
        <v>0</v>
      </c>
      <c r="AT307">
        <f t="shared" si="114"/>
        <v>0</v>
      </c>
      <c r="AU307">
        <f t="shared" si="114"/>
        <v>0</v>
      </c>
      <c r="AV307">
        <f t="shared" si="109"/>
        <v>0</v>
      </c>
      <c r="AW307">
        <f t="shared" si="109"/>
        <v>0</v>
      </c>
      <c r="AX307">
        <f t="shared" si="109"/>
        <v>0</v>
      </c>
      <c r="AY307">
        <f t="shared" si="109"/>
        <v>0</v>
      </c>
      <c r="AZ307">
        <f t="shared" si="109"/>
        <v>0</v>
      </c>
    </row>
    <row r="308" spans="1:52" x14ac:dyDescent="0.25">
      <c r="A308" t="s">
        <v>30</v>
      </c>
      <c r="B308" s="3">
        <v>41711</v>
      </c>
      <c r="C308" s="1">
        <v>3662.5936350119882</v>
      </c>
      <c r="D308" s="1">
        <v>244.17290900079922</v>
      </c>
      <c r="E308" s="1">
        <f t="shared" si="102"/>
        <v>1742.5936350119882</v>
      </c>
      <c r="F308" s="1">
        <f t="shared" si="103"/>
        <v>1920</v>
      </c>
      <c r="G308" s="2">
        <v>15</v>
      </c>
      <c r="H308" s="1">
        <v>116.17290900079921</v>
      </c>
      <c r="I308" s="1">
        <v>128</v>
      </c>
      <c r="J308" s="1">
        <f t="shared" si="105"/>
        <v>1154724.7737711833</v>
      </c>
      <c r="K308" s="1">
        <f t="shared" si="106"/>
        <v>593599.77377118217</v>
      </c>
      <c r="N308">
        <f t="shared" si="104"/>
        <v>0</v>
      </c>
      <c r="O308">
        <f t="shared" si="104"/>
        <v>0</v>
      </c>
      <c r="P308">
        <f t="shared" si="104"/>
        <v>0</v>
      </c>
      <c r="Q308">
        <f t="shared" si="115"/>
        <v>0</v>
      </c>
      <c r="R308">
        <f t="shared" si="115"/>
        <v>0</v>
      </c>
      <c r="S308">
        <f t="shared" si="115"/>
        <v>0</v>
      </c>
      <c r="T308">
        <f t="shared" si="115"/>
        <v>0</v>
      </c>
      <c r="U308">
        <f t="shared" si="115"/>
        <v>0</v>
      </c>
      <c r="V308">
        <f t="shared" si="115"/>
        <v>0</v>
      </c>
      <c r="W308">
        <f t="shared" si="115"/>
        <v>0</v>
      </c>
      <c r="X308">
        <f t="shared" si="115"/>
        <v>0</v>
      </c>
      <c r="Y308">
        <f t="shared" si="115"/>
        <v>0</v>
      </c>
      <c r="Z308">
        <f t="shared" si="115"/>
        <v>0</v>
      </c>
      <c r="AA308">
        <f t="shared" si="115"/>
        <v>0</v>
      </c>
      <c r="AB308">
        <f t="shared" si="115"/>
        <v>0</v>
      </c>
      <c r="AC308">
        <f t="shared" si="115"/>
        <v>0</v>
      </c>
      <c r="AD308">
        <f t="shared" si="115"/>
        <v>0</v>
      </c>
      <c r="AE308">
        <f t="shared" si="115"/>
        <v>0</v>
      </c>
      <c r="AF308">
        <f t="shared" si="115"/>
        <v>0</v>
      </c>
      <c r="AG308">
        <f t="shared" si="114"/>
        <v>0</v>
      </c>
      <c r="AH308">
        <f t="shared" si="114"/>
        <v>0</v>
      </c>
      <c r="AI308">
        <f t="shared" si="114"/>
        <v>0</v>
      </c>
      <c r="AJ308">
        <f t="shared" si="114"/>
        <v>0</v>
      </c>
      <c r="AK308">
        <f t="shared" si="114"/>
        <v>0</v>
      </c>
      <c r="AL308">
        <f t="shared" si="114"/>
        <v>0</v>
      </c>
      <c r="AM308">
        <f t="shared" si="114"/>
        <v>0</v>
      </c>
      <c r="AN308">
        <f t="shared" si="114"/>
        <v>0</v>
      </c>
      <c r="AO308">
        <f t="shared" si="114"/>
        <v>0</v>
      </c>
      <c r="AP308">
        <f t="shared" si="114"/>
        <v>0</v>
      </c>
      <c r="AQ308">
        <f t="shared" si="114"/>
        <v>0</v>
      </c>
      <c r="AR308">
        <f t="shared" si="114"/>
        <v>0</v>
      </c>
      <c r="AS308">
        <f t="shared" si="114"/>
        <v>0</v>
      </c>
      <c r="AT308">
        <f t="shared" si="114"/>
        <v>0</v>
      </c>
      <c r="AU308">
        <f t="shared" si="114"/>
        <v>0</v>
      </c>
      <c r="AV308">
        <f t="shared" si="109"/>
        <v>1</v>
      </c>
      <c r="AW308">
        <f t="shared" si="109"/>
        <v>0</v>
      </c>
      <c r="AX308">
        <f t="shared" si="109"/>
        <v>0</v>
      </c>
      <c r="AY308">
        <f t="shared" si="109"/>
        <v>0</v>
      </c>
      <c r="AZ308">
        <f t="shared" si="109"/>
        <v>0</v>
      </c>
    </row>
    <row r="309" spans="1:52" x14ac:dyDescent="0.25">
      <c r="A309" t="s">
        <v>29</v>
      </c>
      <c r="B309" s="3">
        <v>41711</v>
      </c>
      <c r="C309" s="1">
        <v>3023.4578848277642</v>
      </c>
      <c r="D309" s="1">
        <v>131.4546906446854</v>
      </c>
      <c r="E309" s="1">
        <f t="shared" si="102"/>
        <v>1505.4578848277645</v>
      </c>
      <c r="F309" s="1">
        <f t="shared" si="103"/>
        <v>1518</v>
      </c>
      <c r="G309" s="2">
        <v>23</v>
      </c>
      <c r="H309" s="1">
        <v>65.454690644685414</v>
      </c>
      <c r="I309" s="1">
        <v>66</v>
      </c>
      <c r="J309" s="1">
        <f t="shared" si="105"/>
        <v>1157748.2316560112</v>
      </c>
      <c r="K309" s="1">
        <f t="shared" si="106"/>
        <v>595105.23165600991</v>
      </c>
      <c r="N309">
        <f t="shared" si="104"/>
        <v>0</v>
      </c>
      <c r="O309">
        <f t="shared" si="104"/>
        <v>0</v>
      </c>
      <c r="P309">
        <f t="shared" si="104"/>
        <v>0</v>
      </c>
      <c r="Q309">
        <f t="shared" si="115"/>
        <v>0</v>
      </c>
      <c r="R309">
        <f t="shared" si="115"/>
        <v>0</v>
      </c>
      <c r="S309">
        <f t="shared" si="115"/>
        <v>0</v>
      </c>
      <c r="T309">
        <f t="shared" si="115"/>
        <v>0</v>
      </c>
      <c r="U309">
        <f t="shared" si="115"/>
        <v>0</v>
      </c>
      <c r="V309">
        <f t="shared" si="115"/>
        <v>0</v>
      </c>
      <c r="W309">
        <f t="shared" si="115"/>
        <v>0</v>
      </c>
      <c r="X309">
        <f t="shared" si="115"/>
        <v>0</v>
      </c>
      <c r="Y309">
        <f t="shared" si="115"/>
        <v>0</v>
      </c>
      <c r="Z309">
        <f t="shared" si="115"/>
        <v>0</v>
      </c>
      <c r="AA309">
        <f t="shared" si="115"/>
        <v>0</v>
      </c>
      <c r="AB309">
        <f t="shared" si="115"/>
        <v>0</v>
      </c>
      <c r="AC309">
        <f t="shared" si="115"/>
        <v>0</v>
      </c>
      <c r="AD309">
        <f t="shared" si="115"/>
        <v>0</v>
      </c>
      <c r="AE309">
        <f t="shared" si="115"/>
        <v>0</v>
      </c>
      <c r="AF309">
        <f t="shared" si="115"/>
        <v>0</v>
      </c>
      <c r="AG309">
        <f t="shared" si="114"/>
        <v>0</v>
      </c>
      <c r="AH309">
        <f t="shared" si="114"/>
        <v>0</v>
      </c>
      <c r="AI309">
        <f t="shared" si="114"/>
        <v>0</v>
      </c>
      <c r="AJ309">
        <f t="shared" si="114"/>
        <v>0</v>
      </c>
      <c r="AK309">
        <f t="shared" si="114"/>
        <v>0</v>
      </c>
      <c r="AL309">
        <f t="shared" si="114"/>
        <v>0</v>
      </c>
      <c r="AM309">
        <f t="shared" si="114"/>
        <v>0</v>
      </c>
      <c r="AN309">
        <f t="shared" si="114"/>
        <v>0</v>
      </c>
      <c r="AO309">
        <f t="shared" si="114"/>
        <v>0</v>
      </c>
      <c r="AP309">
        <f t="shared" si="114"/>
        <v>0</v>
      </c>
      <c r="AQ309">
        <f t="shared" si="114"/>
        <v>0</v>
      </c>
      <c r="AR309">
        <f t="shared" si="114"/>
        <v>0</v>
      </c>
      <c r="AS309">
        <f t="shared" si="114"/>
        <v>1</v>
      </c>
      <c r="AT309">
        <f t="shared" si="114"/>
        <v>0</v>
      </c>
      <c r="AU309">
        <f t="shared" si="114"/>
        <v>0</v>
      </c>
      <c r="AV309">
        <f t="shared" si="109"/>
        <v>0</v>
      </c>
      <c r="AW309">
        <f t="shared" si="109"/>
        <v>0</v>
      </c>
      <c r="AX309">
        <f t="shared" si="109"/>
        <v>0</v>
      </c>
      <c r="AY309">
        <f t="shared" si="109"/>
        <v>0</v>
      </c>
      <c r="AZ309">
        <f t="shared" si="109"/>
        <v>0</v>
      </c>
    </row>
    <row r="310" spans="1:52" x14ac:dyDescent="0.25">
      <c r="A310" t="s">
        <v>20</v>
      </c>
      <c r="B310" s="3">
        <v>41697</v>
      </c>
      <c r="C310" s="1">
        <v>7522.2258600668974</v>
      </c>
      <c r="D310" s="1">
        <v>127.4953535604559</v>
      </c>
      <c r="E310" s="1">
        <f t="shared" si="102"/>
        <v>3687.2258600668979</v>
      </c>
      <c r="F310" s="1">
        <f t="shared" si="103"/>
        <v>3835</v>
      </c>
      <c r="G310" s="2">
        <v>59</v>
      </c>
      <c r="H310" s="1">
        <v>62.495353560455897</v>
      </c>
      <c r="I310" s="1">
        <v>65</v>
      </c>
      <c r="J310" s="1">
        <f t="shared" si="105"/>
        <v>1165270.4575160781</v>
      </c>
      <c r="K310" s="1">
        <f t="shared" si="106"/>
        <v>598792.45751607686</v>
      </c>
      <c r="N310">
        <f t="shared" si="104"/>
        <v>0</v>
      </c>
      <c r="O310">
        <f t="shared" si="104"/>
        <v>0</v>
      </c>
      <c r="P310">
        <f t="shared" si="104"/>
        <v>0</v>
      </c>
      <c r="Q310">
        <f t="shared" si="115"/>
        <v>0</v>
      </c>
      <c r="R310">
        <f t="shared" si="115"/>
        <v>0</v>
      </c>
      <c r="S310">
        <f t="shared" si="115"/>
        <v>0</v>
      </c>
      <c r="T310">
        <f t="shared" si="115"/>
        <v>0</v>
      </c>
      <c r="U310">
        <f t="shared" si="115"/>
        <v>0</v>
      </c>
      <c r="V310">
        <f t="shared" si="115"/>
        <v>0</v>
      </c>
      <c r="W310">
        <f t="shared" si="115"/>
        <v>0</v>
      </c>
      <c r="X310">
        <f t="shared" si="115"/>
        <v>0</v>
      </c>
      <c r="Y310">
        <f t="shared" si="115"/>
        <v>0</v>
      </c>
      <c r="Z310">
        <f t="shared" si="115"/>
        <v>0</v>
      </c>
      <c r="AA310">
        <f t="shared" si="115"/>
        <v>0</v>
      </c>
      <c r="AB310">
        <f t="shared" si="115"/>
        <v>0</v>
      </c>
      <c r="AC310">
        <f t="shared" si="115"/>
        <v>0</v>
      </c>
      <c r="AD310">
        <f t="shared" si="115"/>
        <v>0</v>
      </c>
      <c r="AE310">
        <f t="shared" si="115"/>
        <v>1</v>
      </c>
      <c r="AF310">
        <f t="shared" si="115"/>
        <v>0</v>
      </c>
      <c r="AG310">
        <f t="shared" si="114"/>
        <v>0</v>
      </c>
      <c r="AH310">
        <f t="shared" si="114"/>
        <v>0</v>
      </c>
      <c r="AI310">
        <f t="shared" si="114"/>
        <v>0</v>
      </c>
      <c r="AJ310">
        <f t="shared" si="114"/>
        <v>0</v>
      </c>
      <c r="AK310">
        <f t="shared" si="114"/>
        <v>0</v>
      </c>
      <c r="AL310">
        <f t="shared" si="114"/>
        <v>0</v>
      </c>
      <c r="AM310">
        <f t="shared" si="114"/>
        <v>0</v>
      </c>
      <c r="AN310">
        <f t="shared" si="114"/>
        <v>0</v>
      </c>
      <c r="AO310">
        <f t="shared" si="114"/>
        <v>0</v>
      </c>
      <c r="AP310">
        <f t="shared" si="114"/>
        <v>0</v>
      </c>
      <c r="AQ310">
        <f t="shared" si="114"/>
        <v>0</v>
      </c>
      <c r="AR310">
        <f t="shared" si="114"/>
        <v>0</v>
      </c>
      <c r="AS310">
        <f t="shared" si="114"/>
        <v>0</v>
      </c>
      <c r="AT310">
        <f t="shared" si="114"/>
        <v>0</v>
      </c>
      <c r="AU310">
        <f t="shared" si="114"/>
        <v>0</v>
      </c>
      <c r="AV310">
        <f t="shared" si="109"/>
        <v>0</v>
      </c>
      <c r="AW310">
        <f t="shared" si="109"/>
        <v>0</v>
      </c>
      <c r="AX310">
        <f t="shared" si="109"/>
        <v>0</v>
      </c>
      <c r="AY310">
        <f t="shared" si="109"/>
        <v>0</v>
      </c>
      <c r="AZ310">
        <f t="shared" si="109"/>
        <v>0</v>
      </c>
    </row>
    <row r="311" spans="1:52" x14ac:dyDescent="0.25">
      <c r="A311" t="s">
        <v>13</v>
      </c>
      <c r="B311" s="3">
        <v>41695</v>
      </c>
      <c r="C311" s="1">
        <v>206.78323120901214</v>
      </c>
      <c r="D311" s="1">
        <v>103.39161560450607</v>
      </c>
      <c r="E311" s="1">
        <f t="shared" si="102"/>
        <v>128.78323120901214</v>
      </c>
      <c r="F311" s="1">
        <f t="shared" si="103"/>
        <v>78</v>
      </c>
      <c r="G311" s="2">
        <v>2</v>
      </c>
      <c r="H311" s="1">
        <v>64.391615604506072</v>
      </c>
      <c r="I311" s="1">
        <v>39</v>
      </c>
      <c r="J311" s="1">
        <f t="shared" si="105"/>
        <v>1165477.2407472872</v>
      </c>
      <c r="K311" s="1">
        <f t="shared" si="106"/>
        <v>598921.24074728589</v>
      </c>
      <c r="N311">
        <f t="shared" si="104"/>
        <v>0</v>
      </c>
      <c r="O311">
        <f t="shared" si="104"/>
        <v>0</v>
      </c>
      <c r="P311">
        <f t="shared" si="104"/>
        <v>0</v>
      </c>
      <c r="Q311">
        <f t="shared" si="115"/>
        <v>0</v>
      </c>
      <c r="R311">
        <f t="shared" si="115"/>
        <v>1</v>
      </c>
      <c r="S311">
        <f t="shared" si="115"/>
        <v>0</v>
      </c>
      <c r="T311">
        <f t="shared" si="115"/>
        <v>0</v>
      </c>
      <c r="U311">
        <f t="shared" si="115"/>
        <v>0</v>
      </c>
      <c r="V311">
        <f t="shared" si="115"/>
        <v>0</v>
      </c>
      <c r="W311">
        <f t="shared" si="115"/>
        <v>0</v>
      </c>
      <c r="X311">
        <f t="shared" si="115"/>
        <v>0</v>
      </c>
      <c r="Y311">
        <f t="shared" si="115"/>
        <v>0</v>
      </c>
      <c r="Z311">
        <f t="shared" si="115"/>
        <v>0</v>
      </c>
      <c r="AA311">
        <f t="shared" si="115"/>
        <v>0</v>
      </c>
      <c r="AB311">
        <f t="shared" si="115"/>
        <v>0</v>
      </c>
      <c r="AC311">
        <f t="shared" si="115"/>
        <v>0</v>
      </c>
      <c r="AD311">
        <f t="shared" si="115"/>
        <v>0</v>
      </c>
      <c r="AE311">
        <f t="shared" si="115"/>
        <v>0</v>
      </c>
      <c r="AF311">
        <f t="shared" si="115"/>
        <v>0</v>
      </c>
      <c r="AG311">
        <f t="shared" si="114"/>
        <v>0</v>
      </c>
      <c r="AH311">
        <f t="shared" si="114"/>
        <v>0</v>
      </c>
      <c r="AI311">
        <f t="shared" si="114"/>
        <v>0</v>
      </c>
      <c r="AJ311">
        <f t="shared" si="114"/>
        <v>0</v>
      </c>
      <c r="AK311">
        <f t="shared" si="114"/>
        <v>0</v>
      </c>
      <c r="AL311">
        <f t="shared" si="114"/>
        <v>0</v>
      </c>
      <c r="AM311">
        <f t="shared" si="114"/>
        <v>0</v>
      </c>
      <c r="AN311">
        <f t="shared" si="114"/>
        <v>0</v>
      </c>
      <c r="AO311">
        <f t="shared" si="114"/>
        <v>0</v>
      </c>
      <c r="AP311">
        <f t="shared" si="114"/>
        <v>0</v>
      </c>
      <c r="AQ311">
        <f t="shared" si="114"/>
        <v>0</v>
      </c>
      <c r="AR311">
        <f t="shared" si="114"/>
        <v>0</v>
      </c>
      <c r="AS311">
        <f t="shared" si="114"/>
        <v>0</v>
      </c>
      <c r="AT311">
        <f t="shared" si="114"/>
        <v>0</v>
      </c>
      <c r="AU311">
        <f t="shared" si="114"/>
        <v>0</v>
      </c>
      <c r="AV311">
        <f t="shared" si="109"/>
        <v>0</v>
      </c>
      <c r="AW311">
        <f t="shared" si="109"/>
        <v>0</v>
      </c>
      <c r="AX311">
        <f t="shared" si="109"/>
        <v>0</v>
      </c>
      <c r="AY311">
        <f t="shared" si="109"/>
        <v>0</v>
      </c>
      <c r="AZ311">
        <f t="shared" si="109"/>
        <v>0</v>
      </c>
    </row>
    <row r="312" spans="1:52" x14ac:dyDescent="0.25">
      <c r="A312" t="s">
        <v>45</v>
      </c>
      <c r="B312" s="3">
        <v>41692</v>
      </c>
      <c r="C312" s="1">
        <v>1705.3344964193382</v>
      </c>
      <c r="D312" s="1">
        <v>131.1795766476414</v>
      </c>
      <c r="E312" s="1">
        <f t="shared" si="102"/>
        <v>782.33449641933794</v>
      </c>
      <c r="F312" s="1">
        <f t="shared" si="103"/>
        <v>923</v>
      </c>
      <c r="G312" s="2">
        <v>13</v>
      </c>
      <c r="H312" s="1">
        <v>60.179576647641383</v>
      </c>
      <c r="I312" s="1">
        <v>71</v>
      </c>
      <c r="J312" s="1">
        <f t="shared" si="105"/>
        <v>1167182.5752437066</v>
      </c>
      <c r="K312" s="1">
        <f t="shared" si="106"/>
        <v>599703.57524370519</v>
      </c>
      <c r="N312">
        <f t="shared" si="104"/>
        <v>0</v>
      </c>
      <c r="O312">
        <f t="shared" si="104"/>
        <v>0</v>
      </c>
      <c r="P312">
        <f t="shared" si="104"/>
        <v>0</v>
      </c>
      <c r="Q312">
        <f t="shared" si="115"/>
        <v>0</v>
      </c>
      <c r="R312">
        <f t="shared" si="115"/>
        <v>0</v>
      </c>
      <c r="S312">
        <f t="shared" si="115"/>
        <v>0</v>
      </c>
      <c r="T312">
        <f t="shared" si="115"/>
        <v>0</v>
      </c>
      <c r="U312">
        <f t="shared" si="115"/>
        <v>0</v>
      </c>
      <c r="V312">
        <f t="shared" si="115"/>
        <v>0</v>
      </c>
      <c r="W312">
        <f t="shared" si="115"/>
        <v>0</v>
      </c>
      <c r="X312">
        <f t="shared" si="115"/>
        <v>0</v>
      </c>
      <c r="Y312">
        <f t="shared" si="115"/>
        <v>0</v>
      </c>
      <c r="Z312">
        <f t="shared" si="115"/>
        <v>0</v>
      </c>
      <c r="AA312">
        <f t="shared" si="115"/>
        <v>0</v>
      </c>
      <c r="AB312">
        <f t="shared" si="115"/>
        <v>0</v>
      </c>
      <c r="AC312">
        <f t="shared" si="115"/>
        <v>0</v>
      </c>
      <c r="AD312">
        <f t="shared" si="115"/>
        <v>0</v>
      </c>
      <c r="AE312">
        <f t="shared" si="115"/>
        <v>0</v>
      </c>
      <c r="AF312">
        <f t="shared" si="115"/>
        <v>0</v>
      </c>
      <c r="AG312">
        <f t="shared" si="114"/>
        <v>0</v>
      </c>
      <c r="AH312">
        <f t="shared" si="114"/>
        <v>0</v>
      </c>
      <c r="AI312">
        <f t="shared" si="114"/>
        <v>0</v>
      </c>
      <c r="AJ312">
        <f t="shared" si="114"/>
        <v>1</v>
      </c>
      <c r="AK312">
        <f t="shared" si="114"/>
        <v>0</v>
      </c>
      <c r="AL312">
        <f t="shared" si="114"/>
        <v>0</v>
      </c>
      <c r="AM312">
        <f t="shared" si="114"/>
        <v>0</v>
      </c>
      <c r="AN312">
        <f t="shared" si="114"/>
        <v>0</v>
      </c>
      <c r="AO312">
        <f t="shared" si="114"/>
        <v>0</v>
      </c>
      <c r="AP312">
        <f t="shared" si="114"/>
        <v>0</v>
      </c>
      <c r="AQ312">
        <f t="shared" si="114"/>
        <v>0</v>
      </c>
      <c r="AR312">
        <f t="shared" si="114"/>
        <v>0</v>
      </c>
      <c r="AS312">
        <f t="shared" si="114"/>
        <v>0</v>
      </c>
      <c r="AT312">
        <f t="shared" si="114"/>
        <v>0</v>
      </c>
      <c r="AU312">
        <f t="shared" si="114"/>
        <v>0</v>
      </c>
      <c r="AV312">
        <f t="shared" si="109"/>
        <v>0</v>
      </c>
      <c r="AW312">
        <f t="shared" si="109"/>
        <v>0</v>
      </c>
      <c r="AX312">
        <f t="shared" si="109"/>
        <v>0</v>
      </c>
      <c r="AY312">
        <f t="shared" si="109"/>
        <v>0</v>
      </c>
      <c r="AZ312">
        <f t="shared" si="109"/>
        <v>0</v>
      </c>
    </row>
    <row r="313" spans="1:52" x14ac:dyDescent="0.25">
      <c r="A313" t="s">
        <v>25</v>
      </c>
      <c r="B313" s="3">
        <v>41688</v>
      </c>
      <c r="C313" s="1">
        <v>833.33375287905346</v>
      </c>
      <c r="D313" s="1">
        <v>64.102596375311805</v>
      </c>
      <c r="E313" s="1">
        <f t="shared" si="102"/>
        <v>404.33375287905358</v>
      </c>
      <c r="F313" s="1">
        <f t="shared" si="103"/>
        <v>429</v>
      </c>
      <c r="G313" s="2">
        <v>13</v>
      </c>
      <c r="H313" s="1">
        <v>31.102596375311812</v>
      </c>
      <c r="I313" s="1">
        <v>33</v>
      </c>
      <c r="J313" s="1">
        <f t="shared" si="105"/>
        <v>1168015.9089965855</v>
      </c>
      <c r="K313" s="1">
        <f t="shared" si="106"/>
        <v>600107.90899658424</v>
      </c>
      <c r="N313">
        <f t="shared" si="104"/>
        <v>0</v>
      </c>
      <c r="O313">
        <f t="shared" si="104"/>
        <v>0</v>
      </c>
      <c r="P313">
        <f t="shared" si="104"/>
        <v>0</v>
      </c>
      <c r="Q313">
        <f t="shared" si="115"/>
        <v>0</v>
      </c>
      <c r="R313">
        <f t="shared" si="115"/>
        <v>0</v>
      </c>
      <c r="S313">
        <f t="shared" si="115"/>
        <v>1</v>
      </c>
      <c r="T313">
        <f t="shared" si="115"/>
        <v>0</v>
      </c>
      <c r="U313">
        <f t="shared" si="115"/>
        <v>0</v>
      </c>
      <c r="V313">
        <f t="shared" si="115"/>
        <v>0</v>
      </c>
      <c r="W313">
        <f t="shared" si="115"/>
        <v>0</v>
      </c>
      <c r="X313">
        <f t="shared" si="115"/>
        <v>0</v>
      </c>
      <c r="Y313">
        <f t="shared" si="115"/>
        <v>0</v>
      </c>
      <c r="Z313">
        <f t="shared" si="115"/>
        <v>0</v>
      </c>
      <c r="AA313">
        <f t="shared" si="115"/>
        <v>0</v>
      </c>
      <c r="AB313">
        <f t="shared" si="115"/>
        <v>0</v>
      </c>
      <c r="AC313">
        <f t="shared" si="115"/>
        <v>0</v>
      </c>
      <c r="AD313">
        <f t="shared" si="115"/>
        <v>0</v>
      </c>
      <c r="AE313">
        <f t="shared" si="115"/>
        <v>0</v>
      </c>
      <c r="AF313">
        <f t="shared" si="115"/>
        <v>0</v>
      </c>
      <c r="AG313">
        <f t="shared" si="114"/>
        <v>0</v>
      </c>
      <c r="AH313">
        <f t="shared" si="114"/>
        <v>0</v>
      </c>
      <c r="AI313">
        <f t="shared" si="114"/>
        <v>0</v>
      </c>
      <c r="AJ313">
        <f t="shared" si="114"/>
        <v>0</v>
      </c>
      <c r="AK313">
        <f t="shared" si="114"/>
        <v>0</v>
      </c>
      <c r="AL313">
        <f t="shared" si="114"/>
        <v>0</v>
      </c>
      <c r="AM313">
        <f t="shared" si="114"/>
        <v>0</v>
      </c>
      <c r="AN313">
        <f t="shared" si="114"/>
        <v>0</v>
      </c>
      <c r="AO313">
        <f t="shared" si="114"/>
        <v>0</v>
      </c>
      <c r="AP313">
        <f t="shared" si="114"/>
        <v>0</v>
      </c>
      <c r="AQ313">
        <f t="shared" si="114"/>
        <v>0</v>
      </c>
      <c r="AR313">
        <f t="shared" si="114"/>
        <v>0</v>
      </c>
      <c r="AS313">
        <f t="shared" si="114"/>
        <v>0</v>
      </c>
      <c r="AT313">
        <f t="shared" si="114"/>
        <v>0</v>
      </c>
      <c r="AU313">
        <f t="shared" si="114"/>
        <v>0</v>
      </c>
      <c r="AV313">
        <f t="shared" si="109"/>
        <v>0</v>
      </c>
      <c r="AW313">
        <f t="shared" si="109"/>
        <v>0</v>
      </c>
      <c r="AX313">
        <f t="shared" si="109"/>
        <v>0</v>
      </c>
      <c r="AY313">
        <f t="shared" si="109"/>
        <v>0</v>
      </c>
      <c r="AZ313">
        <f t="shared" si="109"/>
        <v>0</v>
      </c>
    </row>
    <row r="314" spans="1:52" x14ac:dyDescent="0.25">
      <c r="A314" t="s">
        <v>36</v>
      </c>
      <c r="B314" s="3">
        <v>41680</v>
      </c>
      <c r="C314" s="1">
        <v>10054.112327627679</v>
      </c>
      <c r="D314" s="1">
        <v>170.4086835191132</v>
      </c>
      <c r="E314" s="1">
        <f t="shared" si="102"/>
        <v>5452.1123276276776</v>
      </c>
      <c r="F314" s="1">
        <f t="shared" si="103"/>
        <v>4602</v>
      </c>
      <c r="G314" s="2">
        <v>59</v>
      </c>
      <c r="H314" s="1">
        <v>92.408683519113183</v>
      </c>
      <c r="I314" s="1">
        <v>78</v>
      </c>
      <c r="J314" s="1">
        <f t="shared" si="105"/>
        <v>1178070.0213242131</v>
      </c>
      <c r="K314" s="1">
        <f t="shared" si="106"/>
        <v>605560.02132421196</v>
      </c>
      <c r="N314">
        <f t="shared" si="104"/>
        <v>0</v>
      </c>
      <c r="O314">
        <f t="shared" si="104"/>
        <v>0</v>
      </c>
      <c r="P314">
        <f t="shared" si="104"/>
        <v>0</v>
      </c>
      <c r="Q314">
        <f t="shared" si="115"/>
        <v>0</v>
      </c>
      <c r="R314">
        <f t="shared" si="115"/>
        <v>0</v>
      </c>
      <c r="S314">
        <f t="shared" si="115"/>
        <v>0</v>
      </c>
      <c r="T314">
        <f t="shared" si="115"/>
        <v>0</v>
      </c>
      <c r="U314">
        <f t="shared" si="115"/>
        <v>0</v>
      </c>
      <c r="V314">
        <f t="shared" si="115"/>
        <v>0</v>
      </c>
      <c r="W314">
        <f t="shared" si="115"/>
        <v>0</v>
      </c>
      <c r="X314">
        <f t="shared" si="115"/>
        <v>0</v>
      </c>
      <c r="Y314">
        <f t="shared" si="115"/>
        <v>0</v>
      </c>
      <c r="Z314">
        <f t="shared" si="115"/>
        <v>0</v>
      </c>
      <c r="AA314">
        <f t="shared" si="115"/>
        <v>0</v>
      </c>
      <c r="AB314">
        <f t="shared" si="115"/>
        <v>0</v>
      </c>
      <c r="AC314">
        <f t="shared" si="115"/>
        <v>0</v>
      </c>
      <c r="AD314">
        <f t="shared" si="115"/>
        <v>0</v>
      </c>
      <c r="AE314">
        <f t="shared" si="115"/>
        <v>0</v>
      </c>
      <c r="AF314">
        <f t="shared" si="115"/>
        <v>0</v>
      </c>
      <c r="AG314">
        <f t="shared" si="114"/>
        <v>0</v>
      </c>
      <c r="AH314">
        <f t="shared" si="114"/>
        <v>0</v>
      </c>
      <c r="AI314">
        <f t="shared" si="114"/>
        <v>0</v>
      </c>
      <c r="AJ314">
        <f t="shared" si="114"/>
        <v>0</v>
      </c>
      <c r="AK314">
        <f t="shared" si="114"/>
        <v>0</v>
      </c>
      <c r="AL314">
        <f t="shared" si="114"/>
        <v>0</v>
      </c>
      <c r="AM314">
        <f t="shared" si="114"/>
        <v>0</v>
      </c>
      <c r="AN314">
        <f t="shared" si="114"/>
        <v>0</v>
      </c>
      <c r="AO314">
        <f t="shared" si="114"/>
        <v>1</v>
      </c>
      <c r="AP314">
        <f t="shared" si="114"/>
        <v>0</v>
      </c>
      <c r="AQ314">
        <f t="shared" si="114"/>
        <v>0</v>
      </c>
      <c r="AR314">
        <f t="shared" si="114"/>
        <v>0</v>
      </c>
      <c r="AS314">
        <f t="shared" si="114"/>
        <v>0</v>
      </c>
      <c r="AT314">
        <f t="shared" si="114"/>
        <v>0</v>
      </c>
      <c r="AU314">
        <f t="shared" si="114"/>
        <v>0</v>
      </c>
      <c r="AV314">
        <f t="shared" si="109"/>
        <v>0</v>
      </c>
      <c r="AW314">
        <f t="shared" si="109"/>
        <v>0</v>
      </c>
      <c r="AX314">
        <f t="shared" si="109"/>
        <v>0</v>
      </c>
      <c r="AY314">
        <f t="shared" si="109"/>
        <v>0</v>
      </c>
      <c r="AZ314">
        <f t="shared" si="109"/>
        <v>0</v>
      </c>
    </row>
    <row r="315" spans="1:52" x14ac:dyDescent="0.25">
      <c r="A315" t="s">
        <v>30</v>
      </c>
      <c r="B315" s="3">
        <v>41679</v>
      </c>
      <c r="C315" s="1">
        <v>3287.7560039338791</v>
      </c>
      <c r="D315" s="1">
        <v>58.709928641676413</v>
      </c>
      <c r="E315" s="1">
        <f t="shared" si="102"/>
        <v>1607.7560039338791</v>
      </c>
      <c r="F315" s="1">
        <f t="shared" si="103"/>
        <v>1680</v>
      </c>
      <c r="G315" s="2">
        <v>56</v>
      </c>
      <c r="H315" s="1">
        <v>28.709928641676413</v>
      </c>
      <c r="I315" s="1">
        <v>30</v>
      </c>
      <c r="J315" s="1">
        <f t="shared" si="105"/>
        <v>1181357.7773281471</v>
      </c>
      <c r="K315" s="1">
        <f t="shared" si="106"/>
        <v>607167.77732814581</v>
      </c>
      <c r="N315">
        <f t="shared" si="104"/>
        <v>0</v>
      </c>
      <c r="O315">
        <f t="shared" si="104"/>
        <v>0</v>
      </c>
      <c r="P315">
        <f t="shared" si="104"/>
        <v>0</v>
      </c>
      <c r="Q315">
        <f t="shared" si="115"/>
        <v>0</v>
      </c>
      <c r="R315">
        <f t="shared" si="115"/>
        <v>0</v>
      </c>
      <c r="S315">
        <f t="shared" si="115"/>
        <v>0</v>
      </c>
      <c r="T315">
        <f t="shared" si="115"/>
        <v>0</v>
      </c>
      <c r="U315">
        <f t="shared" si="115"/>
        <v>0</v>
      </c>
      <c r="V315">
        <f t="shared" si="115"/>
        <v>0</v>
      </c>
      <c r="W315">
        <f t="shared" si="115"/>
        <v>0</v>
      </c>
      <c r="X315">
        <f t="shared" si="115"/>
        <v>0</v>
      </c>
      <c r="Y315">
        <f t="shared" si="115"/>
        <v>0</v>
      </c>
      <c r="Z315">
        <f t="shared" si="115"/>
        <v>0</v>
      </c>
      <c r="AA315">
        <f t="shared" si="115"/>
        <v>0</v>
      </c>
      <c r="AB315">
        <f t="shared" si="115"/>
        <v>0</v>
      </c>
      <c r="AC315">
        <f t="shared" si="115"/>
        <v>0</v>
      </c>
      <c r="AD315">
        <f t="shared" si="115"/>
        <v>0</v>
      </c>
      <c r="AE315">
        <f t="shared" si="115"/>
        <v>0</v>
      </c>
      <c r="AF315">
        <f t="shared" si="115"/>
        <v>0</v>
      </c>
      <c r="AG315">
        <f t="shared" si="114"/>
        <v>0</v>
      </c>
      <c r="AH315">
        <f t="shared" si="114"/>
        <v>0</v>
      </c>
      <c r="AI315">
        <f t="shared" si="114"/>
        <v>0</v>
      </c>
      <c r="AJ315">
        <f t="shared" si="114"/>
        <v>0</v>
      </c>
      <c r="AK315">
        <f t="shared" si="114"/>
        <v>0</v>
      </c>
      <c r="AL315">
        <f t="shared" si="114"/>
        <v>0</v>
      </c>
      <c r="AM315">
        <f t="shared" si="114"/>
        <v>0</v>
      </c>
      <c r="AN315">
        <f t="shared" si="114"/>
        <v>0</v>
      </c>
      <c r="AO315">
        <f t="shared" si="114"/>
        <v>0</v>
      </c>
      <c r="AP315">
        <f t="shared" si="114"/>
        <v>0</v>
      </c>
      <c r="AQ315">
        <f t="shared" si="114"/>
        <v>0</v>
      </c>
      <c r="AR315">
        <f t="shared" si="114"/>
        <v>0</v>
      </c>
      <c r="AS315">
        <f t="shared" si="114"/>
        <v>0</v>
      </c>
      <c r="AT315">
        <f t="shared" si="114"/>
        <v>0</v>
      </c>
      <c r="AU315">
        <f t="shared" si="114"/>
        <v>0</v>
      </c>
      <c r="AV315">
        <f t="shared" si="109"/>
        <v>1</v>
      </c>
      <c r="AW315">
        <f t="shared" si="109"/>
        <v>0</v>
      </c>
      <c r="AX315">
        <f t="shared" si="109"/>
        <v>0</v>
      </c>
      <c r="AY315">
        <f t="shared" si="109"/>
        <v>0</v>
      </c>
      <c r="AZ315">
        <f t="shared" si="109"/>
        <v>0</v>
      </c>
    </row>
    <row r="316" spans="1:52" x14ac:dyDescent="0.25">
      <c r="A316" t="s">
        <v>46</v>
      </c>
      <c r="B316" s="3">
        <v>41665</v>
      </c>
      <c r="C316" s="1">
        <v>1582.0396460556865</v>
      </c>
      <c r="D316" s="1">
        <v>121.69535738889896</v>
      </c>
      <c r="E316" s="1">
        <f t="shared" si="102"/>
        <v>893.03964605568638</v>
      </c>
      <c r="F316" s="1">
        <f t="shared" si="103"/>
        <v>689</v>
      </c>
      <c r="G316" s="2">
        <v>13</v>
      </c>
      <c r="H316" s="1">
        <v>68.695357388898955</v>
      </c>
      <c r="I316" s="1">
        <v>53</v>
      </c>
      <c r="J316" s="1">
        <f t="shared" si="105"/>
        <v>1182939.8169742029</v>
      </c>
      <c r="K316" s="1">
        <f t="shared" si="106"/>
        <v>608060.81697420147</v>
      </c>
      <c r="N316">
        <f t="shared" si="104"/>
        <v>0</v>
      </c>
      <c r="O316">
        <f t="shared" si="104"/>
        <v>1</v>
      </c>
      <c r="P316">
        <f t="shared" si="104"/>
        <v>0</v>
      </c>
      <c r="Q316">
        <f t="shared" si="115"/>
        <v>0</v>
      </c>
      <c r="R316">
        <f t="shared" si="115"/>
        <v>0</v>
      </c>
      <c r="S316">
        <f t="shared" si="115"/>
        <v>0</v>
      </c>
      <c r="T316">
        <f t="shared" si="115"/>
        <v>0</v>
      </c>
      <c r="U316">
        <f t="shared" si="115"/>
        <v>0</v>
      </c>
      <c r="V316">
        <f t="shared" si="115"/>
        <v>0</v>
      </c>
      <c r="W316">
        <f t="shared" si="115"/>
        <v>0</v>
      </c>
      <c r="X316">
        <f t="shared" si="115"/>
        <v>0</v>
      </c>
      <c r="Y316">
        <f t="shared" si="115"/>
        <v>0</v>
      </c>
      <c r="Z316">
        <f t="shared" si="115"/>
        <v>0</v>
      </c>
      <c r="AA316">
        <f t="shared" si="115"/>
        <v>0</v>
      </c>
      <c r="AB316">
        <f t="shared" si="115"/>
        <v>0</v>
      </c>
      <c r="AC316">
        <f t="shared" si="115"/>
        <v>0</v>
      </c>
      <c r="AD316">
        <f t="shared" si="115"/>
        <v>0</v>
      </c>
      <c r="AE316">
        <f t="shared" si="115"/>
        <v>0</v>
      </c>
      <c r="AF316">
        <f t="shared" si="115"/>
        <v>0</v>
      </c>
      <c r="AG316">
        <f t="shared" si="114"/>
        <v>0</v>
      </c>
      <c r="AH316">
        <f t="shared" si="114"/>
        <v>0</v>
      </c>
      <c r="AI316">
        <f t="shared" si="114"/>
        <v>0</v>
      </c>
      <c r="AJ316">
        <f t="shared" si="114"/>
        <v>0</v>
      </c>
      <c r="AK316">
        <f t="shared" si="114"/>
        <v>0</v>
      </c>
      <c r="AL316">
        <f t="shared" si="114"/>
        <v>0</v>
      </c>
      <c r="AM316">
        <f t="shared" si="114"/>
        <v>0</v>
      </c>
      <c r="AN316">
        <f t="shared" si="114"/>
        <v>0</v>
      </c>
      <c r="AO316">
        <f t="shared" si="114"/>
        <v>0</v>
      </c>
      <c r="AP316">
        <f t="shared" si="114"/>
        <v>0</v>
      </c>
      <c r="AQ316">
        <f t="shared" si="114"/>
        <v>0</v>
      </c>
      <c r="AR316">
        <f t="shared" si="114"/>
        <v>0</v>
      </c>
      <c r="AS316">
        <f t="shared" si="114"/>
        <v>0</v>
      </c>
      <c r="AT316">
        <f t="shared" si="114"/>
        <v>0</v>
      </c>
      <c r="AU316">
        <f t="shared" si="114"/>
        <v>0</v>
      </c>
      <c r="AV316">
        <f t="shared" si="109"/>
        <v>0</v>
      </c>
      <c r="AW316">
        <f t="shared" si="109"/>
        <v>0</v>
      </c>
      <c r="AX316">
        <f t="shared" si="109"/>
        <v>0</v>
      </c>
      <c r="AY316">
        <f t="shared" si="109"/>
        <v>0</v>
      </c>
      <c r="AZ316">
        <f t="shared" si="109"/>
        <v>0</v>
      </c>
    </row>
    <row r="317" spans="1:52" x14ac:dyDescent="0.25">
      <c r="A317" t="s">
        <v>21</v>
      </c>
      <c r="B317" s="3">
        <v>41656</v>
      </c>
      <c r="C317" s="1">
        <v>8996.6091805985852</v>
      </c>
      <c r="D317" s="1">
        <v>119.95478907464781</v>
      </c>
      <c r="E317" s="1">
        <f t="shared" si="102"/>
        <v>5546.6091805985852</v>
      </c>
      <c r="F317" s="1">
        <f t="shared" si="103"/>
        <v>3450</v>
      </c>
      <c r="G317" s="2">
        <v>75</v>
      </c>
      <c r="H317" s="1">
        <v>73.954789074647806</v>
      </c>
      <c r="I317" s="1">
        <v>46</v>
      </c>
      <c r="J317" s="1">
        <f t="shared" si="105"/>
        <v>1191936.4261548014</v>
      </c>
      <c r="K317" s="1">
        <f t="shared" si="106"/>
        <v>613607.42615480011</v>
      </c>
      <c r="N317">
        <f t="shared" si="104"/>
        <v>0</v>
      </c>
      <c r="O317">
        <f t="shared" si="104"/>
        <v>0</v>
      </c>
      <c r="P317">
        <f t="shared" si="104"/>
        <v>0</v>
      </c>
      <c r="Q317">
        <f t="shared" si="115"/>
        <v>0</v>
      </c>
      <c r="R317">
        <f t="shared" si="115"/>
        <v>0</v>
      </c>
      <c r="S317">
        <f t="shared" si="115"/>
        <v>0</v>
      </c>
      <c r="T317">
        <f t="shared" si="115"/>
        <v>1</v>
      </c>
      <c r="U317">
        <f t="shared" si="115"/>
        <v>0</v>
      </c>
      <c r="V317">
        <f t="shared" si="115"/>
        <v>0</v>
      </c>
      <c r="W317">
        <f t="shared" si="115"/>
        <v>0</v>
      </c>
      <c r="X317">
        <f t="shared" si="115"/>
        <v>0</v>
      </c>
      <c r="Y317">
        <f t="shared" si="115"/>
        <v>0</v>
      </c>
      <c r="Z317">
        <f t="shared" si="115"/>
        <v>0</v>
      </c>
      <c r="AA317">
        <f t="shared" si="115"/>
        <v>0</v>
      </c>
      <c r="AB317">
        <f t="shared" si="115"/>
        <v>0</v>
      </c>
      <c r="AC317">
        <f t="shared" si="115"/>
        <v>0</v>
      </c>
      <c r="AD317">
        <f t="shared" si="115"/>
        <v>0</v>
      </c>
      <c r="AE317">
        <f t="shared" si="115"/>
        <v>0</v>
      </c>
      <c r="AF317">
        <f t="shared" si="115"/>
        <v>0</v>
      </c>
      <c r="AG317">
        <f t="shared" si="114"/>
        <v>0</v>
      </c>
      <c r="AH317">
        <f t="shared" si="114"/>
        <v>0</v>
      </c>
      <c r="AI317">
        <f t="shared" si="114"/>
        <v>0</v>
      </c>
      <c r="AJ317">
        <f t="shared" si="114"/>
        <v>0</v>
      </c>
      <c r="AK317">
        <f t="shared" si="114"/>
        <v>0</v>
      </c>
      <c r="AL317">
        <f t="shared" si="114"/>
        <v>0</v>
      </c>
      <c r="AM317">
        <f t="shared" si="114"/>
        <v>0</v>
      </c>
      <c r="AN317">
        <f t="shared" si="114"/>
        <v>0</v>
      </c>
      <c r="AO317">
        <f t="shared" si="114"/>
        <v>0</v>
      </c>
      <c r="AP317">
        <f t="shared" si="114"/>
        <v>0</v>
      </c>
      <c r="AQ317">
        <f t="shared" si="114"/>
        <v>0</v>
      </c>
      <c r="AR317">
        <f t="shared" si="114"/>
        <v>0</v>
      </c>
      <c r="AS317">
        <f t="shared" si="114"/>
        <v>0</v>
      </c>
      <c r="AT317">
        <f t="shared" si="114"/>
        <v>0</v>
      </c>
      <c r="AU317">
        <f t="shared" si="114"/>
        <v>0</v>
      </c>
      <c r="AV317">
        <f t="shared" si="109"/>
        <v>0</v>
      </c>
      <c r="AW317">
        <f t="shared" si="109"/>
        <v>0</v>
      </c>
      <c r="AX317">
        <f t="shared" si="109"/>
        <v>0</v>
      </c>
      <c r="AY317">
        <f t="shared" si="109"/>
        <v>0</v>
      </c>
      <c r="AZ317">
        <f t="shared" si="109"/>
        <v>0</v>
      </c>
    </row>
    <row r="318" spans="1:52" x14ac:dyDescent="0.25">
      <c r="A318" t="s">
        <v>47</v>
      </c>
      <c r="B318" s="3">
        <v>41651</v>
      </c>
      <c r="C318" s="1">
        <v>12203.593799417858</v>
      </c>
      <c r="D318" s="1">
        <v>118.48149319823163</v>
      </c>
      <c r="E318" s="1">
        <f t="shared" si="102"/>
        <v>7156.5937994178585</v>
      </c>
      <c r="F318" s="1">
        <f t="shared" si="103"/>
        <v>5047</v>
      </c>
      <c r="G318" s="2">
        <v>103</v>
      </c>
      <c r="H318" s="1">
        <v>69.481493198231632</v>
      </c>
      <c r="I318" s="1">
        <v>49</v>
      </c>
      <c r="J318" s="1">
        <f t="shared" si="105"/>
        <v>1204140.0199542192</v>
      </c>
      <c r="K318" s="1">
        <f t="shared" si="106"/>
        <v>620764.01995421795</v>
      </c>
      <c r="N318">
        <f t="shared" si="104"/>
        <v>0</v>
      </c>
      <c r="O318">
        <f t="shared" si="104"/>
        <v>0</v>
      </c>
      <c r="P318">
        <f t="shared" si="104"/>
        <v>0</v>
      </c>
      <c r="Q318">
        <f t="shared" si="115"/>
        <v>0</v>
      </c>
      <c r="R318">
        <f t="shared" si="115"/>
        <v>0</v>
      </c>
      <c r="S318">
        <f t="shared" si="115"/>
        <v>0</v>
      </c>
      <c r="T318">
        <f t="shared" si="115"/>
        <v>0</v>
      </c>
      <c r="U318">
        <f t="shared" si="115"/>
        <v>0</v>
      </c>
      <c r="V318">
        <f t="shared" si="115"/>
        <v>0</v>
      </c>
      <c r="W318">
        <f t="shared" si="115"/>
        <v>0</v>
      </c>
      <c r="X318">
        <f t="shared" si="115"/>
        <v>0</v>
      </c>
      <c r="Y318">
        <f t="shared" si="115"/>
        <v>0</v>
      </c>
      <c r="Z318">
        <f t="shared" si="115"/>
        <v>0</v>
      </c>
      <c r="AA318">
        <f t="shared" si="115"/>
        <v>0</v>
      </c>
      <c r="AB318">
        <f t="shared" si="115"/>
        <v>0</v>
      </c>
      <c r="AC318">
        <f t="shared" si="115"/>
        <v>0</v>
      </c>
      <c r="AD318">
        <f t="shared" si="115"/>
        <v>0</v>
      </c>
      <c r="AE318">
        <f t="shared" si="115"/>
        <v>0</v>
      </c>
      <c r="AF318">
        <f t="shared" ref="AF318:AU333" si="116">+IF(AF$5=$A318,1,0)</f>
        <v>0</v>
      </c>
      <c r="AG318">
        <f t="shared" si="116"/>
        <v>0</v>
      </c>
      <c r="AH318">
        <f t="shared" si="116"/>
        <v>0</v>
      </c>
      <c r="AI318">
        <f t="shared" si="116"/>
        <v>0</v>
      </c>
      <c r="AJ318">
        <f t="shared" si="116"/>
        <v>0</v>
      </c>
      <c r="AK318">
        <f t="shared" si="116"/>
        <v>0</v>
      </c>
      <c r="AL318">
        <f t="shared" si="116"/>
        <v>0</v>
      </c>
      <c r="AM318">
        <f t="shared" si="116"/>
        <v>0</v>
      </c>
      <c r="AN318">
        <f t="shared" si="116"/>
        <v>0</v>
      </c>
      <c r="AO318">
        <f t="shared" si="116"/>
        <v>0</v>
      </c>
      <c r="AP318">
        <f t="shared" si="116"/>
        <v>0</v>
      </c>
      <c r="AQ318">
        <f t="shared" si="116"/>
        <v>0</v>
      </c>
      <c r="AR318">
        <f t="shared" si="116"/>
        <v>0</v>
      </c>
      <c r="AS318">
        <f t="shared" si="116"/>
        <v>0</v>
      </c>
      <c r="AT318">
        <f t="shared" si="116"/>
        <v>0</v>
      </c>
      <c r="AU318">
        <f t="shared" si="116"/>
        <v>0</v>
      </c>
      <c r="AV318">
        <f t="shared" ref="AV318:AZ368" si="117">+IF(AV$5=$A318,1,0)</f>
        <v>0</v>
      </c>
      <c r="AW318">
        <f t="shared" si="117"/>
        <v>0</v>
      </c>
      <c r="AX318">
        <f t="shared" si="117"/>
        <v>0</v>
      </c>
      <c r="AY318">
        <f t="shared" si="117"/>
        <v>0</v>
      </c>
      <c r="AZ318">
        <f t="shared" si="117"/>
        <v>1</v>
      </c>
    </row>
    <row r="319" spans="1:52" x14ac:dyDescent="0.25">
      <c r="A319" t="s">
        <v>23</v>
      </c>
      <c r="B319" s="3">
        <v>41633</v>
      </c>
      <c r="C319" s="1">
        <v>1594.1263084694472</v>
      </c>
      <c r="D319" s="1">
        <v>106.27508723129648</v>
      </c>
      <c r="E319" s="1">
        <f t="shared" si="102"/>
        <v>784.12630846944717</v>
      </c>
      <c r="F319" s="1">
        <f t="shared" si="103"/>
        <v>810</v>
      </c>
      <c r="G319" s="2">
        <v>15</v>
      </c>
      <c r="H319" s="1">
        <v>52.275087231296482</v>
      </c>
      <c r="I319" s="1">
        <v>54</v>
      </c>
      <c r="J319" s="1">
        <f t="shared" si="105"/>
        <v>1205734.1462626886</v>
      </c>
      <c r="K319" s="1">
        <f t="shared" si="106"/>
        <v>621548.1462626874</v>
      </c>
      <c r="N319">
        <f t="shared" si="104"/>
        <v>0</v>
      </c>
      <c r="O319">
        <f t="shared" si="104"/>
        <v>0</v>
      </c>
      <c r="P319">
        <f t="shared" si="104"/>
        <v>0</v>
      </c>
      <c r="Q319">
        <f t="shared" ref="Q319:AF334" si="118">+IF(Q$5=$A319,1,0)</f>
        <v>0</v>
      </c>
      <c r="R319">
        <f t="shared" si="118"/>
        <v>0</v>
      </c>
      <c r="S319">
        <f t="shared" si="118"/>
        <v>0</v>
      </c>
      <c r="T319">
        <f t="shared" si="118"/>
        <v>0</v>
      </c>
      <c r="U319">
        <f t="shared" si="118"/>
        <v>0</v>
      </c>
      <c r="V319">
        <f t="shared" si="118"/>
        <v>0</v>
      </c>
      <c r="W319">
        <f t="shared" si="118"/>
        <v>0</v>
      </c>
      <c r="X319">
        <f t="shared" si="118"/>
        <v>0</v>
      </c>
      <c r="Y319">
        <f t="shared" si="118"/>
        <v>0</v>
      </c>
      <c r="Z319">
        <f t="shared" si="118"/>
        <v>0</v>
      </c>
      <c r="AA319">
        <f t="shared" si="118"/>
        <v>0</v>
      </c>
      <c r="AB319">
        <f t="shared" si="118"/>
        <v>0</v>
      </c>
      <c r="AC319">
        <f t="shared" si="118"/>
        <v>0</v>
      </c>
      <c r="AD319">
        <f t="shared" si="118"/>
        <v>0</v>
      </c>
      <c r="AE319">
        <f t="shared" si="118"/>
        <v>0</v>
      </c>
      <c r="AF319">
        <f t="shared" si="118"/>
        <v>0</v>
      </c>
      <c r="AG319">
        <f t="shared" si="116"/>
        <v>0</v>
      </c>
      <c r="AH319">
        <f t="shared" si="116"/>
        <v>0</v>
      </c>
      <c r="AI319">
        <f t="shared" si="116"/>
        <v>0</v>
      </c>
      <c r="AJ319">
        <f t="shared" si="116"/>
        <v>0</v>
      </c>
      <c r="AK319">
        <f t="shared" si="116"/>
        <v>0</v>
      </c>
      <c r="AL319">
        <f t="shared" si="116"/>
        <v>0</v>
      </c>
      <c r="AM319">
        <f t="shared" si="116"/>
        <v>1</v>
      </c>
      <c r="AN319">
        <f t="shared" si="116"/>
        <v>0</v>
      </c>
      <c r="AO319">
        <f t="shared" si="116"/>
        <v>0</v>
      </c>
      <c r="AP319">
        <f t="shared" si="116"/>
        <v>0</v>
      </c>
      <c r="AQ319">
        <f t="shared" si="116"/>
        <v>0</v>
      </c>
      <c r="AR319">
        <f t="shared" si="116"/>
        <v>0</v>
      </c>
      <c r="AS319">
        <f t="shared" si="116"/>
        <v>0</v>
      </c>
      <c r="AT319">
        <f t="shared" si="116"/>
        <v>0</v>
      </c>
      <c r="AU319">
        <f t="shared" si="116"/>
        <v>0</v>
      </c>
      <c r="AV319">
        <f t="shared" si="117"/>
        <v>0</v>
      </c>
      <c r="AW319">
        <f t="shared" si="117"/>
        <v>0</v>
      </c>
      <c r="AX319">
        <f t="shared" si="117"/>
        <v>0</v>
      </c>
      <c r="AY319">
        <f t="shared" si="117"/>
        <v>0</v>
      </c>
      <c r="AZ319">
        <f t="shared" si="117"/>
        <v>0</v>
      </c>
    </row>
    <row r="320" spans="1:52" x14ac:dyDescent="0.25">
      <c r="A320" t="s">
        <v>29</v>
      </c>
      <c r="B320" s="3">
        <v>41623</v>
      </c>
      <c r="C320" s="1">
        <v>530.32456391929009</v>
      </c>
      <c r="D320" s="1">
        <v>88.387427319881681</v>
      </c>
      <c r="E320" s="1">
        <f t="shared" si="102"/>
        <v>242.32456391929003</v>
      </c>
      <c r="F320" s="1">
        <f t="shared" si="103"/>
        <v>288</v>
      </c>
      <c r="G320" s="2">
        <v>6</v>
      </c>
      <c r="H320" s="1">
        <v>40.387427319881674</v>
      </c>
      <c r="I320" s="1">
        <v>48</v>
      </c>
      <c r="J320" s="1">
        <f t="shared" si="105"/>
        <v>1206264.4708266079</v>
      </c>
      <c r="K320" s="1">
        <f t="shared" si="106"/>
        <v>621790.47082660673</v>
      </c>
      <c r="N320">
        <f t="shared" si="104"/>
        <v>0</v>
      </c>
      <c r="O320">
        <f t="shared" si="104"/>
        <v>0</v>
      </c>
      <c r="P320">
        <f t="shared" si="104"/>
        <v>0</v>
      </c>
      <c r="Q320">
        <f t="shared" si="118"/>
        <v>0</v>
      </c>
      <c r="R320">
        <f t="shared" si="118"/>
        <v>0</v>
      </c>
      <c r="S320">
        <f t="shared" si="118"/>
        <v>0</v>
      </c>
      <c r="T320">
        <f t="shared" si="118"/>
        <v>0</v>
      </c>
      <c r="U320">
        <f t="shared" si="118"/>
        <v>0</v>
      </c>
      <c r="V320">
        <f t="shared" si="118"/>
        <v>0</v>
      </c>
      <c r="W320">
        <f t="shared" si="118"/>
        <v>0</v>
      </c>
      <c r="X320">
        <f t="shared" si="118"/>
        <v>0</v>
      </c>
      <c r="Y320">
        <f t="shared" si="118"/>
        <v>0</v>
      </c>
      <c r="Z320">
        <f t="shared" si="118"/>
        <v>0</v>
      </c>
      <c r="AA320">
        <f t="shared" si="118"/>
        <v>0</v>
      </c>
      <c r="AB320">
        <f t="shared" si="118"/>
        <v>0</v>
      </c>
      <c r="AC320">
        <f t="shared" si="118"/>
        <v>0</v>
      </c>
      <c r="AD320">
        <f t="shared" si="118"/>
        <v>0</v>
      </c>
      <c r="AE320">
        <f t="shared" si="118"/>
        <v>0</v>
      </c>
      <c r="AF320">
        <f t="shared" si="118"/>
        <v>0</v>
      </c>
      <c r="AG320">
        <f t="shared" si="116"/>
        <v>0</v>
      </c>
      <c r="AH320">
        <f t="shared" si="116"/>
        <v>0</v>
      </c>
      <c r="AI320">
        <f t="shared" si="116"/>
        <v>0</v>
      </c>
      <c r="AJ320">
        <f t="shared" si="116"/>
        <v>0</v>
      </c>
      <c r="AK320">
        <f t="shared" si="116"/>
        <v>0</v>
      </c>
      <c r="AL320">
        <f t="shared" si="116"/>
        <v>0</v>
      </c>
      <c r="AM320">
        <f t="shared" si="116"/>
        <v>0</v>
      </c>
      <c r="AN320">
        <f t="shared" si="116"/>
        <v>0</v>
      </c>
      <c r="AO320">
        <f t="shared" si="116"/>
        <v>0</v>
      </c>
      <c r="AP320">
        <f t="shared" si="116"/>
        <v>0</v>
      </c>
      <c r="AQ320">
        <f t="shared" si="116"/>
        <v>0</v>
      </c>
      <c r="AR320">
        <f t="shared" si="116"/>
        <v>0</v>
      </c>
      <c r="AS320">
        <f t="shared" si="116"/>
        <v>1</v>
      </c>
      <c r="AT320">
        <f t="shared" si="116"/>
        <v>0</v>
      </c>
      <c r="AU320">
        <f t="shared" si="116"/>
        <v>0</v>
      </c>
      <c r="AV320">
        <f t="shared" si="117"/>
        <v>0</v>
      </c>
      <c r="AW320">
        <f t="shared" si="117"/>
        <v>0</v>
      </c>
      <c r="AX320">
        <f t="shared" si="117"/>
        <v>0</v>
      </c>
      <c r="AY320">
        <f t="shared" si="117"/>
        <v>0</v>
      </c>
      <c r="AZ320">
        <f t="shared" si="117"/>
        <v>0</v>
      </c>
    </row>
    <row r="321" spans="1:52" x14ac:dyDescent="0.25">
      <c r="A321" t="s">
        <v>26</v>
      </c>
      <c r="B321" s="3">
        <v>41618</v>
      </c>
      <c r="C321" s="1">
        <v>4426.5811789795443</v>
      </c>
      <c r="D321" s="1">
        <v>210.78957995140686</v>
      </c>
      <c r="E321" s="1">
        <f t="shared" si="102"/>
        <v>1864.5811789795441</v>
      </c>
      <c r="F321" s="1">
        <f t="shared" si="103"/>
        <v>2562</v>
      </c>
      <c r="G321" s="2">
        <v>21</v>
      </c>
      <c r="H321" s="1">
        <v>88.789579951406864</v>
      </c>
      <c r="I321" s="1">
        <v>122</v>
      </c>
      <c r="J321" s="1">
        <f t="shared" si="105"/>
        <v>1210691.0520055874</v>
      </c>
      <c r="K321" s="1">
        <f t="shared" si="106"/>
        <v>623655.05200558633</v>
      </c>
      <c r="N321">
        <f t="shared" si="104"/>
        <v>1</v>
      </c>
      <c r="O321">
        <f t="shared" si="104"/>
        <v>0</v>
      </c>
      <c r="P321">
        <f t="shared" si="104"/>
        <v>0</v>
      </c>
      <c r="Q321">
        <f t="shared" si="118"/>
        <v>0</v>
      </c>
      <c r="R321">
        <f t="shared" si="118"/>
        <v>0</v>
      </c>
      <c r="S321">
        <f t="shared" si="118"/>
        <v>0</v>
      </c>
      <c r="T321">
        <f t="shared" si="118"/>
        <v>0</v>
      </c>
      <c r="U321">
        <f t="shared" si="118"/>
        <v>0</v>
      </c>
      <c r="V321">
        <f t="shared" si="118"/>
        <v>0</v>
      </c>
      <c r="W321">
        <f t="shared" si="118"/>
        <v>0</v>
      </c>
      <c r="X321">
        <f t="shared" si="118"/>
        <v>0</v>
      </c>
      <c r="Y321">
        <f t="shared" si="118"/>
        <v>0</v>
      </c>
      <c r="Z321">
        <f t="shared" si="118"/>
        <v>0</v>
      </c>
      <c r="AA321">
        <f t="shared" si="118"/>
        <v>0</v>
      </c>
      <c r="AB321">
        <f t="shared" si="118"/>
        <v>0</v>
      </c>
      <c r="AC321">
        <f t="shared" si="118"/>
        <v>0</v>
      </c>
      <c r="AD321">
        <f t="shared" si="118"/>
        <v>0</v>
      </c>
      <c r="AE321">
        <f t="shared" si="118"/>
        <v>0</v>
      </c>
      <c r="AF321">
        <f t="shared" si="118"/>
        <v>0</v>
      </c>
      <c r="AG321">
        <f t="shared" si="116"/>
        <v>0</v>
      </c>
      <c r="AH321">
        <f t="shared" si="116"/>
        <v>0</v>
      </c>
      <c r="AI321">
        <f t="shared" si="116"/>
        <v>0</v>
      </c>
      <c r="AJ321">
        <f t="shared" si="116"/>
        <v>0</v>
      </c>
      <c r="AK321">
        <f t="shared" si="116"/>
        <v>0</v>
      </c>
      <c r="AL321">
        <f t="shared" si="116"/>
        <v>0</v>
      </c>
      <c r="AM321">
        <f t="shared" si="116"/>
        <v>0</v>
      </c>
      <c r="AN321">
        <f t="shared" si="116"/>
        <v>0</v>
      </c>
      <c r="AO321">
        <f t="shared" si="116"/>
        <v>0</v>
      </c>
      <c r="AP321">
        <f t="shared" si="116"/>
        <v>0</v>
      </c>
      <c r="AQ321">
        <f t="shared" si="116"/>
        <v>0</v>
      </c>
      <c r="AR321">
        <f t="shared" si="116"/>
        <v>0</v>
      </c>
      <c r="AS321">
        <f t="shared" si="116"/>
        <v>0</v>
      </c>
      <c r="AT321">
        <f t="shared" si="116"/>
        <v>0</v>
      </c>
      <c r="AU321">
        <f t="shared" si="116"/>
        <v>0</v>
      </c>
      <c r="AV321">
        <f t="shared" si="117"/>
        <v>0</v>
      </c>
      <c r="AW321">
        <f t="shared" si="117"/>
        <v>0</v>
      </c>
      <c r="AX321">
        <f t="shared" si="117"/>
        <v>0</v>
      </c>
      <c r="AY321">
        <f t="shared" si="117"/>
        <v>0</v>
      </c>
      <c r="AZ321">
        <f t="shared" si="117"/>
        <v>0</v>
      </c>
    </row>
    <row r="322" spans="1:52" x14ac:dyDescent="0.25">
      <c r="A322" t="s">
        <v>17</v>
      </c>
      <c r="B322" s="3">
        <v>41609</v>
      </c>
      <c r="C322" s="1">
        <v>1053.7420842967149</v>
      </c>
      <c r="D322" s="1">
        <v>150.53458347095926</v>
      </c>
      <c r="E322" s="1">
        <f t="shared" si="102"/>
        <v>535.74208429671489</v>
      </c>
      <c r="F322" s="1">
        <f t="shared" si="103"/>
        <v>518</v>
      </c>
      <c r="G322" s="2">
        <v>7</v>
      </c>
      <c r="H322" s="1">
        <v>76.534583470959276</v>
      </c>
      <c r="I322" s="1">
        <v>74</v>
      </c>
      <c r="J322" s="1">
        <f t="shared" si="105"/>
        <v>1211744.794089884</v>
      </c>
      <c r="K322" s="1">
        <f t="shared" si="106"/>
        <v>624190.7940898831</v>
      </c>
      <c r="N322">
        <f t="shared" si="104"/>
        <v>0</v>
      </c>
      <c r="O322">
        <f t="shared" si="104"/>
        <v>0</v>
      </c>
      <c r="P322">
        <f t="shared" si="104"/>
        <v>0</v>
      </c>
      <c r="Q322">
        <f t="shared" si="118"/>
        <v>0</v>
      </c>
      <c r="R322">
        <f t="shared" si="118"/>
        <v>0</v>
      </c>
      <c r="S322">
        <f t="shared" si="118"/>
        <v>0</v>
      </c>
      <c r="T322">
        <f t="shared" si="118"/>
        <v>0</v>
      </c>
      <c r="U322">
        <f t="shared" si="118"/>
        <v>0</v>
      </c>
      <c r="V322">
        <f t="shared" si="118"/>
        <v>0</v>
      </c>
      <c r="W322">
        <f t="shared" si="118"/>
        <v>0</v>
      </c>
      <c r="X322">
        <f t="shared" si="118"/>
        <v>0</v>
      </c>
      <c r="Y322">
        <f t="shared" si="118"/>
        <v>0</v>
      </c>
      <c r="Z322">
        <f t="shared" si="118"/>
        <v>0</v>
      </c>
      <c r="AA322">
        <f t="shared" si="118"/>
        <v>0</v>
      </c>
      <c r="AB322">
        <f t="shared" si="118"/>
        <v>0</v>
      </c>
      <c r="AC322">
        <f t="shared" si="118"/>
        <v>0</v>
      </c>
      <c r="AD322">
        <f t="shared" si="118"/>
        <v>0</v>
      </c>
      <c r="AE322">
        <f t="shared" si="118"/>
        <v>0</v>
      </c>
      <c r="AF322">
        <f t="shared" si="118"/>
        <v>0</v>
      </c>
      <c r="AG322">
        <f t="shared" si="116"/>
        <v>1</v>
      </c>
      <c r="AH322">
        <f t="shared" si="116"/>
        <v>0</v>
      </c>
      <c r="AI322">
        <f t="shared" si="116"/>
        <v>0</v>
      </c>
      <c r="AJ322">
        <f t="shared" si="116"/>
        <v>0</v>
      </c>
      <c r="AK322">
        <f t="shared" si="116"/>
        <v>0</v>
      </c>
      <c r="AL322">
        <f t="shared" si="116"/>
        <v>0</v>
      </c>
      <c r="AM322">
        <f t="shared" si="116"/>
        <v>0</v>
      </c>
      <c r="AN322">
        <f t="shared" si="116"/>
        <v>0</v>
      </c>
      <c r="AO322">
        <f t="shared" si="116"/>
        <v>0</v>
      </c>
      <c r="AP322">
        <f t="shared" si="116"/>
        <v>0</v>
      </c>
      <c r="AQ322">
        <f t="shared" si="116"/>
        <v>0</v>
      </c>
      <c r="AR322">
        <f t="shared" si="116"/>
        <v>0</v>
      </c>
      <c r="AS322">
        <f t="shared" si="116"/>
        <v>0</v>
      </c>
      <c r="AT322">
        <f t="shared" si="116"/>
        <v>0</v>
      </c>
      <c r="AU322">
        <f t="shared" si="116"/>
        <v>0</v>
      </c>
      <c r="AV322">
        <f t="shared" si="117"/>
        <v>0</v>
      </c>
      <c r="AW322">
        <f t="shared" si="117"/>
        <v>0</v>
      </c>
      <c r="AX322">
        <f t="shared" si="117"/>
        <v>0</v>
      </c>
      <c r="AY322">
        <f t="shared" si="117"/>
        <v>0</v>
      </c>
      <c r="AZ322">
        <f t="shared" si="117"/>
        <v>0</v>
      </c>
    </row>
    <row r="323" spans="1:52" x14ac:dyDescent="0.25">
      <c r="A323" t="s">
        <v>44</v>
      </c>
      <c r="B323" s="3">
        <v>41589</v>
      </c>
      <c r="C323" s="1">
        <v>1140.2350348468988</v>
      </c>
      <c r="D323" s="1">
        <v>142.52937935586235</v>
      </c>
      <c r="E323" s="1">
        <f t="shared" si="102"/>
        <v>660.23503484689877</v>
      </c>
      <c r="F323" s="1">
        <f t="shared" si="103"/>
        <v>480</v>
      </c>
      <c r="G323" s="2">
        <v>8</v>
      </c>
      <c r="H323" s="1">
        <v>82.529379355862346</v>
      </c>
      <c r="I323" s="1">
        <v>60</v>
      </c>
      <c r="J323" s="1">
        <f t="shared" si="105"/>
        <v>1212885.029124731</v>
      </c>
      <c r="K323" s="1">
        <f t="shared" si="106"/>
        <v>624851.02912473003</v>
      </c>
      <c r="N323">
        <f t="shared" si="104"/>
        <v>0</v>
      </c>
      <c r="O323">
        <f t="shared" si="104"/>
        <v>0</v>
      </c>
      <c r="P323">
        <f t="shared" si="104"/>
        <v>0</v>
      </c>
      <c r="Q323">
        <f t="shared" si="118"/>
        <v>0</v>
      </c>
      <c r="R323">
        <f t="shared" si="118"/>
        <v>0</v>
      </c>
      <c r="S323">
        <f t="shared" si="118"/>
        <v>0</v>
      </c>
      <c r="T323">
        <f t="shared" si="118"/>
        <v>0</v>
      </c>
      <c r="U323">
        <f t="shared" si="118"/>
        <v>0</v>
      </c>
      <c r="V323">
        <f t="shared" si="118"/>
        <v>0</v>
      </c>
      <c r="W323">
        <f t="shared" si="118"/>
        <v>0</v>
      </c>
      <c r="X323">
        <f t="shared" si="118"/>
        <v>0</v>
      </c>
      <c r="Y323">
        <f t="shared" si="118"/>
        <v>0</v>
      </c>
      <c r="Z323">
        <f t="shared" si="118"/>
        <v>0</v>
      </c>
      <c r="AA323">
        <f t="shared" si="118"/>
        <v>0</v>
      </c>
      <c r="AB323">
        <f t="shared" si="118"/>
        <v>0</v>
      </c>
      <c r="AC323">
        <f t="shared" si="118"/>
        <v>0</v>
      </c>
      <c r="AD323">
        <f t="shared" si="118"/>
        <v>0</v>
      </c>
      <c r="AE323">
        <f t="shared" si="118"/>
        <v>0</v>
      </c>
      <c r="AF323">
        <f t="shared" si="118"/>
        <v>0</v>
      </c>
      <c r="AG323">
        <f t="shared" si="116"/>
        <v>0</v>
      </c>
      <c r="AH323">
        <f t="shared" si="116"/>
        <v>0</v>
      </c>
      <c r="AI323">
        <f t="shared" si="116"/>
        <v>0</v>
      </c>
      <c r="AJ323">
        <f t="shared" si="116"/>
        <v>0</v>
      </c>
      <c r="AK323">
        <f t="shared" si="116"/>
        <v>0</v>
      </c>
      <c r="AL323">
        <f t="shared" si="116"/>
        <v>0</v>
      </c>
      <c r="AM323">
        <f t="shared" si="116"/>
        <v>0</v>
      </c>
      <c r="AN323">
        <f t="shared" si="116"/>
        <v>0</v>
      </c>
      <c r="AO323">
        <f t="shared" si="116"/>
        <v>0</v>
      </c>
      <c r="AP323">
        <f t="shared" si="116"/>
        <v>0</v>
      </c>
      <c r="AQ323">
        <f t="shared" si="116"/>
        <v>0</v>
      </c>
      <c r="AR323">
        <f t="shared" si="116"/>
        <v>0</v>
      </c>
      <c r="AS323">
        <f t="shared" si="116"/>
        <v>0</v>
      </c>
      <c r="AT323">
        <f t="shared" si="116"/>
        <v>0</v>
      </c>
      <c r="AU323">
        <f t="shared" si="116"/>
        <v>1</v>
      </c>
      <c r="AV323">
        <f t="shared" si="117"/>
        <v>0</v>
      </c>
      <c r="AW323">
        <f t="shared" si="117"/>
        <v>0</v>
      </c>
      <c r="AX323">
        <f t="shared" si="117"/>
        <v>0</v>
      </c>
      <c r="AY323">
        <f t="shared" si="117"/>
        <v>0</v>
      </c>
      <c r="AZ323">
        <f t="shared" si="117"/>
        <v>0</v>
      </c>
    </row>
    <row r="324" spans="1:52" x14ac:dyDescent="0.25">
      <c r="A324" t="s">
        <v>26</v>
      </c>
      <c r="B324" s="3">
        <v>41587</v>
      </c>
      <c r="C324" s="1">
        <v>3467.7310399336766</v>
      </c>
      <c r="D324" s="1">
        <v>247.69507428097691</v>
      </c>
      <c r="E324" s="1">
        <f t="shared" si="102"/>
        <v>1647.7310399336768</v>
      </c>
      <c r="F324" s="1">
        <f t="shared" si="103"/>
        <v>1820</v>
      </c>
      <c r="G324" s="2">
        <v>14</v>
      </c>
      <c r="H324" s="1">
        <v>117.69507428097691</v>
      </c>
      <c r="I324" s="1">
        <v>130</v>
      </c>
      <c r="J324" s="1">
        <f t="shared" si="105"/>
        <v>1216352.7601646646</v>
      </c>
      <c r="K324" s="1">
        <f t="shared" si="106"/>
        <v>626498.76016466366</v>
      </c>
      <c r="N324">
        <f t="shared" si="104"/>
        <v>1</v>
      </c>
      <c r="O324">
        <f t="shared" si="104"/>
        <v>0</v>
      </c>
      <c r="P324">
        <f t="shared" si="104"/>
        <v>0</v>
      </c>
      <c r="Q324">
        <f t="shared" si="118"/>
        <v>0</v>
      </c>
      <c r="R324">
        <f t="shared" si="118"/>
        <v>0</v>
      </c>
      <c r="S324">
        <f t="shared" si="118"/>
        <v>0</v>
      </c>
      <c r="T324">
        <f t="shared" si="118"/>
        <v>0</v>
      </c>
      <c r="U324">
        <f t="shared" si="118"/>
        <v>0</v>
      </c>
      <c r="V324">
        <f t="shared" si="118"/>
        <v>0</v>
      </c>
      <c r="W324">
        <f t="shared" si="118"/>
        <v>0</v>
      </c>
      <c r="X324">
        <f t="shared" si="118"/>
        <v>0</v>
      </c>
      <c r="Y324">
        <f t="shared" si="118"/>
        <v>0</v>
      </c>
      <c r="Z324">
        <f t="shared" si="118"/>
        <v>0</v>
      </c>
      <c r="AA324">
        <f t="shared" si="118"/>
        <v>0</v>
      </c>
      <c r="AB324">
        <f t="shared" si="118"/>
        <v>0</v>
      </c>
      <c r="AC324">
        <f t="shared" si="118"/>
        <v>0</v>
      </c>
      <c r="AD324">
        <f t="shared" si="118"/>
        <v>0</v>
      </c>
      <c r="AE324">
        <f t="shared" si="118"/>
        <v>0</v>
      </c>
      <c r="AF324">
        <f t="shared" si="118"/>
        <v>0</v>
      </c>
      <c r="AG324">
        <f t="shared" si="116"/>
        <v>0</v>
      </c>
      <c r="AH324">
        <f t="shared" si="116"/>
        <v>0</v>
      </c>
      <c r="AI324">
        <f t="shared" si="116"/>
        <v>0</v>
      </c>
      <c r="AJ324">
        <f t="shared" si="116"/>
        <v>0</v>
      </c>
      <c r="AK324">
        <f t="shared" si="116"/>
        <v>0</v>
      </c>
      <c r="AL324">
        <f t="shared" si="116"/>
        <v>0</v>
      </c>
      <c r="AM324">
        <f t="shared" si="116"/>
        <v>0</v>
      </c>
      <c r="AN324">
        <f t="shared" si="116"/>
        <v>0</v>
      </c>
      <c r="AO324">
        <f t="shared" si="116"/>
        <v>0</v>
      </c>
      <c r="AP324">
        <f t="shared" si="116"/>
        <v>0</v>
      </c>
      <c r="AQ324">
        <f t="shared" si="116"/>
        <v>0</v>
      </c>
      <c r="AR324">
        <f t="shared" si="116"/>
        <v>0</v>
      </c>
      <c r="AS324">
        <f t="shared" si="116"/>
        <v>0</v>
      </c>
      <c r="AT324">
        <f t="shared" si="116"/>
        <v>0</v>
      </c>
      <c r="AU324">
        <f t="shared" si="116"/>
        <v>0</v>
      </c>
      <c r="AV324">
        <f t="shared" si="117"/>
        <v>0</v>
      </c>
      <c r="AW324">
        <f t="shared" si="117"/>
        <v>0</v>
      </c>
      <c r="AX324">
        <f t="shared" si="117"/>
        <v>0</v>
      </c>
      <c r="AY324">
        <f t="shared" si="117"/>
        <v>0</v>
      </c>
      <c r="AZ324">
        <f t="shared" si="117"/>
        <v>0</v>
      </c>
    </row>
    <row r="325" spans="1:52" x14ac:dyDescent="0.25">
      <c r="A325" t="s">
        <v>44</v>
      </c>
      <c r="B325" s="3">
        <v>41583</v>
      </c>
      <c r="C325" s="1">
        <v>6121.4239211922595</v>
      </c>
      <c r="D325" s="1">
        <v>266.14886613879389</v>
      </c>
      <c r="E325" s="1">
        <f t="shared" si="102"/>
        <v>2487.4239211922595</v>
      </c>
      <c r="F325" s="1">
        <f t="shared" si="103"/>
        <v>3634</v>
      </c>
      <c r="G325" s="2">
        <v>23</v>
      </c>
      <c r="H325" s="1">
        <v>108.14886613879389</v>
      </c>
      <c r="I325" s="1">
        <v>158</v>
      </c>
      <c r="J325" s="1">
        <f t="shared" si="105"/>
        <v>1222474.1840858569</v>
      </c>
      <c r="K325" s="1">
        <f t="shared" si="106"/>
        <v>628986.18408585596</v>
      </c>
      <c r="N325">
        <f t="shared" si="104"/>
        <v>0</v>
      </c>
      <c r="O325">
        <f t="shared" si="104"/>
        <v>0</v>
      </c>
      <c r="P325">
        <f t="shared" si="104"/>
        <v>0</v>
      </c>
      <c r="Q325">
        <f t="shared" si="118"/>
        <v>0</v>
      </c>
      <c r="R325">
        <f t="shared" si="118"/>
        <v>0</v>
      </c>
      <c r="S325">
        <f t="shared" si="118"/>
        <v>0</v>
      </c>
      <c r="T325">
        <f t="shared" si="118"/>
        <v>0</v>
      </c>
      <c r="U325">
        <f t="shared" si="118"/>
        <v>0</v>
      </c>
      <c r="V325">
        <f t="shared" si="118"/>
        <v>0</v>
      </c>
      <c r="W325">
        <f t="shared" si="118"/>
        <v>0</v>
      </c>
      <c r="X325">
        <f t="shared" si="118"/>
        <v>0</v>
      </c>
      <c r="Y325">
        <f t="shared" si="118"/>
        <v>0</v>
      </c>
      <c r="Z325">
        <f t="shared" si="118"/>
        <v>0</v>
      </c>
      <c r="AA325">
        <f t="shared" si="118"/>
        <v>0</v>
      </c>
      <c r="AB325">
        <f t="shared" si="118"/>
        <v>0</v>
      </c>
      <c r="AC325">
        <f t="shared" si="118"/>
        <v>0</v>
      </c>
      <c r="AD325">
        <f t="shared" si="118"/>
        <v>0</v>
      </c>
      <c r="AE325">
        <f t="shared" si="118"/>
        <v>0</v>
      </c>
      <c r="AF325">
        <f t="shared" si="118"/>
        <v>0</v>
      </c>
      <c r="AG325">
        <f t="shared" si="116"/>
        <v>0</v>
      </c>
      <c r="AH325">
        <f t="shared" si="116"/>
        <v>0</v>
      </c>
      <c r="AI325">
        <f t="shared" si="116"/>
        <v>0</v>
      </c>
      <c r="AJ325">
        <f t="shared" si="116"/>
        <v>0</v>
      </c>
      <c r="AK325">
        <f t="shared" si="116"/>
        <v>0</v>
      </c>
      <c r="AL325">
        <f t="shared" si="116"/>
        <v>0</v>
      </c>
      <c r="AM325">
        <f t="shared" si="116"/>
        <v>0</v>
      </c>
      <c r="AN325">
        <f t="shared" si="116"/>
        <v>0</v>
      </c>
      <c r="AO325">
        <f t="shared" si="116"/>
        <v>0</v>
      </c>
      <c r="AP325">
        <f t="shared" si="116"/>
        <v>0</v>
      </c>
      <c r="AQ325">
        <f t="shared" si="116"/>
        <v>0</v>
      </c>
      <c r="AR325">
        <f t="shared" si="116"/>
        <v>0</v>
      </c>
      <c r="AS325">
        <f t="shared" si="116"/>
        <v>0</v>
      </c>
      <c r="AT325">
        <f t="shared" si="116"/>
        <v>0</v>
      </c>
      <c r="AU325">
        <f t="shared" si="116"/>
        <v>1</v>
      </c>
      <c r="AV325">
        <f t="shared" si="117"/>
        <v>0</v>
      </c>
      <c r="AW325">
        <f t="shared" si="117"/>
        <v>0</v>
      </c>
      <c r="AX325">
        <f t="shared" si="117"/>
        <v>0</v>
      </c>
      <c r="AY325">
        <f t="shared" si="117"/>
        <v>0</v>
      </c>
      <c r="AZ325">
        <f t="shared" si="117"/>
        <v>0</v>
      </c>
    </row>
    <row r="326" spans="1:52" x14ac:dyDescent="0.25">
      <c r="A326" t="s">
        <v>16</v>
      </c>
      <c r="B326" s="3">
        <v>41580</v>
      </c>
      <c r="C326" s="1">
        <v>202.70872236556107</v>
      </c>
      <c r="D326" s="1">
        <v>50.677180591390268</v>
      </c>
      <c r="E326" s="1">
        <f t="shared" si="102"/>
        <v>122.70872236556106</v>
      </c>
      <c r="F326" s="1">
        <f t="shared" si="103"/>
        <v>80</v>
      </c>
      <c r="G326" s="2">
        <v>4</v>
      </c>
      <c r="H326" s="1">
        <v>30.677180591390265</v>
      </c>
      <c r="I326" s="1">
        <v>20</v>
      </c>
      <c r="J326" s="1">
        <f t="shared" si="105"/>
        <v>1222676.8928082224</v>
      </c>
      <c r="K326" s="1">
        <f t="shared" si="106"/>
        <v>629108.89280822151</v>
      </c>
      <c r="N326">
        <f t="shared" si="104"/>
        <v>0</v>
      </c>
      <c r="O326">
        <f t="shared" si="104"/>
        <v>0</v>
      </c>
      <c r="P326">
        <f t="shared" si="104"/>
        <v>0</v>
      </c>
      <c r="Q326">
        <f t="shared" si="118"/>
        <v>0</v>
      </c>
      <c r="R326">
        <f t="shared" si="118"/>
        <v>0</v>
      </c>
      <c r="S326">
        <f t="shared" si="118"/>
        <v>0</v>
      </c>
      <c r="T326">
        <f t="shared" si="118"/>
        <v>0</v>
      </c>
      <c r="U326">
        <f t="shared" si="118"/>
        <v>0</v>
      </c>
      <c r="V326">
        <f t="shared" si="118"/>
        <v>0</v>
      </c>
      <c r="W326">
        <f t="shared" si="118"/>
        <v>0</v>
      </c>
      <c r="X326">
        <f t="shared" si="118"/>
        <v>0</v>
      </c>
      <c r="Y326">
        <f t="shared" si="118"/>
        <v>0</v>
      </c>
      <c r="Z326">
        <f t="shared" si="118"/>
        <v>0</v>
      </c>
      <c r="AA326">
        <f t="shared" si="118"/>
        <v>0</v>
      </c>
      <c r="AB326">
        <f t="shared" si="118"/>
        <v>0</v>
      </c>
      <c r="AC326">
        <f t="shared" si="118"/>
        <v>0</v>
      </c>
      <c r="AD326">
        <f t="shared" si="118"/>
        <v>0</v>
      </c>
      <c r="AE326">
        <f t="shared" si="118"/>
        <v>0</v>
      </c>
      <c r="AF326">
        <f t="shared" si="118"/>
        <v>0</v>
      </c>
      <c r="AG326">
        <f t="shared" si="116"/>
        <v>0</v>
      </c>
      <c r="AH326">
        <f t="shared" si="116"/>
        <v>0</v>
      </c>
      <c r="AI326">
        <f t="shared" si="116"/>
        <v>0</v>
      </c>
      <c r="AJ326">
        <f t="shared" si="116"/>
        <v>0</v>
      </c>
      <c r="AK326">
        <f t="shared" si="116"/>
        <v>0</v>
      </c>
      <c r="AL326">
        <f t="shared" si="116"/>
        <v>0</v>
      </c>
      <c r="AM326">
        <f t="shared" si="116"/>
        <v>0</v>
      </c>
      <c r="AN326">
        <f t="shared" si="116"/>
        <v>1</v>
      </c>
      <c r="AO326">
        <f t="shared" si="116"/>
        <v>0</v>
      </c>
      <c r="AP326">
        <f t="shared" si="116"/>
        <v>0</v>
      </c>
      <c r="AQ326">
        <f t="shared" si="116"/>
        <v>0</v>
      </c>
      <c r="AR326">
        <f t="shared" si="116"/>
        <v>0</v>
      </c>
      <c r="AS326">
        <f t="shared" si="116"/>
        <v>0</v>
      </c>
      <c r="AT326">
        <f t="shared" si="116"/>
        <v>0</v>
      </c>
      <c r="AU326">
        <f t="shared" si="116"/>
        <v>0</v>
      </c>
      <c r="AV326">
        <f t="shared" si="117"/>
        <v>0</v>
      </c>
      <c r="AW326">
        <f t="shared" si="117"/>
        <v>0</v>
      </c>
      <c r="AX326">
        <f t="shared" si="117"/>
        <v>0</v>
      </c>
      <c r="AY326">
        <f t="shared" si="117"/>
        <v>0</v>
      </c>
      <c r="AZ326">
        <f t="shared" si="117"/>
        <v>0</v>
      </c>
    </row>
    <row r="327" spans="1:52" x14ac:dyDescent="0.25">
      <c r="A327" t="s">
        <v>39</v>
      </c>
      <c r="B327" s="3">
        <v>41574</v>
      </c>
      <c r="C327" s="1">
        <v>5112.925784779166</v>
      </c>
      <c r="D327" s="1">
        <v>96.470297826022005</v>
      </c>
      <c r="E327" s="1">
        <f t="shared" ref="E327:E390" si="119">+G327*H327</f>
        <v>2409.9257847791664</v>
      </c>
      <c r="F327" s="1">
        <f t="shared" ref="F327:F390" si="120">+G327*I327</f>
        <v>2703</v>
      </c>
      <c r="G327" s="2">
        <v>53</v>
      </c>
      <c r="H327" s="1">
        <v>45.470297826022005</v>
      </c>
      <c r="I327" s="1">
        <v>51</v>
      </c>
      <c r="J327" s="1">
        <f t="shared" si="105"/>
        <v>1227789.8185930017</v>
      </c>
      <c r="K327" s="1">
        <f t="shared" si="106"/>
        <v>631518.81859300064</v>
      </c>
      <c r="N327">
        <f t="shared" ref="N327:AC390" si="121">+IF(N$5=$A327,1,0)</f>
        <v>0</v>
      </c>
      <c r="O327">
        <f t="shared" si="121"/>
        <v>0</v>
      </c>
      <c r="P327">
        <f t="shared" si="121"/>
        <v>0</v>
      </c>
      <c r="Q327">
        <f t="shared" si="118"/>
        <v>0</v>
      </c>
      <c r="R327">
        <f t="shared" si="118"/>
        <v>0</v>
      </c>
      <c r="S327">
        <f t="shared" si="118"/>
        <v>0</v>
      </c>
      <c r="T327">
        <f t="shared" si="118"/>
        <v>0</v>
      </c>
      <c r="U327">
        <f t="shared" si="118"/>
        <v>0</v>
      </c>
      <c r="V327">
        <f t="shared" si="118"/>
        <v>0</v>
      </c>
      <c r="W327">
        <f t="shared" si="118"/>
        <v>0</v>
      </c>
      <c r="X327">
        <f t="shared" si="118"/>
        <v>0</v>
      </c>
      <c r="Y327">
        <f t="shared" si="118"/>
        <v>1</v>
      </c>
      <c r="Z327">
        <f t="shared" si="118"/>
        <v>0</v>
      </c>
      <c r="AA327">
        <f t="shared" si="118"/>
        <v>0</v>
      </c>
      <c r="AB327">
        <f t="shared" si="118"/>
        <v>0</v>
      </c>
      <c r="AC327">
        <f t="shared" si="118"/>
        <v>0</v>
      </c>
      <c r="AD327">
        <f t="shared" si="118"/>
        <v>0</v>
      </c>
      <c r="AE327">
        <f t="shared" si="118"/>
        <v>0</v>
      </c>
      <c r="AF327">
        <f t="shared" si="118"/>
        <v>0</v>
      </c>
      <c r="AG327">
        <f t="shared" si="116"/>
        <v>0</v>
      </c>
      <c r="AH327">
        <f t="shared" si="116"/>
        <v>0</v>
      </c>
      <c r="AI327">
        <f t="shared" si="116"/>
        <v>0</v>
      </c>
      <c r="AJ327">
        <f t="shared" si="116"/>
        <v>0</v>
      </c>
      <c r="AK327">
        <f t="shared" si="116"/>
        <v>0</v>
      </c>
      <c r="AL327">
        <f t="shared" si="116"/>
        <v>0</v>
      </c>
      <c r="AM327">
        <f t="shared" si="116"/>
        <v>0</v>
      </c>
      <c r="AN327">
        <f t="shared" si="116"/>
        <v>0</v>
      </c>
      <c r="AO327">
        <f t="shared" si="116"/>
        <v>0</v>
      </c>
      <c r="AP327">
        <f t="shared" si="116"/>
        <v>0</v>
      </c>
      <c r="AQ327">
        <f t="shared" si="116"/>
        <v>0</v>
      </c>
      <c r="AR327">
        <f t="shared" si="116"/>
        <v>0</v>
      </c>
      <c r="AS327">
        <f t="shared" si="116"/>
        <v>0</v>
      </c>
      <c r="AT327">
        <f t="shared" si="116"/>
        <v>0</v>
      </c>
      <c r="AU327">
        <f t="shared" si="116"/>
        <v>0</v>
      </c>
      <c r="AV327">
        <f t="shared" si="117"/>
        <v>0</v>
      </c>
      <c r="AW327">
        <f t="shared" si="117"/>
        <v>0</v>
      </c>
      <c r="AX327">
        <f t="shared" si="117"/>
        <v>0</v>
      </c>
      <c r="AY327">
        <f t="shared" si="117"/>
        <v>0</v>
      </c>
      <c r="AZ327">
        <f t="shared" si="117"/>
        <v>0</v>
      </c>
    </row>
    <row r="328" spans="1:52" x14ac:dyDescent="0.25">
      <c r="A328" t="s">
        <v>20</v>
      </c>
      <c r="B328" s="3">
        <v>41564</v>
      </c>
      <c r="C328" s="1">
        <v>10030.42851753041</v>
      </c>
      <c r="D328" s="1">
        <v>125.38035646913013</v>
      </c>
      <c r="E328" s="1">
        <f t="shared" si="119"/>
        <v>6430.4285175304103</v>
      </c>
      <c r="F328" s="1">
        <f t="shared" si="120"/>
        <v>3600</v>
      </c>
      <c r="G328" s="2">
        <v>80</v>
      </c>
      <c r="H328" s="1">
        <v>80.380356469130135</v>
      </c>
      <c r="I328" s="1">
        <v>45</v>
      </c>
      <c r="J328" s="1">
        <f t="shared" ref="J328:J391" si="122">+J327+C328</f>
        <v>1237820.2471105321</v>
      </c>
      <c r="K328" s="1">
        <f t="shared" ref="K328:K391" si="123">+K327+E328</f>
        <v>637949.24711053108</v>
      </c>
      <c r="N328">
        <f t="shared" si="121"/>
        <v>0</v>
      </c>
      <c r="O328">
        <f t="shared" si="121"/>
        <v>0</v>
      </c>
      <c r="P328">
        <f t="shared" si="121"/>
        <v>0</v>
      </c>
      <c r="Q328">
        <f t="shared" si="118"/>
        <v>0</v>
      </c>
      <c r="R328">
        <f t="shared" si="118"/>
        <v>0</v>
      </c>
      <c r="S328">
        <f t="shared" si="118"/>
        <v>0</v>
      </c>
      <c r="T328">
        <f t="shared" si="118"/>
        <v>0</v>
      </c>
      <c r="U328">
        <f t="shared" si="118"/>
        <v>0</v>
      </c>
      <c r="V328">
        <f t="shared" si="118"/>
        <v>0</v>
      </c>
      <c r="W328">
        <f t="shared" si="118"/>
        <v>0</v>
      </c>
      <c r="X328">
        <f t="shared" si="118"/>
        <v>0</v>
      </c>
      <c r="Y328">
        <f t="shared" si="118"/>
        <v>0</v>
      </c>
      <c r="Z328">
        <f t="shared" si="118"/>
        <v>0</v>
      </c>
      <c r="AA328">
        <f t="shared" si="118"/>
        <v>0</v>
      </c>
      <c r="AB328">
        <f t="shared" si="118"/>
        <v>0</v>
      </c>
      <c r="AC328">
        <f t="shared" si="118"/>
        <v>0</v>
      </c>
      <c r="AD328">
        <f t="shared" si="118"/>
        <v>0</v>
      </c>
      <c r="AE328">
        <f t="shared" si="118"/>
        <v>1</v>
      </c>
      <c r="AF328">
        <f t="shared" si="118"/>
        <v>0</v>
      </c>
      <c r="AG328">
        <f t="shared" si="116"/>
        <v>0</v>
      </c>
      <c r="AH328">
        <f t="shared" si="116"/>
        <v>0</v>
      </c>
      <c r="AI328">
        <f t="shared" si="116"/>
        <v>0</v>
      </c>
      <c r="AJ328">
        <f t="shared" si="116"/>
        <v>0</v>
      </c>
      <c r="AK328">
        <f t="shared" si="116"/>
        <v>0</v>
      </c>
      <c r="AL328">
        <f t="shared" si="116"/>
        <v>0</v>
      </c>
      <c r="AM328">
        <f t="shared" si="116"/>
        <v>0</v>
      </c>
      <c r="AN328">
        <f t="shared" si="116"/>
        <v>0</v>
      </c>
      <c r="AO328">
        <f t="shared" si="116"/>
        <v>0</v>
      </c>
      <c r="AP328">
        <f t="shared" si="116"/>
        <v>0</v>
      </c>
      <c r="AQ328">
        <f t="shared" si="116"/>
        <v>0</v>
      </c>
      <c r="AR328">
        <f t="shared" si="116"/>
        <v>0</v>
      </c>
      <c r="AS328">
        <f t="shared" si="116"/>
        <v>0</v>
      </c>
      <c r="AT328">
        <f t="shared" si="116"/>
        <v>0</v>
      </c>
      <c r="AU328">
        <f t="shared" si="116"/>
        <v>0</v>
      </c>
      <c r="AV328">
        <f t="shared" si="117"/>
        <v>0</v>
      </c>
      <c r="AW328">
        <f t="shared" si="117"/>
        <v>0</v>
      </c>
      <c r="AX328">
        <f t="shared" si="117"/>
        <v>0</v>
      </c>
      <c r="AY328">
        <f t="shared" si="117"/>
        <v>0</v>
      </c>
      <c r="AZ328">
        <f t="shared" si="117"/>
        <v>0</v>
      </c>
    </row>
    <row r="329" spans="1:52" x14ac:dyDescent="0.25">
      <c r="A329" t="s">
        <v>23</v>
      </c>
      <c r="B329" s="3">
        <v>41563</v>
      </c>
      <c r="C329" s="1">
        <v>9110.5976892723447</v>
      </c>
      <c r="D329" s="1">
        <v>314.15854100939117</v>
      </c>
      <c r="E329" s="1">
        <f t="shared" si="119"/>
        <v>4441.5976892723438</v>
      </c>
      <c r="F329" s="1">
        <f t="shared" si="120"/>
        <v>4669</v>
      </c>
      <c r="G329" s="2">
        <v>29</v>
      </c>
      <c r="H329" s="1">
        <v>153.15854100939117</v>
      </c>
      <c r="I329" s="1">
        <v>161</v>
      </c>
      <c r="J329" s="1">
        <f t="shared" si="122"/>
        <v>1246930.8447998045</v>
      </c>
      <c r="K329" s="1">
        <f t="shared" si="123"/>
        <v>642390.84479980345</v>
      </c>
      <c r="N329">
        <f t="shared" si="121"/>
        <v>0</v>
      </c>
      <c r="O329">
        <f t="shared" si="121"/>
        <v>0</v>
      </c>
      <c r="P329">
        <f t="shared" si="121"/>
        <v>0</v>
      </c>
      <c r="Q329">
        <f t="shared" si="118"/>
        <v>0</v>
      </c>
      <c r="R329">
        <f t="shared" si="118"/>
        <v>0</v>
      </c>
      <c r="S329">
        <f t="shared" si="118"/>
        <v>0</v>
      </c>
      <c r="T329">
        <f t="shared" si="118"/>
        <v>0</v>
      </c>
      <c r="U329">
        <f t="shared" si="118"/>
        <v>0</v>
      </c>
      <c r="V329">
        <f t="shared" si="118"/>
        <v>0</v>
      </c>
      <c r="W329">
        <f t="shared" si="118"/>
        <v>0</v>
      </c>
      <c r="X329">
        <f t="shared" si="118"/>
        <v>0</v>
      </c>
      <c r="Y329">
        <f t="shared" si="118"/>
        <v>0</v>
      </c>
      <c r="Z329">
        <f t="shared" si="118"/>
        <v>0</v>
      </c>
      <c r="AA329">
        <f t="shared" si="118"/>
        <v>0</v>
      </c>
      <c r="AB329">
        <f t="shared" si="118"/>
        <v>0</v>
      </c>
      <c r="AC329">
        <f t="shared" si="118"/>
        <v>0</v>
      </c>
      <c r="AD329">
        <f t="shared" si="118"/>
        <v>0</v>
      </c>
      <c r="AE329">
        <f t="shared" si="118"/>
        <v>0</v>
      </c>
      <c r="AF329">
        <f t="shared" si="118"/>
        <v>0</v>
      </c>
      <c r="AG329">
        <f t="shared" si="116"/>
        <v>0</v>
      </c>
      <c r="AH329">
        <f t="shared" si="116"/>
        <v>0</v>
      </c>
      <c r="AI329">
        <f t="shared" si="116"/>
        <v>0</v>
      </c>
      <c r="AJ329">
        <f t="shared" si="116"/>
        <v>0</v>
      </c>
      <c r="AK329">
        <f t="shared" si="116"/>
        <v>0</v>
      </c>
      <c r="AL329">
        <f t="shared" si="116"/>
        <v>0</v>
      </c>
      <c r="AM329">
        <f t="shared" si="116"/>
        <v>1</v>
      </c>
      <c r="AN329">
        <f t="shared" si="116"/>
        <v>0</v>
      </c>
      <c r="AO329">
        <f t="shared" si="116"/>
        <v>0</v>
      </c>
      <c r="AP329">
        <f t="shared" si="116"/>
        <v>0</v>
      </c>
      <c r="AQ329">
        <f t="shared" si="116"/>
        <v>0</v>
      </c>
      <c r="AR329">
        <f t="shared" si="116"/>
        <v>0</v>
      </c>
      <c r="AS329">
        <f t="shared" si="116"/>
        <v>0</v>
      </c>
      <c r="AT329">
        <f t="shared" si="116"/>
        <v>0</v>
      </c>
      <c r="AU329">
        <f t="shared" si="116"/>
        <v>0</v>
      </c>
      <c r="AV329">
        <f t="shared" si="117"/>
        <v>0</v>
      </c>
      <c r="AW329">
        <f t="shared" si="117"/>
        <v>0</v>
      </c>
      <c r="AX329">
        <f t="shared" si="117"/>
        <v>0</v>
      </c>
      <c r="AY329">
        <f t="shared" si="117"/>
        <v>0</v>
      </c>
      <c r="AZ329">
        <f t="shared" si="117"/>
        <v>0</v>
      </c>
    </row>
    <row r="330" spans="1:52" x14ac:dyDescent="0.25">
      <c r="A330" t="s">
        <v>13</v>
      </c>
      <c r="B330" s="3">
        <v>41556</v>
      </c>
      <c r="C330" s="1">
        <v>1160.1656380677248</v>
      </c>
      <c r="D330" s="1">
        <v>105.46960346070226</v>
      </c>
      <c r="E330" s="1">
        <f t="shared" si="119"/>
        <v>742.1656380677249</v>
      </c>
      <c r="F330" s="1">
        <f t="shared" si="120"/>
        <v>418</v>
      </c>
      <c r="G330" s="2">
        <v>11</v>
      </c>
      <c r="H330" s="1">
        <v>67.46960346070226</v>
      </c>
      <c r="I330" s="1">
        <v>38</v>
      </c>
      <c r="J330" s="1">
        <f t="shared" si="122"/>
        <v>1248091.0104378723</v>
      </c>
      <c r="K330" s="1">
        <f t="shared" si="123"/>
        <v>643133.01043787121</v>
      </c>
      <c r="N330">
        <f t="shared" si="121"/>
        <v>0</v>
      </c>
      <c r="O330">
        <f t="shared" si="121"/>
        <v>0</v>
      </c>
      <c r="P330">
        <f t="shared" si="121"/>
        <v>0</v>
      </c>
      <c r="Q330">
        <f t="shared" si="118"/>
        <v>0</v>
      </c>
      <c r="R330">
        <f t="shared" si="118"/>
        <v>1</v>
      </c>
      <c r="S330">
        <f t="shared" si="118"/>
        <v>0</v>
      </c>
      <c r="T330">
        <f t="shared" si="118"/>
        <v>0</v>
      </c>
      <c r="U330">
        <f t="shared" si="118"/>
        <v>0</v>
      </c>
      <c r="V330">
        <f t="shared" si="118"/>
        <v>0</v>
      </c>
      <c r="W330">
        <f t="shared" si="118"/>
        <v>0</v>
      </c>
      <c r="X330">
        <f t="shared" si="118"/>
        <v>0</v>
      </c>
      <c r="Y330">
        <f t="shared" si="118"/>
        <v>0</v>
      </c>
      <c r="Z330">
        <f t="shared" si="118"/>
        <v>0</v>
      </c>
      <c r="AA330">
        <f t="shared" si="118"/>
        <v>0</v>
      </c>
      <c r="AB330">
        <f t="shared" si="118"/>
        <v>0</v>
      </c>
      <c r="AC330">
        <f t="shared" si="118"/>
        <v>0</v>
      </c>
      <c r="AD330">
        <f t="shared" si="118"/>
        <v>0</v>
      </c>
      <c r="AE330">
        <f t="shared" si="118"/>
        <v>0</v>
      </c>
      <c r="AF330">
        <f t="shared" si="118"/>
        <v>0</v>
      </c>
      <c r="AG330">
        <f t="shared" si="116"/>
        <v>0</v>
      </c>
      <c r="AH330">
        <f t="shared" si="116"/>
        <v>0</v>
      </c>
      <c r="AI330">
        <f t="shared" si="116"/>
        <v>0</v>
      </c>
      <c r="AJ330">
        <f t="shared" si="116"/>
        <v>0</v>
      </c>
      <c r="AK330">
        <f t="shared" si="116"/>
        <v>0</v>
      </c>
      <c r="AL330">
        <f t="shared" si="116"/>
        <v>0</v>
      </c>
      <c r="AM330">
        <f t="shared" si="116"/>
        <v>0</v>
      </c>
      <c r="AN330">
        <f t="shared" si="116"/>
        <v>0</v>
      </c>
      <c r="AO330">
        <f t="shared" si="116"/>
        <v>0</v>
      </c>
      <c r="AP330">
        <f t="shared" si="116"/>
        <v>0</v>
      </c>
      <c r="AQ330">
        <f t="shared" si="116"/>
        <v>0</v>
      </c>
      <c r="AR330">
        <f t="shared" si="116"/>
        <v>0</v>
      </c>
      <c r="AS330">
        <f t="shared" si="116"/>
        <v>0</v>
      </c>
      <c r="AT330">
        <f t="shared" si="116"/>
        <v>0</v>
      </c>
      <c r="AU330">
        <f t="shared" si="116"/>
        <v>0</v>
      </c>
      <c r="AV330">
        <f t="shared" si="117"/>
        <v>0</v>
      </c>
      <c r="AW330">
        <f t="shared" si="117"/>
        <v>0</v>
      </c>
      <c r="AX330">
        <f t="shared" si="117"/>
        <v>0</v>
      </c>
      <c r="AY330">
        <f t="shared" si="117"/>
        <v>0</v>
      </c>
      <c r="AZ330">
        <f t="shared" si="117"/>
        <v>0</v>
      </c>
    </row>
    <row r="331" spans="1:52" x14ac:dyDescent="0.25">
      <c r="A331" t="s">
        <v>20</v>
      </c>
      <c r="B331" s="3">
        <v>41552</v>
      </c>
      <c r="C331" s="1">
        <v>4951.2883881218731</v>
      </c>
      <c r="D331" s="1">
        <v>86.864708563541626</v>
      </c>
      <c r="E331" s="1">
        <f t="shared" si="119"/>
        <v>2101.2883881218727</v>
      </c>
      <c r="F331" s="1">
        <f t="shared" si="120"/>
        <v>2850</v>
      </c>
      <c r="G331" s="2">
        <v>57</v>
      </c>
      <c r="H331" s="1">
        <v>36.864708563541626</v>
      </c>
      <c r="I331" s="1">
        <v>50</v>
      </c>
      <c r="J331" s="1">
        <f t="shared" si="122"/>
        <v>1253042.2988259941</v>
      </c>
      <c r="K331" s="1">
        <f t="shared" si="123"/>
        <v>645234.29882599309</v>
      </c>
      <c r="N331">
        <f t="shared" si="121"/>
        <v>0</v>
      </c>
      <c r="O331">
        <f t="shared" si="121"/>
        <v>0</v>
      </c>
      <c r="P331">
        <f t="shared" si="121"/>
        <v>0</v>
      </c>
      <c r="Q331">
        <f t="shared" si="118"/>
        <v>0</v>
      </c>
      <c r="R331">
        <f t="shared" si="118"/>
        <v>0</v>
      </c>
      <c r="S331">
        <f t="shared" si="118"/>
        <v>0</v>
      </c>
      <c r="T331">
        <f t="shared" si="118"/>
        <v>0</v>
      </c>
      <c r="U331">
        <f t="shared" si="118"/>
        <v>0</v>
      </c>
      <c r="V331">
        <f t="shared" si="118"/>
        <v>0</v>
      </c>
      <c r="W331">
        <f t="shared" si="118"/>
        <v>0</v>
      </c>
      <c r="X331">
        <f t="shared" si="118"/>
        <v>0</v>
      </c>
      <c r="Y331">
        <f t="shared" si="118"/>
        <v>0</v>
      </c>
      <c r="Z331">
        <f t="shared" si="118"/>
        <v>0</v>
      </c>
      <c r="AA331">
        <f t="shared" si="118"/>
        <v>0</v>
      </c>
      <c r="AB331">
        <f t="shared" si="118"/>
        <v>0</v>
      </c>
      <c r="AC331">
        <f t="shared" si="118"/>
        <v>0</v>
      </c>
      <c r="AD331">
        <f t="shared" si="118"/>
        <v>0</v>
      </c>
      <c r="AE331">
        <f t="shared" si="118"/>
        <v>1</v>
      </c>
      <c r="AF331">
        <f t="shared" si="118"/>
        <v>0</v>
      </c>
      <c r="AG331">
        <f t="shared" si="116"/>
        <v>0</v>
      </c>
      <c r="AH331">
        <f t="shared" si="116"/>
        <v>0</v>
      </c>
      <c r="AI331">
        <f t="shared" si="116"/>
        <v>0</v>
      </c>
      <c r="AJ331">
        <f t="shared" si="116"/>
        <v>0</v>
      </c>
      <c r="AK331">
        <f t="shared" si="116"/>
        <v>0</v>
      </c>
      <c r="AL331">
        <f t="shared" si="116"/>
        <v>0</v>
      </c>
      <c r="AM331">
        <f t="shared" si="116"/>
        <v>0</v>
      </c>
      <c r="AN331">
        <f t="shared" si="116"/>
        <v>0</v>
      </c>
      <c r="AO331">
        <f t="shared" si="116"/>
        <v>0</v>
      </c>
      <c r="AP331">
        <f t="shared" si="116"/>
        <v>0</v>
      </c>
      <c r="AQ331">
        <f t="shared" si="116"/>
        <v>0</v>
      </c>
      <c r="AR331">
        <f t="shared" si="116"/>
        <v>0</v>
      </c>
      <c r="AS331">
        <f t="shared" si="116"/>
        <v>0</v>
      </c>
      <c r="AT331">
        <f t="shared" si="116"/>
        <v>0</v>
      </c>
      <c r="AU331">
        <f t="shared" si="116"/>
        <v>0</v>
      </c>
      <c r="AV331">
        <f t="shared" si="117"/>
        <v>0</v>
      </c>
      <c r="AW331">
        <f t="shared" si="117"/>
        <v>0</v>
      </c>
      <c r="AX331">
        <f t="shared" si="117"/>
        <v>0</v>
      </c>
      <c r="AY331">
        <f t="shared" si="117"/>
        <v>0</v>
      </c>
      <c r="AZ331">
        <f t="shared" si="117"/>
        <v>0</v>
      </c>
    </row>
    <row r="332" spans="1:52" x14ac:dyDescent="0.25">
      <c r="A332" t="s">
        <v>23</v>
      </c>
      <c r="B332" s="3">
        <v>41548</v>
      </c>
      <c r="C332" s="1">
        <v>421.13175030135858</v>
      </c>
      <c r="D332" s="1">
        <v>84.226350060271713</v>
      </c>
      <c r="E332" s="1">
        <f t="shared" si="119"/>
        <v>246.13175030135858</v>
      </c>
      <c r="F332" s="1">
        <f t="shared" si="120"/>
        <v>175</v>
      </c>
      <c r="G332" s="2">
        <v>5</v>
      </c>
      <c r="H332" s="1">
        <v>49.226350060271713</v>
      </c>
      <c r="I332" s="1">
        <v>35</v>
      </c>
      <c r="J332" s="1">
        <f t="shared" si="122"/>
        <v>1253463.4305762956</v>
      </c>
      <c r="K332" s="1">
        <f t="shared" si="123"/>
        <v>645480.43057629443</v>
      </c>
      <c r="N332">
        <f t="shared" si="121"/>
        <v>0</v>
      </c>
      <c r="O332">
        <f t="shared" si="121"/>
        <v>0</v>
      </c>
      <c r="P332">
        <f t="shared" si="121"/>
        <v>0</v>
      </c>
      <c r="Q332">
        <f t="shared" si="118"/>
        <v>0</v>
      </c>
      <c r="R332">
        <f t="shared" si="118"/>
        <v>0</v>
      </c>
      <c r="S332">
        <f t="shared" si="118"/>
        <v>0</v>
      </c>
      <c r="T332">
        <f t="shared" si="118"/>
        <v>0</v>
      </c>
      <c r="U332">
        <f t="shared" si="118"/>
        <v>0</v>
      </c>
      <c r="V332">
        <f t="shared" si="118"/>
        <v>0</v>
      </c>
      <c r="W332">
        <f t="shared" si="118"/>
        <v>0</v>
      </c>
      <c r="X332">
        <f t="shared" si="118"/>
        <v>0</v>
      </c>
      <c r="Y332">
        <f t="shared" si="118"/>
        <v>0</v>
      </c>
      <c r="Z332">
        <f t="shared" si="118"/>
        <v>0</v>
      </c>
      <c r="AA332">
        <f t="shared" si="118"/>
        <v>0</v>
      </c>
      <c r="AB332">
        <f t="shared" si="118"/>
        <v>0</v>
      </c>
      <c r="AC332">
        <f t="shared" si="118"/>
        <v>0</v>
      </c>
      <c r="AD332">
        <f t="shared" si="118"/>
        <v>0</v>
      </c>
      <c r="AE332">
        <f t="shared" si="118"/>
        <v>0</v>
      </c>
      <c r="AF332">
        <f t="shared" si="118"/>
        <v>0</v>
      </c>
      <c r="AG332">
        <f t="shared" si="116"/>
        <v>0</v>
      </c>
      <c r="AH332">
        <f t="shared" si="116"/>
        <v>0</v>
      </c>
      <c r="AI332">
        <f t="shared" si="116"/>
        <v>0</v>
      </c>
      <c r="AJ332">
        <f t="shared" si="116"/>
        <v>0</v>
      </c>
      <c r="AK332">
        <f t="shared" si="116"/>
        <v>0</v>
      </c>
      <c r="AL332">
        <f t="shared" si="116"/>
        <v>0</v>
      </c>
      <c r="AM332">
        <f t="shared" si="116"/>
        <v>1</v>
      </c>
      <c r="AN332">
        <f t="shared" si="116"/>
        <v>0</v>
      </c>
      <c r="AO332">
        <f t="shared" si="116"/>
        <v>0</v>
      </c>
      <c r="AP332">
        <f t="shared" si="116"/>
        <v>0</v>
      </c>
      <c r="AQ332">
        <f t="shared" si="116"/>
        <v>0</v>
      </c>
      <c r="AR332">
        <f t="shared" si="116"/>
        <v>0</v>
      </c>
      <c r="AS332">
        <f t="shared" si="116"/>
        <v>0</v>
      </c>
      <c r="AT332">
        <f t="shared" si="116"/>
        <v>0</v>
      </c>
      <c r="AU332">
        <f t="shared" si="116"/>
        <v>0</v>
      </c>
      <c r="AV332">
        <f t="shared" si="117"/>
        <v>0</v>
      </c>
      <c r="AW332">
        <f t="shared" si="117"/>
        <v>0</v>
      </c>
      <c r="AX332">
        <f t="shared" si="117"/>
        <v>0</v>
      </c>
      <c r="AY332">
        <f t="shared" si="117"/>
        <v>0</v>
      </c>
      <c r="AZ332">
        <f t="shared" si="117"/>
        <v>0</v>
      </c>
    </row>
    <row r="333" spans="1:52" x14ac:dyDescent="0.25">
      <c r="A333" t="s">
        <v>11</v>
      </c>
      <c r="B333" s="3">
        <v>41539</v>
      </c>
      <c r="C333" s="1">
        <v>8253.6309269013291</v>
      </c>
      <c r="D333" s="1">
        <v>68.780257724177744</v>
      </c>
      <c r="E333" s="1">
        <f t="shared" si="119"/>
        <v>5373.63092690133</v>
      </c>
      <c r="F333" s="1">
        <f t="shared" si="120"/>
        <v>2880</v>
      </c>
      <c r="G333" s="2">
        <v>120</v>
      </c>
      <c r="H333" s="1">
        <v>44.780257724177751</v>
      </c>
      <c r="I333" s="1">
        <v>24</v>
      </c>
      <c r="J333" s="1">
        <f t="shared" si="122"/>
        <v>1261717.0615031968</v>
      </c>
      <c r="K333" s="1">
        <f t="shared" si="123"/>
        <v>650854.06150319579</v>
      </c>
      <c r="N333">
        <f t="shared" si="121"/>
        <v>0</v>
      </c>
      <c r="O333">
        <f t="shared" si="121"/>
        <v>0</v>
      </c>
      <c r="P333">
        <f t="shared" si="121"/>
        <v>1</v>
      </c>
      <c r="Q333">
        <f t="shared" si="118"/>
        <v>0</v>
      </c>
      <c r="R333">
        <f t="shared" si="118"/>
        <v>0</v>
      </c>
      <c r="S333">
        <f t="shared" si="118"/>
        <v>0</v>
      </c>
      <c r="T333">
        <f t="shared" si="118"/>
        <v>0</v>
      </c>
      <c r="U333">
        <f t="shared" si="118"/>
        <v>0</v>
      </c>
      <c r="V333">
        <f t="shared" si="118"/>
        <v>0</v>
      </c>
      <c r="W333">
        <f t="shared" si="118"/>
        <v>0</v>
      </c>
      <c r="X333">
        <f t="shared" si="118"/>
        <v>0</v>
      </c>
      <c r="Y333">
        <f t="shared" si="118"/>
        <v>0</v>
      </c>
      <c r="Z333">
        <f t="shared" si="118"/>
        <v>0</v>
      </c>
      <c r="AA333">
        <f t="shared" si="118"/>
        <v>0</v>
      </c>
      <c r="AB333">
        <f t="shared" si="118"/>
        <v>0</v>
      </c>
      <c r="AC333">
        <f t="shared" si="118"/>
        <v>0</v>
      </c>
      <c r="AD333">
        <f t="shared" si="118"/>
        <v>0</v>
      </c>
      <c r="AE333">
        <f t="shared" si="118"/>
        <v>0</v>
      </c>
      <c r="AF333">
        <f t="shared" si="118"/>
        <v>0</v>
      </c>
      <c r="AG333">
        <f t="shared" si="116"/>
        <v>0</v>
      </c>
      <c r="AH333">
        <f t="shared" si="116"/>
        <v>0</v>
      </c>
      <c r="AI333">
        <f t="shared" si="116"/>
        <v>0</v>
      </c>
      <c r="AJ333">
        <f t="shared" si="116"/>
        <v>0</v>
      </c>
      <c r="AK333">
        <f t="shared" si="116"/>
        <v>0</v>
      </c>
      <c r="AL333">
        <f t="shared" si="116"/>
        <v>0</v>
      </c>
      <c r="AM333">
        <f t="shared" si="116"/>
        <v>0</v>
      </c>
      <c r="AN333">
        <f t="shared" si="116"/>
        <v>0</v>
      </c>
      <c r="AO333">
        <f t="shared" si="116"/>
        <v>0</v>
      </c>
      <c r="AP333">
        <f t="shared" si="116"/>
        <v>0</v>
      </c>
      <c r="AQ333">
        <f t="shared" si="116"/>
        <v>0</v>
      </c>
      <c r="AR333">
        <f t="shared" si="116"/>
        <v>0</v>
      </c>
      <c r="AS333">
        <f t="shared" si="116"/>
        <v>0</v>
      </c>
      <c r="AT333">
        <f t="shared" si="116"/>
        <v>0</v>
      </c>
      <c r="AU333">
        <f t="shared" si="116"/>
        <v>0</v>
      </c>
      <c r="AV333">
        <f t="shared" si="117"/>
        <v>0</v>
      </c>
      <c r="AW333">
        <f t="shared" si="117"/>
        <v>0</v>
      </c>
      <c r="AX333">
        <f t="shared" si="117"/>
        <v>0</v>
      </c>
      <c r="AY333">
        <f t="shared" si="117"/>
        <v>0</v>
      </c>
      <c r="AZ333">
        <f t="shared" si="117"/>
        <v>0</v>
      </c>
    </row>
    <row r="334" spans="1:52" x14ac:dyDescent="0.25">
      <c r="A334" t="s">
        <v>46</v>
      </c>
      <c r="B334" s="3">
        <v>41535</v>
      </c>
      <c r="C334" s="1">
        <v>526.59928801193723</v>
      </c>
      <c r="D334" s="1">
        <v>75.228469715991025</v>
      </c>
      <c r="E334" s="1">
        <f t="shared" si="119"/>
        <v>337.59928801193718</v>
      </c>
      <c r="F334" s="1">
        <f t="shared" si="120"/>
        <v>189</v>
      </c>
      <c r="G334" s="2">
        <v>7</v>
      </c>
      <c r="H334" s="1">
        <v>48.228469715991025</v>
      </c>
      <c r="I334" s="1">
        <v>27</v>
      </c>
      <c r="J334" s="1">
        <f t="shared" si="122"/>
        <v>1262243.6607912087</v>
      </c>
      <c r="K334" s="1">
        <f t="shared" si="123"/>
        <v>651191.66079120769</v>
      </c>
      <c r="N334">
        <f t="shared" si="121"/>
        <v>0</v>
      </c>
      <c r="O334">
        <f t="shared" si="121"/>
        <v>1</v>
      </c>
      <c r="P334">
        <f t="shared" si="121"/>
        <v>0</v>
      </c>
      <c r="Q334">
        <f t="shared" si="118"/>
        <v>0</v>
      </c>
      <c r="R334">
        <f t="shared" si="118"/>
        <v>0</v>
      </c>
      <c r="S334">
        <f t="shared" si="118"/>
        <v>0</v>
      </c>
      <c r="T334">
        <f t="shared" si="118"/>
        <v>0</v>
      </c>
      <c r="U334">
        <f t="shared" si="118"/>
        <v>0</v>
      </c>
      <c r="V334">
        <f t="shared" si="118"/>
        <v>0</v>
      </c>
      <c r="W334">
        <f t="shared" si="118"/>
        <v>0</v>
      </c>
      <c r="X334">
        <f t="shared" si="118"/>
        <v>0</v>
      </c>
      <c r="Y334">
        <f t="shared" si="118"/>
        <v>0</v>
      </c>
      <c r="Z334">
        <f t="shared" si="118"/>
        <v>0</v>
      </c>
      <c r="AA334">
        <f t="shared" si="118"/>
        <v>0</v>
      </c>
      <c r="AB334">
        <f t="shared" si="118"/>
        <v>0</v>
      </c>
      <c r="AC334">
        <f t="shared" si="118"/>
        <v>0</v>
      </c>
      <c r="AD334">
        <f t="shared" si="118"/>
        <v>0</v>
      </c>
      <c r="AE334">
        <f t="shared" si="118"/>
        <v>0</v>
      </c>
      <c r="AF334">
        <f t="shared" ref="AF334:AU354" si="124">+IF(AF$5=$A334,1,0)</f>
        <v>0</v>
      </c>
      <c r="AG334">
        <f t="shared" si="124"/>
        <v>0</v>
      </c>
      <c r="AH334">
        <f t="shared" si="124"/>
        <v>0</v>
      </c>
      <c r="AI334">
        <f t="shared" si="124"/>
        <v>0</v>
      </c>
      <c r="AJ334">
        <f t="shared" si="124"/>
        <v>0</v>
      </c>
      <c r="AK334">
        <f t="shared" si="124"/>
        <v>0</v>
      </c>
      <c r="AL334">
        <f t="shared" si="124"/>
        <v>0</v>
      </c>
      <c r="AM334">
        <f t="shared" si="124"/>
        <v>0</v>
      </c>
      <c r="AN334">
        <f t="shared" si="124"/>
        <v>0</v>
      </c>
      <c r="AO334">
        <f t="shared" si="124"/>
        <v>0</v>
      </c>
      <c r="AP334">
        <f t="shared" si="124"/>
        <v>0</v>
      </c>
      <c r="AQ334">
        <f t="shared" si="124"/>
        <v>0</v>
      </c>
      <c r="AR334">
        <f t="shared" si="124"/>
        <v>0</v>
      </c>
      <c r="AS334">
        <f t="shared" si="124"/>
        <v>0</v>
      </c>
      <c r="AT334">
        <f t="shared" si="124"/>
        <v>0</v>
      </c>
      <c r="AU334">
        <f t="shared" si="124"/>
        <v>0</v>
      </c>
      <c r="AV334">
        <f t="shared" si="117"/>
        <v>0</v>
      </c>
      <c r="AW334">
        <f t="shared" si="117"/>
        <v>0</v>
      </c>
      <c r="AX334">
        <f t="shared" si="117"/>
        <v>0</v>
      </c>
      <c r="AY334">
        <f t="shared" si="117"/>
        <v>0</v>
      </c>
      <c r="AZ334">
        <f t="shared" si="117"/>
        <v>0</v>
      </c>
    </row>
    <row r="335" spans="1:52" x14ac:dyDescent="0.25">
      <c r="A335" t="s">
        <v>42</v>
      </c>
      <c r="B335" s="3">
        <v>41499</v>
      </c>
      <c r="C335" s="1">
        <v>13574.489785741507</v>
      </c>
      <c r="D335" s="1">
        <v>208.83830439602318</v>
      </c>
      <c r="E335" s="1">
        <f t="shared" si="119"/>
        <v>5449.4897857415062</v>
      </c>
      <c r="F335" s="1">
        <f t="shared" si="120"/>
        <v>8125</v>
      </c>
      <c r="G335" s="2">
        <v>65</v>
      </c>
      <c r="H335" s="1">
        <v>83.838304396023176</v>
      </c>
      <c r="I335" s="1">
        <v>125</v>
      </c>
      <c r="J335" s="1">
        <f t="shared" si="122"/>
        <v>1275818.1505769503</v>
      </c>
      <c r="K335" s="1">
        <f t="shared" si="123"/>
        <v>656641.15057694924</v>
      </c>
      <c r="N335">
        <f t="shared" si="121"/>
        <v>0</v>
      </c>
      <c r="O335">
        <f t="shared" si="121"/>
        <v>0</v>
      </c>
      <c r="P335">
        <f t="shared" si="121"/>
        <v>0</v>
      </c>
      <c r="Q335">
        <f t="shared" si="121"/>
        <v>0</v>
      </c>
      <c r="R335">
        <f t="shared" si="121"/>
        <v>0</v>
      </c>
      <c r="S335">
        <f t="shared" si="121"/>
        <v>0</v>
      </c>
      <c r="T335">
        <f t="shared" si="121"/>
        <v>0</v>
      </c>
      <c r="U335">
        <f t="shared" si="121"/>
        <v>0</v>
      </c>
      <c r="V335">
        <f t="shared" si="121"/>
        <v>0</v>
      </c>
      <c r="W335">
        <f t="shared" si="121"/>
        <v>0</v>
      </c>
      <c r="X335">
        <f t="shared" si="121"/>
        <v>0</v>
      </c>
      <c r="Y335">
        <f t="shared" si="121"/>
        <v>0</v>
      </c>
      <c r="Z335">
        <f t="shared" si="121"/>
        <v>1</v>
      </c>
      <c r="AA335">
        <f t="shared" si="121"/>
        <v>0</v>
      </c>
      <c r="AB335">
        <f t="shared" si="121"/>
        <v>0</v>
      </c>
      <c r="AC335">
        <f t="shared" si="121"/>
        <v>0</v>
      </c>
      <c r="AD335">
        <f t="shared" ref="AD335:AS354" si="125">+IF(AD$5=$A335,1,0)</f>
        <v>0</v>
      </c>
      <c r="AE335">
        <f t="shared" si="125"/>
        <v>0</v>
      </c>
      <c r="AF335">
        <f t="shared" si="125"/>
        <v>0</v>
      </c>
      <c r="AG335">
        <f t="shared" si="125"/>
        <v>0</v>
      </c>
      <c r="AH335">
        <f t="shared" si="125"/>
        <v>0</v>
      </c>
      <c r="AI335">
        <f t="shared" si="125"/>
        <v>0</v>
      </c>
      <c r="AJ335">
        <f t="shared" si="125"/>
        <v>0</v>
      </c>
      <c r="AK335">
        <f t="shared" si="125"/>
        <v>0</v>
      </c>
      <c r="AL335">
        <f t="shared" si="125"/>
        <v>0</v>
      </c>
      <c r="AM335">
        <f t="shared" si="125"/>
        <v>0</v>
      </c>
      <c r="AN335">
        <f t="shared" si="125"/>
        <v>0</v>
      </c>
      <c r="AO335">
        <f t="shared" si="125"/>
        <v>0</v>
      </c>
      <c r="AP335">
        <f t="shared" si="125"/>
        <v>0</v>
      </c>
      <c r="AQ335">
        <f t="shared" si="125"/>
        <v>0</v>
      </c>
      <c r="AR335">
        <f t="shared" si="125"/>
        <v>0</v>
      </c>
      <c r="AS335">
        <f t="shared" si="125"/>
        <v>0</v>
      </c>
      <c r="AT335">
        <f t="shared" si="124"/>
        <v>0</v>
      </c>
      <c r="AU335">
        <f t="shared" si="124"/>
        <v>0</v>
      </c>
      <c r="AV335">
        <f t="shared" si="117"/>
        <v>0</v>
      </c>
      <c r="AW335">
        <f t="shared" si="117"/>
        <v>0</v>
      </c>
      <c r="AX335">
        <f t="shared" si="117"/>
        <v>0</v>
      </c>
      <c r="AY335">
        <f t="shared" si="117"/>
        <v>0</v>
      </c>
      <c r="AZ335">
        <f t="shared" si="117"/>
        <v>0</v>
      </c>
    </row>
    <row r="336" spans="1:52" x14ac:dyDescent="0.25">
      <c r="A336" t="s">
        <v>25</v>
      </c>
      <c r="B336" s="3">
        <v>41489</v>
      </c>
      <c r="C336" s="1">
        <v>3567.6727337927691</v>
      </c>
      <c r="D336" s="1">
        <v>162.16694244512587</v>
      </c>
      <c r="E336" s="1">
        <f t="shared" si="119"/>
        <v>1807.6727337927693</v>
      </c>
      <c r="F336" s="1">
        <f t="shared" si="120"/>
        <v>1760</v>
      </c>
      <c r="G336" s="2">
        <v>22</v>
      </c>
      <c r="H336" s="1">
        <v>82.166942445125883</v>
      </c>
      <c r="I336" s="1">
        <v>80</v>
      </c>
      <c r="J336" s="1">
        <f t="shared" si="122"/>
        <v>1279385.8233107431</v>
      </c>
      <c r="K336" s="1">
        <f t="shared" si="123"/>
        <v>658448.82331074204</v>
      </c>
      <c r="N336">
        <f t="shared" si="121"/>
        <v>0</v>
      </c>
      <c r="O336">
        <f t="shared" si="121"/>
        <v>0</v>
      </c>
      <c r="P336">
        <f t="shared" si="121"/>
        <v>0</v>
      </c>
      <c r="Q336">
        <f t="shared" si="121"/>
        <v>0</v>
      </c>
      <c r="R336">
        <f t="shared" si="121"/>
        <v>0</v>
      </c>
      <c r="S336">
        <f t="shared" si="121"/>
        <v>1</v>
      </c>
      <c r="T336">
        <f t="shared" si="121"/>
        <v>0</v>
      </c>
      <c r="U336">
        <f t="shared" si="121"/>
        <v>0</v>
      </c>
      <c r="V336">
        <f t="shared" si="121"/>
        <v>0</v>
      </c>
      <c r="W336">
        <f t="shared" si="121"/>
        <v>0</v>
      </c>
      <c r="X336">
        <f t="shared" si="121"/>
        <v>0</v>
      </c>
      <c r="Y336">
        <f t="shared" si="121"/>
        <v>0</v>
      </c>
      <c r="Z336">
        <f t="shared" si="121"/>
        <v>0</v>
      </c>
      <c r="AA336">
        <f t="shared" si="121"/>
        <v>0</v>
      </c>
      <c r="AB336">
        <f t="shared" si="121"/>
        <v>0</v>
      </c>
      <c r="AC336">
        <f t="shared" si="121"/>
        <v>0</v>
      </c>
      <c r="AD336">
        <f t="shared" si="125"/>
        <v>0</v>
      </c>
      <c r="AE336">
        <f t="shared" si="125"/>
        <v>0</v>
      </c>
      <c r="AF336">
        <f t="shared" si="125"/>
        <v>0</v>
      </c>
      <c r="AG336">
        <f t="shared" si="125"/>
        <v>0</v>
      </c>
      <c r="AH336">
        <f t="shared" si="125"/>
        <v>0</v>
      </c>
      <c r="AI336">
        <f t="shared" si="125"/>
        <v>0</v>
      </c>
      <c r="AJ336">
        <f t="shared" si="125"/>
        <v>0</v>
      </c>
      <c r="AK336">
        <f t="shared" si="125"/>
        <v>0</v>
      </c>
      <c r="AL336">
        <f t="shared" si="125"/>
        <v>0</v>
      </c>
      <c r="AM336">
        <f t="shared" si="125"/>
        <v>0</v>
      </c>
      <c r="AN336">
        <f t="shared" si="125"/>
        <v>0</v>
      </c>
      <c r="AO336">
        <f t="shared" si="125"/>
        <v>0</v>
      </c>
      <c r="AP336">
        <f t="shared" si="125"/>
        <v>0</v>
      </c>
      <c r="AQ336">
        <f t="shared" si="125"/>
        <v>0</v>
      </c>
      <c r="AR336">
        <f t="shared" si="125"/>
        <v>0</v>
      </c>
      <c r="AS336">
        <f t="shared" si="125"/>
        <v>0</v>
      </c>
      <c r="AT336">
        <f t="shared" si="124"/>
        <v>0</v>
      </c>
      <c r="AU336">
        <f t="shared" si="124"/>
        <v>0</v>
      </c>
      <c r="AV336">
        <f t="shared" si="117"/>
        <v>0</v>
      </c>
      <c r="AW336">
        <f t="shared" si="117"/>
        <v>0</v>
      </c>
      <c r="AX336">
        <f t="shared" si="117"/>
        <v>0</v>
      </c>
      <c r="AY336">
        <f t="shared" si="117"/>
        <v>0</v>
      </c>
      <c r="AZ336">
        <f t="shared" si="117"/>
        <v>0</v>
      </c>
    </row>
    <row r="337" spans="1:52" x14ac:dyDescent="0.25">
      <c r="A337" t="s">
        <v>35</v>
      </c>
      <c r="B337" s="3">
        <v>41485</v>
      </c>
      <c r="C337" s="1">
        <v>887.175532830169</v>
      </c>
      <c r="D337" s="1">
        <v>147.86258880502817</v>
      </c>
      <c r="E337" s="1">
        <f t="shared" si="119"/>
        <v>539.17553283016912</v>
      </c>
      <c r="F337" s="1">
        <f t="shared" si="120"/>
        <v>348</v>
      </c>
      <c r="G337" s="2">
        <v>6</v>
      </c>
      <c r="H337" s="1">
        <v>89.862588805028182</v>
      </c>
      <c r="I337" s="1">
        <v>58</v>
      </c>
      <c r="J337" s="1">
        <f t="shared" si="122"/>
        <v>1280272.9988435733</v>
      </c>
      <c r="K337" s="1">
        <f t="shared" si="123"/>
        <v>658987.99884357222</v>
      </c>
      <c r="N337">
        <f t="shared" si="121"/>
        <v>0</v>
      </c>
      <c r="O337">
        <f t="shared" si="121"/>
        <v>0</v>
      </c>
      <c r="P337">
        <f t="shared" si="121"/>
        <v>0</v>
      </c>
      <c r="Q337">
        <f t="shared" si="121"/>
        <v>0</v>
      </c>
      <c r="R337">
        <f t="shared" si="121"/>
        <v>0</v>
      </c>
      <c r="S337">
        <f t="shared" si="121"/>
        <v>0</v>
      </c>
      <c r="T337">
        <f t="shared" si="121"/>
        <v>0</v>
      </c>
      <c r="U337">
        <f t="shared" si="121"/>
        <v>0</v>
      </c>
      <c r="V337">
        <f t="shared" si="121"/>
        <v>0</v>
      </c>
      <c r="W337">
        <f t="shared" si="121"/>
        <v>0</v>
      </c>
      <c r="X337">
        <f t="shared" si="121"/>
        <v>0</v>
      </c>
      <c r="Y337">
        <f t="shared" si="121"/>
        <v>0</v>
      </c>
      <c r="Z337">
        <f t="shared" si="121"/>
        <v>0</v>
      </c>
      <c r="AA337">
        <f t="shared" si="121"/>
        <v>0</v>
      </c>
      <c r="AB337">
        <f t="shared" si="121"/>
        <v>0</v>
      </c>
      <c r="AC337">
        <f t="shared" si="121"/>
        <v>0</v>
      </c>
      <c r="AD337">
        <f t="shared" si="125"/>
        <v>0</v>
      </c>
      <c r="AE337">
        <f t="shared" si="125"/>
        <v>0</v>
      </c>
      <c r="AF337">
        <f t="shared" si="125"/>
        <v>0</v>
      </c>
      <c r="AG337">
        <f t="shared" si="125"/>
        <v>0</v>
      </c>
      <c r="AH337">
        <f t="shared" si="125"/>
        <v>0</v>
      </c>
      <c r="AI337">
        <f t="shared" si="125"/>
        <v>0</v>
      </c>
      <c r="AJ337">
        <f t="shared" si="125"/>
        <v>0</v>
      </c>
      <c r="AK337">
        <f t="shared" si="125"/>
        <v>0</v>
      </c>
      <c r="AL337">
        <f t="shared" si="125"/>
        <v>1</v>
      </c>
      <c r="AM337">
        <f t="shared" si="125"/>
        <v>0</v>
      </c>
      <c r="AN337">
        <f t="shared" si="125"/>
        <v>0</v>
      </c>
      <c r="AO337">
        <f t="shared" si="125"/>
        <v>0</v>
      </c>
      <c r="AP337">
        <f t="shared" si="125"/>
        <v>0</v>
      </c>
      <c r="AQ337">
        <f t="shared" si="125"/>
        <v>0</v>
      </c>
      <c r="AR337">
        <f t="shared" si="125"/>
        <v>0</v>
      </c>
      <c r="AS337">
        <f t="shared" si="125"/>
        <v>0</v>
      </c>
      <c r="AT337">
        <f t="shared" si="124"/>
        <v>0</v>
      </c>
      <c r="AU337">
        <f t="shared" si="124"/>
        <v>0</v>
      </c>
      <c r="AV337">
        <f t="shared" si="117"/>
        <v>0</v>
      </c>
      <c r="AW337">
        <f t="shared" si="117"/>
        <v>0</v>
      </c>
      <c r="AX337">
        <f t="shared" si="117"/>
        <v>0</v>
      </c>
      <c r="AY337">
        <f t="shared" si="117"/>
        <v>0</v>
      </c>
      <c r="AZ337">
        <f t="shared" si="117"/>
        <v>0</v>
      </c>
    </row>
    <row r="338" spans="1:52" x14ac:dyDescent="0.25">
      <c r="A338" t="s">
        <v>43</v>
      </c>
      <c r="B338" s="3">
        <v>41472</v>
      </c>
      <c r="C338" s="1">
        <v>1267.5386515175912</v>
      </c>
      <c r="D338" s="1">
        <v>97.502973193660864</v>
      </c>
      <c r="E338" s="1">
        <f t="shared" si="119"/>
        <v>604.53865151759135</v>
      </c>
      <c r="F338" s="1">
        <f t="shared" si="120"/>
        <v>663</v>
      </c>
      <c r="G338" s="2">
        <v>13</v>
      </c>
      <c r="H338" s="1">
        <v>46.502973193660871</v>
      </c>
      <c r="I338" s="1">
        <v>51</v>
      </c>
      <c r="J338" s="1">
        <f t="shared" si="122"/>
        <v>1281540.5374950909</v>
      </c>
      <c r="K338" s="1">
        <f t="shared" si="123"/>
        <v>659592.53749508981</v>
      </c>
      <c r="N338">
        <f t="shared" si="121"/>
        <v>0</v>
      </c>
      <c r="O338">
        <f t="shared" si="121"/>
        <v>0</v>
      </c>
      <c r="P338">
        <f t="shared" si="121"/>
        <v>0</v>
      </c>
      <c r="Q338">
        <f t="shared" si="121"/>
        <v>0</v>
      </c>
      <c r="R338">
        <f t="shared" si="121"/>
        <v>0</v>
      </c>
      <c r="S338">
        <f t="shared" si="121"/>
        <v>0</v>
      </c>
      <c r="T338">
        <f t="shared" si="121"/>
        <v>0</v>
      </c>
      <c r="U338">
        <f t="shared" si="121"/>
        <v>0</v>
      </c>
      <c r="V338">
        <f t="shared" si="121"/>
        <v>0</v>
      </c>
      <c r="W338">
        <f t="shared" si="121"/>
        <v>0</v>
      </c>
      <c r="X338">
        <f t="shared" si="121"/>
        <v>0</v>
      </c>
      <c r="Y338">
        <f t="shared" si="121"/>
        <v>0</v>
      </c>
      <c r="Z338">
        <f t="shared" si="121"/>
        <v>0</v>
      </c>
      <c r="AA338">
        <f t="shared" si="121"/>
        <v>0</v>
      </c>
      <c r="AB338">
        <f t="shared" si="121"/>
        <v>0</v>
      </c>
      <c r="AC338">
        <f t="shared" si="121"/>
        <v>0</v>
      </c>
      <c r="AD338">
        <f t="shared" si="125"/>
        <v>0</v>
      </c>
      <c r="AE338">
        <f t="shared" si="125"/>
        <v>0</v>
      </c>
      <c r="AF338">
        <f t="shared" si="125"/>
        <v>0</v>
      </c>
      <c r="AG338">
        <f t="shared" si="125"/>
        <v>0</v>
      </c>
      <c r="AH338">
        <f t="shared" si="125"/>
        <v>0</v>
      </c>
      <c r="AI338">
        <f t="shared" si="125"/>
        <v>0</v>
      </c>
      <c r="AJ338">
        <f t="shared" si="125"/>
        <v>0</v>
      </c>
      <c r="AK338">
        <f t="shared" si="125"/>
        <v>0</v>
      </c>
      <c r="AL338">
        <f t="shared" si="125"/>
        <v>0</v>
      </c>
      <c r="AM338">
        <f t="shared" si="125"/>
        <v>0</v>
      </c>
      <c r="AN338">
        <f t="shared" si="125"/>
        <v>0</v>
      </c>
      <c r="AO338">
        <f t="shared" si="125"/>
        <v>0</v>
      </c>
      <c r="AP338">
        <f t="shared" si="125"/>
        <v>0</v>
      </c>
      <c r="AQ338">
        <f t="shared" si="125"/>
        <v>0</v>
      </c>
      <c r="AR338">
        <f t="shared" si="125"/>
        <v>0</v>
      </c>
      <c r="AS338">
        <f t="shared" si="125"/>
        <v>0</v>
      </c>
      <c r="AT338">
        <f t="shared" si="124"/>
        <v>0</v>
      </c>
      <c r="AU338">
        <f t="shared" si="124"/>
        <v>0</v>
      </c>
      <c r="AV338">
        <f t="shared" si="117"/>
        <v>0</v>
      </c>
      <c r="AW338">
        <f t="shared" si="117"/>
        <v>0</v>
      </c>
      <c r="AX338">
        <f t="shared" si="117"/>
        <v>0</v>
      </c>
      <c r="AY338">
        <f t="shared" si="117"/>
        <v>1</v>
      </c>
      <c r="AZ338">
        <f t="shared" si="117"/>
        <v>0</v>
      </c>
    </row>
    <row r="339" spans="1:52" x14ac:dyDescent="0.25">
      <c r="A339" t="s">
        <v>21</v>
      </c>
      <c r="B339" s="3">
        <v>41451</v>
      </c>
      <c r="C339" s="1">
        <v>993.05183295971665</v>
      </c>
      <c r="D339" s="1">
        <v>110.33909255107963</v>
      </c>
      <c r="E339" s="1">
        <f t="shared" si="119"/>
        <v>444.05183295971659</v>
      </c>
      <c r="F339" s="1">
        <f t="shared" si="120"/>
        <v>549</v>
      </c>
      <c r="G339" s="2">
        <v>9</v>
      </c>
      <c r="H339" s="1">
        <v>49.339092551079624</v>
      </c>
      <c r="I339" s="1">
        <v>61</v>
      </c>
      <c r="J339" s="1">
        <f t="shared" si="122"/>
        <v>1282533.5893280506</v>
      </c>
      <c r="K339" s="1">
        <f t="shared" si="123"/>
        <v>660036.58932804957</v>
      </c>
      <c r="N339">
        <f t="shared" si="121"/>
        <v>0</v>
      </c>
      <c r="O339">
        <f t="shared" si="121"/>
        <v>0</v>
      </c>
      <c r="P339">
        <f t="shared" si="121"/>
        <v>0</v>
      </c>
      <c r="Q339">
        <f t="shared" si="121"/>
        <v>0</v>
      </c>
      <c r="R339">
        <f t="shared" si="121"/>
        <v>0</v>
      </c>
      <c r="S339">
        <f t="shared" si="121"/>
        <v>0</v>
      </c>
      <c r="T339">
        <f t="shared" si="121"/>
        <v>1</v>
      </c>
      <c r="U339">
        <f t="shared" si="121"/>
        <v>0</v>
      </c>
      <c r="V339">
        <f t="shared" si="121"/>
        <v>0</v>
      </c>
      <c r="W339">
        <f t="shared" si="121"/>
        <v>0</v>
      </c>
      <c r="X339">
        <f t="shared" si="121"/>
        <v>0</v>
      </c>
      <c r="Y339">
        <f t="shared" si="121"/>
        <v>0</v>
      </c>
      <c r="Z339">
        <f t="shared" si="121"/>
        <v>0</v>
      </c>
      <c r="AA339">
        <f t="shared" si="121"/>
        <v>0</v>
      </c>
      <c r="AB339">
        <f t="shared" ref="AB339:AQ354" si="126">+IF(AB$5=$A339,1,0)</f>
        <v>0</v>
      </c>
      <c r="AC339">
        <f t="shared" si="126"/>
        <v>0</v>
      </c>
      <c r="AD339">
        <f t="shared" si="126"/>
        <v>0</v>
      </c>
      <c r="AE339">
        <f t="shared" si="126"/>
        <v>0</v>
      </c>
      <c r="AF339">
        <f t="shared" si="126"/>
        <v>0</v>
      </c>
      <c r="AG339">
        <f t="shared" si="126"/>
        <v>0</v>
      </c>
      <c r="AH339">
        <f t="shared" si="126"/>
        <v>0</v>
      </c>
      <c r="AI339">
        <f t="shared" si="126"/>
        <v>0</v>
      </c>
      <c r="AJ339">
        <f t="shared" si="126"/>
        <v>0</v>
      </c>
      <c r="AK339">
        <f t="shared" si="126"/>
        <v>0</v>
      </c>
      <c r="AL339">
        <f t="shared" si="126"/>
        <v>0</v>
      </c>
      <c r="AM339">
        <f t="shared" si="126"/>
        <v>0</v>
      </c>
      <c r="AN339">
        <f t="shared" si="126"/>
        <v>0</v>
      </c>
      <c r="AO339">
        <f t="shared" si="126"/>
        <v>0</v>
      </c>
      <c r="AP339">
        <f t="shared" si="126"/>
        <v>0</v>
      </c>
      <c r="AQ339">
        <f t="shared" si="126"/>
        <v>0</v>
      </c>
      <c r="AR339">
        <f t="shared" si="125"/>
        <v>0</v>
      </c>
      <c r="AS339">
        <f t="shared" si="125"/>
        <v>0</v>
      </c>
      <c r="AT339">
        <f t="shared" si="124"/>
        <v>0</v>
      </c>
      <c r="AU339">
        <f t="shared" si="124"/>
        <v>0</v>
      </c>
      <c r="AV339">
        <f t="shared" si="117"/>
        <v>0</v>
      </c>
      <c r="AW339">
        <f t="shared" si="117"/>
        <v>0</v>
      </c>
      <c r="AX339">
        <f t="shared" si="117"/>
        <v>0</v>
      </c>
      <c r="AY339">
        <f t="shared" si="117"/>
        <v>0</v>
      </c>
      <c r="AZ339">
        <f t="shared" si="117"/>
        <v>0</v>
      </c>
    </row>
    <row r="340" spans="1:52" x14ac:dyDescent="0.25">
      <c r="A340" t="s">
        <v>42</v>
      </c>
      <c r="B340" s="3">
        <v>41449</v>
      </c>
      <c r="C340" s="1">
        <v>727.93266824892726</v>
      </c>
      <c r="D340" s="1">
        <v>103.99038117841818</v>
      </c>
      <c r="E340" s="1">
        <f t="shared" si="119"/>
        <v>391.93266824892726</v>
      </c>
      <c r="F340" s="1">
        <f t="shared" si="120"/>
        <v>336</v>
      </c>
      <c r="G340" s="2">
        <v>7</v>
      </c>
      <c r="H340" s="1">
        <v>55.990381178418176</v>
      </c>
      <c r="I340" s="1">
        <v>48</v>
      </c>
      <c r="J340" s="1">
        <f t="shared" si="122"/>
        <v>1283261.5219962995</v>
      </c>
      <c r="K340" s="1">
        <f t="shared" si="123"/>
        <v>660428.52199629846</v>
      </c>
      <c r="N340">
        <f t="shared" si="121"/>
        <v>0</v>
      </c>
      <c r="O340">
        <f t="shared" si="121"/>
        <v>0</v>
      </c>
      <c r="P340">
        <f t="shared" si="121"/>
        <v>0</v>
      </c>
      <c r="Q340">
        <f t="shared" ref="Q340:AF355" si="127">+IF(Q$5=$A340,1,0)</f>
        <v>0</v>
      </c>
      <c r="R340">
        <f t="shared" si="127"/>
        <v>0</v>
      </c>
      <c r="S340">
        <f t="shared" si="127"/>
        <v>0</v>
      </c>
      <c r="T340">
        <f t="shared" si="127"/>
        <v>0</v>
      </c>
      <c r="U340">
        <f t="shared" si="127"/>
        <v>0</v>
      </c>
      <c r="V340">
        <f t="shared" si="127"/>
        <v>0</v>
      </c>
      <c r="W340">
        <f t="shared" si="127"/>
        <v>0</v>
      </c>
      <c r="X340">
        <f t="shared" si="127"/>
        <v>0</v>
      </c>
      <c r="Y340">
        <f t="shared" si="127"/>
        <v>0</v>
      </c>
      <c r="Z340">
        <f t="shared" si="127"/>
        <v>1</v>
      </c>
      <c r="AA340">
        <f t="shared" si="127"/>
        <v>0</v>
      </c>
      <c r="AB340">
        <f t="shared" si="127"/>
        <v>0</v>
      </c>
      <c r="AC340">
        <f t="shared" si="127"/>
        <v>0</v>
      </c>
      <c r="AD340">
        <f t="shared" si="127"/>
        <v>0</v>
      </c>
      <c r="AE340">
        <f t="shared" si="127"/>
        <v>0</v>
      </c>
      <c r="AF340">
        <f t="shared" si="127"/>
        <v>0</v>
      </c>
      <c r="AG340">
        <f t="shared" si="126"/>
        <v>0</v>
      </c>
      <c r="AH340">
        <f t="shared" si="126"/>
        <v>0</v>
      </c>
      <c r="AI340">
        <f t="shared" si="126"/>
        <v>0</v>
      </c>
      <c r="AJ340">
        <f t="shared" si="126"/>
        <v>0</v>
      </c>
      <c r="AK340">
        <f t="shared" si="126"/>
        <v>0</v>
      </c>
      <c r="AL340">
        <f t="shared" si="126"/>
        <v>0</v>
      </c>
      <c r="AM340">
        <f t="shared" si="126"/>
        <v>0</v>
      </c>
      <c r="AN340">
        <f t="shared" si="126"/>
        <v>0</v>
      </c>
      <c r="AO340">
        <f t="shared" si="126"/>
        <v>0</v>
      </c>
      <c r="AP340">
        <f t="shared" si="126"/>
        <v>0</v>
      </c>
      <c r="AQ340">
        <f t="shared" si="126"/>
        <v>0</v>
      </c>
      <c r="AR340">
        <f t="shared" si="125"/>
        <v>0</v>
      </c>
      <c r="AS340">
        <f t="shared" si="125"/>
        <v>0</v>
      </c>
      <c r="AT340">
        <f t="shared" si="124"/>
        <v>0</v>
      </c>
      <c r="AU340">
        <f t="shared" si="124"/>
        <v>0</v>
      </c>
      <c r="AV340">
        <f t="shared" si="117"/>
        <v>0</v>
      </c>
      <c r="AW340">
        <f t="shared" si="117"/>
        <v>0</v>
      </c>
      <c r="AX340">
        <f t="shared" si="117"/>
        <v>0</v>
      </c>
      <c r="AY340">
        <f t="shared" si="117"/>
        <v>0</v>
      </c>
      <c r="AZ340">
        <f t="shared" si="117"/>
        <v>0</v>
      </c>
    </row>
    <row r="341" spans="1:52" x14ac:dyDescent="0.25">
      <c r="A341" t="s">
        <v>19</v>
      </c>
      <c r="B341" s="3">
        <v>41448</v>
      </c>
      <c r="C341" s="1">
        <v>7738.9008456158062</v>
      </c>
      <c r="D341" s="1">
        <v>120.92032571274697</v>
      </c>
      <c r="E341" s="1">
        <f t="shared" si="119"/>
        <v>3194.9008456158062</v>
      </c>
      <c r="F341" s="1">
        <f t="shared" si="120"/>
        <v>4544</v>
      </c>
      <c r="G341" s="2">
        <v>64</v>
      </c>
      <c r="H341" s="1">
        <v>49.920325712746973</v>
      </c>
      <c r="I341" s="1">
        <v>71</v>
      </c>
      <c r="J341" s="1">
        <f t="shared" si="122"/>
        <v>1291000.4228419154</v>
      </c>
      <c r="K341" s="1">
        <f t="shared" si="123"/>
        <v>663623.42284191423</v>
      </c>
      <c r="N341">
        <f t="shared" si="121"/>
        <v>0</v>
      </c>
      <c r="O341">
        <f t="shared" si="121"/>
        <v>0</v>
      </c>
      <c r="P341">
        <f t="shared" si="121"/>
        <v>0</v>
      </c>
      <c r="Q341">
        <f t="shared" si="127"/>
        <v>0</v>
      </c>
      <c r="R341">
        <f t="shared" si="127"/>
        <v>0</v>
      </c>
      <c r="S341">
        <f t="shared" si="127"/>
        <v>0</v>
      </c>
      <c r="T341">
        <f t="shared" si="127"/>
        <v>0</v>
      </c>
      <c r="U341">
        <f t="shared" si="127"/>
        <v>0</v>
      </c>
      <c r="V341">
        <f t="shared" si="127"/>
        <v>0</v>
      </c>
      <c r="W341">
        <f t="shared" si="127"/>
        <v>0</v>
      </c>
      <c r="X341">
        <f t="shared" si="127"/>
        <v>0</v>
      </c>
      <c r="Y341">
        <f t="shared" si="127"/>
        <v>0</v>
      </c>
      <c r="Z341">
        <f t="shared" si="127"/>
        <v>0</v>
      </c>
      <c r="AA341">
        <f t="shared" si="127"/>
        <v>0</v>
      </c>
      <c r="AB341">
        <f t="shared" si="127"/>
        <v>0</v>
      </c>
      <c r="AC341">
        <f t="shared" si="127"/>
        <v>0</v>
      </c>
      <c r="AD341">
        <f t="shared" si="127"/>
        <v>0</v>
      </c>
      <c r="AE341">
        <f t="shared" si="127"/>
        <v>0</v>
      </c>
      <c r="AF341">
        <f t="shared" si="127"/>
        <v>0</v>
      </c>
      <c r="AG341">
        <f t="shared" si="126"/>
        <v>0</v>
      </c>
      <c r="AH341">
        <f t="shared" si="126"/>
        <v>0</v>
      </c>
      <c r="AI341">
        <f t="shared" si="126"/>
        <v>0</v>
      </c>
      <c r="AJ341">
        <f t="shared" si="126"/>
        <v>0</v>
      </c>
      <c r="AK341">
        <f t="shared" si="126"/>
        <v>0</v>
      </c>
      <c r="AL341">
        <f t="shared" si="126"/>
        <v>0</v>
      </c>
      <c r="AM341">
        <f t="shared" si="126"/>
        <v>0</v>
      </c>
      <c r="AN341">
        <f t="shared" si="126"/>
        <v>0</v>
      </c>
      <c r="AO341">
        <f t="shared" si="126"/>
        <v>0</v>
      </c>
      <c r="AP341">
        <f t="shared" si="126"/>
        <v>0</v>
      </c>
      <c r="AQ341">
        <f t="shared" si="126"/>
        <v>0</v>
      </c>
      <c r="AR341">
        <f t="shared" si="125"/>
        <v>0</v>
      </c>
      <c r="AS341">
        <f t="shared" si="125"/>
        <v>0</v>
      </c>
      <c r="AT341">
        <f t="shared" si="124"/>
        <v>0</v>
      </c>
      <c r="AU341">
        <f t="shared" si="124"/>
        <v>0</v>
      </c>
      <c r="AV341">
        <f t="shared" si="117"/>
        <v>0</v>
      </c>
      <c r="AW341">
        <f t="shared" si="117"/>
        <v>1</v>
      </c>
      <c r="AX341">
        <f t="shared" si="117"/>
        <v>0</v>
      </c>
      <c r="AY341">
        <f t="shared" si="117"/>
        <v>0</v>
      </c>
      <c r="AZ341">
        <f t="shared" si="117"/>
        <v>0</v>
      </c>
    </row>
    <row r="342" spans="1:52" x14ac:dyDescent="0.25">
      <c r="A342" t="s">
        <v>25</v>
      </c>
      <c r="B342" s="3">
        <v>41438</v>
      </c>
      <c r="C342" s="1">
        <v>1633.6014952389096</v>
      </c>
      <c r="D342" s="1">
        <v>116.68582108849354</v>
      </c>
      <c r="E342" s="1">
        <f t="shared" si="119"/>
        <v>709.60149523890959</v>
      </c>
      <c r="F342" s="1">
        <f t="shared" si="120"/>
        <v>924</v>
      </c>
      <c r="G342" s="2">
        <v>14</v>
      </c>
      <c r="H342" s="1">
        <v>50.68582108849354</v>
      </c>
      <c r="I342" s="1">
        <v>66</v>
      </c>
      <c r="J342" s="1">
        <f t="shared" si="122"/>
        <v>1292634.0243371543</v>
      </c>
      <c r="K342" s="1">
        <f t="shared" si="123"/>
        <v>664333.02433715318</v>
      </c>
      <c r="N342">
        <f t="shared" si="121"/>
        <v>0</v>
      </c>
      <c r="O342">
        <f t="shared" si="121"/>
        <v>0</v>
      </c>
      <c r="P342">
        <f t="shared" si="121"/>
        <v>0</v>
      </c>
      <c r="Q342">
        <f t="shared" si="127"/>
        <v>0</v>
      </c>
      <c r="R342">
        <f t="shared" si="127"/>
        <v>0</v>
      </c>
      <c r="S342">
        <f t="shared" si="127"/>
        <v>1</v>
      </c>
      <c r="T342">
        <f t="shared" si="127"/>
        <v>0</v>
      </c>
      <c r="U342">
        <f t="shared" si="127"/>
        <v>0</v>
      </c>
      <c r="V342">
        <f t="shared" si="127"/>
        <v>0</v>
      </c>
      <c r="W342">
        <f t="shared" si="127"/>
        <v>0</v>
      </c>
      <c r="X342">
        <f t="shared" si="127"/>
        <v>0</v>
      </c>
      <c r="Y342">
        <f t="shared" si="127"/>
        <v>0</v>
      </c>
      <c r="Z342">
        <f t="shared" si="127"/>
        <v>0</v>
      </c>
      <c r="AA342">
        <f t="shared" si="127"/>
        <v>0</v>
      </c>
      <c r="AB342">
        <f t="shared" si="127"/>
        <v>0</v>
      </c>
      <c r="AC342">
        <f t="shared" si="127"/>
        <v>0</v>
      </c>
      <c r="AD342">
        <f t="shared" si="127"/>
        <v>0</v>
      </c>
      <c r="AE342">
        <f t="shared" si="127"/>
        <v>0</v>
      </c>
      <c r="AF342">
        <f t="shared" si="127"/>
        <v>0</v>
      </c>
      <c r="AG342">
        <f t="shared" si="126"/>
        <v>0</v>
      </c>
      <c r="AH342">
        <f t="shared" si="126"/>
        <v>0</v>
      </c>
      <c r="AI342">
        <f t="shared" si="126"/>
        <v>0</v>
      </c>
      <c r="AJ342">
        <f t="shared" si="126"/>
        <v>0</v>
      </c>
      <c r="AK342">
        <f t="shared" si="126"/>
        <v>0</v>
      </c>
      <c r="AL342">
        <f t="shared" si="126"/>
        <v>0</v>
      </c>
      <c r="AM342">
        <f t="shared" si="126"/>
        <v>0</v>
      </c>
      <c r="AN342">
        <f t="shared" si="126"/>
        <v>0</v>
      </c>
      <c r="AO342">
        <f t="shared" si="126"/>
        <v>0</v>
      </c>
      <c r="AP342">
        <f t="shared" si="126"/>
        <v>0</v>
      </c>
      <c r="AQ342">
        <f t="shared" si="126"/>
        <v>0</v>
      </c>
      <c r="AR342">
        <f t="shared" si="125"/>
        <v>0</v>
      </c>
      <c r="AS342">
        <f t="shared" si="125"/>
        <v>0</v>
      </c>
      <c r="AT342">
        <f t="shared" si="124"/>
        <v>0</v>
      </c>
      <c r="AU342">
        <f t="shared" si="124"/>
        <v>0</v>
      </c>
      <c r="AV342">
        <f t="shared" si="117"/>
        <v>0</v>
      </c>
      <c r="AW342">
        <f t="shared" si="117"/>
        <v>0</v>
      </c>
      <c r="AX342">
        <f t="shared" si="117"/>
        <v>0</v>
      </c>
      <c r="AY342">
        <f t="shared" si="117"/>
        <v>0</v>
      </c>
      <c r="AZ342">
        <f t="shared" si="117"/>
        <v>0</v>
      </c>
    </row>
    <row r="343" spans="1:52" x14ac:dyDescent="0.25">
      <c r="A343" t="s">
        <v>11</v>
      </c>
      <c r="B343" s="3">
        <v>41436</v>
      </c>
      <c r="C343" s="1">
        <v>821.44679362768295</v>
      </c>
      <c r="D343" s="1">
        <v>48.320399625157819</v>
      </c>
      <c r="E343" s="1">
        <f t="shared" si="119"/>
        <v>362.44679362768295</v>
      </c>
      <c r="F343" s="1">
        <f t="shared" si="120"/>
        <v>459</v>
      </c>
      <c r="G343" s="2">
        <v>17</v>
      </c>
      <c r="H343" s="1">
        <v>21.320399625157819</v>
      </c>
      <c r="I343" s="1">
        <v>27</v>
      </c>
      <c r="J343" s="1">
        <f t="shared" si="122"/>
        <v>1293455.471130782</v>
      </c>
      <c r="K343" s="1">
        <f t="shared" si="123"/>
        <v>664695.47113078088</v>
      </c>
      <c r="N343">
        <f t="shared" si="121"/>
        <v>0</v>
      </c>
      <c r="O343">
        <f t="shared" si="121"/>
        <v>0</v>
      </c>
      <c r="P343">
        <f t="shared" si="121"/>
        <v>1</v>
      </c>
      <c r="Q343">
        <f t="shared" si="127"/>
        <v>0</v>
      </c>
      <c r="R343">
        <f t="shared" si="127"/>
        <v>0</v>
      </c>
      <c r="S343">
        <f t="shared" si="127"/>
        <v>0</v>
      </c>
      <c r="T343">
        <f t="shared" si="127"/>
        <v>0</v>
      </c>
      <c r="U343">
        <f t="shared" si="127"/>
        <v>0</v>
      </c>
      <c r="V343">
        <f t="shared" si="127"/>
        <v>0</v>
      </c>
      <c r="W343">
        <f t="shared" si="127"/>
        <v>0</v>
      </c>
      <c r="X343">
        <f t="shared" si="127"/>
        <v>0</v>
      </c>
      <c r="Y343">
        <f t="shared" si="127"/>
        <v>0</v>
      </c>
      <c r="Z343">
        <f t="shared" si="127"/>
        <v>0</v>
      </c>
      <c r="AA343">
        <f t="shared" si="127"/>
        <v>0</v>
      </c>
      <c r="AB343">
        <f t="shared" si="127"/>
        <v>0</v>
      </c>
      <c r="AC343">
        <f t="shared" si="127"/>
        <v>0</v>
      </c>
      <c r="AD343">
        <f t="shared" si="127"/>
        <v>0</v>
      </c>
      <c r="AE343">
        <f t="shared" si="127"/>
        <v>0</v>
      </c>
      <c r="AF343">
        <f t="shared" si="127"/>
        <v>0</v>
      </c>
      <c r="AG343">
        <f t="shared" si="126"/>
        <v>0</v>
      </c>
      <c r="AH343">
        <f t="shared" si="126"/>
        <v>0</v>
      </c>
      <c r="AI343">
        <f t="shared" si="126"/>
        <v>0</v>
      </c>
      <c r="AJ343">
        <f t="shared" si="126"/>
        <v>0</v>
      </c>
      <c r="AK343">
        <f t="shared" si="126"/>
        <v>0</v>
      </c>
      <c r="AL343">
        <f t="shared" si="126"/>
        <v>0</v>
      </c>
      <c r="AM343">
        <f t="shared" si="126"/>
        <v>0</v>
      </c>
      <c r="AN343">
        <f t="shared" si="126"/>
        <v>0</v>
      </c>
      <c r="AO343">
        <f t="shared" si="126"/>
        <v>0</v>
      </c>
      <c r="AP343">
        <f t="shared" si="126"/>
        <v>0</v>
      </c>
      <c r="AQ343">
        <f t="shared" si="126"/>
        <v>0</v>
      </c>
      <c r="AR343">
        <f t="shared" si="125"/>
        <v>0</v>
      </c>
      <c r="AS343">
        <f t="shared" si="125"/>
        <v>0</v>
      </c>
      <c r="AT343">
        <f t="shared" si="124"/>
        <v>0</v>
      </c>
      <c r="AU343">
        <f t="shared" si="124"/>
        <v>0</v>
      </c>
      <c r="AV343">
        <f t="shared" si="117"/>
        <v>0</v>
      </c>
      <c r="AW343">
        <f t="shared" si="117"/>
        <v>0</v>
      </c>
      <c r="AX343">
        <f t="shared" si="117"/>
        <v>0</v>
      </c>
      <c r="AY343">
        <f t="shared" si="117"/>
        <v>0</v>
      </c>
      <c r="AZ343">
        <f t="shared" si="117"/>
        <v>0</v>
      </c>
    </row>
    <row r="344" spans="1:52" x14ac:dyDescent="0.25">
      <c r="A344" t="s">
        <v>23</v>
      </c>
      <c r="B344" s="3">
        <v>41432</v>
      </c>
      <c r="C344" s="1">
        <v>206.42070427201102</v>
      </c>
      <c r="D344" s="1">
        <v>103.21035213600551</v>
      </c>
      <c r="E344" s="1">
        <f t="shared" si="119"/>
        <v>108.42070427201102</v>
      </c>
      <c r="F344" s="1">
        <f t="shared" si="120"/>
        <v>98</v>
      </c>
      <c r="G344" s="2">
        <v>2</v>
      </c>
      <c r="H344" s="1">
        <v>54.210352136005511</v>
      </c>
      <c r="I344" s="1">
        <v>49</v>
      </c>
      <c r="J344" s="1">
        <f t="shared" si="122"/>
        <v>1293661.8918350541</v>
      </c>
      <c r="K344" s="1">
        <f t="shared" si="123"/>
        <v>664803.89183505287</v>
      </c>
      <c r="N344">
        <f t="shared" si="121"/>
        <v>0</v>
      </c>
      <c r="O344">
        <f t="shared" si="121"/>
        <v>0</v>
      </c>
      <c r="P344">
        <f t="shared" si="121"/>
        <v>0</v>
      </c>
      <c r="Q344">
        <f t="shared" si="127"/>
        <v>0</v>
      </c>
      <c r="R344">
        <f t="shared" si="127"/>
        <v>0</v>
      </c>
      <c r="S344">
        <f t="shared" si="127"/>
        <v>0</v>
      </c>
      <c r="T344">
        <f t="shared" si="127"/>
        <v>0</v>
      </c>
      <c r="U344">
        <f t="shared" si="127"/>
        <v>0</v>
      </c>
      <c r="V344">
        <f t="shared" si="127"/>
        <v>0</v>
      </c>
      <c r="W344">
        <f t="shared" si="127"/>
        <v>0</v>
      </c>
      <c r="X344">
        <f t="shared" si="127"/>
        <v>0</v>
      </c>
      <c r="Y344">
        <f t="shared" si="127"/>
        <v>0</v>
      </c>
      <c r="Z344">
        <f t="shared" si="127"/>
        <v>0</v>
      </c>
      <c r="AA344">
        <f t="shared" si="127"/>
        <v>0</v>
      </c>
      <c r="AB344">
        <f t="shared" si="127"/>
        <v>0</v>
      </c>
      <c r="AC344">
        <f t="shared" si="127"/>
        <v>0</v>
      </c>
      <c r="AD344">
        <f t="shared" si="127"/>
        <v>0</v>
      </c>
      <c r="AE344">
        <f t="shared" si="127"/>
        <v>0</v>
      </c>
      <c r="AF344">
        <f t="shared" si="127"/>
        <v>0</v>
      </c>
      <c r="AG344">
        <f t="shared" si="126"/>
        <v>0</v>
      </c>
      <c r="AH344">
        <f t="shared" si="126"/>
        <v>0</v>
      </c>
      <c r="AI344">
        <f t="shared" si="126"/>
        <v>0</v>
      </c>
      <c r="AJ344">
        <f t="shared" si="126"/>
        <v>0</v>
      </c>
      <c r="AK344">
        <f t="shared" si="126"/>
        <v>0</v>
      </c>
      <c r="AL344">
        <f t="shared" si="126"/>
        <v>0</v>
      </c>
      <c r="AM344">
        <f t="shared" si="126"/>
        <v>1</v>
      </c>
      <c r="AN344">
        <f t="shared" si="126"/>
        <v>0</v>
      </c>
      <c r="AO344">
        <f t="shared" si="126"/>
        <v>0</v>
      </c>
      <c r="AP344">
        <f t="shared" si="126"/>
        <v>0</v>
      </c>
      <c r="AQ344">
        <f t="shared" si="126"/>
        <v>0</v>
      </c>
      <c r="AR344">
        <f t="shared" si="125"/>
        <v>0</v>
      </c>
      <c r="AS344">
        <f t="shared" si="125"/>
        <v>0</v>
      </c>
      <c r="AT344">
        <f t="shared" si="124"/>
        <v>0</v>
      </c>
      <c r="AU344">
        <f t="shared" si="124"/>
        <v>0</v>
      </c>
      <c r="AV344">
        <f t="shared" si="117"/>
        <v>0</v>
      </c>
      <c r="AW344">
        <f t="shared" si="117"/>
        <v>0</v>
      </c>
      <c r="AX344">
        <f t="shared" si="117"/>
        <v>0</v>
      </c>
      <c r="AY344">
        <f t="shared" si="117"/>
        <v>0</v>
      </c>
      <c r="AZ344">
        <f t="shared" si="117"/>
        <v>0</v>
      </c>
    </row>
    <row r="345" spans="1:52" x14ac:dyDescent="0.25">
      <c r="A345" t="s">
        <v>40</v>
      </c>
      <c r="B345" s="3">
        <v>41415</v>
      </c>
      <c r="C345" s="1">
        <v>5399.3142871177206</v>
      </c>
      <c r="D345" s="1">
        <v>168.72857147242877</v>
      </c>
      <c r="E345" s="1">
        <f t="shared" si="119"/>
        <v>2935.3142871177206</v>
      </c>
      <c r="F345" s="1">
        <f t="shared" si="120"/>
        <v>2464</v>
      </c>
      <c r="G345" s="2">
        <v>32</v>
      </c>
      <c r="H345" s="1">
        <v>91.728571472428769</v>
      </c>
      <c r="I345" s="1">
        <v>77</v>
      </c>
      <c r="J345" s="1">
        <f t="shared" si="122"/>
        <v>1299061.2061221718</v>
      </c>
      <c r="K345" s="1">
        <f t="shared" si="123"/>
        <v>667739.20612217055</v>
      </c>
      <c r="N345">
        <f t="shared" si="121"/>
        <v>0</v>
      </c>
      <c r="O345">
        <f t="shared" si="121"/>
        <v>0</v>
      </c>
      <c r="P345">
        <f t="shared" si="121"/>
        <v>0</v>
      </c>
      <c r="Q345">
        <f t="shared" si="127"/>
        <v>0</v>
      </c>
      <c r="R345">
        <f t="shared" si="127"/>
        <v>0</v>
      </c>
      <c r="S345">
        <f t="shared" si="127"/>
        <v>0</v>
      </c>
      <c r="T345">
        <f t="shared" si="127"/>
        <v>0</v>
      </c>
      <c r="U345">
        <f t="shared" si="127"/>
        <v>0</v>
      </c>
      <c r="V345">
        <f t="shared" si="127"/>
        <v>0</v>
      </c>
      <c r="W345">
        <f t="shared" si="127"/>
        <v>0</v>
      </c>
      <c r="X345">
        <f t="shared" si="127"/>
        <v>1</v>
      </c>
      <c r="Y345">
        <f t="shared" si="127"/>
        <v>0</v>
      </c>
      <c r="Z345">
        <f t="shared" si="127"/>
        <v>0</v>
      </c>
      <c r="AA345">
        <f t="shared" si="127"/>
        <v>0</v>
      </c>
      <c r="AB345">
        <f t="shared" si="127"/>
        <v>0</v>
      </c>
      <c r="AC345">
        <f t="shared" si="127"/>
        <v>0</v>
      </c>
      <c r="AD345">
        <f t="shared" si="127"/>
        <v>0</v>
      </c>
      <c r="AE345">
        <f t="shared" si="127"/>
        <v>0</v>
      </c>
      <c r="AF345">
        <f t="shared" si="127"/>
        <v>0</v>
      </c>
      <c r="AG345">
        <f t="shared" si="126"/>
        <v>0</v>
      </c>
      <c r="AH345">
        <f t="shared" si="126"/>
        <v>0</v>
      </c>
      <c r="AI345">
        <f t="shared" si="126"/>
        <v>0</v>
      </c>
      <c r="AJ345">
        <f t="shared" si="126"/>
        <v>0</v>
      </c>
      <c r="AK345">
        <f t="shared" si="126"/>
        <v>0</v>
      </c>
      <c r="AL345">
        <f t="shared" si="126"/>
        <v>0</v>
      </c>
      <c r="AM345">
        <f t="shared" si="126"/>
        <v>0</v>
      </c>
      <c r="AN345">
        <f t="shared" si="126"/>
        <v>0</v>
      </c>
      <c r="AO345">
        <f t="shared" si="126"/>
        <v>0</v>
      </c>
      <c r="AP345">
        <f t="shared" si="126"/>
        <v>0</v>
      </c>
      <c r="AQ345">
        <f t="shared" si="126"/>
        <v>0</v>
      </c>
      <c r="AR345">
        <f t="shared" si="125"/>
        <v>0</v>
      </c>
      <c r="AS345">
        <f t="shared" si="125"/>
        <v>0</v>
      </c>
      <c r="AT345">
        <f t="shared" si="124"/>
        <v>0</v>
      </c>
      <c r="AU345">
        <f t="shared" si="124"/>
        <v>0</v>
      </c>
      <c r="AV345">
        <f t="shared" si="117"/>
        <v>0</v>
      </c>
      <c r="AW345">
        <f t="shared" si="117"/>
        <v>0</v>
      </c>
      <c r="AX345">
        <f t="shared" si="117"/>
        <v>0</v>
      </c>
      <c r="AY345">
        <f t="shared" si="117"/>
        <v>0</v>
      </c>
      <c r="AZ345">
        <f t="shared" si="117"/>
        <v>0</v>
      </c>
    </row>
    <row r="346" spans="1:52" x14ac:dyDescent="0.25">
      <c r="A346" t="s">
        <v>40</v>
      </c>
      <c r="B346" s="3">
        <v>41406</v>
      </c>
      <c r="C346" s="1">
        <v>1409.1210334127341</v>
      </c>
      <c r="D346" s="1">
        <v>82.88947255369024</v>
      </c>
      <c r="E346" s="1">
        <f t="shared" si="119"/>
        <v>576.12103341273405</v>
      </c>
      <c r="F346" s="1">
        <f t="shared" si="120"/>
        <v>833</v>
      </c>
      <c r="G346" s="2">
        <v>17</v>
      </c>
      <c r="H346" s="1">
        <v>33.88947255369024</v>
      </c>
      <c r="I346" s="1">
        <v>49</v>
      </c>
      <c r="J346" s="1">
        <f t="shared" si="122"/>
        <v>1300470.3271555845</v>
      </c>
      <c r="K346" s="1">
        <f t="shared" si="123"/>
        <v>668315.32715558331</v>
      </c>
      <c r="N346">
        <f t="shared" si="121"/>
        <v>0</v>
      </c>
      <c r="O346">
        <f t="shared" si="121"/>
        <v>0</v>
      </c>
      <c r="P346">
        <f t="shared" si="121"/>
        <v>0</v>
      </c>
      <c r="Q346">
        <f t="shared" si="127"/>
        <v>0</v>
      </c>
      <c r="R346">
        <f t="shared" si="127"/>
        <v>0</v>
      </c>
      <c r="S346">
        <f t="shared" si="127"/>
        <v>0</v>
      </c>
      <c r="T346">
        <f t="shared" si="127"/>
        <v>0</v>
      </c>
      <c r="U346">
        <f t="shared" si="127"/>
        <v>0</v>
      </c>
      <c r="V346">
        <f t="shared" si="127"/>
        <v>0</v>
      </c>
      <c r="W346">
        <f t="shared" si="127"/>
        <v>0</v>
      </c>
      <c r="X346">
        <f t="shared" si="127"/>
        <v>1</v>
      </c>
      <c r="Y346">
        <f t="shared" si="127"/>
        <v>0</v>
      </c>
      <c r="Z346">
        <f t="shared" si="127"/>
        <v>0</v>
      </c>
      <c r="AA346">
        <f t="shared" si="127"/>
        <v>0</v>
      </c>
      <c r="AB346">
        <f t="shared" si="127"/>
        <v>0</v>
      </c>
      <c r="AC346">
        <f t="shared" si="127"/>
        <v>0</v>
      </c>
      <c r="AD346">
        <f t="shared" si="127"/>
        <v>0</v>
      </c>
      <c r="AE346">
        <f t="shared" si="127"/>
        <v>0</v>
      </c>
      <c r="AF346">
        <f t="shared" si="127"/>
        <v>0</v>
      </c>
      <c r="AG346">
        <f t="shared" si="126"/>
        <v>0</v>
      </c>
      <c r="AH346">
        <f t="shared" si="126"/>
        <v>0</v>
      </c>
      <c r="AI346">
        <f t="shared" si="126"/>
        <v>0</v>
      </c>
      <c r="AJ346">
        <f t="shared" si="126"/>
        <v>0</v>
      </c>
      <c r="AK346">
        <f t="shared" si="126"/>
        <v>0</v>
      </c>
      <c r="AL346">
        <f t="shared" si="126"/>
        <v>0</v>
      </c>
      <c r="AM346">
        <f t="shared" si="126"/>
        <v>0</v>
      </c>
      <c r="AN346">
        <f t="shared" si="126"/>
        <v>0</v>
      </c>
      <c r="AO346">
        <f t="shared" si="126"/>
        <v>0</v>
      </c>
      <c r="AP346">
        <f t="shared" si="126"/>
        <v>0</v>
      </c>
      <c r="AQ346">
        <f t="shared" si="126"/>
        <v>0</v>
      </c>
      <c r="AR346">
        <f t="shared" si="125"/>
        <v>0</v>
      </c>
      <c r="AS346">
        <f t="shared" si="125"/>
        <v>0</v>
      </c>
      <c r="AT346">
        <f t="shared" si="124"/>
        <v>0</v>
      </c>
      <c r="AU346">
        <f t="shared" si="124"/>
        <v>0</v>
      </c>
      <c r="AV346">
        <f t="shared" si="117"/>
        <v>0</v>
      </c>
      <c r="AW346">
        <f t="shared" si="117"/>
        <v>0</v>
      </c>
      <c r="AX346">
        <f t="shared" si="117"/>
        <v>0</v>
      </c>
      <c r="AY346">
        <f t="shared" si="117"/>
        <v>0</v>
      </c>
      <c r="AZ346">
        <f t="shared" si="117"/>
        <v>0</v>
      </c>
    </row>
    <row r="347" spans="1:52" x14ac:dyDescent="0.25">
      <c r="A347" t="s">
        <v>43</v>
      </c>
      <c r="B347" s="3">
        <v>41402</v>
      </c>
      <c r="C347" s="1">
        <v>9224.22995646872</v>
      </c>
      <c r="D347" s="1">
        <v>156.3428806181139</v>
      </c>
      <c r="E347" s="1">
        <f t="shared" si="119"/>
        <v>4504.22995646872</v>
      </c>
      <c r="F347" s="1">
        <f t="shared" si="120"/>
        <v>4720</v>
      </c>
      <c r="G347" s="2">
        <v>59</v>
      </c>
      <c r="H347" s="1">
        <v>76.342880618113895</v>
      </c>
      <c r="I347" s="1">
        <v>80</v>
      </c>
      <c r="J347" s="1">
        <f t="shared" si="122"/>
        <v>1309694.5571120533</v>
      </c>
      <c r="K347" s="1">
        <f t="shared" si="123"/>
        <v>672819.55711205199</v>
      </c>
      <c r="N347">
        <f t="shared" si="121"/>
        <v>0</v>
      </c>
      <c r="O347">
        <f t="shared" si="121"/>
        <v>0</v>
      </c>
      <c r="P347">
        <f t="shared" si="121"/>
        <v>0</v>
      </c>
      <c r="Q347">
        <f t="shared" si="127"/>
        <v>0</v>
      </c>
      <c r="R347">
        <f t="shared" si="127"/>
        <v>0</v>
      </c>
      <c r="S347">
        <f t="shared" si="127"/>
        <v>0</v>
      </c>
      <c r="T347">
        <f t="shared" si="127"/>
        <v>0</v>
      </c>
      <c r="U347">
        <f t="shared" si="127"/>
        <v>0</v>
      </c>
      <c r="V347">
        <f t="shared" si="127"/>
        <v>0</v>
      </c>
      <c r="W347">
        <f t="shared" si="127"/>
        <v>0</v>
      </c>
      <c r="X347">
        <f t="shared" si="127"/>
        <v>0</v>
      </c>
      <c r="Y347">
        <f t="shared" si="127"/>
        <v>0</v>
      </c>
      <c r="Z347">
        <f t="shared" si="127"/>
        <v>0</v>
      </c>
      <c r="AA347">
        <f t="shared" si="127"/>
        <v>0</v>
      </c>
      <c r="AB347">
        <f t="shared" si="127"/>
        <v>0</v>
      </c>
      <c r="AC347">
        <f t="shared" si="127"/>
        <v>0</v>
      </c>
      <c r="AD347">
        <f t="shared" si="127"/>
        <v>0</v>
      </c>
      <c r="AE347">
        <f t="shared" si="127"/>
        <v>0</v>
      </c>
      <c r="AF347">
        <f t="shared" si="127"/>
        <v>0</v>
      </c>
      <c r="AG347">
        <f t="shared" si="126"/>
        <v>0</v>
      </c>
      <c r="AH347">
        <f t="shared" si="126"/>
        <v>0</v>
      </c>
      <c r="AI347">
        <f t="shared" si="126"/>
        <v>0</v>
      </c>
      <c r="AJ347">
        <f t="shared" si="126"/>
        <v>0</v>
      </c>
      <c r="AK347">
        <f t="shared" si="126"/>
        <v>0</v>
      </c>
      <c r="AL347">
        <f t="shared" si="126"/>
        <v>0</v>
      </c>
      <c r="AM347">
        <f t="shared" si="126"/>
        <v>0</v>
      </c>
      <c r="AN347">
        <f t="shared" si="126"/>
        <v>0</v>
      </c>
      <c r="AO347">
        <f t="shared" si="126"/>
        <v>0</v>
      </c>
      <c r="AP347">
        <f t="shared" si="126"/>
        <v>0</v>
      </c>
      <c r="AQ347">
        <f t="shared" si="126"/>
        <v>0</v>
      </c>
      <c r="AR347">
        <f t="shared" si="125"/>
        <v>0</v>
      </c>
      <c r="AS347">
        <f t="shared" si="125"/>
        <v>0</v>
      </c>
      <c r="AT347">
        <f t="shared" si="124"/>
        <v>0</v>
      </c>
      <c r="AU347">
        <f t="shared" si="124"/>
        <v>0</v>
      </c>
      <c r="AV347">
        <f t="shared" si="117"/>
        <v>0</v>
      </c>
      <c r="AW347">
        <f t="shared" si="117"/>
        <v>0</v>
      </c>
      <c r="AX347">
        <f t="shared" si="117"/>
        <v>0</v>
      </c>
      <c r="AY347">
        <f t="shared" si="117"/>
        <v>1</v>
      </c>
      <c r="AZ347">
        <f t="shared" si="117"/>
        <v>0</v>
      </c>
    </row>
    <row r="348" spans="1:52" x14ac:dyDescent="0.25">
      <c r="A348" t="s">
        <v>32</v>
      </c>
      <c r="B348" s="3">
        <v>41397</v>
      </c>
      <c r="C348" s="1">
        <v>4020.3727358279207</v>
      </c>
      <c r="D348" s="1">
        <v>98.057871605559043</v>
      </c>
      <c r="E348" s="1">
        <f t="shared" si="119"/>
        <v>1929.3727358279207</v>
      </c>
      <c r="F348" s="1">
        <f t="shared" si="120"/>
        <v>2091</v>
      </c>
      <c r="G348" s="2">
        <v>41</v>
      </c>
      <c r="H348" s="1">
        <v>47.057871605559043</v>
      </c>
      <c r="I348" s="1">
        <v>51</v>
      </c>
      <c r="J348" s="1">
        <f t="shared" si="122"/>
        <v>1313714.9298478812</v>
      </c>
      <c r="K348" s="1">
        <f t="shared" si="123"/>
        <v>674748.92984787992</v>
      </c>
      <c r="N348">
        <f t="shared" si="121"/>
        <v>0</v>
      </c>
      <c r="O348">
        <f t="shared" si="121"/>
        <v>0</v>
      </c>
      <c r="P348">
        <f t="shared" si="121"/>
        <v>0</v>
      </c>
      <c r="Q348">
        <f t="shared" si="127"/>
        <v>0</v>
      </c>
      <c r="R348">
        <f t="shared" si="127"/>
        <v>0</v>
      </c>
      <c r="S348">
        <f t="shared" si="127"/>
        <v>0</v>
      </c>
      <c r="T348">
        <f t="shared" si="127"/>
        <v>0</v>
      </c>
      <c r="U348">
        <f t="shared" si="127"/>
        <v>0</v>
      </c>
      <c r="V348">
        <f t="shared" si="127"/>
        <v>0</v>
      </c>
      <c r="W348">
        <f t="shared" si="127"/>
        <v>0</v>
      </c>
      <c r="X348">
        <f t="shared" si="127"/>
        <v>0</v>
      </c>
      <c r="Y348">
        <f t="shared" si="127"/>
        <v>0</v>
      </c>
      <c r="Z348">
        <f t="shared" si="127"/>
        <v>0</v>
      </c>
      <c r="AA348">
        <f t="shared" si="127"/>
        <v>0</v>
      </c>
      <c r="AB348">
        <f t="shared" si="127"/>
        <v>0</v>
      </c>
      <c r="AC348">
        <f t="shared" si="127"/>
        <v>0</v>
      </c>
      <c r="AD348">
        <f t="shared" si="127"/>
        <v>0</v>
      </c>
      <c r="AE348">
        <f t="shared" si="127"/>
        <v>0</v>
      </c>
      <c r="AF348">
        <f t="shared" si="127"/>
        <v>0</v>
      </c>
      <c r="AG348">
        <f t="shared" si="126"/>
        <v>0</v>
      </c>
      <c r="AH348">
        <f t="shared" si="126"/>
        <v>1</v>
      </c>
      <c r="AI348">
        <f t="shared" si="126"/>
        <v>0</v>
      </c>
      <c r="AJ348">
        <f t="shared" si="126"/>
        <v>0</v>
      </c>
      <c r="AK348">
        <f t="shared" si="126"/>
        <v>0</v>
      </c>
      <c r="AL348">
        <f t="shared" si="126"/>
        <v>0</v>
      </c>
      <c r="AM348">
        <f t="shared" si="126"/>
        <v>0</v>
      </c>
      <c r="AN348">
        <f t="shared" si="126"/>
        <v>0</v>
      </c>
      <c r="AO348">
        <f t="shared" si="126"/>
        <v>0</v>
      </c>
      <c r="AP348">
        <f t="shared" si="126"/>
        <v>0</v>
      </c>
      <c r="AQ348">
        <f t="shared" si="126"/>
        <v>0</v>
      </c>
      <c r="AR348">
        <f t="shared" si="125"/>
        <v>0</v>
      </c>
      <c r="AS348">
        <f t="shared" si="125"/>
        <v>0</v>
      </c>
      <c r="AT348">
        <f t="shared" si="124"/>
        <v>0</v>
      </c>
      <c r="AU348">
        <f t="shared" si="124"/>
        <v>0</v>
      </c>
      <c r="AV348">
        <f t="shared" si="117"/>
        <v>0</v>
      </c>
      <c r="AW348">
        <f t="shared" si="117"/>
        <v>0</v>
      </c>
      <c r="AX348">
        <f t="shared" si="117"/>
        <v>0</v>
      </c>
      <c r="AY348">
        <f t="shared" si="117"/>
        <v>0</v>
      </c>
      <c r="AZ348">
        <f t="shared" si="117"/>
        <v>0</v>
      </c>
    </row>
    <row r="349" spans="1:52" x14ac:dyDescent="0.25">
      <c r="A349" t="s">
        <v>31</v>
      </c>
      <c r="B349" s="3">
        <v>41391</v>
      </c>
      <c r="C349" s="1">
        <v>4775.9446524334553</v>
      </c>
      <c r="D349" s="1">
        <v>122.46011929316552</v>
      </c>
      <c r="E349" s="1">
        <f t="shared" si="119"/>
        <v>2708.9446524334553</v>
      </c>
      <c r="F349" s="1">
        <f t="shared" si="120"/>
        <v>2067</v>
      </c>
      <c r="G349" s="2">
        <v>39</v>
      </c>
      <c r="H349" s="1">
        <v>69.460119293165519</v>
      </c>
      <c r="I349" s="1">
        <v>53</v>
      </c>
      <c r="J349" s="1">
        <f t="shared" si="122"/>
        <v>1318490.8745003147</v>
      </c>
      <c r="K349" s="1">
        <f t="shared" si="123"/>
        <v>677457.87450031342</v>
      </c>
      <c r="N349">
        <f t="shared" si="121"/>
        <v>0</v>
      </c>
      <c r="O349">
        <f t="shared" si="121"/>
        <v>0</v>
      </c>
      <c r="P349">
        <f t="shared" si="121"/>
        <v>0</v>
      </c>
      <c r="Q349">
        <f t="shared" si="127"/>
        <v>0</v>
      </c>
      <c r="R349">
        <f t="shared" si="127"/>
        <v>0</v>
      </c>
      <c r="S349">
        <f t="shared" si="127"/>
        <v>0</v>
      </c>
      <c r="T349">
        <f t="shared" si="127"/>
        <v>0</v>
      </c>
      <c r="U349">
        <f t="shared" si="127"/>
        <v>0</v>
      </c>
      <c r="V349">
        <f t="shared" si="127"/>
        <v>0</v>
      </c>
      <c r="W349">
        <f t="shared" si="127"/>
        <v>1</v>
      </c>
      <c r="X349">
        <f t="shared" si="127"/>
        <v>0</v>
      </c>
      <c r="Y349">
        <f t="shared" si="127"/>
        <v>0</v>
      </c>
      <c r="Z349">
        <f t="shared" si="127"/>
        <v>0</v>
      </c>
      <c r="AA349">
        <f t="shared" si="127"/>
        <v>0</v>
      </c>
      <c r="AB349">
        <f t="shared" si="127"/>
        <v>0</v>
      </c>
      <c r="AC349">
        <f t="shared" si="127"/>
        <v>0</v>
      </c>
      <c r="AD349">
        <f t="shared" si="127"/>
        <v>0</v>
      </c>
      <c r="AE349">
        <f t="shared" si="127"/>
        <v>0</v>
      </c>
      <c r="AF349">
        <f t="shared" si="127"/>
        <v>0</v>
      </c>
      <c r="AG349">
        <f t="shared" si="126"/>
        <v>0</v>
      </c>
      <c r="AH349">
        <f t="shared" si="126"/>
        <v>0</v>
      </c>
      <c r="AI349">
        <f t="shared" si="126"/>
        <v>0</v>
      </c>
      <c r="AJ349">
        <f t="shared" si="126"/>
        <v>0</v>
      </c>
      <c r="AK349">
        <f t="shared" si="126"/>
        <v>0</v>
      </c>
      <c r="AL349">
        <f t="shared" si="126"/>
        <v>0</v>
      </c>
      <c r="AM349">
        <f t="shared" si="126"/>
        <v>0</v>
      </c>
      <c r="AN349">
        <f t="shared" si="126"/>
        <v>0</v>
      </c>
      <c r="AO349">
        <f t="shared" si="126"/>
        <v>0</v>
      </c>
      <c r="AP349">
        <f t="shared" si="126"/>
        <v>0</v>
      </c>
      <c r="AQ349">
        <f t="shared" si="126"/>
        <v>0</v>
      </c>
      <c r="AR349">
        <f t="shared" si="125"/>
        <v>0</v>
      </c>
      <c r="AS349">
        <f t="shared" si="125"/>
        <v>0</v>
      </c>
      <c r="AT349">
        <f t="shared" si="124"/>
        <v>0</v>
      </c>
      <c r="AU349">
        <f t="shared" si="124"/>
        <v>0</v>
      </c>
      <c r="AV349">
        <f t="shared" si="117"/>
        <v>0</v>
      </c>
      <c r="AW349">
        <f t="shared" si="117"/>
        <v>0</v>
      </c>
      <c r="AX349">
        <f t="shared" si="117"/>
        <v>0</v>
      </c>
      <c r="AY349">
        <f t="shared" si="117"/>
        <v>0</v>
      </c>
      <c r="AZ349">
        <f t="shared" si="117"/>
        <v>0</v>
      </c>
    </row>
    <row r="350" spans="1:52" x14ac:dyDescent="0.25">
      <c r="A350" t="s">
        <v>12</v>
      </c>
      <c r="B350" s="3">
        <v>41384</v>
      </c>
      <c r="C350" s="1">
        <v>5649.0650113708825</v>
      </c>
      <c r="D350" s="1">
        <v>161.40185746773949</v>
      </c>
      <c r="E350" s="1">
        <f t="shared" si="119"/>
        <v>2359.0650113708816</v>
      </c>
      <c r="F350" s="1">
        <f t="shared" si="120"/>
        <v>3290</v>
      </c>
      <c r="G350" s="2">
        <v>35</v>
      </c>
      <c r="H350" s="1">
        <v>67.401857467739475</v>
      </c>
      <c r="I350" s="1">
        <v>94</v>
      </c>
      <c r="J350" s="1">
        <f t="shared" si="122"/>
        <v>1324139.9395116856</v>
      </c>
      <c r="K350" s="1">
        <f t="shared" si="123"/>
        <v>679816.93951168435</v>
      </c>
      <c r="N350">
        <f t="shared" si="121"/>
        <v>0</v>
      </c>
      <c r="O350">
        <f t="shared" si="121"/>
        <v>0</v>
      </c>
      <c r="P350">
        <f t="shared" si="121"/>
        <v>0</v>
      </c>
      <c r="Q350">
        <f t="shared" si="127"/>
        <v>0</v>
      </c>
      <c r="R350">
        <f t="shared" si="127"/>
        <v>0</v>
      </c>
      <c r="S350">
        <f t="shared" si="127"/>
        <v>0</v>
      </c>
      <c r="T350">
        <f t="shared" si="127"/>
        <v>0</v>
      </c>
      <c r="U350">
        <f t="shared" si="127"/>
        <v>0</v>
      </c>
      <c r="V350">
        <f t="shared" si="127"/>
        <v>0</v>
      </c>
      <c r="W350">
        <f t="shared" si="127"/>
        <v>0</v>
      </c>
      <c r="X350">
        <f t="shared" si="127"/>
        <v>0</v>
      </c>
      <c r="Y350">
        <f t="shared" si="127"/>
        <v>0</v>
      </c>
      <c r="Z350">
        <f t="shared" si="127"/>
        <v>0</v>
      </c>
      <c r="AA350">
        <f t="shared" si="127"/>
        <v>0</v>
      </c>
      <c r="AB350">
        <f t="shared" si="127"/>
        <v>0</v>
      </c>
      <c r="AC350">
        <f t="shared" si="127"/>
        <v>0</v>
      </c>
      <c r="AD350">
        <f t="shared" si="127"/>
        <v>0</v>
      </c>
      <c r="AE350">
        <f t="shared" si="127"/>
        <v>0</v>
      </c>
      <c r="AF350">
        <f t="shared" si="127"/>
        <v>0</v>
      </c>
      <c r="AG350">
        <f t="shared" si="126"/>
        <v>0</v>
      </c>
      <c r="AH350">
        <f t="shared" si="126"/>
        <v>0</v>
      </c>
      <c r="AI350">
        <f t="shared" si="126"/>
        <v>0</v>
      </c>
      <c r="AJ350">
        <f t="shared" si="126"/>
        <v>0</v>
      </c>
      <c r="AK350">
        <f t="shared" si="126"/>
        <v>1</v>
      </c>
      <c r="AL350">
        <f t="shared" si="126"/>
        <v>0</v>
      </c>
      <c r="AM350">
        <f t="shared" si="126"/>
        <v>0</v>
      </c>
      <c r="AN350">
        <f t="shared" si="126"/>
        <v>0</v>
      </c>
      <c r="AO350">
        <f t="shared" si="126"/>
        <v>0</v>
      </c>
      <c r="AP350">
        <f t="shared" si="126"/>
        <v>0</v>
      </c>
      <c r="AQ350">
        <f t="shared" si="126"/>
        <v>0</v>
      </c>
      <c r="AR350">
        <f t="shared" si="125"/>
        <v>0</v>
      </c>
      <c r="AS350">
        <f t="shared" si="125"/>
        <v>0</v>
      </c>
      <c r="AT350">
        <f t="shared" si="124"/>
        <v>0</v>
      </c>
      <c r="AU350">
        <f t="shared" si="124"/>
        <v>0</v>
      </c>
      <c r="AV350">
        <f t="shared" si="117"/>
        <v>0</v>
      </c>
      <c r="AW350">
        <f t="shared" si="117"/>
        <v>0</v>
      </c>
      <c r="AX350">
        <f t="shared" si="117"/>
        <v>0</v>
      </c>
      <c r="AY350">
        <f t="shared" si="117"/>
        <v>0</v>
      </c>
      <c r="AZ350">
        <f t="shared" si="117"/>
        <v>0</v>
      </c>
    </row>
    <row r="351" spans="1:52" x14ac:dyDescent="0.25">
      <c r="A351" t="s">
        <v>42</v>
      </c>
      <c r="B351" s="3">
        <v>41368</v>
      </c>
      <c r="C351" s="1">
        <v>1055.8213944974159</v>
      </c>
      <c r="D351" s="1">
        <v>70.388092966494398</v>
      </c>
      <c r="E351" s="1">
        <f t="shared" si="119"/>
        <v>545.82139449741601</v>
      </c>
      <c r="F351" s="1">
        <f t="shared" si="120"/>
        <v>510</v>
      </c>
      <c r="G351" s="2">
        <v>15</v>
      </c>
      <c r="H351" s="1">
        <v>36.388092966494398</v>
      </c>
      <c r="I351" s="1">
        <v>34</v>
      </c>
      <c r="J351" s="1">
        <f t="shared" si="122"/>
        <v>1325195.7609061832</v>
      </c>
      <c r="K351" s="1">
        <f t="shared" si="123"/>
        <v>680362.76090618176</v>
      </c>
      <c r="N351">
        <f t="shared" si="121"/>
        <v>0</v>
      </c>
      <c r="O351">
        <f t="shared" si="121"/>
        <v>0</v>
      </c>
      <c r="P351">
        <f t="shared" si="121"/>
        <v>0</v>
      </c>
      <c r="Q351">
        <f t="shared" si="127"/>
        <v>0</v>
      </c>
      <c r="R351">
        <f t="shared" si="127"/>
        <v>0</v>
      </c>
      <c r="S351">
        <f t="shared" si="127"/>
        <v>0</v>
      </c>
      <c r="T351">
        <f t="shared" si="127"/>
        <v>0</v>
      </c>
      <c r="U351">
        <f t="shared" si="127"/>
        <v>0</v>
      </c>
      <c r="V351">
        <f t="shared" si="127"/>
        <v>0</v>
      </c>
      <c r="W351">
        <f t="shared" si="127"/>
        <v>0</v>
      </c>
      <c r="X351">
        <f t="shared" si="127"/>
        <v>0</v>
      </c>
      <c r="Y351">
        <f t="shared" si="127"/>
        <v>0</v>
      </c>
      <c r="Z351">
        <f t="shared" si="127"/>
        <v>1</v>
      </c>
      <c r="AA351">
        <f t="shared" si="127"/>
        <v>0</v>
      </c>
      <c r="AB351">
        <f t="shared" si="127"/>
        <v>0</v>
      </c>
      <c r="AC351">
        <f t="shared" si="127"/>
        <v>0</v>
      </c>
      <c r="AD351">
        <f t="shared" si="127"/>
        <v>0</v>
      </c>
      <c r="AE351">
        <f t="shared" si="127"/>
        <v>0</v>
      </c>
      <c r="AF351">
        <f t="shared" si="127"/>
        <v>0</v>
      </c>
      <c r="AG351">
        <f t="shared" si="126"/>
        <v>0</v>
      </c>
      <c r="AH351">
        <f t="shared" si="126"/>
        <v>0</v>
      </c>
      <c r="AI351">
        <f t="shared" si="126"/>
        <v>0</v>
      </c>
      <c r="AJ351">
        <f t="shared" si="126"/>
        <v>0</v>
      </c>
      <c r="AK351">
        <f t="shared" si="126"/>
        <v>0</v>
      </c>
      <c r="AL351">
        <f t="shared" si="126"/>
        <v>0</v>
      </c>
      <c r="AM351">
        <f t="shared" si="126"/>
        <v>0</v>
      </c>
      <c r="AN351">
        <f t="shared" si="126"/>
        <v>0</v>
      </c>
      <c r="AO351">
        <f t="shared" si="126"/>
        <v>0</v>
      </c>
      <c r="AP351">
        <f t="shared" si="126"/>
        <v>0</v>
      </c>
      <c r="AQ351">
        <f t="shared" si="126"/>
        <v>0</v>
      </c>
      <c r="AR351">
        <f t="shared" si="125"/>
        <v>0</v>
      </c>
      <c r="AS351">
        <f t="shared" si="125"/>
        <v>0</v>
      </c>
      <c r="AT351">
        <f t="shared" si="124"/>
        <v>0</v>
      </c>
      <c r="AU351">
        <f t="shared" si="124"/>
        <v>0</v>
      </c>
      <c r="AV351">
        <f t="shared" si="117"/>
        <v>0</v>
      </c>
      <c r="AW351">
        <f t="shared" si="117"/>
        <v>0</v>
      </c>
      <c r="AX351">
        <f t="shared" si="117"/>
        <v>0</v>
      </c>
      <c r="AY351">
        <f t="shared" si="117"/>
        <v>0</v>
      </c>
      <c r="AZ351">
        <f t="shared" si="117"/>
        <v>0</v>
      </c>
    </row>
    <row r="352" spans="1:52" x14ac:dyDescent="0.25">
      <c r="A352" t="s">
        <v>49</v>
      </c>
      <c r="B352" s="3">
        <v>41367</v>
      </c>
      <c r="C352" s="1">
        <v>14598.414280259109</v>
      </c>
      <c r="D352" s="1">
        <v>153.66751873956957</v>
      </c>
      <c r="E352" s="1">
        <f t="shared" si="119"/>
        <v>8708.4142802591086</v>
      </c>
      <c r="F352" s="1">
        <f t="shared" si="120"/>
        <v>5890</v>
      </c>
      <c r="G352" s="2">
        <v>95</v>
      </c>
      <c r="H352" s="1">
        <v>91.667518739569559</v>
      </c>
      <c r="I352" s="1">
        <v>62</v>
      </c>
      <c r="J352" s="1">
        <f t="shared" si="122"/>
        <v>1339794.1751864422</v>
      </c>
      <c r="K352" s="1">
        <f t="shared" si="123"/>
        <v>689071.17518644081</v>
      </c>
      <c r="N352">
        <f t="shared" si="121"/>
        <v>0</v>
      </c>
      <c r="O352">
        <f t="shared" si="121"/>
        <v>0</v>
      </c>
      <c r="P352">
        <f t="shared" si="121"/>
        <v>0</v>
      </c>
      <c r="Q352">
        <f t="shared" si="127"/>
        <v>0</v>
      </c>
      <c r="R352">
        <f t="shared" si="127"/>
        <v>0</v>
      </c>
      <c r="S352">
        <f t="shared" si="127"/>
        <v>0</v>
      </c>
      <c r="T352">
        <f t="shared" si="127"/>
        <v>0</v>
      </c>
      <c r="U352">
        <f t="shared" si="127"/>
        <v>0</v>
      </c>
      <c r="V352">
        <f t="shared" si="127"/>
        <v>0</v>
      </c>
      <c r="W352">
        <f t="shared" si="127"/>
        <v>0</v>
      </c>
      <c r="X352">
        <f t="shared" si="127"/>
        <v>0</v>
      </c>
      <c r="Y352">
        <f t="shared" si="127"/>
        <v>0</v>
      </c>
      <c r="Z352">
        <f t="shared" si="127"/>
        <v>0</v>
      </c>
      <c r="AA352">
        <f t="shared" si="127"/>
        <v>1</v>
      </c>
      <c r="AB352">
        <f t="shared" si="127"/>
        <v>0</v>
      </c>
      <c r="AC352">
        <f t="shared" si="127"/>
        <v>0</v>
      </c>
      <c r="AD352">
        <f t="shared" si="127"/>
        <v>0</v>
      </c>
      <c r="AE352">
        <f t="shared" si="127"/>
        <v>0</v>
      </c>
      <c r="AF352">
        <f t="shared" si="127"/>
        <v>0</v>
      </c>
      <c r="AG352">
        <f t="shared" si="126"/>
        <v>0</v>
      </c>
      <c r="AH352">
        <f t="shared" si="126"/>
        <v>0</v>
      </c>
      <c r="AI352">
        <f t="shared" si="126"/>
        <v>0</v>
      </c>
      <c r="AJ352">
        <f t="shared" si="126"/>
        <v>0</v>
      </c>
      <c r="AK352">
        <f t="shared" si="126"/>
        <v>0</v>
      </c>
      <c r="AL352">
        <f t="shared" si="126"/>
        <v>0</v>
      </c>
      <c r="AM352">
        <f t="shared" si="126"/>
        <v>0</v>
      </c>
      <c r="AN352">
        <f t="shared" si="126"/>
        <v>0</v>
      </c>
      <c r="AO352">
        <f t="shared" si="126"/>
        <v>0</v>
      </c>
      <c r="AP352">
        <f t="shared" si="126"/>
        <v>0</v>
      </c>
      <c r="AQ352">
        <f t="shared" si="126"/>
        <v>0</v>
      </c>
      <c r="AR352">
        <f t="shared" si="125"/>
        <v>0</v>
      </c>
      <c r="AS352">
        <f t="shared" si="125"/>
        <v>0</v>
      </c>
      <c r="AT352">
        <f t="shared" si="124"/>
        <v>0</v>
      </c>
      <c r="AU352">
        <f t="shared" si="124"/>
        <v>0</v>
      </c>
      <c r="AV352">
        <f t="shared" si="117"/>
        <v>0</v>
      </c>
      <c r="AW352">
        <f t="shared" si="117"/>
        <v>0</v>
      </c>
      <c r="AX352">
        <f t="shared" si="117"/>
        <v>0</v>
      </c>
      <c r="AY352">
        <f t="shared" si="117"/>
        <v>0</v>
      </c>
      <c r="AZ352">
        <f t="shared" si="117"/>
        <v>0</v>
      </c>
    </row>
    <row r="353" spans="1:52" x14ac:dyDescent="0.25">
      <c r="A353" t="s">
        <v>12</v>
      </c>
      <c r="B353" s="3">
        <v>41365</v>
      </c>
      <c r="C353" s="1">
        <v>1343.8580086243014</v>
      </c>
      <c r="D353" s="1">
        <v>167.98225107803768</v>
      </c>
      <c r="E353" s="1">
        <f t="shared" si="119"/>
        <v>759.85800862430153</v>
      </c>
      <c r="F353" s="1">
        <f t="shared" si="120"/>
        <v>584</v>
      </c>
      <c r="G353" s="2">
        <v>8</v>
      </c>
      <c r="H353" s="1">
        <v>94.982251078037692</v>
      </c>
      <c r="I353" s="1">
        <v>73</v>
      </c>
      <c r="J353" s="1">
        <f t="shared" si="122"/>
        <v>1341138.0331950665</v>
      </c>
      <c r="K353" s="1">
        <f t="shared" si="123"/>
        <v>689831.0331950651</v>
      </c>
      <c r="N353">
        <f t="shared" si="121"/>
        <v>0</v>
      </c>
      <c r="O353">
        <f t="shared" si="121"/>
        <v>0</v>
      </c>
      <c r="P353">
        <f t="shared" si="121"/>
        <v>0</v>
      </c>
      <c r="Q353">
        <f t="shared" si="127"/>
        <v>0</v>
      </c>
      <c r="R353">
        <f t="shared" si="127"/>
        <v>0</v>
      </c>
      <c r="S353">
        <f t="shared" si="127"/>
        <v>0</v>
      </c>
      <c r="T353">
        <f t="shared" si="127"/>
        <v>0</v>
      </c>
      <c r="U353">
        <f t="shared" si="127"/>
        <v>0</v>
      </c>
      <c r="V353">
        <f t="shared" si="127"/>
        <v>0</v>
      </c>
      <c r="W353">
        <f t="shared" si="127"/>
        <v>0</v>
      </c>
      <c r="X353">
        <f t="shared" si="127"/>
        <v>0</v>
      </c>
      <c r="Y353">
        <f t="shared" si="127"/>
        <v>0</v>
      </c>
      <c r="Z353">
        <f t="shared" si="127"/>
        <v>0</v>
      </c>
      <c r="AA353">
        <f t="shared" si="127"/>
        <v>0</v>
      </c>
      <c r="AB353">
        <f t="shared" si="127"/>
        <v>0</v>
      </c>
      <c r="AC353">
        <f t="shared" si="127"/>
        <v>0</v>
      </c>
      <c r="AD353">
        <f t="shared" si="127"/>
        <v>0</v>
      </c>
      <c r="AE353">
        <f t="shared" si="127"/>
        <v>0</v>
      </c>
      <c r="AF353">
        <f t="shared" si="127"/>
        <v>0</v>
      </c>
      <c r="AG353">
        <f t="shared" si="126"/>
        <v>0</v>
      </c>
      <c r="AH353">
        <f t="shared" si="126"/>
        <v>0</v>
      </c>
      <c r="AI353">
        <f t="shared" si="126"/>
        <v>0</v>
      </c>
      <c r="AJ353">
        <f t="shared" si="126"/>
        <v>0</v>
      </c>
      <c r="AK353">
        <f t="shared" si="126"/>
        <v>1</v>
      </c>
      <c r="AL353">
        <f t="shared" si="126"/>
        <v>0</v>
      </c>
      <c r="AM353">
        <f t="shared" si="126"/>
        <v>0</v>
      </c>
      <c r="AN353">
        <f t="shared" si="126"/>
        <v>0</v>
      </c>
      <c r="AO353">
        <f t="shared" si="126"/>
        <v>0</v>
      </c>
      <c r="AP353">
        <f t="shared" si="126"/>
        <v>0</v>
      </c>
      <c r="AQ353">
        <f t="shared" si="126"/>
        <v>0</v>
      </c>
      <c r="AR353">
        <f t="shared" si="125"/>
        <v>0</v>
      </c>
      <c r="AS353">
        <f t="shared" si="125"/>
        <v>0</v>
      </c>
      <c r="AT353">
        <f t="shared" si="124"/>
        <v>0</v>
      </c>
      <c r="AU353">
        <f t="shared" si="124"/>
        <v>0</v>
      </c>
      <c r="AV353">
        <f t="shared" si="117"/>
        <v>0</v>
      </c>
      <c r="AW353">
        <f t="shared" si="117"/>
        <v>0</v>
      </c>
      <c r="AX353">
        <f t="shared" si="117"/>
        <v>0</v>
      </c>
      <c r="AY353">
        <f t="shared" si="117"/>
        <v>0</v>
      </c>
      <c r="AZ353">
        <f t="shared" si="117"/>
        <v>0</v>
      </c>
    </row>
    <row r="354" spans="1:52" x14ac:dyDescent="0.25">
      <c r="A354" t="s">
        <v>44</v>
      </c>
      <c r="B354" s="3">
        <v>41364</v>
      </c>
      <c r="C354" s="1">
        <v>358.16836850461078</v>
      </c>
      <c r="D354" s="1">
        <v>59.694728084101797</v>
      </c>
      <c r="E354" s="1">
        <f t="shared" si="119"/>
        <v>202.16836850461078</v>
      </c>
      <c r="F354" s="1">
        <f t="shared" si="120"/>
        <v>156</v>
      </c>
      <c r="G354" s="2">
        <v>6</v>
      </c>
      <c r="H354" s="1">
        <v>33.694728084101797</v>
      </c>
      <c r="I354" s="1">
        <v>26</v>
      </c>
      <c r="J354" s="1">
        <f t="shared" si="122"/>
        <v>1341496.2015635711</v>
      </c>
      <c r="K354" s="1">
        <f t="shared" si="123"/>
        <v>690033.20156356972</v>
      </c>
      <c r="N354">
        <f t="shared" si="121"/>
        <v>0</v>
      </c>
      <c r="O354">
        <f t="shared" si="121"/>
        <v>0</v>
      </c>
      <c r="P354">
        <f t="shared" si="121"/>
        <v>0</v>
      </c>
      <c r="Q354">
        <f t="shared" si="127"/>
        <v>0</v>
      </c>
      <c r="R354">
        <f t="shared" si="127"/>
        <v>0</v>
      </c>
      <c r="S354">
        <f t="shared" si="127"/>
        <v>0</v>
      </c>
      <c r="T354">
        <f t="shared" si="127"/>
        <v>0</v>
      </c>
      <c r="U354">
        <f t="shared" si="127"/>
        <v>0</v>
      </c>
      <c r="V354">
        <f t="shared" si="127"/>
        <v>0</v>
      </c>
      <c r="W354">
        <f t="shared" si="127"/>
        <v>0</v>
      </c>
      <c r="X354">
        <f t="shared" si="127"/>
        <v>0</v>
      </c>
      <c r="Y354">
        <f t="shared" si="127"/>
        <v>0</v>
      </c>
      <c r="Z354">
        <f t="shared" si="127"/>
        <v>0</v>
      </c>
      <c r="AA354">
        <f t="shared" si="127"/>
        <v>0</v>
      </c>
      <c r="AB354">
        <f t="shared" si="127"/>
        <v>0</v>
      </c>
      <c r="AC354">
        <f t="shared" si="127"/>
        <v>0</v>
      </c>
      <c r="AD354">
        <f t="shared" si="127"/>
        <v>0</v>
      </c>
      <c r="AE354">
        <f t="shared" si="127"/>
        <v>0</v>
      </c>
      <c r="AF354">
        <f t="shared" si="127"/>
        <v>0</v>
      </c>
      <c r="AG354">
        <f t="shared" si="126"/>
        <v>0</v>
      </c>
      <c r="AH354">
        <f t="shared" si="126"/>
        <v>0</v>
      </c>
      <c r="AI354">
        <f t="shared" si="126"/>
        <v>0</v>
      </c>
      <c r="AJ354">
        <f t="shared" si="126"/>
        <v>0</v>
      </c>
      <c r="AK354">
        <f t="shared" si="126"/>
        <v>0</v>
      </c>
      <c r="AL354">
        <f t="shared" si="126"/>
        <v>0</v>
      </c>
      <c r="AM354">
        <f t="shared" si="126"/>
        <v>0</v>
      </c>
      <c r="AN354">
        <f t="shared" si="126"/>
        <v>0</v>
      </c>
      <c r="AO354">
        <f t="shared" si="126"/>
        <v>0</v>
      </c>
      <c r="AP354">
        <f t="shared" si="126"/>
        <v>0</v>
      </c>
      <c r="AQ354">
        <f t="shared" si="126"/>
        <v>0</v>
      </c>
      <c r="AR354">
        <f t="shared" si="125"/>
        <v>0</v>
      </c>
      <c r="AS354">
        <f t="shared" si="125"/>
        <v>0</v>
      </c>
      <c r="AT354">
        <f t="shared" si="124"/>
        <v>0</v>
      </c>
      <c r="AU354">
        <f t="shared" si="124"/>
        <v>1</v>
      </c>
      <c r="AV354">
        <f t="shared" si="117"/>
        <v>0</v>
      </c>
      <c r="AW354">
        <f t="shared" si="117"/>
        <v>0</v>
      </c>
      <c r="AX354">
        <f t="shared" si="117"/>
        <v>0</v>
      </c>
      <c r="AY354">
        <f t="shared" si="117"/>
        <v>0</v>
      </c>
      <c r="AZ354">
        <f t="shared" si="117"/>
        <v>0</v>
      </c>
    </row>
    <row r="355" spans="1:52" x14ac:dyDescent="0.25">
      <c r="A355" t="s">
        <v>41</v>
      </c>
      <c r="B355" s="3">
        <v>41346</v>
      </c>
      <c r="C355" s="1">
        <v>1252.9129324058604</v>
      </c>
      <c r="D355" s="1">
        <v>104.4094110338217</v>
      </c>
      <c r="E355" s="1">
        <f t="shared" si="119"/>
        <v>640.91293240586026</v>
      </c>
      <c r="F355" s="1">
        <f t="shared" si="120"/>
        <v>612</v>
      </c>
      <c r="G355" s="2">
        <v>12</v>
      </c>
      <c r="H355" s="1">
        <v>53.409411033821691</v>
      </c>
      <c r="I355" s="1">
        <v>51</v>
      </c>
      <c r="J355" s="1">
        <f t="shared" si="122"/>
        <v>1342749.1144959771</v>
      </c>
      <c r="K355" s="1">
        <f t="shared" si="123"/>
        <v>690674.11449597555</v>
      </c>
      <c r="N355">
        <f t="shared" si="121"/>
        <v>0</v>
      </c>
      <c r="O355">
        <f t="shared" si="121"/>
        <v>0</v>
      </c>
      <c r="P355">
        <f t="shared" si="121"/>
        <v>0</v>
      </c>
      <c r="Q355">
        <f t="shared" si="127"/>
        <v>1</v>
      </c>
      <c r="R355">
        <f t="shared" si="127"/>
        <v>0</v>
      </c>
      <c r="S355">
        <f t="shared" si="127"/>
        <v>0</v>
      </c>
      <c r="T355">
        <f t="shared" si="127"/>
        <v>0</v>
      </c>
      <c r="U355">
        <f t="shared" si="127"/>
        <v>0</v>
      </c>
      <c r="V355">
        <f t="shared" si="127"/>
        <v>0</v>
      </c>
      <c r="W355">
        <f t="shared" si="127"/>
        <v>0</v>
      </c>
      <c r="X355">
        <f t="shared" si="127"/>
        <v>0</v>
      </c>
      <c r="Y355">
        <f t="shared" si="127"/>
        <v>0</v>
      </c>
      <c r="Z355">
        <f t="shared" si="127"/>
        <v>0</v>
      </c>
      <c r="AA355">
        <f t="shared" si="127"/>
        <v>0</v>
      </c>
      <c r="AB355">
        <f t="shared" si="127"/>
        <v>0</v>
      </c>
      <c r="AC355">
        <f t="shared" si="127"/>
        <v>0</v>
      </c>
      <c r="AD355">
        <f t="shared" si="127"/>
        <v>0</v>
      </c>
      <c r="AE355">
        <f t="shared" si="127"/>
        <v>0</v>
      </c>
      <c r="AF355">
        <f t="shared" ref="AF355:AU370" si="128">+IF(AF$5=$A355,1,0)</f>
        <v>0</v>
      </c>
      <c r="AG355">
        <f t="shared" si="128"/>
        <v>0</v>
      </c>
      <c r="AH355">
        <f t="shared" si="128"/>
        <v>0</v>
      </c>
      <c r="AI355">
        <f t="shared" si="128"/>
        <v>0</v>
      </c>
      <c r="AJ355">
        <f t="shared" si="128"/>
        <v>0</v>
      </c>
      <c r="AK355">
        <f t="shared" si="128"/>
        <v>0</v>
      </c>
      <c r="AL355">
        <f t="shared" si="128"/>
        <v>0</v>
      </c>
      <c r="AM355">
        <f t="shared" si="128"/>
        <v>0</v>
      </c>
      <c r="AN355">
        <f t="shared" si="128"/>
        <v>0</v>
      </c>
      <c r="AO355">
        <f t="shared" si="128"/>
        <v>0</v>
      </c>
      <c r="AP355">
        <f t="shared" si="128"/>
        <v>0</v>
      </c>
      <c r="AQ355">
        <f t="shared" si="128"/>
        <v>0</v>
      </c>
      <c r="AR355">
        <f t="shared" si="128"/>
        <v>0</v>
      </c>
      <c r="AS355">
        <f t="shared" si="128"/>
        <v>0</v>
      </c>
      <c r="AT355">
        <f t="shared" si="128"/>
        <v>0</v>
      </c>
      <c r="AU355">
        <f t="shared" si="128"/>
        <v>0</v>
      </c>
      <c r="AV355">
        <f t="shared" si="117"/>
        <v>0</v>
      </c>
      <c r="AW355">
        <f t="shared" si="117"/>
        <v>0</v>
      </c>
      <c r="AX355">
        <f t="shared" si="117"/>
        <v>0</v>
      </c>
      <c r="AY355">
        <f t="shared" si="117"/>
        <v>0</v>
      </c>
      <c r="AZ355">
        <f t="shared" si="117"/>
        <v>0</v>
      </c>
    </row>
    <row r="356" spans="1:52" x14ac:dyDescent="0.25">
      <c r="A356" t="s">
        <v>44</v>
      </c>
      <c r="B356" s="3">
        <v>41320</v>
      </c>
      <c r="C356" s="1">
        <v>2253.4262800000893</v>
      </c>
      <c r="D356" s="1">
        <v>132.55448705882878</v>
      </c>
      <c r="E356" s="1">
        <f t="shared" si="119"/>
        <v>995.42628000008949</v>
      </c>
      <c r="F356" s="1">
        <f t="shared" si="120"/>
        <v>1258</v>
      </c>
      <c r="G356" s="2">
        <v>17</v>
      </c>
      <c r="H356" s="1">
        <v>58.554487058828791</v>
      </c>
      <c r="I356" s="1">
        <v>74</v>
      </c>
      <c r="J356" s="1">
        <f t="shared" si="122"/>
        <v>1345002.5407759771</v>
      </c>
      <c r="K356" s="1">
        <f t="shared" si="123"/>
        <v>691669.54077597568</v>
      </c>
      <c r="N356">
        <f t="shared" si="121"/>
        <v>0</v>
      </c>
      <c r="O356">
        <f t="shared" si="121"/>
        <v>0</v>
      </c>
      <c r="P356">
        <f t="shared" si="121"/>
        <v>0</v>
      </c>
      <c r="Q356">
        <f t="shared" ref="Q356:AF371" si="129">+IF(Q$5=$A356,1,0)</f>
        <v>0</v>
      </c>
      <c r="R356">
        <f t="shared" si="129"/>
        <v>0</v>
      </c>
      <c r="S356">
        <f t="shared" si="129"/>
        <v>0</v>
      </c>
      <c r="T356">
        <f t="shared" si="129"/>
        <v>0</v>
      </c>
      <c r="U356">
        <f t="shared" si="129"/>
        <v>0</v>
      </c>
      <c r="V356">
        <f t="shared" si="129"/>
        <v>0</v>
      </c>
      <c r="W356">
        <f t="shared" si="129"/>
        <v>0</v>
      </c>
      <c r="X356">
        <f t="shared" si="129"/>
        <v>0</v>
      </c>
      <c r="Y356">
        <f t="shared" si="129"/>
        <v>0</v>
      </c>
      <c r="Z356">
        <f t="shared" si="129"/>
        <v>0</v>
      </c>
      <c r="AA356">
        <f t="shared" si="129"/>
        <v>0</v>
      </c>
      <c r="AB356">
        <f t="shared" si="129"/>
        <v>0</v>
      </c>
      <c r="AC356">
        <f t="shared" si="129"/>
        <v>0</v>
      </c>
      <c r="AD356">
        <f t="shared" si="129"/>
        <v>0</v>
      </c>
      <c r="AE356">
        <f t="shared" si="129"/>
        <v>0</v>
      </c>
      <c r="AF356">
        <f t="shared" si="129"/>
        <v>0</v>
      </c>
      <c r="AG356">
        <f t="shared" si="128"/>
        <v>0</v>
      </c>
      <c r="AH356">
        <f t="shared" si="128"/>
        <v>0</v>
      </c>
      <c r="AI356">
        <f t="shared" si="128"/>
        <v>0</v>
      </c>
      <c r="AJ356">
        <f t="shared" si="128"/>
        <v>0</v>
      </c>
      <c r="AK356">
        <f t="shared" si="128"/>
        <v>0</v>
      </c>
      <c r="AL356">
        <f t="shared" si="128"/>
        <v>0</v>
      </c>
      <c r="AM356">
        <f t="shared" si="128"/>
        <v>0</v>
      </c>
      <c r="AN356">
        <f t="shared" si="128"/>
        <v>0</v>
      </c>
      <c r="AO356">
        <f t="shared" si="128"/>
        <v>0</v>
      </c>
      <c r="AP356">
        <f t="shared" si="128"/>
        <v>0</v>
      </c>
      <c r="AQ356">
        <f t="shared" si="128"/>
        <v>0</v>
      </c>
      <c r="AR356">
        <f t="shared" si="128"/>
        <v>0</v>
      </c>
      <c r="AS356">
        <f t="shared" si="128"/>
        <v>0</v>
      </c>
      <c r="AT356">
        <f t="shared" si="128"/>
        <v>0</v>
      </c>
      <c r="AU356">
        <f t="shared" si="128"/>
        <v>1</v>
      </c>
      <c r="AV356">
        <f t="shared" si="117"/>
        <v>0</v>
      </c>
      <c r="AW356">
        <f t="shared" si="117"/>
        <v>0</v>
      </c>
      <c r="AX356">
        <f t="shared" si="117"/>
        <v>0</v>
      </c>
      <c r="AY356">
        <f t="shared" si="117"/>
        <v>0</v>
      </c>
      <c r="AZ356">
        <f t="shared" si="117"/>
        <v>0</v>
      </c>
    </row>
    <row r="357" spans="1:52" x14ac:dyDescent="0.25">
      <c r="A357" t="s">
        <v>48</v>
      </c>
      <c r="B357" s="3">
        <v>41318</v>
      </c>
      <c r="C357" s="1">
        <v>3589.4201980433422</v>
      </c>
      <c r="D357" s="1">
        <v>132.94148881642008</v>
      </c>
      <c r="E357" s="1">
        <f t="shared" si="119"/>
        <v>1537.4201980433418</v>
      </c>
      <c r="F357" s="1">
        <f t="shared" si="120"/>
        <v>2052</v>
      </c>
      <c r="G357" s="2">
        <v>27</v>
      </c>
      <c r="H357" s="1">
        <v>56.941488816420069</v>
      </c>
      <c r="I357" s="1">
        <v>76</v>
      </c>
      <c r="J357" s="1">
        <f t="shared" si="122"/>
        <v>1348591.9609740204</v>
      </c>
      <c r="K357" s="1">
        <f t="shared" si="123"/>
        <v>693206.96097401902</v>
      </c>
      <c r="N357">
        <f t="shared" si="121"/>
        <v>0</v>
      </c>
      <c r="O357">
        <f t="shared" si="121"/>
        <v>0</v>
      </c>
      <c r="P357">
        <f t="shared" si="121"/>
        <v>0</v>
      </c>
      <c r="Q357">
        <f t="shared" si="129"/>
        <v>0</v>
      </c>
      <c r="R357">
        <f t="shared" si="129"/>
        <v>0</v>
      </c>
      <c r="S357">
        <f t="shared" si="129"/>
        <v>0</v>
      </c>
      <c r="T357">
        <f t="shared" si="129"/>
        <v>0</v>
      </c>
      <c r="U357">
        <f t="shared" si="129"/>
        <v>0</v>
      </c>
      <c r="V357">
        <f t="shared" si="129"/>
        <v>0</v>
      </c>
      <c r="W357">
        <f t="shared" si="129"/>
        <v>0</v>
      </c>
      <c r="X357">
        <f t="shared" si="129"/>
        <v>0</v>
      </c>
      <c r="Y357">
        <f t="shared" si="129"/>
        <v>0</v>
      </c>
      <c r="Z357">
        <f t="shared" si="129"/>
        <v>0</v>
      </c>
      <c r="AA357">
        <f t="shared" si="129"/>
        <v>0</v>
      </c>
      <c r="AB357">
        <f t="shared" si="129"/>
        <v>0</v>
      </c>
      <c r="AC357">
        <f t="shared" si="129"/>
        <v>0</v>
      </c>
      <c r="AD357">
        <f t="shared" si="129"/>
        <v>0</v>
      </c>
      <c r="AE357">
        <f t="shared" si="129"/>
        <v>0</v>
      </c>
      <c r="AF357">
        <f t="shared" si="129"/>
        <v>0</v>
      </c>
      <c r="AG357">
        <f t="shared" si="128"/>
        <v>0</v>
      </c>
      <c r="AH357">
        <f t="shared" si="128"/>
        <v>0</v>
      </c>
      <c r="AI357">
        <f t="shared" si="128"/>
        <v>1</v>
      </c>
      <c r="AJ357">
        <f t="shared" si="128"/>
        <v>0</v>
      </c>
      <c r="AK357">
        <f t="shared" si="128"/>
        <v>0</v>
      </c>
      <c r="AL357">
        <f t="shared" si="128"/>
        <v>0</v>
      </c>
      <c r="AM357">
        <f t="shared" si="128"/>
        <v>0</v>
      </c>
      <c r="AN357">
        <f t="shared" si="128"/>
        <v>0</v>
      </c>
      <c r="AO357">
        <f t="shared" si="128"/>
        <v>0</v>
      </c>
      <c r="AP357">
        <f t="shared" si="128"/>
        <v>0</v>
      </c>
      <c r="AQ357">
        <f t="shared" si="128"/>
        <v>0</v>
      </c>
      <c r="AR357">
        <f t="shared" si="128"/>
        <v>0</v>
      </c>
      <c r="AS357">
        <f t="shared" si="128"/>
        <v>0</v>
      </c>
      <c r="AT357">
        <f t="shared" si="128"/>
        <v>0</v>
      </c>
      <c r="AU357">
        <f t="shared" si="128"/>
        <v>0</v>
      </c>
      <c r="AV357">
        <f t="shared" si="117"/>
        <v>0</v>
      </c>
      <c r="AW357">
        <f t="shared" si="117"/>
        <v>0</v>
      </c>
      <c r="AX357">
        <f t="shared" si="117"/>
        <v>0</v>
      </c>
      <c r="AY357">
        <f t="shared" si="117"/>
        <v>0</v>
      </c>
      <c r="AZ357">
        <f t="shared" si="117"/>
        <v>0</v>
      </c>
    </row>
    <row r="358" spans="1:52" x14ac:dyDescent="0.25">
      <c r="A358" t="s">
        <v>37</v>
      </c>
      <c r="B358" s="3">
        <v>41305</v>
      </c>
      <c r="C358" s="1">
        <v>224.41469458697583</v>
      </c>
      <c r="D358" s="1">
        <v>74.804898195658609</v>
      </c>
      <c r="E358" s="1">
        <f t="shared" si="119"/>
        <v>104.41469458697583</v>
      </c>
      <c r="F358" s="1">
        <f t="shared" si="120"/>
        <v>120</v>
      </c>
      <c r="G358" s="2">
        <v>3</v>
      </c>
      <c r="H358" s="1">
        <v>34.804898195658609</v>
      </c>
      <c r="I358" s="1">
        <v>40</v>
      </c>
      <c r="J358" s="1">
        <f t="shared" si="122"/>
        <v>1348816.3756686074</v>
      </c>
      <c r="K358" s="1">
        <f t="shared" si="123"/>
        <v>693311.37566860602</v>
      </c>
      <c r="N358">
        <f t="shared" si="121"/>
        <v>0</v>
      </c>
      <c r="O358">
        <f t="shared" si="121"/>
        <v>0</v>
      </c>
      <c r="P358">
        <f t="shared" si="121"/>
        <v>0</v>
      </c>
      <c r="Q358">
        <f t="shared" si="129"/>
        <v>0</v>
      </c>
      <c r="R358">
        <f t="shared" si="129"/>
        <v>0</v>
      </c>
      <c r="S358">
        <f t="shared" si="129"/>
        <v>0</v>
      </c>
      <c r="T358">
        <f t="shared" si="129"/>
        <v>0</v>
      </c>
      <c r="U358">
        <f t="shared" si="129"/>
        <v>0</v>
      </c>
      <c r="V358">
        <f t="shared" si="129"/>
        <v>0</v>
      </c>
      <c r="W358">
        <f t="shared" si="129"/>
        <v>0</v>
      </c>
      <c r="X358">
        <f t="shared" si="129"/>
        <v>0</v>
      </c>
      <c r="Y358">
        <f t="shared" si="129"/>
        <v>0</v>
      </c>
      <c r="Z358">
        <f t="shared" si="129"/>
        <v>0</v>
      </c>
      <c r="AA358">
        <f t="shared" si="129"/>
        <v>0</v>
      </c>
      <c r="AB358">
        <f t="shared" si="129"/>
        <v>0</v>
      </c>
      <c r="AC358">
        <f t="shared" si="129"/>
        <v>0</v>
      </c>
      <c r="AD358">
        <f t="shared" si="129"/>
        <v>1</v>
      </c>
      <c r="AE358">
        <f t="shared" si="129"/>
        <v>0</v>
      </c>
      <c r="AF358">
        <f t="shared" si="129"/>
        <v>0</v>
      </c>
      <c r="AG358">
        <f t="shared" si="128"/>
        <v>0</v>
      </c>
      <c r="AH358">
        <f t="shared" si="128"/>
        <v>0</v>
      </c>
      <c r="AI358">
        <f t="shared" si="128"/>
        <v>0</v>
      </c>
      <c r="AJ358">
        <f t="shared" si="128"/>
        <v>0</v>
      </c>
      <c r="AK358">
        <f t="shared" si="128"/>
        <v>0</v>
      </c>
      <c r="AL358">
        <f t="shared" si="128"/>
        <v>0</v>
      </c>
      <c r="AM358">
        <f t="shared" si="128"/>
        <v>0</v>
      </c>
      <c r="AN358">
        <f t="shared" si="128"/>
        <v>0</v>
      </c>
      <c r="AO358">
        <f t="shared" si="128"/>
        <v>0</v>
      </c>
      <c r="AP358">
        <f t="shared" si="128"/>
        <v>0</v>
      </c>
      <c r="AQ358">
        <f t="shared" si="128"/>
        <v>0</v>
      </c>
      <c r="AR358">
        <f t="shared" si="128"/>
        <v>0</v>
      </c>
      <c r="AS358">
        <f t="shared" si="128"/>
        <v>0</v>
      </c>
      <c r="AT358">
        <f t="shared" si="128"/>
        <v>0</v>
      </c>
      <c r="AU358">
        <f t="shared" si="128"/>
        <v>0</v>
      </c>
      <c r="AV358">
        <f t="shared" si="117"/>
        <v>0</v>
      </c>
      <c r="AW358">
        <f t="shared" si="117"/>
        <v>0</v>
      </c>
      <c r="AX358">
        <f t="shared" si="117"/>
        <v>0</v>
      </c>
      <c r="AY358">
        <f t="shared" si="117"/>
        <v>0</v>
      </c>
      <c r="AZ358">
        <f t="shared" si="117"/>
        <v>0</v>
      </c>
    </row>
    <row r="359" spans="1:52" x14ac:dyDescent="0.25">
      <c r="A359" t="s">
        <v>14</v>
      </c>
      <c r="B359" s="3">
        <v>41305</v>
      </c>
      <c r="C359" s="1">
        <v>1361.4312529488971</v>
      </c>
      <c r="D359" s="1">
        <v>54.45725011795588</v>
      </c>
      <c r="E359" s="1">
        <f t="shared" si="119"/>
        <v>561.43125294889694</v>
      </c>
      <c r="F359" s="1">
        <f t="shared" si="120"/>
        <v>800</v>
      </c>
      <c r="G359" s="2">
        <v>25</v>
      </c>
      <c r="H359" s="1">
        <v>22.457250117955876</v>
      </c>
      <c r="I359" s="1">
        <v>32</v>
      </c>
      <c r="J359" s="1">
        <f t="shared" si="122"/>
        <v>1350177.8069215564</v>
      </c>
      <c r="K359" s="1">
        <f t="shared" si="123"/>
        <v>693872.80692155496</v>
      </c>
      <c r="N359">
        <f t="shared" si="121"/>
        <v>0</v>
      </c>
      <c r="O359">
        <f t="shared" si="121"/>
        <v>0</v>
      </c>
      <c r="P359">
        <f t="shared" si="121"/>
        <v>0</v>
      </c>
      <c r="Q359">
        <f t="shared" si="129"/>
        <v>0</v>
      </c>
      <c r="R359">
        <f t="shared" si="129"/>
        <v>0</v>
      </c>
      <c r="S359">
        <f t="shared" si="129"/>
        <v>0</v>
      </c>
      <c r="T359">
        <f t="shared" si="129"/>
        <v>0</v>
      </c>
      <c r="U359">
        <f t="shared" si="129"/>
        <v>0</v>
      </c>
      <c r="V359">
        <f t="shared" si="129"/>
        <v>0</v>
      </c>
      <c r="W359">
        <f t="shared" si="129"/>
        <v>0</v>
      </c>
      <c r="X359">
        <f t="shared" si="129"/>
        <v>0</v>
      </c>
      <c r="Y359">
        <f t="shared" si="129"/>
        <v>0</v>
      </c>
      <c r="Z359">
        <f t="shared" si="129"/>
        <v>0</v>
      </c>
      <c r="AA359">
        <f t="shared" si="129"/>
        <v>0</v>
      </c>
      <c r="AB359">
        <f t="shared" si="129"/>
        <v>0</v>
      </c>
      <c r="AC359">
        <f t="shared" si="129"/>
        <v>0</v>
      </c>
      <c r="AD359">
        <f t="shared" si="129"/>
        <v>0</v>
      </c>
      <c r="AE359">
        <f t="shared" si="129"/>
        <v>0</v>
      </c>
      <c r="AF359">
        <f t="shared" si="129"/>
        <v>0</v>
      </c>
      <c r="AG359">
        <f t="shared" si="128"/>
        <v>0</v>
      </c>
      <c r="AH359">
        <f t="shared" si="128"/>
        <v>0</v>
      </c>
      <c r="AI359">
        <f t="shared" si="128"/>
        <v>0</v>
      </c>
      <c r="AJ359">
        <f t="shared" si="128"/>
        <v>0</v>
      </c>
      <c r="AK359">
        <f t="shared" si="128"/>
        <v>0</v>
      </c>
      <c r="AL359">
        <f t="shared" si="128"/>
        <v>0</v>
      </c>
      <c r="AM359">
        <f t="shared" si="128"/>
        <v>0</v>
      </c>
      <c r="AN359">
        <f t="shared" si="128"/>
        <v>0</v>
      </c>
      <c r="AO359">
        <f t="shared" si="128"/>
        <v>0</v>
      </c>
      <c r="AP359">
        <f t="shared" si="128"/>
        <v>1</v>
      </c>
      <c r="AQ359">
        <f t="shared" si="128"/>
        <v>0</v>
      </c>
      <c r="AR359">
        <f t="shared" si="128"/>
        <v>0</v>
      </c>
      <c r="AS359">
        <f t="shared" si="128"/>
        <v>0</v>
      </c>
      <c r="AT359">
        <f t="shared" si="128"/>
        <v>0</v>
      </c>
      <c r="AU359">
        <f t="shared" si="128"/>
        <v>0</v>
      </c>
      <c r="AV359">
        <f t="shared" si="117"/>
        <v>0</v>
      </c>
      <c r="AW359">
        <f t="shared" si="117"/>
        <v>0</v>
      </c>
      <c r="AX359">
        <f t="shared" si="117"/>
        <v>0</v>
      </c>
      <c r="AY359">
        <f t="shared" si="117"/>
        <v>0</v>
      </c>
      <c r="AZ359">
        <f t="shared" si="117"/>
        <v>0</v>
      </c>
    </row>
    <row r="360" spans="1:52" x14ac:dyDescent="0.25">
      <c r="A360" t="s">
        <v>30</v>
      </c>
      <c r="B360" s="3">
        <v>41282</v>
      </c>
      <c r="C360" s="1">
        <v>3166.4672273800261</v>
      </c>
      <c r="D360" s="1">
        <v>95.953552344849271</v>
      </c>
      <c r="E360" s="1">
        <f t="shared" si="119"/>
        <v>1912.4672273800256</v>
      </c>
      <c r="F360" s="1">
        <f t="shared" si="120"/>
        <v>1254</v>
      </c>
      <c r="G360" s="2">
        <v>33</v>
      </c>
      <c r="H360" s="1">
        <v>57.953552344849264</v>
      </c>
      <c r="I360" s="1">
        <v>38</v>
      </c>
      <c r="J360" s="1">
        <f t="shared" si="122"/>
        <v>1353344.2741489364</v>
      </c>
      <c r="K360" s="1">
        <f t="shared" si="123"/>
        <v>695785.27414893499</v>
      </c>
      <c r="N360">
        <f t="shared" si="121"/>
        <v>0</v>
      </c>
      <c r="O360">
        <f t="shared" si="121"/>
        <v>0</v>
      </c>
      <c r="P360">
        <f t="shared" si="121"/>
        <v>0</v>
      </c>
      <c r="Q360">
        <f t="shared" si="129"/>
        <v>0</v>
      </c>
      <c r="R360">
        <f t="shared" si="129"/>
        <v>0</v>
      </c>
      <c r="S360">
        <f t="shared" si="129"/>
        <v>0</v>
      </c>
      <c r="T360">
        <f t="shared" si="129"/>
        <v>0</v>
      </c>
      <c r="U360">
        <f t="shared" si="129"/>
        <v>0</v>
      </c>
      <c r="V360">
        <f t="shared" si="129"/>
        <v>0</v>
      </c>
      <c r="W360">
        <f t="shared" si="129"/>
        <v>0</v>
      </c>
      <c r="X360">
        <f t="shared" si="129"/>
        <v>0</v>
      </c>
      <c r="Y360">
        <f t="shared" si="129"/>
        <v>0</v>
      </c>
      <c r="Z360">
        <f t="shared" si="129"/>
        <v>0</v>
      </c>
      <c r="AA360">
        <f t="shared" si="129"/>
        <v>0</v>
      </c>
      <c r="AB360">
        <f t="shared" si="129"/>
        <v>0</v>
      </c>
      <c r="AC360">
        <f t="shared" si="129"/>
        <v>0</v>
      </c>
      <c r="AD360">
        <f t="shared" si="129"/>
        <v>0</v>
      </c>
      <c r="AE360">
        <f t="shared" si="129"/>
        <v>0</v>
      </c>
      <c r="AF360">
        <f t="shared" si="129"/>
        <v>0</v>
      </c>
      <c r="AG360">
        <f t="shared" si="128"/>
        <v>0</v>
      </c>
      <c r="AH360">
        <f t="shared" si="128"/>
        <v>0</v>
      </c>
      <c r="AI360">
        <f t="shared" si="128"/>
        <v>0</v>
      </c>
      <c r="AJ360">
        <f t="shared" si="128"/>
        <v>0</v>
      </c>
      <c r="AK360">
        <f t="shared" si="128"/>
        <v>0</v>
      </c>
      <c r="AL360">
        <f t="shared" si="128"/>
        <v>0</v>
      </c>
      <c r="AM360">
        <f t="shared" si="128"/>
        <v>0</v>
      </c>
      <c r="AN360">
        <f t="shared" si="128"/>
        <v>0</v>
      </c>
      <c r="AO360">
        <f t="shared" si="128"/>
        <v>0</v>
      </c>
      <c r="AP360">
        <f t="shared" si="128"/>
        <v>0</v>
      </c>
      <c r="AQ360">
        <f t="shared" si="128"/>
        <v>0</v>
      </c>
      <c r="AR360">
        <f t="shared" si="128"/>
        <v>0</v>
      </c>
      <c r="AS360">
        <f t="shared" si="128"/>
        <v>0</v>
      </c>
      <c r="AT360">
        <f t="shared" si="128"/>
        <v>0</v>
      </c>
      <c r="AU360">
        <f t="shared" si="128"/>
        <v>0</v>
      </c>
      <c r="AV360">
        <f t="shared" si="117"/>
        <v>1</v>
      </c>
      <c r="AW360">
        <f t="shared" si="117"/>
        <v>0</v>
      </c>
      <c r="AX360">
        <f t="shared" si="117"/>
        <v>0</v>
      </c>
      <c r="AY360">
        <f t="shared" si="117"/>
        <v>0</v>
      </c>
      <c r="AZ360">
        <f t="shared" si="117"/>
        <v>0</v>
      </c>
    </row>
    <row r="361" spans="1:52" x14ac:dyDescent="0.25">
      <c r="A361" t="s">
        <v>19</v>
      </c>
      <c r="B361" s="3">
        <v>41245</v>
      </c>
      <c r="C361" s="1">
        <v>2884.0188665482879</v>
      </c>
      <c r="D361" s="1">
        <v>360.50235831853598</v>
      </c>
      <c r="E361" s="1">
        <f t="shared" si="119"/>
        <v>1420.0188665482879</v>
      </c>
      <c r="F361" s="1">
        <f t="shared" si="120"/>
        <v>1464</v>
      </c>
      <c r="G361" s="2">
        <v>8</v>
      </c>
      <c r="H361" s="1">
        <v>177.50235831853598</v>
      </c>
      <c r="I361" s="1">
        <v>183</v>
      </c>
      <c r="J361" s="1">
        <f t="shared" si="122"/>
        <v>1356228.2930154847</v>
      </c>
      <c r="K361" s="1">
        <f t="shared" si="123"/>
        <v>697205.2930154833</v>
      </c>
      <c r="N361">
        <f t="shared" si="121"/>
        <v>0</v>
      </c>
      <c r="O361">
        <f t="shared" si="121"/>
        <v>0</v>
      </c>
      <c r="P361">
        <f t="shared" si="121"/>
        <v>0</v>
      </c>
      <c r="Q361">
        <f t="shared" si="129"/>
        <v>0</v>
      </c>
      <c r="R361">
        <f t="shared" si="129"/>
        <v>0</v>
      </c>
      <c r="S361">
        <f t="shared" si="129"/>
        <v>0</v>
      </c>
      <c r="T361">
        <f t="shared" si="129"/>
        <v>0</v>
      </c>
      <c r="U361">
        <f t="shared" si="129"/>
        <v>0</v>
      </c>
      <c r="V361">
        <f t="shared" si="129"/>
        <v>0</v>
      </c>
      <c r="W361">
        <f t="shared" si="129"/>
        <v>0</v>
      </c>
      <c r="X361">
        <f t="shared" si="129"/>
        <v>0</v>
      </c>
      <c r="Y361">
        <f t="shared" si="129"/>
        <v>0</v>
      </c>
      <c r="Z361">
        <f t="shared" si="129"/>
        <v>0</v>
      </c>
      <c r="AA361">
        <f t="shared" si="129"/>
        <v>0</v>
      </c>
      <c r="AB361">
        <f t="shared" si="129"/>
        <v>0</v>
      </c>
      <c r="AC361">
        <f t="shared" si="129"/>
        <v>0</v>
      </c>
      <c r="AD361">
        <f t="shared" si="129"/>
        <v>0</v>
      </c>
      <c r="AE361">
        <f t="shared" si="129"/>
        <v>0</v>
      </c>
      <c r="AF361">
        <f t="shared" si="129"/>
        <v>0</v>
      </c>
      <c r="AG361">
        <f t="shared" si="128"/>
        <v>0</v>
      </c>
      <c r="AH361">
        <f t="shared" si="128"/>
        <v>0</v>
      </c>
      <c r="AI361">
        <f t="shared" si="128"/>
        <v>0</v>
      </c>
      <c r="AJ361">
        <f t="shared" si="128"/>
        <v>0</v>
      </c>
      <c r="AK361">
        <f t="shared" si="128"/>
        <v>0</v>
      </c>
      <c r="AL361">
        <f t="shared" si="128"/>
        <v>0</v>
      </c>
      <c r="AM361">
        <f t="shared" si="128"/>
        <v>0</v>
      </c>
      <c r="AN361">
        <f t="shared" si="128"/>
        <v>0</v>
      </c>
      <c r="AO361">
        <f t="shared" si="128"/>
        <v>0</v>
      </c>
      <c r="AP361">
        <f t="shared" si="128"/>
        <v>0</v>
      </c>
      <c r="AQ361">
        <f t="shared" si="128"/>
        <v>0</v>
      </c>
      <c r="AR361">
        <f t="shared" si="128"/>
        <v>0</v>
      </c>
      <c r="AS361">
        <f t="shared" si="128"/>
        <v>0</v>
      </c>
      <c r="AT361">
        <f t="shared" si="128"/>
        <v>0</v>
      </c>
      <c r="AU361">
        <f t="shared" si="128"/>
        <v>0</v>
      </c>
      <c r="AV361">
        <f t="shared" si="117"/>
        <v>0</v>
      </c>
      <c r="AW361">
        <f t="shared" si="117"/>
        <v>1</v>
      </c>
      <c r="AX361">
        <f t="shared" si="117"/>
        <v>0</v>
      </c>
      <c r="AY361">
        <f t="shared" si="117"/>
        <v>0</v>
      </c>
      <c r="AZ361">
        <f t="shared" si="117"/>
        <v>0</v>
      </c>
    </row>
    <row r="362" spans="1:52" x14ac:dyDescent="0.25">
      <c r="A362" t="s">
        <v>29</v>
      </c>
      <c r="B362" s="3">
        <v>41242</v>
      </c>
      <c r="C362" s="1">
        <v>553.69512750732326</v>
      </c>
      <c r="D362" s="1">
        <v>50.33592068248393</v>
      </c>
      <c r="E362" s="1">
        <f t="shared" si="119"/>
        <v>256.69512750732321</v>
      </c>
      <c r="F362" s="1">
        <f t="shared" si="120"/>
        <v>297</v>
      </c>
      <c r="G362" s="2">
        <v>11</v>
      </c>
      <c r="H362" s="1">
        <v>23.335920682483927</v>
      </c>
      <c r="I362" s="1">
        <v>27</v>
      </c>
      <c r="J362" s="1">
        <f t="shared" si="122"/>
        <v>1356781.9881429921</v>
      </c>
      <c r="K362" s="1">
        <f t="shared" si="123"/>
        <v>697461.98814299062</v>
      </c>
      <c r="N362">
        <f t="shared" si="121"/>
        <v>0</v>
      </c>
      <c r="O362">
        <f t="shared" si="121"/>
        <v>0</v>
      </c>
      <c r="P362">
        <f t="shared" si="121"/>
        <v>0</v>
      </c>
      <c r="Q362">
        <f t="shared" si="129"/>
        <v>0</v>
      </c>
      <c r="R362">
        <f t="shared" si="129"/>
        <v>0</v>
      </c>
      <c r="S362">
        <f t="shared" si="129"/>
        <v>0</v>
      </c>
      <c r="T362">
        <f t="shared" si="129"/>
        <v>0</v>
      </c>
      <c r="U362">
        <f t="shared" si="129"/>
        <v>0</v>
      </c>
      <c r="V362">
        <f t="shared" si="129"/>
        <v>0</v>
      </c>
      <c r="W362">
        <f t="shared" si="129"/>
        <v>0</v>
      </c>
      <c r="X362">
        <f t="shared" si="129"/>
        <v>0</v>
      </c>
      <c r="Y362">
        <f t="shared" si="129"/>
        <v>0</v>
      </c>
      <c r="Z362">
        <f t="shared" si="129"/>
        <v>0</v>
      </c>
      <c r="AA362">
        <f t="shared" si="129"/>
        <v>0</v>
      </c>
      <c r="AB362">
        <f t="shared" si="129"/>
        <v>0</v>
      </c>
      <c r="AC362">
        <f t="shared" si="129"/>
        <v>0</v>
      </c>
      <c r="AD362">
        <f t="shared" si="129"/>
        <v>0</v>
      </c>
      <c r="AE362">
        <f t="shared" si="129"/>
        <v>0</v>
      </c>
      <c r="AF362">
        <f t="shared" si="129"/>
        <v>0</v>
      </c>
      <c r="AG362">
        <f t="shared" si="128"/>
        <v>0</v>
      </c>
      <c r="AH362">
        <f t="shared" si="128"/>
        <v>0</v>
      </c>
      <c r="AI362">
        <f t="shared" si="128"/>
        <v>0</v>
      </c>
      <c r="AJ362">
        <f t="shared" si="128"/>
        <v>0</v>
      </c>
      <c r="AK362">
        <f t="shared" si="128"/>
        <v>0</v>
      </c>
      <c r="AL362">
        <f t="shared" si="128"/>
        <v>0</v>
      </c>
      <c r="AM362">
        <f t="shared" si="128"/>
        <v>0</v>
      </c>
      <c r="AN362">
        <f t="shared" si="128"/>
        <v>0</v>
      </c>
      <c r="AO362">
        <f t="shared" si="128"/>
        <v>0</v>
      </c>
      <c r="AP362">
        <f t="shared" si="128"/>
        <v>0</v>
      </c>
      <c r="AQ362">
        <f t="shared" si="128"/>
        <v>0</v>
      </c>
      <c r="AR362">
        <f t="shared" si="128"/>
        <v>0</v>
      </c>
      <c r="AS362">
        <f t="shared" si="128"/>
        <v>1</v>
      </c>
      <c r="AT362">
        <f t="shared" si="128"/>
        <v>0</v>
      </c>
      <c r="AU362">
        <f t="shared" si="128"/>
        <v>0</v>
      </c>
      <c r="AV362">
        <f t="shared" si="117"/>
        <v>0</v>
      </c>
      <c r="AW362">
        <f t="shared" si="117"/>
        <v>0</v>
      </c>
      <c r="AX362">
        <f t="shared" si="117"/>
        <v>0</v>
      </c>
      <c r="AY362">
        <f t="shared" si="117"/>
        <v>0</v>
      </c>
      <c r="AZ362">
        <f t="shared" si="117"/>
        <v>0</v>
      </c>
    </row>
    <row r="363" spans="1:52" x14ac:dyDescent="0.25">
      <c r="A363" t="s">
        <v>44</v>
      </c>
      <c r="B363" s="3">
        <v>41229</v>
      </c>
      <c r="C363" s="1">
        <v>1574.1618984174772</v>
      </c>
      <c r="D363" s="1">
        <v>98.385118651092327</v>
      </c>
      <c r="E363" s="1">
        <f t="shared" si="119"/>
        <v>694.16189841747723</v>
      </c>
      <c r="F363" s="1">
        <f t="shared" si="120"/>
        <v>880</v>
      </c>
      <c r="G363" s="2">
        <v>16</v>
      </c>
      <c r="H363" s="1">
        <v>43.385118651092327</v>
      </c>
      <c r="I363" s="1">
        <v>55</v>
      </c>
      <c r="J363" s="1">
        <f t="shared" si="122"/>
        <v>1358356.1500414095</v>
      </c>
      <c r="K363" s="1">
        <f t="shared" si="123"/>
        <v>698156.15004140814</v>
      </c>
      <c r="N363">
        <f t="shared" si="121"/>
        <v>0</v>
      </c>
      <c r="O363">
        <f t="shared" si="121"/>
        <v>0</v>
      </c>
      <c r="P363">
        <f t="shared" si="121"/>
        <v>0</v>
      </c>
      <c r="Q363">
        <f t="shared" si="129"/>
        <v>0</v>
      </c>
      <c r="R363">
        <f t="shared" si="129"/>
        <v>0</v>
      </c>
      <c r="S363">
        <f t="shared" si="129"/>
        <v>0</v>
      </c>
      <c r="T363">
        <f t="shared" si="129"/>
        <v>0</v>
      </c>
      <c r="U363">
        <f t="shared" si="129"/>
        <v>0</v>
      </c>
      <c r="V363">
        <f t="shared" si="129"/>
        <v>0</v>
      </c>
      <c r="W363">
        <f t="shared" si="129"/>
        <v>0</v>
      </c>
      <c r="X363">
        <f t="shared" si="129"/>
        <v>0</v>
      </c>
      <c r="Y363">
        <f t="shared" si="129"/>
        <v>0</v>
      </c>
      <c r="Z363">
        <f t="shared" si="129"/>
        <v>0</v>
      </c>
      <c r="AA363">
        <f t="shared" si="129"/>
        <v>0</v>
      </c>
      <c r="AB363">
        <f t="shared" si="129"/>
        <v>0</v>
      </c>
      <c r="AC363">
        <f t="shared" si="129"/>
        <v>0</v>
      </c>
      <c r="AD363">
        <f t="shared" si="129"/>
        <v>0</v>
      </c>
      <c r="AE363">
        <f t="shared" si="129"/>
        <v>0</v>
      </c>
      <c r="AF363">
        <f t="shared" si="129"/>
        <v>0</v>
      </c>
      <c r="AG363">
        <f t="shared" si="128"/>
        <v>0</v>
      </c>
      <c r="AH363">
        <f t="shared" si="128"/>
        <v>0</v>
      </c>
      <c r="AI363">
        <f t="shared" si="128"/>
        <v>0</v>
      </c>
      <c r="AJ363">
        <f t="shared" si="128"/>
        <v>0</v>
      </c>
      <c r="AK363">
        <f t="shared" si="128"/>
        <v>0</v>
      </c>
      <c r="AL363">
        <f t="shared" si="128"/>
        <v>0</v>
      </c>
      <c r="AM363">
        <f t="shared" si="128"/>
        <v>0</v>
      </c>
      <c r="AN363">
        <f t="shared" si="128"/>
        <v>0</v>
      </c>
      <c r="AO363">
        <f t="shared" si="128"/>
        <v>0</v>
      </c>
      <c r="AP363">
        <f t="shared" si="128"/>
        <v>0</v>
      </c>
      <c r="AQ363">
        <f t="shared" si="128"/>
        <v>0</v>
      </c>
      <c r="AR363">
        <f t="shared" si="128"/>
        <v>0</v>
      </c>
      <c r="AS363">
        <f t="shared" si="128"/>
        <v>0</v>
      </c>
      <c r="AT363">
        <f t="shared" si="128"/>
        <v>0</v>
      </c>
      <c r="AU363">
        <f t="shared" si="128"/>
        <v>1</v>
      </c>
      <c r="AV363">
        <f t="shared" si="117"/>
        <v>0</v>
      </c>
      <c r="AW363">
        <f t="shared" si="117"/>
        <v>0</v>
      </c>
      <c r="AX363">
        <f t="shared" si="117"/>
        <v>0</v>
      </c>
      <c r="AY363">
        <f t="shared" si="117"/>
        <v>0</v>
      </c>
      <c r="AZ363">
        <f t="shared" si="117"/>
        <v>0</v>
      </c>
    </row>
    <row r="364" spans="1:52" x14ac:dyDescent="0.25">
      <c r="A364" t="s">
        <v>12</v>
      </c>
      <c r="B364" s="3">
        <v>41228</v>
      </c>
      <c r="C364" s="1">
        <v>2966.6321544554021</v>
      </c>
      <c r="D364" s="1">
        <v>98.887738481846739</v>
      </c>
      <c r="E364" s="1">
        <f t="shared" si="119"/>
        <v>1676.6321544554021</v>
      </c>
      <c r="F364" s="1">
        <f t="shared" si="120"/>
        <v>1290</v>
      </c>
      <c r="G364" s="2">
        <v>30</v>
      </c>
      <c r="H364" s="1">
        <v>55.887738481846739</v>
      </c>
      <c r="I364" s="1">
        <v>43</v>
      </c>
      <c r="J364" s="1">
        <f t="shared" si="122"/>
        <v>1361322.7821958649</v>
      </c>
      <c r="K364" s="1">
        <f t="shared" si="123"/>
        <v>699832.78219586355</v>
      </c>
      <c r="N364">
        <f t="shared" si="121"/>
        <v>0</v>
      </c>
      <c r="O364">
        <f t="shared" si="121"/>
        <v>0</v>
      </c>
      <c r="P364">
        <f t="shared" si="121"/>
        <v>0</v>
      </c>
      <c r="Q364">
        <f t="shared" si="129"/>
        <v>0</v>
      </c>
      <c r="R364">
        <f t="shared" si="129"/>
        <v>0</v>
      </c>
      <c r="S364">
        <f t="shared" si="129"/>
        <v>0</v>
      </c>
      <c r="T364">
        <f t="shared" si="129"/>
        <v>0</v>
      </c>
      <c r="U364">
        <f t="shared" si="129"/>
        <v>0</v>
      </c>
      <c r="V364">
        <f t="shared" si="129"/>
        <v>0</v>
      </c>
      <c r="W364">
        <f t="shared" si="129"/>
        <v>0</v>
      </c>
      <c r="X364">
        <f t="shared" si="129"/>
        <v>0</v>
      </c>
      <c r="Y364">
        <f t="shared" si="129"/>
        <v>0</v>
      </c>
      <c r="Z364">
        <f t="shared" si="129"/>
        <v>0</v>
      </c>
      <c r="AA364">
        <f t="shared" si="129"/>
        <v>0</v>
      </c>
      <c r="AB364">
        <f t="shared" si="129"/>
        <v>0</v>
      </c>
      <c r="AC364">
        <f t="shared" si="129"/>
        <v>0</v>
      </c>
      <c r="AD364">
        <f t="shared" si="129"/>
        <v>0</v>
      </c>
      <c r="AE364">
        <f t="shared" si="129"/>
        <v>0</v>
      </c>
      <c r="AF364">
        <f t="shared" si="129"/>
        <v>0</v>
      </c>
      <c r="AG364">
        <f t="shared" si="128"/>
        <v>0</v>
      </c>
      <c r="AH364">
        <f t="shared" si="128"/>
        <v>0</v>
      </c>
      <c r="AI364">
        <f t="shared" si="128"/>
        <v>0</v>
      </c>
      <c r="AJ364">
        <f t="shared" si="128"/>
        <v>0</v>
      </c>
      <c r="AK364">
        <f t="shared" si="128"/>
        <v>1</v>
      </c>
      <c r="AL364">
        <f t="shared" si="128"/>
        <v>0</v>
      </c>
      <c r="AM364">
        <f t="shared" si="128"/>
        <v>0</v>
      </c>
      <c r="AN364">
        <f t="shared" si="128"/>
        <v>0</v>
      </c>
      <c r="AO364">
        <f t="shared" si="128"/>
        <v>0</v>
      </c>
      <c r="AP364">
        <f t="shared" si="128"/>
        <v>0</v>
      </c>
      <c r="AQ364">
        <f t="shared" si="128"/>
        <v>0</v>
      </c>
      <c r="AR364">
        <f t="shared" si="128"/>
        <v>0</v>
      </c>
      <c r="AS364">
        <f t="shared" si="128"/>
        <v>0</v>
      </c>
      <c r="AT364">
        <f t="shared" si="128"/>
        <v>0</v>
      </c>
      <c r="AU364">
        <f t="shared" si="128"/>
        <v>0</v>
      </c>
      <c r="AV364">
        <f t="shared" si="117"/>
        <v>0</v>
      </c>
      <c r="AW364">
        <f t="shared" si="117"/>
        <v>0</v>
      </c>
      <c r="AX364">
        <f t="shared" si="117"/>
        <v>0</v>
      </c>
      <c r="AY364">
        <f t="shared" si="117"/>
        <v>0</v>
      </c>
      <c r="AZ364">
        <f t="shared" si="117"/>
        <v>0</v>
      </c>
    </row>
    <row r="365" spans="1:52" x14ac:dyDescent="0.25">
      <c r="A365" t="s">
        <v>48</v>
      </c>
      <c r="B365" s="3">
        <v>41226</v>
      </c>
      <c r="C365" s="1">
        <v>1193.6095730411196</v>
      </c>
      <c r="D365" s="1">
        <v>74.600598315069973</v>
      </c>
      <c r="E365" s="1">
        <f t="shared" si="119"/>
        <v>569.60957304111957</v>
      </c>
      <c r="F365" s="1">
        <f t="shared" si="120"/>
        <v>624</v>
      </c>
      <c r="G365" s="2">
        <v>16</v>
      </c>
      <c r="H365" s="1">
        <v>35.600598315069973</v>
      </c>
      <c r="I365" s="1">
        <v>39</v>
      </c>
      <c r="J365" s="1">
        <f t="shared" si="122"/>
        <v>1362516.391768906</v>
      </c>
      <c r="K365" s="1">
        <f t="shared" si="123"/>
        <v>700402.39176890464</v>
      </c>
      <c r="N365">
        <f t="shared" si="121"/>
        <v>0</v>
      </c>
      <c r="O365">
        <f t="shared" si="121"/>
        <v>0</v>
      </c>
      <c r="P365">
        <f t="shared" si="121"/>
        <v>0</v>
      </c>
      <c r="Q365">
        <f t="shared" si="129"/>
        <v>0</v>
      </c>
      <c r="R365">
        <f t="shared" si="129"/>
        <v>0</v>
      </c>
      <c r="S365">
        <f t="shared" si="129"/>
        <v>0</v>
      </c>
      <c r="T365">
        <f t="shared" si="129"/>
        <v>0</v>
      </c>
      <c r="U365">
        <f t="shared" si="129"/>
        <v>0</v>
      </c>
      <c r="V365">
        <f t="shared" si="129"/>
        <v>0</v>
      </c>
      <c r="W365">
        <f t="shared" si="129"/>
        <v>0</v>
      </c>
      <c r="X365">
        <f t="shared" si="129"/>
        <v>0</v>
      </c>
      <c r="Y365">
        <f t="shared" si="129"/>
        <v>0</v>
      </c>
      <c r="Z365">
        <f t="shared" si="129"/>
        <v>0</v>
      </c>
      <c r="AA365">
        <f t="shared" si="129"/>
        <v>0</v>
      </c>
      <c r="AB365">
        <f t="shared" si="129"/>
        <v>0</v>
      </c>
      <c r="AC365">
        <f t="shared" si="129"/>
        <v>0</v>
      </c>
      <c r="AD365">
        <f t="shared" si="129"/>
        <v>0</v>
      </c>
      <c r="AE365">
        <f t="shared" si="129"/>
        <v>0</v>
      </c>
      <c r="AF365">
        <f t="shared" si="129"/>
        <v>0</v>
      </c>
      <c r="AG365">
        <f t="shared" si="128"/>
        <v>0</v>
      </c>
      <c r="AH365">
        <f t="shared" si="128"/>
        <v>0</v>
      </c>
      <c r="AI365">
        <f t="shared" si="128"/>
        <v>1</v>
      </c>
      <c r="AJ365">
        <f t="shared" si="128"/>
        <v>0</v>
      </c>
      <c r="AK365">
        <f t="shared" si="128"/>
        <v>0</v>
      </c>
      <c r="AL365">
        <f t="shared" si="128"/>
        <v>0</v>
      </c>
      <c r="AM365">
        <f t="shared" si="128"/>
        <v>0</v>
      </c>
      <c r="AN365">
        <f t="shared" si="128"/>
        <v>0</v>
      </c>
      <c r="AO365">
        <f t="shared" si="128"/>
        <v>0</v>
      </c>
      <c r="AP365">
        <f t="shared" si="128"/>
        <v>0</v>
      </c>
      <c r="AQ365">
        <f t="shared" si="128"/>
        <v>0</v>
      </c>
      <c r="AR365">
        <f t="shared" si="128"/>
        <v>0</v>
      </c>
      <c r="AS365">
        <f t="shared" si="128"/>
        <v>0</v>
      </c>
      <c r="AT365">
        <f t="shared" si="128"/>
        <v>0</v>
      </c>
      <c r="AU365">
        <f t="shared" si="128"/>
        <v>0</v>
      </c>
      <c r="AV365">
        <f t="shared" si="117"/>
        <v>0</v>
      </c>
      <c r="AW365">
        <f t="shared" si="117"/>
        <v>0</v>
      </c>
      <c r="AX365">
        <f t="shared" si="117"/>
        <v>0</v>
      </c>
      <c r="AY365">
        <f t="shared" si="117"/>
        <v>0</v>
      </c>
      <c r="AZ365">
        <f t="shared" si="117"/>
        <v>0</v>
      </c>
    </row>
    <row r="366" spans="1:52" x14ac:dyDescent="0.25">
      <c r="A366" t="s">
        <v>33</v>
      </c>
      <c r="B366" s="3">
        <v>41220</v>
      </c>
      <c r="C366" s="1">
        <v>3552.3197202088813</v>
      </c>
      <c r="D366" s="1">
        <v>68.313840773247719</v>
      </c>
      <c r="E366" s="1">
        <f t="shared" si="119"/>
        <v>2304.3197202088813</v>
      </c>
      <c r="F366" s="1">
        <f t="shared" si="120"/>
        <v>1248</v>
      </c>
      <c r="G366" s="2">
        <v>52</v>
      </c>
      <c r="H366" s="1">
        <v>44.313840773247719</v>
      </c>
      <c r="I366" s="1">
        <v>24</v>
      </c>
      <c r="J366" s="1">
        <f t="shared" si="122"/>
        <v>1366068.7114891149</v>
      </c>
      <c r="K366" s="1">
        <f t="shared" si="123"/>
        <v>702706.71148911351</v>
      </c>
      <c r="N366">
        <f t="shared" si="121"/>
        <v>0</v>
      </c>
      <c r="O366">
        <f t="shared" si="121"/>
        <v>0</v>
      </c>
      <c r="P366">
        <f t="shared" si="121"/>
        <v>0</v>
      </c>
      <c r="Q366">
        <f t="shared" si="129"/>
        <v>0</v>
      </c>
      <c r="R366">
        <f t="shared" si="129"/>
        <v>0</v>
      </c>
      <c r="S366">
        <f t="shared" si="129"/>
        <v>0</v>
      </c>
      <c r="T366">
        <f t="shared" si="129"/>
        <v>0</v>
      </c>
      <c r="U366">
        <f t="shared" si="129"/>
        <v>0</v>
      </c>
      <c r="V366">
        <f t="shared" si="129"/>
        <v>0</v>
      </c>
      <c r="W366">
        <f t="shared" si="129"/>
        <v>0</v>
      </c>
      <c r="X366">
        <f t="shared" si="129"/>
        <v>0</v>
      </c>
      <c r="Y366">
        <f t="shared" si="129"/>
        <v>0</v>
      </c>
      <c r="Z366">
        <f t="shared" si="129"/>
        <v>0</v>
      </c>
      <c r="AA366">
        <f t="shared" si="129"/>
        <v>0</v>
      </c>
      <c r="AB366">
        <f t="shared" si="129"/>
        <v>0</v>
      </c>
      <c r="AC366">
        <f t="shared" si="129"/>
        <v>0</v>
      </c>
      <c r="AD366">
        <f t="shared" si="129"/>
        <v>0</v>
      </c>
      <c r="AE366">
        <f t="shared" si="129"/>
        <v>0</v>
      </c>
      <c r="AF366">
        <f t="shared" si="129"/>
        <v>0</v>
      </c>
      <c r="AG366">
        <f t="shared" si="128"/>
        <v>0</v>
      </c>
      <c r="AH366">
        <f t="shared" si="128"/>
        <v>0</v>
      </c>
      <c r="AI366">
        <f t="shared" si="128"/>
        <v>0</v>
      </c>
      <c r="AJ366">
        <f t="shared" si="128"/>
        <v>0</v>
      </c>
      <c r="AK366">
        <f t="shared" si="128"/>
        <v>0</v>
      </c>
      <c r="AL366">
        <f t="shared" si="128"/>
        <v>0</v>
      </c>
      <c r="AM366">
        <f t="shared" si="128"/>
        <v>0</v>
      </c>
      <c r="AN366">
        <f t="shared" si="128"/>
        <v>0</v>
      </c>
      <c r="AO366">
        <f t="shared" si="128"/>
        <v>0</v>
      </c>
      <c r="AP366">
        <f t="shared" si="128"/>
        <v>0</v>
      </c>
      <c r="AQ366">
        <f t="shared" si="128"/>
        <v>1</v>
      </c>
      <c r="AR366">
        <f t="shared" si="128"/>
        <v>0</v>
      </c>
      <c r="AS366">
        <f t="shared" si="128"/>
        <v>0</v>
      </c>
      <c r="AT366">
        <f t="shared" si="128"/>
        <v>0</v>
      </c>
      <c r="AU366">
        <f t="shared" si="128"/>
        <v>0</v>
      </c>
      <c r="AV366">
        <f t="shared" si="117"/>
        <v>0</v>
      </c>
      <c r="AW366">
        <f t="shared" si="117"/>
        <v>0</v>
      </c>
      <c r="AX366">
        <f t="shared" si="117"/>
        <v>0</v>
      </c>
      <c r="AY366">
        <f t="shared" si="117"/>
        <v>0</v>
      </c>
      <c r="AZ366">
        <f t="shared" si="117"/>
        <v>0</v>
      </c>
    </row>
    <row r="367" spans="1:52" x14ac:dyDescent="0.25">
      <c r="A367" t="s">
        <v>15</v>
      </c>
      <c r="B367" s="3">
        <v>41217</v>
      </c>
      <c r="C367" s="1">
        <v>1006.8995692449448</v>
      </c>
      <c r="D367" s="1">
        <v>77.453813018841913</v>
      </c>
      <c r="E367" s="1">
        <f t="shared" si="119"/>
        <v>447.89956924494487</v>
      </c>
      <c r="F367" s="1">
        <f t="shared" si="120"/>
        <v>559</v>
      </c>
      <c r="G367" s="2">
        <v>13</v>
      </c>
      <c r="H367" s="1">
        <v>34.453813018841913</v>
      </c>
      <c r="I367" s="1">
        <v>43</v>
      </c>
      <c r="J367" s="1">
        <f t="shared" si="122"/>
        <v>1367075.61105836</v>
      </c>
      <c r="K367" s="1">
        <f t="shared" si="123"/>
        <v>703154.61105835845</v>
      </c>
      <c r="N367">
        <f t="shared" si="121"/>
        <v>0</v>
      </c>
      <c r="O367">
        <f t="shared" si="121"/>
        <v>0</v>
      </c>
      <c r="P367">
        <f t="shared" si="121"/>
        <v>0</v>
      </c>
      <c r="Q367">
        <f t="shared" si="129"/>
        <v>0</v>
      </c>
      <c r="R367">
        <f t="shared" si="129"/>
        <v>0</v>
      </c>
      <c r="S367">
        <f t="shared" si="129"/>
        <v>0</v>
      </c>
      <c r="T367">
        <f t="shared" si="129"/>
        <v>0</v>
      </c>
      <c r="U367">
        <f t="shared" si="129"/>
        <v>0</v>
      </c>
      <c r="V367">
        <f t="shared" si="129"/>
        <v>0</v>
      </c>
      <c r="W367">
        <f t="shared" si="129"/>
        <v>0</v>
      </c>
      <c r="X367">
        <f t="shared" si="129"/>
        <v>0</v>
      </c>
      <c r="Y367">
        <f t="shared" si="129"/>
        <v>0</v>
      </c>
      <c r="Z367">
        <f t="shared" si="129"/>
        <v>0</v>
      </c>
      <c r="AA367">
        <f t="shared" si="129"/>
        <v>0</v>
      </c>
      <c r="AB367">
        <f t="shared" si="129"/>
        <v>0</v>
      </c>
      <c r="AC367">
        <f t="shared" si="129"/>
        <v>0</v>
      </c>
      <c r="AD367">
        <f t="shared" si="129"/>
        <v>0</v>
      </c>
      <c r="AE367">
        <f t="shared" si="129"/>
        <v>0</v>
      </c>
      <c r="AF367">
        <f t="shared" si="129"/>
        <v>0</v>
      </c>
      <c r="AG367">
        <f t="shared" si="128"/>
        <v>0</v>
      </c>
      <c r="AH367">
        <f t="shared" si="128"/>
        <v>0</v>
      </c>
      <c r="AI367">
        <f t="shared" si="128"/>
        <v>0</v>
      </c>
      <c r="AJ367">
        <f t="shared" si="128"/>
        <v>0</v>
      </c>
      <c r="AK367">
        <f t="shared" si="128"/>
        <v>0</v>
      </c>
      <c r="AL367">
        <f t="shared" si="128"/>
        <v>0</v>
      </c>
      <c r="AM367">
        <f t="shared" si="128"/>
        <v>0</v>
      </c>
      <c r="AN367">
        <f t="shared" si="128"/>
        <v>0</v>
      </c>
      <c r="AO367">
        <f t="shared" si="128"/>
        <v>0</v>
      </c>
      <c r="AP367">
        <f t="shared" si="128"/>
        <v>0</v>
      </c>
      <c r="AQ367">
        <f t="shared" si="128"/>
        <v>0</v>
      </c>
      <c r="AR367">
        <f t="shared" si="128"/>
        <v>1</v>
      </c>
      <c r="AS367">
        <f t="shared" si="128"/>
        <v>0</v>
      </c>
      <c r="AT367">
        <f t="shared" si="128"/>
        <v>0</v>
      </c>
      <c r="AU367">
        <f t="shared" si="128"/>
        <v>0</v>
      </c>
      <c r="AV367">
        <f t="shared" si="117"/>
        <v>0</v>
      </c>
      <c r="AW367">
        <f t="shared" si="117"/>
        <v>0</v>
      </c>
      <c r="AX367">
        <f t="shared" si="117"/>
        <v>0</v>
      </c>
      <c r="AY367">
        <f t="shared" si="117"/>
        <v>0</v>
      </c>
      <c r="AZ367">
        <f t="shared" si="117"/>
        <v>0</v>
      </c>
    </row>
    <row r="368" spans="1:52" x14ac:dyDescent="0.25">
      <c r="A368" t="s">
        <v>23</v>
      </c>
      <c r="B368" s="3">
        <v>41215</v>
      </c>
      <c r="C368" s="1">
        <v>3104.9346899453521</v>
      </c>
      <c r="D368" s="1">
        <v>110.89052464090544</v>
      </c>
      <c r="E368" s="1">
        <f t="shared" si="119"/>
        <v>1956.9346899453524</v>
      </c>
      <c r="F368" s="1">
        <f t="shared" si="120"/>
        <v>1148</v>
      </c>
      <c r="G368" s="2">
        <v>28</v>
      </c>
      <c r="H368" s="1">
        <v>69.89052464090544</v>
      </c>
      <c r="I368" s="1">
        <v>41</v>
      </c>
      <c r="J368" s="1">
        <f t="shared" si="122"/>
        <v>1370180.5457483053</v>
      </c>
      <c r="K368" s="1">
        <f t="shared" si="123"/>
        <v>705111.54574830376</v>
      </c>
      <c r="N368">
        <f t="shared" si="121"/>
        <v>0</v>
      </c>
      <c r="O368">
        <f t="shared" si="121"/>
        <v>0</v>
      </c>
      <c r="P368">
        <f t="shared" si="121"/>
        <v>0</v>
      </c>
      <c r="Q368">
        <f t="shared" si="129"/>
        <v>0</v>
      </c>
      <c r="R368">
        <f t="shared" si="129"/>
        <v>0</v>
      </c>
      <c r="S368">
        <f t="shared" si="129"/>
        <v>0</v>
      </c>
      <c r="T368">
        <f t="shared" si="129"/>
        <v>0</v>
      </c>
      <c r="U368">
        <f t="shared" si="129"/>
        <v>0</v>
      </c>
      <c r="V368">
        <f t="shared" si="129"/>
        <v>0</v>
      </c>
      <c r="W368">
        <f t="shared" si="129"/>
        <v>0</v>
      </c>
      <c r="X368">
        <f t="shared" si="129"/>
        <v>0</v>
      </c>
      <c r="Y368">
        <f t="shared" si="129"/>
        <v>0</v>
      </c>
      <c r="Z368">
        <f t="shared" si="129"/>
        <v>0</v>
      </c>
      <c r="AA368">
        <f t="shared" si="129"/>
        <v>0</v>
      </c>
      <c r="AB368">
        <f t="shared" si="129"/>
        <v>0</v>
      </c>
      <c r="AC368">
        <f t="shared" si="129"/>
        <v>0</v>
      </c>
      <c r="AD368">
        <f t="shared" si="129"/>
        <v>0</v>
      </c>
      <c r="AE368">
        <f t="shared" si="129"/>
        <v>0</v>
      </c>
      <c r="AF368">
        <f t="shared" si="129"/>
        <v>0</v>
      </c>
      <c r="AG368">
        <f t="shared" si="128"/>
        <v>0</v>
      </c>
      <c r="AH368">
        <f t="shared" si="128"/>
        <v>0</v>
      </c>
      <c r="AI368">
        <f t="shared" si="128"/>
        <v>0</v>
      </c>
      <c r="AJ368">
        <f t="shared" si="128"/>
        <v>0</v>
      </c>
      <c r="AK368">
        <f t="shared" si="128"/>
        <v>0</v>
      </c>
      <c r="AL368">
        <f t="shared" si="128"/>
        <v>0</v>
      </c>
      <c r="AM368">
        <f t="shared" si="128"/>
        <v>1</v>
      </c>
      <c r="AN368">
        <f t="shared" si="128"/>
        <v>0</v>
      </c>
      <c r="AO368">
        <f t="shared" si="128"/>
        <v>0</v>
      </c>
      <c r="AP368">
        <f t="shared" si="128"/>
        <v>0</v>
      </c>
      <c r="AQ368">
        <f t="shared" si="128"/>
        <v>0</v>
      </c>
      <c r="AR368">
        <f t="shared" si="128"/>
        <v>0</v>
      </c>
      <c r="AS368">
        <f t="shared" si="128"/>
        <v>0</v>
      </c>
      <c r="AT368">
        <f t="shared" si="128"/>
        <v>0</v>
      </c>
      <c r="AU368">
        <f t="shared" si="128"/>
        <v>0</v>
      </c>
      <c r="AV368">
        <f t="shared" si="117"/>
        <v>0</v>
      </c>
      <c r="AW368">
        <f t="shared" si="117"/>
        <v>0</v>
      </c>
      <c r="AX368">
        <f t="shared" si="117"/>
        <v>0</v>
      </c>
      <c r="AY368">
        <f t="shared" si="117"/>
        <v>0</v>
      </c>
      <c r="AZ368">
        <f t="shared" si="117"/>
        <v>0</v>
      </c>
    </row>
    <row r="369" spans="1:52" x14ac:dyDescent="0.25">
      <c r="A369" t="s">
        <v>21</v>
      </c>
      <c r="B369" s="3">
        <v>41209</v>
      </c>
      <c r="C369" s="1">
        <v>6967.8638909703186</v>
      </c>
      <c r="D369" s="1">
        <v>98.13892804183547</v>
      </c>
      <c r="E369" s="1">
        <f t="shared" si="119"/>
        <v>3559.8638909703186</v>
      </c>
      <c r="F369" s="1">
        <f t="shared" si="120"/>
        <v>3408</v>
      </c>
      <c r="G369" s="2">
        <v>71</v>
      </c>
      <c r="H369" s="1">
        <v>50.13892804183547</v>
      </c>
      <c r="I369" s="1">
        <v>48</v>
      </c>
      <c r="J369" s="1">
        <f t="shared" si="122"/>
        <v>1377148.4096392756</v>
      </c>
      <c r="K369" s="1">
        <f t="shared" si="123"/>
        <v>708671.40963927412</v>
      </c>
      <c r="N369">
        <f t="shared" si="121"/>
        <v>0</v>
      </c>
      <c r="O369">
        <f t="shared" si="121"/>
        <v>0</v>
      </c>
      <c r="P369">
        <f t="shared" si="121"/>
        <v>0</v>
      </c>
      <c r="Q369">
        <f t="shared" si="129"/>
        <v>0</v>
      </c>
      <c r="R369">
        <f t="shared" si="129"/>
        <v>0</v>
      </c>
      <c r="S369">
        <f t="shared" si="129"/>
        <v>0</v>
      </c>
      <c r="T369">
        <f t="shared" si="129"/>
        <v>1</v>
      </c>
      <c r="U369">
        <f t="shared" si="129"/>
        <v>0</v>
      </c>
      <c r="V369">
        <f t="shared" si="129"/>
        <v>0</v>
      </c>
      <c r="W369">
        <f t="shared" si="129"/>
        <v>0</v>
      </c>
      <c r="X369">
        <f t="shared" si="129"/>
        <v>0</v>
      </c>
      <c r="Y369">
        <f t="shared" si="129"/>
        <v>0</v>
      </c>
      <c r="Z369">
        <f t="shared" si="129"/>
        <v>0</v>
      </c>
      <c r="AA369">
        <f t="shared" si="129"/>
        <v>0</v>
      </c>
      <c r="AB369">
        <f t="shared" si="129"/>
        <v>0</v>
      </c>
      <c r="AC369">
        <f t="shared" si="129"/>
        <v>0</v>
      </c>
      <c r="AD369">
        <f t="shared" si="129"/>
        <v>0</v>
      </c>
      <c r="AE369">
        <f t="shared" si="129"/>
        <v>0</v>
      </c>
      <c r="AF369">
        <f t="shared" si="129"/>
        <v>0</v>
      </c>
      <c r="AG369">
        <f t="shared" si="128"/>
        <v>0</v>
      </c>
      <c r="AH369">
        <f t="shared" si="128"/>
        <v>0</v>
      </c>
      <c r="AI369">
        <f t="shared" si="128"/>
        <v>0</v>
      </c>
      <c r="AJ369">
        <f t="shared" si="128"/>
        <v>0</v>
      </c>
      <c r="AK369">
        <f t="shared" si="128"/>
        <v>0</v>
      </c>
      <c r="AL369">
        <f t="shared" si="128"/>
        <v>0</v>
      </c>
      <c r="AM369">
        <f t="shared" si="128"/>
        <v>0</v>
      </c>
      <c r="AN369">
        <f t="shared" si="128"/>
        <v>0</v>
      </c>
      <c r="AO369">
        <f t="shared" si="128"/>
        <v>0</v>
      </c>
      <c r="AP369">
        <f t="shared" si="128"/>
        <v>0</v>
      </c>
      <c r="AQ369">
        <f t="shared" si="128"/>
        <v>0</v>
      </c>
      <c r="AR369">
        <f t="shared" si="128"/>
        <v>0</v>
      </c>
      <c r="AS369">
        <f t="shared" si="128"/>
        <v>0</v>
      </c>
      <c r="AT369">
        <f t="shared" si="128"/>
        <v>0</v>
      </c>
      <c r="AU369">
        <f t="shared" si="128"/>
        <v>0</v>
      </c>
      <c r="AV369">
        <f t="shared" ref="AV369:AZ419" si="130">+IF(AV$5=$A369,1,0)</f>
        <v>0</v>
      </c>
      <c r="AW369">
        <f t="shared" si="130"/>
        <v>0</v>
      </c>
      <c r="AX369">
        <f t="shared" si="130"/>
        <v>0</v>
      </c>
      <c r="AY369">
        <f t="shared" si="130"/>
        <v>0</v>
      </c>
      <c r="AZ369">
        <f t="shared" si="130"/>
        <v>0</v>
      </c>
    </row>
    <row r="370" spans="1:52" x14ac:dyDescent="0.25">
      <c r="A370" t="s">
        <v>49</v>
      </c>
      <c r="B370" s="3">
        <v>41190</v>
      </c>
      <c r="C370" s="1">
        <v>8834.970522449541</v>
      </c>
      <c r="D370" s="1">
        <v>252.42772921284404</v>
      </c>
      <c r="E370" s="1">
        <f t="shared" si="119"/>
        <v>3829.9705224495419</v>
      </c>
      <c r="F370" s="1">
        <f t="shared" si="120"/>
        <v>5005</v>
      </c>
      <c r="G370" s="2">
        <v>35</v>
      </c>
      <c r="H370" s="1">
        <v>109.42772921284406</v>
      </c>
      <c r="I370" s="1">
        <v>143</v>
      </c>
      <c r="J370" s="1">
        <f t="shared" si="122"/>
        <v>1385983.3801617252</v>
      </c>
      <c r="K370" s="1">
        <f t="shared" si="123"/>
        <v>712501.3801617237</v>
      </c>
      <c r="N370">
        <f t="shared" si="121"/>
        <v>0</v>
      </c>
      <c r="O370">
        <f t="shared" si="121"/>
        <v>0</v>
      </c>
      <c r="P370">
        <f t="shared" si="121"/>
        <v>0</v>
      </c>
      <c r="Q370">
        <f t="shared" si="129"/>
        <v>0</v>
      </c>
      <c r="R370">
        <f t="shared" si="129"/>
        <v>0</v>
      </c>
      <c r="S370">
        <f t="shared" si="129"/>
        <v>0</v>
      </c>
      <c r="T370">
        <f t="shared" si="129"/>
        <v>0</v>
      </c>
      <c r="U370">
        <f t="shared" si="129"/>
        <v>0</v>
      </c>
      <c r="V370">
        <f t="shared" si="129"/>
        <v>0</v>
      </c>
      <c r="W370">
        <f t="shared" si="129"/>
        <v>0</v>
      </c>
      <c r="X370">
        <f t="shared" si="129"/>
        <v>0</v>
      </c>
      <c r="Y370">
        <f t="shared" si="129"/>
        <v>0</v>
      </c>
      <c r="Z370">
        <f t="shared" si="129"/>
        <v>0</v>
      </c>
      <c r="AA370">
        <f t="shared" si="129"/>
        <v>1</v>
      </c>
      <c r="AB370">
        <f t="shared" si="129"/>
        <v>0</v>
      </c>
      <c r="AC370">
        <f t="shared" si="129"/>
        <v>0</v>
      </c>
      <c r="AD370">
        <f t="shared" si="129"/>
        <v>0</v>
      </c>
      <c r="AE370">
        <f t="shared" si="129"/>
        <v>0</v>
      </c>
      <c r="AF370">
        <f t="shared" si="129"/>
        <v>0</v>
      </c>
      <c r="AG370">
        <f t="shared" si="128"/>
        <v>0</v>
      </c>
      <c r="AH370">
        <f t="shared" si="128"/>
        <v>0</v>
      </c>
      <c r="AI370">
        <f t="shared" si="128"/>
        <v>0</v>
      </c>
      <c r="AJ370">
        <f t="shared" si="128"/>
        <v>0</v>
      </c>
      <c r="AK370">
        <f t="shared" si="128"/>
        <v>0</v>
      </c>
      <c r="AL370">
        <f t="shared" si="128"/>
        <v>0</v>
      </c>
      <c r="AM370">
        <f t="shared" si="128"/>
        <v>0</v>
      </c>
      <c r="AN370">
        <f t="shared" si="128"/>
        <v>0</v>
      </c>
      <c r="AO370">
        <f t="shared" si="128"/>
        <v>0</v>
      </c>
      <c r="AP370">
        <f t="shared" si="128"/>
        <v>0</v>
      </c>
      <c r="AQ370">
        <f t="shared" si="128"/>
        <v>0</v>
      </c>
      <c r="AR370">
        <f t="shared" si="128"/>
        <v>0</v>
      </c>
      <c r="AS370">
        <f t="shared" si="128"/>
        <v>0</v>
      </c>
      <c r="AT370">
        <f t="shared" si="128"/>
        <v>0</v>
      </c>
      <c r="AU370">
        <f t="shared" si="128"/>
        <v>0</v>
      </c>
      <c r="AV370">
        <f t="shared" si="130"/>
        <v>0</v>
      </c>
      <c r="AW370">
        <f t="shared" si="130"/>
        <v>0</v>
      </c>
      <c r="AX370">
        <f t="shared" si="130"/>
        <v>0</v>
      </c>
      <c r="AY370">
        <f t="shared" si="130"/>
        <v>0</v>
      </c>
      <c r="AZ370">
        <f t="shared" si="130"/>
        <v>0</v>
      </c>
    </row>
    <row r="371" spans="1:52" x14ac:dyDescent="0.25">
      <c r="A371" t="s">
        <v>12</v>
      </c>
      <c r="B371" s="3">
        <v>41183</v>
      </c>
      <c r="C371" s="1">
        <v>1111.0754213451037</v>
      </c>
      <c r="D371" s="1">
        <v>74.07169475634025</v>
      </c>
      <c r="E371" s="1">
        <f t="shared" si="119"/>
        <v>706.07542134510379</v>
      </c>
      <c r="F371" s="1">
        <f t="shared" si="120"/>
        <v>405</v>
      </c>
      <c r="G371" s="2">
        <v>15</v>
      </c>
      <c r="H371" s="1">
        <v>47.07169475634025</v>
      </c>
      <c r="I371" s="1">
        <v>27</v>
      </c>
      <c r="J371" s="1">
        <f t="shared" si="122"/>
        <v>1387094.4555830704</v>
      </c>
      <c r="K371" s="1">
        <f t="shared" si="123"/>
        <v>713207.45558306878</v>
      </c>
      <c r="N371">
        <f t="shared" si="121"/>
        <v>0</v>
      </c>
      <c r="O371">
        <f t="shared" si="121"/>
        <v>0</v>
      </c>
      <c r="P371">
        <f t="shared" si="121"/>
        <v>0</v>
      </c>
      <c r="Q371">
        <f t="shared" si="129"/>
        <v>0</v>
      </c>
      <c r="R371">
        <f t="shared" si="129"/>
        <v>0</v>
      </c>
      <c r="S371">
        <f t="shared" si="129"/>
        <v>0</v>
      </c>
      <c r="T371">
        <f t="shared" si="129"/>
        <v>0</v>
      </c>
      <c r="U371">
        <f t="shared" si="129"/>
        <v>0</v>
      </c>
      <c r="V371">
        <f t="shared" si="129"/>
        <v>0</v>
      </c>
      <c r="W371">
        <f t="shared" si="129"/>
        <v>0</v>
      </c>
      <c r="X371">
        <f t="shared" si="129"/>
        <v>0</v>
      </c>
      <c r="Y371">
        <f t="shared" si="129"/>
        <v>0</v>
      </c>
      <c r="Z371">
        <f t="shared" si="129"/>
        <v>0</v>
      </c>
      <c r="AA371">
        <f t="shared" si="129"/>
        <v>0</v>
      </c>
      <c r="AB371">
        <f t="shared" si="129"/>
        <v>0</v>
      </c>
      <c r="AC371">
        <f t="shared" si="129"/>
        <v>0</v>
      </c>
      <c r="AD371">
        <f t="shared" si="129"/>
        <v>0</v>
      </c>
      <c r="AE371">
        <f t="shared" si="129"/>
        <v>0</v>
      </c>
      <c r="AF371">
        <f t="shared" ref="AF371:AU386" si="131">+IF(AF$5=$A371,1,0)</f>
        <v>0</v>
      </c>
      <c r="AG371">
        <f t="shared" si="131"/>
        <v>0</v>
      </c>
      <c r="AH371">
        <f t="shared" si="131"/>
        <v>0</v>
      </c>
      <c r="AI371">
        <f t="shared" si="131"/>
        <v>0</v>
      </c>
      <c r="AJ371">
        <f t="shared" si="131"/>
        <v>0</v>
      </c>
      <c r="AK371">
        <f t="shared" si="131"/>
        <v>1</v>
      </c>
      <c r="AL371">
        <f t="shared" si="131"/>
        <v>0</v>
      </c>
      <c r="AM371">
        <f t="shared" si="131"/>
        <v>0</v>
      </c>
      <c r="AN371">
        <f t="shared" si="131"/>
        <v>0</v>
      </c>
      <c r="AO371">
        <f t="shared" si="131"/>
        <v>0</v>
      </c>
      <c r="AP371">
        <f t="shared" si="131"/>
        <v>0</v>
      </c>
      <c r="AQ371">
        <f t="shared" si="131"/>
        <v>0</v>
      </c>
      <c r="AR371">
        <f t="shared" si="131"/>
        <v>0</v>
      </c>
      <c r="AS371">
        <f t="shared" si="131"/>
        <v>0</v>
      </c>
      <c r="AT371">
        <f t="shared" si="131"/>
        <v>0</v>
      </c>
      <c r="AU371">
        <f t="shared" si="131"/>
        <v>0</v>
      </c>
      <c r="AV371">
        <f t="shared" si="130"/>
        <v>0</v>
      </c>
      <c r="AW371">
        <f t="shared" si="130"/>
        <v>0</v>
      </c>
      <c r="AX371">
        <f t="shared" si="130"/>
        <v>0</v>
      </c>
      <c r="AY371">
        <f t="shared" si="130"/>
        <v>0</v>
      </c>
      <c r="AZ371">
        <f t="shared" si="130"/>
        <v>0</v>
      </c>
    </row>
    <row r="372" spans="1:52" x14ac:dyDescent="0.25">
      <c r="A372" t="s">
        <v>45</v>
      </c>
      <c r="B372" s="3">
        <v>41176</v>
      </c>
      <c r="C372" s="1">
        <v>2003.8438569134441</v>
      </c>
      <c r="D372" s="1">
        <v>64.640124416562713</v>
      </c>
      <c r="E372" s="1">
        <f t="shared" si="119"/>
        <v>887.84385691344426</v>
      </c>
      <c r="F372" s="1">
        <f t="shared" si="120"/>
        <v>1116</v>
      </c>
      <c r="G372" s="2">
        <v>31</v>
      </c>
      <c r="H372" s="1">
        <v>28.640124416562717</v>
      </c>
      <c r="I372" s="1">
        <v>36</v>
      </c>
      <c r="J372" s="1">
        <f t="shared" si="122"/>
        <v>1389098.2994399839</v>
      </c>
      <c r="K372" s="1">
        <f t="shared" si="123"/>
        <v>714095.29943998216</v>
      </c>
      <c r="N372">
        <f t="shared" si="121"/>
        <v>0</v>
      </c>
      <c r="O372">
        <f t="shared" si="121"/>
        <v>0</v>
      </c>
      <c r="P372">
        <f t="shared" si="121"/>
        <v>0</v>
      </c>
      <c r="Q372">
        <f t="shared" ref="Q372:AF387" si="132">+IF(Q$5=$A372,1,0)</f>
        <v>0</v>
      </c>
      <c r="R372">
        <f t="shared" si="132"/>
        <v>0</v>
      </c>
      <c r="S372">
        <f t="shared" si="132"/>
        <v>0</v>
      </c>
      <c r="T372">
        <f t="shared" si="132"/>
        <v>0</v>
      </c>
      <c r="U372">
        <f t="shared" si="132"/>
        <v>0</v>
      </c>
      <c r="V372">
        <f t="shared" si="132"/>
        <v>0</v>
      </c>
      <c r="W372">
        <f t="shared" si="132"/>
        <v>0</v>
      </c>
      <c r="X372">
        <f t="shared" si="132"/>
        <v>0</v>
      </c>
      <c r="Y372">
        <f t="shared" si="132"/>
        <v>0</v>
      </c>
      <c r="Z372">
        <f t="shared" si="132"/>
        <v>0</v>
      </c>
      <c r="AA372">
        <f t="shared" si="132"/>
        <v>0</v>
      </c>
      <c r="AB372">
        <f t="shared" si="132"/>
        <v>0</v>
      </c>
      <c r="AC372">
        <f t="shared" si="132"/>
        <v>0</v>
      </c>
      <c r="AD372">
        <f t="shared" si="132"/>
        <v>0</v>
      </c>
      <c r="AE372">
        <f t="shared" si="132"/>
        <v>0</v>
      </c>
      <c r="AF372">
        <f t="shared" si="132"/>
        <v>0</v>
      </c>
      <c r="AG372">
        <f t="shared" si="131"/>
        <v>0</v>
      </c>
      <c r="AH372">
        <f t="shared" si="131"/>
        <v>0</v>
      </c>
      <c r="AI372">
        <f t="shared" si="131"/>
        <v>0</v>
      </c>
      <c r="AJ372">
        <f t="shared" si="131"/>
        <v>1</v>
      </c>
      <c r="AK372">
        <f t="shared" si="131"/>
        <v>0</v>
      </c>
      <c r="AL372">
        <f t="shared" si="131"/>
        <v>0</v>
      </c>
      <c r="AM372">
        <f t="shared" si="131"/>
        <v>0</v>
      </c>
      <c r="AN372">
        <f t="shared" si="131"/>
        <v>0</v>
      </c>
      <c r="AO372">
        <f t="shared" si="131"/>
        <v>0</v>
      </c>
      <c r="AP372">
        <f t="shared" si="131"/>
        <v>0</v>
      </c>
      <c r="AQ372">
        <f t="shared" si="131"/>
        <v>0</v>
      </c>
      <c r="AR372">
        <f t="shared" si="131"/>
        <v>0</v>
      </c>
      <c r="AS372">
        <f t="shared" si="131"/>
        <v>0</v>
      </c>
      <c r="AT372">
        <f t="shared" si="131"/>
        <v>0</v>
      </c>
      <c r="AU372">
        <f t="shared" si="131"/>
        <v>0</v>
      </c>
      <c r="AV372">
        <f t="shared" si="130"/>
        <v>0</v>
      </c>
      <c r="AW372">
        <f t="shared" si="130"/>
        <v>0</v>
      </c>
      <c r="AX372">
        <f t="shared" si="130"/>
        <v>0</v>
      </c>
      <c r="AY372">
        <f t="shared" si="130"/>
        <v>0</v>
      </c>
      <c r="AZ372">
        <f t="shared" si="130"/>
        <v>0</v>
      </c>
    </row>
    <row r="373" spans="1:52" x14ac:dyDescent="0.25">
      <c r="A373" t="s">
        <v>41</v>
      </c>
      <c r="B373" s="3">
        <v>41171</v>
      </c>
      <c r="C373" s="1">
        <v>726.03707398634663</v>
      </c>
      <c r="D373" s="1">
        <v>80.670785998482955</v>
      </c>
      <c r="E373" s="1">
        <f t="shared" si="119"/>
        <v>402.03707398634663</v>
      </c>
      <c r="F373" s="1">
        <f t="shared" si="120"/>
        <v>324</v>
      </c>
      <c r="G373" s="2">
        <v>9</v>
      </c>
      <c r="H373" s="1">
        <v>44.670785998482955</v>
      </c>
      <c r="I373" s="1">
        <v>36</v>
      </c>
      <c r="J373" s="1">
        <f t="shared" si="122"/>
        <v>1389824.3365139703</v>
      </c>
      <c r="K373" s="1">
        <f t="shared" si="123"/>
        <v>714497.33651396853</v>
      </c>
      <c r="N373">
        <f t="shared" si="121"/>
        <v>0</v>
      </c>
      <c r="O373">
        <f t="shared" si="121"/>
        <v>0</v>
      </c>
      <c r="P373">
        <f t="shared" si="121"/>
        <v>0</v>
      </c>
      <c r="Q373">
        <f t="shared" si="132"/>
        <v>1</v>
      </c>
      <c r="R373">
        <f t="shared" si="132"/>
        <v>0</v>
      </c>
      <c r="S373">
        <f t="shared" si="132"/>
        <v>0</v>
      </c>
      <c r="T373">
        <f t="shared" si="132"/>
        <v>0</v>
      </c>
      <c r="U373">
        <f t="shared" si="132"/>
        <v>0</v>
      </c>
      <c r="V373">
        <f t="shared" si="132"/>
        <v>0</v>
      </c>
      <c r="W373">
        <f t="shared" si="132"/>
        <v>0</v>
      </c>
      <c r="X373">
        <f t="shared" si="132"/>
        <v>0</v>
      </c>
      <c r="Y373">
        <f t="shared" si="132"/>
        <v>0</v>
      </c>
      <c r="Z373">
        <f t="shared" si="132"/>
        <v>0</v>
      </c>
      <c r="AA373">
        <f t="shared" si="132"/>
        <v>0</v>
      </c>
      <c r="AB373">
        <f t="shared" si="132"/>
        <v>0</v>
      </c>
      <c r="AC373">
        <f t="shared" si="132"/>
        <v>0</v>
      </c>
      <c r="AD373">
        <f t="shared" si="132"/>
        <v>0</v>
      </c>
      <c r="AE373">
        <f t="shared" si="132"/>
        <v>0</v>
      </c>
      <c r="AF373">
        <f t="shared" si="132"/>
        <v>0</v>
      </c>
      <c r="AG373">
        <f t="shared" si="131"/>
        <v>0</v>
      </c>
      <c r="AH373">
        <f t="shared" si="131"/>
        <v>0</v>
      </c>
      <c r="AI373">
        <f t="shared" si="131"/>
        <v>0</v>
      </c>
      <c r="AJ373">
        <f t="shared" si="131"/>
        <v>0</v>
      </c>
      <c r="AK373">
        <f t="shared" si="131"/>
        <v>0</v>
      </c>
      <c r="AL373">
        <f t="shared" si="131"/>
        <v>0</v>
      </c>
      <c r="AM373">
        <f t="shared" si="131"/>
        <v>0</v>
      </c>
      <c r="AN373">
        <f t="shared" si="131"/>
        <v>0</v>
      </c>
      <c r="AO373">
        <f t="shared" si="131"/>
        <v>0</v>
      </c>
      <c r="AP373">
        <f t="shared" si="131"/>
        <v>0</v>
      </c>
      <c r="AQ373">
        <f t="shared" si="131"/>
        <v>0</v>
      </c>
      <c r="AR373">
        <f t="shared" si="131"/>
        <v>0</v>
      </c>
      <c r="AS373">
        <f t="shared" si="131"/>
        <v>0</v>
      </c>
      <c r="AT373">
        <f t="shared" si="131"/>
        <v>0</v>
      </c>
      <c r="AU373">
        <f t="shared" si="131"/>
        <v>0</v>
      </c>
      <c r="AV373">
        <f t="shared" si="130"/>
        <v>0</v>
      </c>
      <c r="AW373">
        <f t="shared" si="130"/>
        <v>0</v>
      </c>
      <c r="AX373">
        <f t="shared" si="130"/>
        <v>0</v>
      </c>
      <c r="AY373">
        <f t="shared" si="130"/>
        <v>0</v>
      </c>
      <c r="AZ373">
        <f t="shared" si="130"/>
        <v>0</v>
      </c>
    </row>
    <row r="374" spans="1:52" x14ac:dyDescent="0.25">
      <c r="A374" t="s">
        <v>20</v>
      </c>
      <c r="B374" s="3">
        <v>41159</v>
      </c>
      <c r="C374" s="1">
        <v>132.29732750726538</v>
      </c>
      <c r="D374" s="1">
        <v>66.14866375363269</v>
      </c>
      <c r="E374" s="1">
        <f t="shared" si="119"/>
        <v>86.297327507265379</v>
      </c>
      <c r="F374" s="1">
        <f t="shared" si="120"/>
        <v>46</v>
      </c>
      <c r="G374" s="2">
        <v>2</v>
      </c>
      <c r="H374" s="1">
        <v>43.14866375363269</v>
      </c>
      <c r="I374" s="1">
        <v>23</v>
      </c>
      <c r="J374" s="1">
        <f t="shared" si="122"/>
        <v>1389956.6338414776</v>
      </c>
      <c r="K374" s="1">
        <f t="shared" si="123"/>
        <v>714583.63384147582</v>
      </c>
      <c r="N374">
        <f t="shared" si="121"/>
        <v>0</v>
      </c>
      <c r="O374">
        <f t="shared" si="121"/>
        <v>0</v>
      </c>
      <c r="P374">
        <f t="shared" si="121"/>
        <v>0</v>
      </c>
      <c r="Q374">
        <f t="shared" si="132"/>
        <v>0</v>
      </c>
      <c r="R374">
        <f t="shared" si="132"/>
        <v>0</v>
      </c>
      <c r="S374">
        <f t="shared" si="132"/>
        <v>0</v>
      </c>
      <c r="T374">
        <f t="shared" si="132"/>
        <v>0</v>
      </c>
      <c r="U374">
        <f t="shared" si="132"/>
        <v>0</v>
      </c>
      <c r="V374">
        <f t="shared" si="132"/>
        <v>0</v>
      </c>
      <c r="W374">
        <f t="shared" si="132"/>
        <v>0</v>
      </c>
      <c r="X374">
        <f t="shared" si="132"/>
        <v>0</v>
      </c>
      <c r="Y374">
        <f t="shared" si="132"/>
        <v>0</v>
      </c>
      <c r="Z374">
        <f t="shared" si="132"/>
        <v>0</v>
      </c>
      <c r="AA374">
        <f t="shared" si="132"/>
        <v>0</v>
      </c>
      <c r="AB374">
        <f t="shared" si="132"/>
        <v>0</v>
      </c>
      <c r="AC374">
        <f t="shared" si="132"/>
        <v>0</v>
      </c>
      <c r="AD374">
        <f t="shared" si="132"/>
        <v>0</v>
      </c>
      <c r="AE374">
        <f t="shared" si="132"/>
        <v>1</v>
      </c>
      <c r="AF374">
        <f t="shared" si="132"/>
        <v>0</v>
      </c>
      <c r="AG374">
        <f t="shared" si="131"/>
        <v>0</v>
      </c>
      <c r="AH374">
        <f t="shared" si="131"/>
        <v>0</v>
      </c>
      <c r="AI374">
        <f t="shared" si="131"/>
        <v>0</v>
      </c>
      <c r="AJ374">
        <f t="shared" si="131"/>
        <v>0</v>
      </c>
      <c r="AK374">
        <f t="shared" si="131"/>
        <v>0</v>
      </c>
      <c r="AL374">
        <f t="shared" si="131"/>
        <v>0</v>
      </c>
      <c r="AM374">
        <f t="shared" si="131"/>
        <v>0</v>
      </c>
      <c r="AN374">
        <f t="shared" si="131"/>
        <v>0</v>
      </c>
      <c r="AO374">
        <f t="shared" si="131"/>
        <v>0</v>
      </c>
      <c r="AP374">
        <f t="shared" si="131"/>
        <v>0</v>
      </c>
      <c r="AQ374">
        <f t="shared" si="131"/>
        <v>0</v>
      </c>
      <c r="AR374">
        <f t="shared" si="131"/>
        <v>0</v>
      </c>
      <c r="AS374">
        <f t="shared" si="131"/>
        <v>0</v>
      </c>
      <c r="AT374">
        <f t="shared" si="131"/>
        <v>0</v>
      </c>
      <c r="AU374">
        <f t="shared" si="131"/>
        <v>0</v>
      </c>
      <c r="AV374">
        <f t="shared" si="130"/>
        <v>0</v>
      </c>
      <c r="AW374">
        <f t="shared" si="130"/>
        <v>0</v>
      </c>
      <c r="AX374">
        <f t="shared" si="130"/>
        <v>0</v>
      </c>
      <c r="AY374">
        <f t="shared" si="130"/>
        <v>0</v>
      </c>
      <c r="AZ374">
        <f t="shared" si="130"/>
        <v>0</v>
      </c>
    </row>
    <row r="375" spans="1:52" x14ac:dyDescent="0.25">
      <c r="A375" t="s">
        <v>30</v>
      </c>
      <c r="B375" s="3">
        <v>41152</v>
      </c>
      <c r="C375" s="1">
        <v>2014.483750876273</v>
      </c>
      <c r="D375" s="1">
        <v>118.49904416919253</v>
      </c>
      <c r="E375" s="1">
        <f t="shared" si="119"/>
        <v>1079.483750876273</v>
      </c>
      <c r="F375" s="1">
        <f t="shared" si="120"/>
        <v>935</v>
      </c>
      <c r="G375" s="2">
        <v>17</v>
      </c>
      <c r="H375" s="1">
        <v>63.49904416919253</v>
      </c>
      <c r="I375" s="1">
        <v>55</v>
      </c>
      <c r="J375" s="1">
        <f t="shared" si="122"/>
        <v>1391971.1175923538</v>
      </c>
      <c r="K375" s="1">
        <f t="shared" si="123"/>
        <v>715663.11759235209</v>
      </c>
      <c r="N375">
        <f t="shared" si="121"/>
        <v>0</v>
      </c>
      <c r="O375">
        <f t="shared" si="121"/>
        <v>0</v>
      </c>
      <c r="P375">
        <f t="shared" si="121"/>
        <v>0</v>
      </c>
      <c r="Q375">
        <f t="shared" si="132"/>
        <v>0</v>
      </c>
      <c r="R375">
        <f t="shared" si="132"/>
        <v>0</v>
      </c>
      <c r="S375">
        <f t="shared" si="132"/>
        <v>0</v>
      </c>
      <c r="T375">
        <f t="shared" si="132"/>
        <v>0</v>
      </c>
      <c r="U375">
        <f t="shared" si="132"/>
        <v>0</v>
      </c>
      <c r="V375">
        <f t="shared" si="132"/>
        <v>0</v>
      </c>
      <c r="W375">
        <f t="shared" si="132"/>
        <v>0</v>
      </c>
      <c r="X375">
        <f t="shared" si="132"/>
        <v>0</v>
      </c>
      <c r="Y375">
        <f t="shared" si="132"/>
        <v>0</v>
      </c>
      <c r="Z375">
        <f t="shared" si="132"/>
        <v>0</v>
      </c>
      <c r="AA375">
        <f t="shared" si="132"/>
        <v>0</v>
      </c>
      <c r="AB375">
        <f t="shared" si="132"/>
        <v>0</v>
      </c>
      <c r="AC375">
        <f t="shared" si="132"/>
        <v>0</v>
      </c>
      <c r="AD375">
        <f t="shared" si="132"/>
        <v>0</v>
      </c>
      <c r="AE375">
        <f t="shared" si="132"/>
        <v>0</v>
      </c>
      <c r="AF375">
        <f t="shared" si="132"/>
        <v>0</v>
      </c>
      <c r="AG375">
        <f t="shared" si="131"/>
        <v>0</v>
      </c>
      <c r="AH375">
        <f t="shared" si="131"/>
        <v>0</v>
      </c>
      <c r="AI375">
        <f t="shared" si="131"/>
        <v>0</v>
      </c>
      <c r="AJ375">
        <f t="shared" si="131"/>
        <v>0</v>
      </c>
      <c r="AK375">
        <f t="shared" si="131"/>
        <v>0</v>
      </c>
      <c r="AL375">
        <f t="shared" si="131"/>
        <v>0</v>
      </c>
      <c r="AM375">
        <f t="shared" si="131"/>
        <v>0</v>
      </c>
      <c r="AN375">
        <f t="shared" si="131"/>
        <v>0</v>
      </c>
      <c r="AO375">
        <f t="shared" si="131"/>
        <v>0</v>
      </c>
      <c r="AP375">
        <f t="shared" si="131"/>
        <v>0</v>
      </c>
      <c r="AQ375">
        <f t="shared" si="131"/>
        <v>0</v>
      </c>
      <c r="AR375">
        <f t="shared" si="131"/>
        <v>0</v>
      </c>
      <c r="AS375">
        <f t="shared" si="131"/>
        <v>0</v>
      </c>
      <c r="AT375">
        <f t="shared" si="131"/>
        <v>0</v>
      </c>
      <c r="AU375">
        <f t="shared" si="131"/>
        <v>0</v>
      </c>
      <c r="AV375">
        <f t="shared" si="130"/>
        <v>1</v>
      </c>
      <c r="AW375">
        <f t="shared" si="130"/>
        <v>0</v>
      </c>
      <c r="AX375">
        <f t="shared" si="130"/>
        <v>0</v>
      </c>
      <c r="AY375">
        <f t="shared" si="130"/>
        <v>0</v>
      </c>
      <c r="AZ375">
        <f t="shared" si="130"/>
        <v>0</v>
      </c>
    </row>
    <row r="376" spans="1:52" x14ac:dyDescent="0.25">
      <c r="A376" t="s">
        <v>42</v>
      </c>
      <c r="B376" s="3">
        <v>41148</v>
      </c>
      <c r="C376" s="1">
        <v>2522.5676935711158</v>
      </c>
      <c r="D376" s="1">
        <v>126.12838467855579</v>
      </c>
      <c r="E376" s="1">
        <f t="shared" si="119"/>
        <v>1102.567693571116</v>
      </c>
      <c r="F376" s="1">
        <f t="shared" si="120"/>
        <v>1420</v>
      </c>
      <c r="G376" s="2">
        <v>20</v>
      </c>
      <c r="H376" s="1">
        <v>55.128384678555797</v>
      </c>
      <c r="I376" s="1">
        <v>71</v>
      </c>
      <c r="J376" s="1">
        <f t="shared" si="122"/>
        <v>1394493.6852859249</v>
      </c>
      <c r="K376" s="1">
        <f t="shared" si="123"/>
        <v>716765.68528592319</v>
      </c>
      <c r="N376">
        <f t="shared" si="121"/>
        <v>0</v>
      </c>
      <c r="O376">
        <f t="shared" si="121"/>
        <v>0</v>
      </c>
      <c r="P376">
        <f t="shared" si="121"/>
        <v>0</v>
      </c>
      <c r="Q376">
        <f t="shared" si="132"/>
        <v>0</v>
      </c>
      <c r="R376">
        <f t="shared" si="132"/>
        <v>0</v>
      </c>
      <c r="S376">
        <f t="shared" si="132"/>
        <v>0</v>
      </c>
      <c r="T376">
        <f t="shared" si="132"/>
        <v>0</v>
      </c>
      <c r="U376">
        <f t="shared" si="132"/>
        <v>0</v>
      </c>
      <c r="V376">
        <f t="shared" si="132"/>
        <v>0</v>
      </c>
      <c r="W376">
        <f t="shared" si="132"/>
        <v>0</v>
      </c>
      <c r="X376">
        <f t="shared" si="132"/>
        <v>0</v>
      </c>
      <c r="Y376">
        <f t="shared" si="132"/>
        <v>0</v>
      </c>
      <c r="Z376">
        <f t="shared" si="132"/>
        <v>1</v>
      </c>
      <c r="AA376">
        <f t="shared" si="132"/>
        <v>0</v>
      </c>
      <c r="AB376">
        <f t="shared" si="132"/>
        <v>0</v>
      </c>
      <c r="AC376">
        <f t="shared" si="132"/>
        <v>0</v>
      </c>
      <c r="AD376">
        <f t="shared" si="132"/>
        <v>0</v>
      </c>
      <c r="AE376">
        <f t="shared" si="132"/>
        <v>0</v>
      </c>
      <c r="AF376">
        <f t="shared" si="132"/>
        <v>0</v>
      </c>
      <c r="AG376">
        <f t="shared" si="131"/>
        <v>0</v>
      </c>
      <c r="AH376">
        <f t="shared" si="131"/>
        <v>0</v>
      </c>
      <c r="AI376">
        <f t="shared" si="131"/>
        <v>0</v>
      </c>
      <c r="AJ376">
        <f t="shared" si="131"/>
        <v>0</v>
      </c>
      <c r="AK376">
        <f t="shared" si="131"/>
        <v>0</v>
      </c>
      <c r="AL376">
        <f t="shared" si="131"/>
        <v>0</v>
      </c>
      <c r="AM376">
        <f t="shared" si="131"/>
        <v>0</v>
      </c>
      <c r="AN376">
        <f t="shared" si="131"/>
        <v>0</v>
      </c>
      <c r="AO376">
        <f t="shared" si="131"/>
        <v>0</v>
      </c>
      <c r="AP376">
        <f t="shared" si="131"/>
        <v>0</v>
      </c>
      <c r="AQ376">
        <f t="shared" si="131"/>
        <v>0</v>
      </c>
      <c r="AR376">
        <f t="shared" si="131"/>
        <v>0</v>
      </c>
      <c r="AS376">
        <f t="shared" si="131"/>
        <v>0</v>
      </c>
      <c r="AT376">
        <f t="shared" si="131"/>
        <v>0</v>
      </c>
      <c r="AU376">
        <f t="shared" si="131"/>
        <v>0</v>
      </c>
      <c r="AV376">
        <f t="shared" si="130"/>
        <v>0</v>
      </c>
      <c r="AW376">
        <f t="shared" si="130"/>
        <v>0</v>
      </c>
      <c r="AX376">
        <f t="shared" si="130"/>
        <v>0</v>
      </c>
      <c r="AY376">
        <f t="shared" si="130"/>
        <v>0</v>
      </c>
      <c r="AZ376">
        <f t="shared" si="130"/>
        <v>0</v>
      </c>
    </row>
    <row r="377" spans="1:52" x14ac:dyDescent="0.25">
      <c r="A377" t="s">
        <v>19</v>
      </c>
      <c r="B377" s="3">
        <v>41147</v>
      </c>
      <c r="C377" s="1">
        <v>1427.3217716418692</v>
      </c>
      <c r="D377" s="1">
        <v>109.79398243398994</v>
      </c>
      <c r="E377" s="1">
        <f t="shared" si="119"/>
        <v>582.32177164186919</v>
      </c>
      <c r="F377" s="1">
        <f t="shared" si="120"/>
        <v>845</v>
      </c>
      <c r="G377" s="2">
        <v>13</v>
      </c>
      <c r="H377" s="1">
        <v>44.793982433989939</v>
      </c>
      <c r="I377" s="1">
        <v>65</v>
      </c>
      <c r="J377" s="1">
        <f t="shared" si="122"/>
        <v>1395921.0070575669</v>
      </c>
      <c r="K377" s="1">
        <f t="shared" si="123"/>
        <v>717348.00705756503</v>
      </c>
      <c r="N377">
        <f t="shared" si="121"/>
        <v>0</v>
      </c>
      <c r="O377">
        <f t="shared" si="121"/>
        <v>0</v>
      </c>
      <c r="P377">
        <f t="shared" si="121"/>
        <v>0</v>
      </c>
      <c r="Q377">
        <f t="shared" si="132"/>
        <v>0</v>
      </c>
      <c r="R377">
        <f t="shared" si="132"/>
        <v>0</v>
      </c>
      <c r="S377">
        <f t="shared" si="132"/>
        <v>0</v>
      </c>
      <c r="T377">
        <f t="shared" si="132"/>
        <v>0</v>
      </c>
      <c r="U377">
        <f t="shared" si="132"/>
        <v>0</v>
      </c>
      <c r="V377">
        <f t="shared" si="132"/>
        <v>0</v>
      </c>
      <c r="W377">
        <f t="shared" si="132"/>
        <v>0</v>
      </c>
      <c r="X377">
        <f t="shared" si="132"/>
        <v>0</v>
      </c>
      <c r="Y377">
        <f t="shared" si="132"/>
        <v>0</v>
      </c>
      <c r="Z377">
        <f t="shared" si="132"/>
        <v>0</v>
      </c>
      <c r="AA377">
        <f t="shared" si="132"/>
        <v>0</v>
      </c>
      <c r="AB377">
        <f t="shared" si="132"/>
        <v>0</v>
      </c>
      <c r="AC377">
        <f t="shared" si="132"/>
        <v>0</v>
      </c>
      <c r="AD377">
        <f t="shared" si="132"/>
        <v>0</v>
      </c>
      <c r="AE377">
        <f t="shared" si="132"/>
        <v>0</v>
      </c>
      <c r="AF377">
        <f t="shared" si="132"/>
        <v>0</v>
      </c>
      <c r="AG377">
        <f t="shared" si="131"/>
        <v>0</v>
      </c>
      <c r="AH377">
        <f t="shared" si="131"/>
        <v>0</v>
      </c>
      <c r="AI377">
        <f t="shared" si="131"/>
        <v>0</v>
      </c>
      <c r="AJ377">
        <f t="shared" si="131"/>
        <v>0</v>
      </c>
      <c r="AK377">
        <f t="shared" si="131"/>
        <v>0</v>
      </c>
      <c r="AL377">
        <f t="shared" si="131"/>
        <v>0</v>
      </c>
      <c r="AM377">
        <f t="shared" si="131"/>
        <v>0</v>
      </c>
      <c r="AN377">
        <f t="shared" si="131"/>
        <v>0</v>
      </c>
      <c r="AO377">
        <f t="shared" si="131"/>
        <v>0</v>
      </c>
      <c r="AP377">
        <f t="shared" si="131"/>
        <v>0</v>
      </c>
      <c r="AQ377">
        <f t="shared" si="131"/>
        <v>0</v>
      </c>
      <c r="AR377">
        <f t="shared" si="131"/>
        <v>0</v>
      </c>
      <c r="AS377">
        <f t="shared" si="131"/>
        <v>0</v>
      </c>
      <c r="AT377">
        <f t="shared" si="131"/>
        <v>0</v>
      </c>
      <c r="AU377">
        <f t="shared" si="131"/>
        <v>0</v>
      </c>
      <c r="AV377">
        <f t="shared" si="130"/>
        <v>0</v>
      </c>
      <c r="AW377">
        <f t="shared" si="130"/>
        <v>1</v>
      </c>
      <c r="AX377">
        <f t="shared" si="130"/>
        <v>0</v>
      </c>
      <c r="AY377">
        <f t="shared" si="130"/>
        <v>0</v>
      </c>
      <c r="AZ377">
        <f t="shared" si="130"/>
        <v>0</v>
      </c>
    </row>
    <row r="378" spans="1:52" x14ac:dyDescent="0.25">
      <c r="A378" t="s">
        <v>12</v>
      </c>
      <c r="B378" s="3">
        <v>41140</v>
      </c>
      <c r="C378" s="1">
        <v>491.75525728059625</v>
      </c>
      <c r="D378" s="1">
        <v>98.351051456119251</v>
      </c>
      <c r="E378" s="1">
        <f t="shared" si="119"/>
        <v>246.75525728059625</v>
      </c>
      <c r="F378" s="1">
        <f t="shared" si="120"/>
        <v>245</v>
      </c>
      <c r="G378" s="2">
        <v>5</v>
      </c>
      <c r="H378" s="1">
        <v>49.351051456119251</v>
      </c>
      <c r="I378" s="1">
        <v>49</v>
      </c>
      <c r="J378" s="1">
        <f t="shared" si="122"/>
        <v>1396412.7623148474</v>
      </c>
      <c r="K378" s="1">
        <f t="shared" si="123"/>
        <v>717594.76231484558</v>
      </c>
      <c r="N378">
        <f t="shared" si="121"/>
        <v>0</v>
      </c>
      <c r="O378">
        <f t="shared" si="121"/>
        <v>0</v>
      </c>
      <c r="P378">
        <f t="shared" si="121"/>
        <v>0</v>
      </c>
      <c r="Q378">
        <f t="shared" si="132"/>
        <v>0</v>
      </c>
      <c r="R378">
        <f t="shared" si="132"/>
        <v>0</v>
      </c>
      <c r="S378">
        <f t="shared" si="132"/>
        <v>0</v>
      </c>
      <c r="T378">
        <f t="shared" si="132"/>
        <v>0</v>
      </c>
      <c r="U378">
        <f t="shared" si="132"/>
        <v>0</v>
      </c>
      <c r="V378">
        <f t="shared" si="132"/>
        <v>0</v>
      </c>
      <c r="W378">
        <f t="shared" si="132"/>
        <v>0</v>
      </c>
      <c r="X378">
        <f t="shared" si="132"/>
        <v>0</v>
      </c>
      <c r="Y378">
        <f t="shared" si="132"/>
        <v>0</v>
      </c>
      <c r="Z378">
        <f t="shared" si="132"/>
        <v>0</v>
      </c>
      <c r="AA378">
        <f t="shared" si="132"/>
        <v>0</v>
      </c>
      <c r="AB378">
        <f t="shared" si="132"/>
        <v>0</v>
      </c>
      <c r="AC378">
        <f t="shared" si="132"/>
        <v>0</v>
      </c>
      <c r="AD378">
        <f t="shared" si="132"/>
        <v>0</v>
      </c>
      <c r="AE378">
        <f t="shared" si="132"/>
        <v>0</v>
      </c>
      <c r="AF378">
        <f t="shared" si="132"/>
        <v>0</v>
      </c>
      <c r="AG378">
        <f t="shared" si="131"/>
        <v>0</v>
      </c>
      <c r="AH378">
        <f t="shared" si="131"/>
        <v>0</v>
      </c>
      <c r="AI378">
        <f t="shared" si="131"/>
        <v>0</v>
      </c>
      <c r="AJ378">
        <f t="shared" si="131"/>
        <v>0</v>
      </c>
      <c r="AK378">
        <f t="shared" si="131"/>
        <v>1</v>
      </c>
      <c r="AL378">
        <f t="shared" si="131"/>
        <v>0</v>
      </c>
      <c r="AM378">
        <f t="shared" si="131"/>
        <v>0</v>
      </c>
      <c r="AN378">
        <f t="shared" si="131"/>
        <v>0</v>
      </c>
      <c r="AO378">
        <f t="shared" si="131"/>
        <v>0</v>
      </c>
      <c r="AP378">
        <f t="shared" si="131"/>
        <v>0</v>
      </c>
      <c r="AQ378">
        <f t="shared" si="131"/>
        <v>0</v>
      </c>
      <c r="AR378">
        <f t="shared" si="131"/>
        <v>0</v>
      </c>
      <c r="AS378">
        <f t="shared" si="131"/>
        <v>0</v>
      </c>
      <c r="AT378">
        <f t="shared" si="131"/>
        <v>0</v>
      </c>
      <c r="AU378">
        <f t="shared" si="131"/>
        <v>0</v>
      </c>
      <c r="AV378">
        <f t="shared" si="130"/>
        <v>0</v>
      </c>
      <c r="AW378">
        <f t="shared" si="130"/>
        <v>0</v>
      </c>
      <c r="AX378">
        <f t="shared" si="130"/>
        <v>0</v>
      </c>
      <c r="AY378">
        <f t="shared" si="130"/>
        <v>0</v>
      </c>
      <c r="AZ378">
        <f t="shared" si="130"/>
        <v>0</v>
      </c>
    </row>
    <row r="379" spans="1:52" x14ac:dyDescent="0.25">
      <c r="A379" t="s">
        <v>45</v>
      </c>
      <c r="B379" s="3">
        <v>41138</v>
      </c>
      <c r="C379" s="1">
        <v>2730.1504455224049</v>
      </c>
      <c r="D379" s="1">
        <v>182.01002970149366</v>
      </c>
      <c r="E379" s="1">
        <f t="shared" si="119"/>
        <v>1365.1504455224049</v>
      </c>
      <c r="F379" s="1">
        <f t="shared" si="120"/>
        <v>1365</v>
      </c>
      <c r="G379" s="2">
        <v>15</v>
      </c>
      <c r="H379" s="1">
        <v>91.010029701493664</v>
      </c>
      <c r="I379" s="1">
        <v>91</v>
      </c>
      <c r="J379" s="1">
        <f t="shared" si="122"/>
        <v>1399142.9127603699</v>
      </c>
      <c r="K379" s="1">
        <f t="shared" si="123"/>
        <v>718959.91276036797</v>
      </c>
      <c r="N379">
        <f t="shared" si="121"/>
        <v>0</v>
      </c>
      <c r="O379">
        <f t="shared" si="121"/>
        <v>0</v>
      </c>
      <c r="P379">
        <f t="shared" si="121"/>
        <v>0</v>
      </c>
      <c r="Q379">
        <f t="shared" si="132"/>
        <v>0</v>
      </c>
      <c r="R379">
        <f t="shared" si="132"/>
        <v>0</v>
      </c>
      <c r="S379">
        <f t="shared" si="132"/>
        <v>0</v>
      </c>
      <c r="T379">
        <f t="shared" si="132"/>
        <v>0</v>
      </c>
      <c r="U379">
        <f t="shared" si="132"/>
        <v>0</v>
      </c>
      <c r="V379">
        <f t="shared" si="132"/>
        <v>0</v>
      </c>
      <c r="W379">
        <f t="shared" si="132"/>
        <v>0</v>
      </c>
      <c r="X379">
        <f t="shared" si="132"/>
        <v>0</v>
      </c>
      <c r="Y379">
        <f t="shared" si="132"/>
        <v>0</v>
      </c>
      <c r="Z379">
        <f t="shared" si="132"/>
        <v>0</v>
      </c>
      <c r="AA379">
        <f t="shared" si="132"/>
        <v>0</v>
      </c>
      <c r="AB379">
        <f t="shared" si="132"/>
        <v>0</v>
      </c>
      <c r="AC379">
        <f t="shared" si="132"/>
        <v>0</v>
      </c>
      <c r="AD379">
        <f t="shared" si="132"/>
        <v>0</v>
      </c>
      <c r="AE379">
        <f t="shared" si="132"/>
        <v>0</v>
      </c>
      <c r="AF379">
        <f t="shared" si="132"/>
        <v>0</v>
      </c>
      <c r="AG379">
        <f t="shared" si="131"/>
        <v>0</v>
      </c>
      <c r="AH379">
        <f t="shared" si="131"/>
        <v>0</v>
      </c>
      <c r="AI379">
        <f t="shared" si="131"/>
        <v>0</v>
      </c>
      <c r="AJ379">
        <f t="shared" si="131"/>
        <v>1</v>
      </c>
      <c r="AK379">
        <f t="shared" si="131"/>
        <v>0</v>
      </c>
      <c r="AL379">
        <f t="shared" si="131"/>
        <v>0</v>
      </c>
      <c r="AM379">
        <f t="shared" si="131"/>
        <v>0</v>
      </c>
      <c r="AN379">
        <f t="shared" si="131"/>
        <v>0</v>
      </c>
      <c r="AO379">
        <f t="shared" si="131"/>
        <v>0</v>
      </c>
      <c r="AP379">
        <f t="shared" si="131"/>
        <v>0</v>
      </c>
      <c r="AQ379">
        <f t="shared" si="131"/>
        <v>0</v>
      </c>
      <c r="AR379">
        <f t="shared" si="131"/>
        <v>0</v>
      </c>
      <c r="AS379">
        <f t="shared" si="131"/>
        <v>0</v>
      </c>
      <c r="AT379">
        <f t="shared" si="131"/>
        <v>0</v>
      </c>
      <c r="AU379">
        <f t="shared" si="131"/>
        <v>0</v>
      </c>
      <c r="AV379">
        <f t="shared" si="130"/>
        <v>0</v>
      </c>
      <c r="AW379">
        <f t="shared" si="130"/>
        <v>0</v>
      </c>
      <c r="AX379">
        <f t="shared" si="130"/>
        <v>0</v>
      </c>
      <c r="AY379">
        <f t="shared" si="130"/>
        <v>0</v>
      </c>
      <c r="AZ379">
        <f t="shared" si="130"/>
        <v>0</v>
      </c>
    </row>
    <row r="380" spans="1:52" x14ac:dyDescent="0.25">
      <c r="A380" t="s">
        <v>23</v>
      </c>
      <c r="B380" s="3">
        <v>41131</v>
      </c>
      <c r="C380" s="1">
        <v>15088.471453331078</v>
      </c>
      <c r="D380" s="1">
        <v>228.61320383834968</v>
      </c>
      <c r="E380" s="1">
        <f t="shared" si="119"/>
        <v>6772.4714533310789</v>
      </c>
      <c r="F380" s="1">
        <f t="shared" si="120"/>
        <v>8316</v>
      </c>
      <c r="G380" s="2">
        <v>66</v>
      </c>
      <c r="H380" s="1">
        <v>102.61320383834968</v>
      </c>
      <c r="I380" s="1">
        <v>126</v>
      </c>
      <c r="J380" s="1">
        <f t="shared" si="122"/>
        <v>1414231.3842137011</v>
      </c>
      <c r="K380" s="1">
        <f t="shared" si="123"/>
        <v>725732.38421369903</v>
      </c>
      <c r="N380">
        <f t="shared" si="121"/>
        <v>0</v>
      </c>
      <c r="O380">
        <f t="shared" si="121"/>
        <v>0</v>
      </c>
      <c r="P380">
        <f t="shared" si="121"/>
        <v>0</v>
      </c>
      <c r="Q380">
        <f t="shared" si="132"/>
        <v>0</v>
      </c>
      <c r="R380">
        <f t="shared" si="132"/>
        <v>0</v>
      </c>
      <c r="S380">
        <f t="shared" si="132"/>
        <v>0</v>
      </c>
      <c r="T380">
        <f t="shared" si="132"/>
        <v>0</v>
      </c>
      <c r="U380">
        <f t="shared" si="132"/>
        <v>0</v>
      </c>
      <c r="V380">
        <f t="shared" si="132"/>
        <v>0</v>
      </c>
      <c r="W380">
        <f t="shared" si="132"/>
        <v>0</v>
      </c>
      <c r="X380">
        <f t="shared" si="132"/>
        <v>0</v>
      </c>
      <c r="Y380">
        <f t="shared" si="132"/>
        <v>0</v>
      </c>
      <c r="Z380">
        <f t="shared" si="132"/>
        <v>0</v>
      </c>
      <c r="AA380">
        <f t="shared" si="132"/>
        <v>0</v>
      </c>
      <c r="AB380">
        <f t="shared" si="132"/>
        <v>0</v>
      </c>
      <c r="AC380">
        <f t="shared" si="132"/>
        <v>0</v>
      </c>
      <c r="AD380">
        <f t="shared" si="132"/>
        <v>0</v>
      </c>
      <c r="AE380">
        <f t="shared" si="132"/>
        <v>0</v>
      </c>
      <c r="AF380">
        <f t="shared" si="132"/>
        <v>0</v>
      </c>
      <c r="AG380">
        <f t="shared" si="131"/>
        <v>0</v>
      </c>
      <c r="AH380">
        <f t="shared" si="131"/>
        <v>0</v>
      </c>
      <c r="AI380">
        <f t="shared" si="131"/>
        <v>0</v>
      </c>
      <c r="AJ380">
        <f t="shared" si="131"/>
        <v>0</v>
      </c>
      <c r="AK380">
        <f t="shared" si="131"/>
        <v>0</v>
      </c>
      <c r="AL380">
        <f t="shared" si="131"/>
        <v>0</v>
      </c>
      <c r="AM380">
        <f t="shared" si="131"/>
        <v>1</v>
      </c>
      <c r="AN380">
        <f t="shared" si="131"/>
        <v>0</v>
      </c>
      <c r="AO380">
        <f t="shared" si="131"/>
        <v>0</v>
      </c>
      <c r="AP380">
        <f t="shared" si="131"/>
        <v>0</v>
      </c>
      <c r="AQ380">
        <f t="shared" si="131"/>
        <v>0</v>
      </c>
      <c r="AR380">
        <f t="shared" si="131"/>
        <v>0</v>
      </c>
      <c r="AS380">
        <f t="shared" si="131"/>
        <v>0</v>
      </c>
      <c r="AT380">
        <f t="shared" si="131"/>
        <v>0</v>
      </c>
      <c r="AU380">
        <f t="shared" si="131"/>
        <v>0</v>
      </c>
      <c r="AV380">
        <f t="shared" si="130"/>
        <v>0</v>
      </c>
      <c r="AW380">
        <f t="shared" si="130"/>
        <v>0</v>
      </c>
      <c r="AX380">
        <f t="shared" si="130"/>
        <v>0</v>
      </c>
      <c r="AY380">
        <f t="shared" si="130"/>
        <v>0</v>
      </c>
      <c r="AZ380">
        <f t="shared" si="130"/>
        <v>0</v>
      </c>
    </row>
    <row r="381" spans="1:52" x14ac:dyDescent="0.25">
      <c r="A381" t="s">
        <v>27</v>
      </c>
      <c r="B381" s="3">
        <v>41121</v>
      </c>
      <c r="C381" s="1">
        <v>2382.1534258255438</v>
      </c>
      <c r="D381" s="1">
        <v>125.37649609608124</v>
      </c>
      <c r="E381" s="1">
        <f t="shared" si="119"/>
        <v>1033.1534258255435</v>
      </c>
      <c r="F381" s="1">
        <f t="shared" si="120"/>
        <v>1349</v>
      </c>
      <c r="G381" s="2">
        <v>19</v>
      </c>
      <c r="H381" s="1">
        <v>54.376496096081233</v>
      </c>
      <c r="I381" s="1">
        <v>71</v>
      </c>
      <c r="J381" s="1">
        <f t="shared" si="122"/>
        <v>1416613.5376395267</v>
      </c>
      <c r="K381" s="1">
        <f t="shared" si="123"/>
        <v>726765.53763952455</v>
      </c>
      <c r="N381">
        <f t="shared" si="121"/>
        <v>0</v>
      </c>
      <c r="O381">
        <f t="shared" si="121"/>
        <v>0</v>
      </c>
      <c r="P381">
        <f t="shared" si="121"/>
        <v>0</v>
      </c>
      <c r="Q381">
        <f t="shared" si="132"/>
        <v>0</v>
      </c>
      <c r="R381">
        <f t="shared" si="132"/>
        <v>0</v>
      </c>
      <c r="S381">
        <f t="shared" si="132"/>
        <v>0</v>
      </c>
      <c r="T381">
        <f t="shared" si="132"/>
        <v>0</v>
      </c>
      <c r="U381">
        <f t="shared" si="132"/>
        <v>0</v>
      </c>
      <c r="V381">
        <f t="shared" si="132"/>
        <v>0</v>
      </c>
      <c r="W381">
        <f t="shared" si="132"/>
        <v>0</v>
      </c>
      <c r="X381">
        <f t="shared" si="132"/>
        <v>0</v>
      </c>
      <c r="Y381">
        <f t="shared" si="132"/>
        <v>0</v>
      </c>
      <c r="Z381">
        <f t="shared" si="132"/>
        <v>0</v>
      </c>
      <c r="AA381">
        <f t="shared" si="132"/>
        <v>0</v>
      </c>
      <c r="AB381">
        <f t="shared" si="132"/>
        <v>0</v>
      </c>
      <c r="AC381">
        <f t="shared" si="132"/>
        <v>1</v>
      </c>
      <c r="AD381">
        <f t="shared" si="132"/>
        <v>0</v>
      </c>
      <c r="AE381">
        <f t="shared" si="132"/>
        <v>0</v>
      </c>
      <c r="AF381">
        <f t="shared" si="132"/>
        <v>0</v>
      </c>
      <c r="AG381">
        <f t="shared" si="131"/>
        <v>0</v>
      </c>
      <c r="AH381">
        <f t="shared" si="131"/>
        <v>0</v>
      </c>
      <c r="AI381">
        <f t="shared" si="131"/>
        <v>0</v>
      </c>
      <c r="AJ381">
        <f t="shared" si="131"/>
        <v>0</v>
      </c>
      <c r="AK381">
        <f t="shared" si="131"/>
        <v>0</v>
      </c>
      <c r="AL381">
        <f t="shared" si="131"/>
        <v>0</v>
      </c>
      <c r="AM381">
        <f t="shared" si="131"/>
        <v>0</v>
      </c>
      <c r="AN381">
        <f t="shared" si="131"/>
        <v>0</v>
      </c>
      <c r="AO381">
        <f t="shared" si="131"/>
        <v>0</v>
      </c>
      <c r="AP381">
        <f t="shared" si="131"/>
        <v>0</v>
      </c>
      <c r="AQ381">
        <f t="shared" si="131"/>
        <v>0</v>
      </c>
      <c r="AR381">
        <f t="shared" si="131"/>
        <v>0</v>
      </c>
      <c r="AS381">
        <f t="shared" si="131"/>
        <v>0</v>
      </c>
      <c r="AT381">
        <f t="shared" si="131"/>
        <v>0</v>
      </c>
      <c r="AU381">
        <f t="shared" si="131"/>
        <v>0</v>
      </c>
      <c r="AV381">
        <f t="shared" si="130"/>
        <v>0</v>
      </c>
      <c r="AW381">
        <f t="shared" si="130"/>
        <v>0</v>
      </c>
      <c r="AX381">
        <f t="shared" si="130"/>
        <v>0</v>
      </c>
      <c r="AY381">
        <f t="shared" si="130"/>
        <v>0</v>
      </c>
      <c r="AZ381">
        <f t="shared" si="130"/>
        <v>0</v>
      </c>
    </row>
    <row r="382" spans="1:52" x14ac:dyDescent="0.25">
      <c r="A382" t="s">
        <v>41</v>
      </c>
      <c r="B382" s="3">
        <v>41115</v>
      </c>
      <c r="C382" s="1">
        <v>535.99796125001842</v>
      </c>
      <c r="D382" s="1">
        <v>133.99949031250461</v>
      </c>
      <c r="E382" s="1">
        <f t="shared" si="119"/>
        <v>227.99796125001845</v>
      </c>
      <c r="F382" s="1">
        <f t="shared" si="120"/>
        <v>308</v>
      </c>
      <c r="G382" s="2">
        <v>4</v>
      </c>
      <c r="H382" s="1">
        <v>56.999490312504612</v>
      </c>
      <c r="I382" s="1">
        <v>77</v>
      </c>
      <c r="J382" s="1">
        <f t="shared" si="122"/>
        <v>1417149.5356007768</v>
      </c>
      <c r="K382" s="1">
        <f t="shared" si="123"/>
        <v>726993.53560077457</v>
      </c>
      <c r="N382">
        <f t="shared" si="121"/>
        <v>0</v>
      </c>
      <c r="O382">
        <f t="shared" si="121"/>
        <v>0</v>
      </c>
      <c r="P382">
        <f t="shared" si="121"/>
        <v>0</v>
      </c>
      <c r="Q382">
        <f t="shared" si="132"/>
        <v>1</v>
      </c>
      <c r="R382">
        <f t="shared" si="132"/>
        <v>0</v>
      </c>
      <c r="S382">
        <f t="shared" si="132"/>
        <v>0</v>
      </c>
      <c r="T382">
        <f t="shared" si="132"/>
        <v>0</v>
      </c>
      <c r="U382">
        <f t="shared" si="132"/>
        <v>0</v>
      </c>
      <c r="V382">
        <f t="shared" si="132"/>
        <v>0</v>
      </c>
      <c r="W382">
        <f t="shared" si="132"/>
        <v>0</v>
      </c>
      <c r="X382">
        <f t="shared" si="132"/>
        <v>0</v>
      </c>
      <c r="Y382">
        <f t="shared" si="132"/>
        <v>0</v>
      </c>
      <c r="Z382">
        <f t="shared" si="132"/>
        <v>0</v>
      </c>
      <c r="AA382">
        <f t="shared" si="132"/>
        <v>0</v>
      </c>
      <c r="AB382">
        <f t="shared" si="132"/>
        <v>0</v>
      </c>
      <c r="AC382">
        <f t="shared" si="132"/>
        <v>0</v>
      </c>
      <c r="AD382">
        <f t="shared" si="132"/>
        <v>0</v>
      </c>
      <c r="AE382">
        <f t="shared" si="132"/>
        <v>0</v>
      </c>
      <c r="AF382">
        <f t="shared" si="132"/>
        <v>0</v>
      </c>
      <c r="AG382">
        <f t="shared" si="131"/>
        <v>0</v>
      </c>
      <c r="AH382">
        <f t="shared" si="131"/>
        <v>0</v>
      </c>
      <c r="AI382">
        <f t="shared" si="131"/>
        <v>0</v>
      </c>
      <c r="AJ382">
        <f t="shared" si="131"/>
        <v>0</v>
      </c>
      <c r="AK382">
        <f t="shared" si="131"/>
        <v>0</v>
      </c>
      <c r="AL382">
        <f t="shared" si="131"/>
        <v>0</v>
      </c>
      <c r="AM382">
        <f t="shared" si="131"/>
        <v>0</v>
      </c>
      <c r="AN382">
        <f t="shared" si="131"/>
        <v>0</v>
      </c>
      <c r="AO382">
        <f t="shared" si="131"/>
        <v>0</v>
      </c>
      <c r="AP382">
        <f t="shared" si="131"/>
        <v>0</v>
      </c>
      <c r="AQ382">
        <f t="shared" si="131"/>
        <v>0</v>
      </c>
      <c r="AR382">
        <f t="shared" si="131"/>
        <v>0</v>
      </c>
      <c r="AS382">
        <f t="shared" si="131"/>
        <v>0</v>
      </c>
      <c r="AT382">
        <f t="shared" si="131"/>
        <v>0</v>
      </c>
      <c r="AU382">
        <f t="shared" si="131"/>
        <v>0</v>
      </c>
      <c r="AV382">
        <f t="shared" si="130"/>
        <v>0</v>
      </c>
      <c r="AW382">
        <f t="shared" si="130"/>
        <v>0</v>
      </c>
      <c r="AX382">
        <f t="shared" si="130"/>
        <v>0</v>
      </c>
      <c r="AY382">
        <f t="shared" si="130"/>
        <v>0</v>
      </c>
      <c r="AZ382">
        <f t="shared" si="130"/>
        <v>0</v>
      </c>
    </row>
    <row r="383" spans="1:52" x14ac:dyDescent="0.25">
      <c r="A383" t="s">
        <v>26</v>
      </c>
      <c r="B383" s="3">
        <v>41113</v>
      </c>
      <c r="C383" s="1">
        <v>58.984896735970452</v>
      </c>
      <c r="D383" s="1">
        <v>58.984896735970452</v>
      </c>
      <c r="E383" s="1">
        <f t="shared" si="119"/>
        <v>35.984896735970452</v>
      </c>
      <c r="F383" s="1">
        <f t="shared" si="120"/>
        <v>23</v>
      </c>
      <c r="G383" s="2">
        <v>1</v>
      </c>
      <c r="H383" s="1">
        <v>35.984896735970452</v>
      </c>
      <c r="I383" s="1">
        <v>23</v>
      </c>
      <c r="J383" s="1">
        <f t="shared" si="122"/>
        <v>1417208.5204975128</v>
      </c>
      <c r="K383" s="1">
        <f t="shared" si="123"/>
        <v>727029.52049751056</v>
      </c>
      <c r="N383">
        <f t="shared" si="121"/>
        <v>1</v>
      </c>
      <c r="O383">
        <f t="shared" si="121"/>
        <v>0</v>
      </c>
      <c r="P383">
        <f t="shared" si="121"/>
        <v>0</v>
      </c>
      <c r="Q383">
        <f t="shared" si="132"/>
        <v>0</v>
      </c>
      <c r="R383">
        <f t="shared" si="132"/>
        <v>0</v>
      </c>
      <c r="S383">
        <f t="shared" si="132"/>
        <v>0</v>
      </c>
      <c r="T383">
        <f t="shared" si="132"/>
        <v>0</v>
      </c>
      <c r="U383">
        <f t="shared" si="132"/>
        <v>0</v>
      </c>
      <c r="V383">
        <f t="shared" si="132"/>
        <v>0</v>
      </c>
      <c r="W383">
        <f t="shared" si="132"/>
        <v>0</v>
      </c>
      <c r="X383">
        <f t="shared" si="132"/>
        <v>0</v>
      </c>
      <c r="Y383">
        <f t="shared" si="132"/>
        <v>0</v>
      </c>
      <c r="Z383">
        <f t="shared" si="132"/>
        <v>0</v>
      </c>
      <c r="AA383">
        <f t="shared" si="132"/>
        <v>0</v>
      </c>
      <c r="AB383">
        <f t="shared" si="132"/>
        <v>0</v>
      </c>
      <c r="AC383">
        <f t="shared" si="132"/>
        <v>0</v>
      </c>
      <c r="AD383">
        <f t="shared" si="132"/>
        <v>0</v>
      </c>
      <c r="AE383">
        <f t="shared" si="132"/>
        <v>0</v>
      </c>
      <c r="AF383">
        <f t="shared" si="132"/>
        <v>0</v>
      </c>
      <c r="AG383">
        <f t="shared" si="131"/>
        <v>0</v>
      </c>
      <c r="AH383">
        <f t="shared" si="131"/>
        <v>0</v>
      </c>
      <c r="AI383">
        <f t="shared" si="131"/>
        <v>0</v>
      </c>
      <c r="AJ383">
        <f t="shared" si="131"/>
        <v>0</v>
      </c>
      <c r="AK383">
        <f t="shared" si="131"/>
        <v>0</v>
      </c>
      <c r="AL383">
        <f t="shared" si="131"/>
        <v>0</v>
      </c>
      <c r="AM383">
        <f t="shared" si="131"/>
        <v>0</v>
      </c>
      <c r="AN383">
        <f t="shared" si="131"/>
        <v>0</v>
      </c>
      <c r="AO383">
        <f t="shared" si="131"/>
        <v>0</v>
      </c>
      <c r="AP383">
        <f t="shared" si="131"/>
        <v>0</v>
      </c>
      <c r="AQ383">
        <f t="shared" si="131"/>
        <v>0</v>
      </c>
      <c r="AR383">
        <f t="shared" si="131"/>
        <v>0</v>
      </c>
      <c r="AS383">
        <f t="shared" si="131"/>
        <v>0</v>
      </c>
      <c r="AT383">
        <f t="shared" si="131"/>
        <v>0</v>
      </c>
      <c r="AU383">
        <f t="shared" si="131"/>
        <v>0</v>
      </c>
      <c r="AV383">
        <f t="shared" si="130"/>
        <v>0</v>
      </c>
      <c r="AW383">
        <f t="shared" si="130"/>
        <v>0</v>
      </c>
      <c r="AX383">
        <f t="shared" si="130"/>
        <v>0</v>
      </c>
      <c r="AY383">
        <f t="shared" si="130"/>
        <v>0</v>
      </c>
      <c r="AZ383">
        <f t="shared" si="130"/>
        <v>0</v>
      </c>
    </row>
    <row r="384" spans="1:52" x14ac:dyDescent="0.25">
      <c r="A384" t="s">
        <v>16</v>
      </c>
      <c r="B384" s="3">
        <v>41111</v>
      </c>
      <c r="C384" s="1">
        <v>2469.0908961894334</v>
      </c>
      <c r="D384" s="1">
        <v>123.45454480947167</v>
      </c>
      <c r="E384" s="1">
        <f t="shared" si="119"/>
        <v>1169.0908961894334</v>
      </c>
      <c r="F384" s="1">
        <f t="shared" si="120"/>
        <v>1300</v>
      </c>
      <c r="G384" s="2">
        <v>20</v>
      </c>
      <c r="H384" s="1">
        <v>58.45454480947167</v>
      </c>
      <c r="I384" s="1">
        <v>65</v>
      </c>
      <c r="J384" s="1">
        <f t="shared" si="122"/>
        <v>1419677.6113937022</v>
      </c>
      <c r="K384" s="1">
        <f t="shared" si="123"/>
        <v>728198.6113937</v>
      </c>
      <c r="N384">
        <f t="shared" si="121"/>
        <v>0</v>
      </c>
      <c r="O384">
        <f t="shared" si="121"/>
        <v>0</v>
      </c>
      <c r="P384">
        <f t="shared" si="121"/>
        <v>0</v>
      </c>
      <c r="Q384">
        <f t="shared" si="132"/>
        <v>0</v>
      </c>
      <c r="R384">
        <f t="shared" si="132"/>
        <v>0</v>
      </c>
      <c r="S384">
        <f t="shared" si="132"/>
        <v>0</v>
      </c>
      <c r="T384">
        <f t="shared" si="132"/>
        <v>0</v>
      </c>
      <c r="U384">
        <f t="shared" si="132"/>
        <v>0</v>
      </c>
      <c r="V384">
        <f t="shared" si="132"/>
        <v>0</v>
      </c>
      <c r="W384">
        <f t="shared" si="132"/>
        <v>0</v>
      </c>
      <c r="X384">
        <f t="shared" si="132"/>
        <v>0</v>
      </c>
      <c r="Y384">
        <f t="shared" si="132"/>
        <v>0</v>
      </c>
      <c r="Z384">
        <f t="shared" si="132"/>
        <v>0</v>
      </c>
      <c r="AA384">
        <f t="shared" si="132"/>
        <v>0</v>
      </c>
      <c r="AB384">
        <f t="shared" si="132"/>
        <v>0</v>
      </c>
      <c r="AC384">
        <f t="shared" si="132"/>
        <v>0</v>
      </c>
      <c r="AD384">
        <f t="shared" si="132"/>
        <v>0</v>
      </c>
      <c r="AE384">
        <f t="shared" si="132"/>
        <v>0</v>
      </c>
      <c r="AF384">
        <f t="shared" si="132"/>
        <v>0</v>
      </c>
      <c r="AG384">
        <f t="shared" si="131"/>
        <v>0</v>
      </c>
      <c r="AH384">
        <f t="shared" si="131"/>
        <v>0</v>
      </c>
      <c r="AI384">
        <f t="shared" si="131"/>
        <v>0</v>
      </c>
      <c r="AJ384">
        <f t="shared" si="131"/>
        <v>0</v>
      </c>
      <c r="AK384">
        <f t="shared" si="131"/>
        <v>0</v>
      </c>
      <c r="AL384">
        <f t="shared" si="131"/>
        <v>0</v>
      </c>
      <c r="AM384">
        <f t="shared" si="131"/>
        <v>0</v>
      </c>
      <c r="AN384">
        <f t="shared" si="131"/>
        <v>1</v>
      </c>
      <c r="AO384">
        <f t="shared" si="131"/>
        <v>0</v>
      </c>
      <c r="AP384">
        <f t="shared" si="131"/>
        <v>0</v>
      </c>
      <c r="AQ384">
        <f t="shared" si="131"/>
        <v>0</v>
      </c>
      <c r="AR384">
        <f t="shared" si="131"/>
        <v>0</v>
      </c>
      <c r="AS384">
        <f t="shared" si="131"/>
        <v>0</v>
      </c>
      <c r="AT384">
        <f t="shared" si="131"/>
        <v>0</v>
      </c>
      <c r="AU384">
        <f t="shared" si="131"/>
        <v>0</v>
      </c>
      <c r="AV384">
        <f t="shared" si="130"/>
        <v>0</v>
      </c>
      <c r="AW384">
        <f t="shared" si="130"/>
        <v>0</v>
      </c>
      <c r="AX384">
        <f t="shared" si="130"/>
        <v>0</v>
      </c>
      <c r="AY384">
        <f t="shared" si="130"/>
        <v>0</v>
      </c>
      <c r="AZ384">
        <f t="shared" si="130"/>
        <v>0</v>
      </c>
    </row>
    <row r="385" spans="1:52" x14ac:dyDescent="0.25">
      <c r="A385" t="s">
        <v>26</v>
      </c>
      <c r="B385" s="3">
        <v>41107</v>
      </c>
      <c r="C385" s="1">
        <v>2391.635723558129</v>
      </c>
      <c r="D385" s="1">
        <v>113.88741540752996</v>
      </c>
      <c r="E385" s="1">
        <f t="shared" si="119"/>
        <v>1257.635723558129</v>
      </c>
      <c r="F385" s="1">
        <f t="shared" si="120"/>
        <v>1134</v>
      </c>
      <c r="G385" s="2">
        <v>21</v>
      </c>
      <c r="H385" s="1">
        <v>59.887415407529957</v>
      </c>
      <c r="I385" s="1">
        <v>54</v>
      </c>
      <c r="J385" s="1">
        <f t="shared" si="122"/>
        <v>1422069.2471172602</v>
      </c>
      <c r="K385" s="1">
        <f t="shared" si="123"/>
        <v>729456.24711725814</v>
      </c>
      <c r="N385">
        <f t="shared" si="121"/>
        <v>1</v>
      </c>
      <c r="O385">
        <f t="shared" si="121"/>
        <v>0</v>
      </c>
      <c r="P385">
        <f t="shared" si="121"/>
        <v>0</v>
      </c>
      <c r="Q385">
        <f t="shared" si="132"/>
        <v>0</v>
      </c>
      <c r="R385">
        <f t="shared" si="132"/>
        <v>0</v>
      </c>
      <c r="S385">
        <f t="shared" si="132"/>
        <v>0</v>
      </c>
      <c r="T385">
        <f t="shared" si="132"/>
        <v>0</v>
      </c>
      <c r="U385">
        <f t="shared" si="132"/>
        <v>0</v>
      </c>
      <c r="V385">
        <f t="shared" si="132"/>
        <v>0</v>
      </c>
      <c r="W385">
        <f t="shared" si="132"/>
        <v>0</v>
      </c>
      <c r="X385">
        <f t="shared" si="132"/>
        <v>0</v>
      </c>
      <c r="Y385">
        <f t="shared" si="132"/>
        <v>0</v>
      </c>
      <c r="Z385">
        <f t="shared" si="132"/>
        <v>0</v>
      </c>
      <c r="AA385">
        <f t="shared" si="132"/>
        <v>0</v>
      </c>
      <c r="AB385">
        <f t="shared" si="132"/>
        <v>0</v>
      </c>
      <c r="AC385">
        <f t="shared" si="132"/>
        <v>0</v>
      </c>
      <c r="AD385">
        <f t="shared" si="132"/>
        <v>0</v>
      </c>
      <c r="AE385">
        <f t="shared" si="132"/>
        <v>0</v>
      </c>
      <c r="AF385">
        <f t="shared" si="132"/>
        <v>0</v>
      </c>
      <c r="AG385">
        <f t="shared" si="131"/>
        <v>0</v>
      </c>
      <c r="AH385">
        <f t="shared" si="131"/>
        <v>0</v>
      </c>
      <c r="AI385">
        <f t="shared" si="131"/>
        <v>0</v>
      </c>
      <c r="AJ385">
        <f t="shared" si="131"/>
        <v>0</v>
      </c>
      <c r="AK385">
        <f t="shared" si="131"/>
        <v>0</v>
      </c>
      <c r="AL385">
        <f t="shared" si="131"/>
        <v>0</v>
      </c>
      <c r="AM385">
        <f t="shared" si="131"/>
        <v>0</v>
      </c>
      <c r="AN385">
        <f t="shared" si="131"/>
        <v>0</v>
      </c>
      <c r="AO385">
        <f t="shared" si="131"/>
        <v>0</v>
      </c>
      <c r="AP385">
        <f t="shared" si="131"/>
        <v>0</v>
      </c>
      <c r="AQ385">
        <f t="shared" si="131"/>
        <v>0</v>
      </c>
      <c r="AR385">
        <f t="shared" si="131"/>
        <v>0</v>
      </c>
      <c r="AS385">
        <f t="shared" si="131"/>
        <v>0</v>
      </c>
      <c r="AT385">
        <f t="shared" si="131"/>
        <v>0</v>
      </c>
      <c r="AU385">
        <f t="shared" si="131"/>
        <v>0</v>
      </c>
      <c r="AV385">
        <f t="shared" si="130"/>
        <v>0</v>
      </c>
      <c r="AW385">
        <f t="shared" si="130"/>
        <v>0</v>
      </c>
      <c r="AX385">
        <f t="shared" si="130"/>
        <v>0</v>
      </c>
      <c r="AY385">
        <f t="shared" si="130"/>
        <v>0</v>
      </c>
      <c r="AZ385">
        <f t="shared" si="130"/>
        <v>0</v>
      </c>
    </row>
    <row r="386" spans="1:52" x14ac:dyDescent="0.25">
      <c r="A386" t="s">
        <v>11</v>
      </c>
      <c r="B386" s="3">
        <v>41104</v>
      </c>
      <c r="C386" s="1">
        <v>238.11272791141252</v>
      </c>
      <c r="D386" s="1">
        <v>119.05636395570626</v>
      </c>
      <c r="E386" s="1">
        <f t="shared" si="119"/>
        <v>98.11272791141252</v>
      </c>
      <c r="F386" s="1">
        <f t="shared" si="120"/>
        <v>140</v>
      </c>
      <c r="G386" s="2">
        <v>2</v>
      </c>
      <c r="H386" s="1">
        <v>49.05636395570626</v>
      </c>
      <c r="I386" s="1">
        <v>70</v>
      </c>
      <c r="J386" s="1">
        <f t="shared" si="122"/>
        <v>1422307.3598451717</v>
      </c>
      <c r="K386" s="1">
        <f t="shared" si="123"/>
        <v>729554.35984516959</v>
      </c>
      <c r="N386">
        <f t="shared" si="121"/>
        <v>0</v>
      </c>
      <c r="O386">
        <f t="shared" si="121"/>
        <v>0</v>
      </c>
      <c r="P386">
        <f t="shared" si="121"/>
        <v>1</v>
      </c>
      <c r="Q386">
        <f t="shared" si="132"/>
        <v>0</v>
      </c>
      <c r="R386">
        <f t="shared" si="132"/>
        <v>0</v>
      </c>
      <c r="S386">
        <f t="shared" si="132"/>
        <v>0</v>
      </c>
      <c r="T386">
        <f t="shared" si="132"/>
        <v>0</v>
      </c>
      <c r="U386">
        <f t="shared" si="132"/>
        <v>0</v>
      </c>
      <c r="V386">
        <f t="shared" si="132"/>
        <v>0</v>
      </c>
      <c r="W386">
        <f t="shared" si="132"/>
        <v>0</v>
      </c>
      <c r="X386">
        <f t="shared" si="132"/>
        <v>0</v>
      </c>
      <c r="Y386">
        <f t="shared" si="132"/>
        <v>0</v>
      </c>
      <c r="Z386">
        <f t="shared" si="132"/>
        <v>0</v>
      </c>
      <c r="AA386">
        <f t="shared" si="132"/>
        <v>0</v>
      </c>
      <c r="AB386">
        <f t="shared" si="132"/>
        <v>0</v>
      </c>
      <c r="AC386">
        <f t="shared" si="132"/>
        <v>0</v>
      </c>
      <c r="AD386">
        <f t="shared" si="132"/>
        <v>0</v>
      </c>
      <c r="AE386">
        <f t="shared" si="132"/>
        <v>0</v>
      </c>
      <c r="AF386">
        <f t="shared" si="132"/>
        <v>0</v>
      </c>
      <c r="AG386">
        <f t="shared" si="131"/>
        <v>0</v>
      </c>
      <c r="AH386">
        <f t="shared" si="131"/>
        <v>0</v>
      </c>
      <c r="AI386">
        <f t="shared" si="131"/>
        <v>0</v>
      </c>
      <c r="AJ386">
        <f t="shared" si="131"/>
        <v>0</v>
      </c>
      <c r="AK386">
        <f t="shared" si="131"/>
        <v>0</v>
      </c>
      <c r="AL386">
        <f t="shared" si="131"/>
        <v>0</v>
      </c>
      <c r="AM386">
        <f t="shared" si="131"/>
        <v>0</v>
      </c>
      <c r="AN386">
        <f t="shared" si="131"/>
        <v>0</v>
      </c>
      <c r="AO386">
        <f t="shared" si="131"/>
        <v>0</v>
      </c>
      <c r="AP386">
        <f t="shared" si="131"/>
        <v>0</v>
      </c>
      <c r="AQ386">
        <f t="shared" si="131"/>
        <v>0</v>
      </c>
      <c r="AR386">
        <f t="shared" si="131"/>
        <v>0</v>
      </c>
      <c r="AS386">
        <f t="shared" si="131"/>
        <v>0</v>
      </c>
      <c r="AT386">
        <f t="shared" si="131"/>
        <v>0</v>
      </c>
      <c r="AU386">
        <f t="shared" si="131"/>
        <v>0</v>
      </c>
      <c r="AV386">
        <f t="shared" si="130"/>
        <v>0</v>
      </c>
      <c r="AW386">
        <f t="shared" si="130"/>
        <v>0</v>
      </c>
      <c r="AX386">
        <f t="shared" si="130"/>
        <v>0</v>
      </c>
      <c r="AY386">
        <f t="shared" si="130"/>
        <v>0</v>
      </c>
      <c r="AZ386">
        <f t="shared" si="130"/>
        <v>0</v>
      </c>
    </row>
    <row r="387" spans="1:52" x14ac:dyDescent="0.25">
      <c r="A387" t="s">
        <v>23</v>
      </c>
      <c r="B387" s="3">
        <v>41097</v>
      </c>
      <c r="C387" s="1">
        <v>1829.4596214952578</v>
      </c>
      <c r="D387" s="1">
        <v>114.34122634345361</v>
      </c>
      <c r="E387" s="1">
        <f t="shared" si="119"/>
        <v>837.45962149525781</v>
      </c>
      <c r="F387" s="1">
        <f t="shared" si="120"/>
        <v>992</v>
      </c>
      <c r="G387" s="2">
        <v>16</v>
      </c>
      <c r="H387" s="1">
        <v>52.341226343453613</v>
      </c>
      <c r="I387" s="1">
        <v>62</v>
      </c>
      <c r="J387" s="1">
        <f t="shared" si="122"/>
        <v>1424136.819466667</v>
      </c>
      <c r="K387" s="1">
        <f t="shared" si="123"/>
        <v>730391.81946666481</v>
      </c>
      <c r="N387">
        <f t="shared" si="121"/>
        <v>0</v>
      </c>
      <c r="O387">
        <f t="shared" si="121"/>
        <v>0</v>
      </c>
      <c r="P387">
        <f t="shared" si="121"/>
        <v>0</v>
      </c>
      <c r="Q387">
        <f t="shared" si="132"/>
        <v>0</v>
      </c>
      <c r="R387">
        <f t="shared" si="132"/>
        <v>0</v>
      </c>
      <c r="S387">
        <f t="shared" si="132"/>
        <v>0</v>
      </c>
      <c r="T387">
        <f t="shared" si="132"/>
        <v>0</v>
      </c>
      <c r="U387">
        <f t="shared" si="132"/>
        <v>0</v>
      </c>
      <c r="V387">
        <f t="shared" si="132"/>
        <v>0</v>
      </c>
      <c r="W387">
        <f t="shared" si="132"/>
        <v>0</v>
      </c>
      <c r="X387">
        <f t="shared" si="132"/>
        <v>0</v>
      </c>
      <c r="Y387">
        <f t="shared" si="132"/>
        <v>0</v>
      </c>
      <c r="Z387">
        <f t="shared" si="132"/>
        <v>0</v>
      </c>
      <c r="AA387">
        <f t="shared" si="132"/>
        <v>0</v>
      </c>
      <c r="AB387">
        <f t="shared" si="132"/>
        <v>0</v>
      </c>
      <c r="AC387">
        <f t="shared" si="132"/>
        <v>0</v>
      </c>
      <c r="AD387">
        <f t="shared" si="132"/>
        <v>0</v>
      </c>
      <c r="AE387">
        <f t="shared" si="132"/>
        <v>0</v>
      </c>
      <c r="AF387">
        <f t="shared" ref="AF387:AU402" si="133">+IF(AF$5=$A387,1,0)</f>
        <v>0</v>
      </c>
      <c r="AG387">
        <f t="shared" si="133"/>
        <v>0</v>
      </c>
      <c r="AH387">
        <f t="shared" si="133"/>
        <v>0</v>
      </c>
      <c r="AI387">
        <f t="shared" si="133"/>
        <v>0</v>
      </c>
      <c r="AJ387">
        <f t="shared" si="133"/>
        <v>0</v>
      </c>
      <c r="AK387">
        <f t="shared" si="133"/>
        <v>0</v>
      </c>
      <c r="AL387">
        <f t="shared" si="133"/>
        <v>0</v>
      </c>
      <c r="AM387">
        <f t="shared" si="133"/>
        <v>1</v>
      </c>
      <c r="AN387">
        <f t="shared" si="133"/>
        <v>0</v>
      </c>
      <c r="AO387">
        <f t="shared" si="133"/>
        <v>0</v>
      </c>
      <c r="AP387">
        <f t="shared" si="133"/>
        <v>0</v>
      </c>
      <c r="AQ387">
        <f t="shared" si="133"/>
        <v>0</v>
      </c>
      <c r="AR387">
        <f t="shared" si="133"/>
        <v>0</v>
      </c>
      <c r="AS387">
        <f t="shared" si="133"/>
        <v>0</v>
      </c>
      <c r="AT387">
        <f t="shared" si="133"/>
        <v>0</v>
      </c>
      <c r="AU387">
        <f t="shared" si="133"/>
        <v>0</v>
      </c>
      <c r="AV387">
        <f t="shared" si="130"/>
        <v>0</v>
      </c>
      <c r="AW387">
        <f t="shared" si="130"/>
        <v>0</v>
      </c>
      <c r="AX387">
        <f t="shared" si="130"/>
        <v>0</v>
      </c>
      <c r="AY387">
        <f t="shared" si="130"/>
        <v>0</v>
      </c>
      <c r="AZ387">
        <f t="shared" si="130"/>
        <v>0</v>
      </c>
    </row>
    <row r="388" spans="1:52" x14ac:dyDescent="0.25">
      <c r="A388" t="s">
        <v>45</v>
      </c>
      <c r="B388" s="3">
        <v>41095</v>
      </c>
      <c r="C388" s="1">
        <v>11658.448900173686</v>
      </c>
      <c r="D388" s="1">
        <v>224.20094038795548</v>
      </c>
      <c r="E388" s="1">
        <f t="shared" si="119"/>
        <v>5054.4489001736856</v>
      </c>
      <c r="F388" s="1">
        <f t="shared" si="120"/>
        <v>6604</v>
      </c>
      <c r="G388" s="2">
        <v>52</v>
      </c>
      <c r="H388" s="1">
        <v>97.200940387955498</v>
      </c>
      <c r="I388" s="1">
        <v>127</v>
      </c>
      <c r="J388" s="1">
        <f t="shared" si="122"/>
        <v>1435795.2683668407</v>
      </c>
      <c r="K388" s="1">
        <f t="shared" si="123"/>
        <v>735446.26836683846</v>
      </c>
      <c r="N388">
        <f t="shared" si="121"/>
        <v>0</v>
      </c>
      <c r="O388">
        <f t="shared" si="121"/>
        <v>0</v>
      </c>
      <c r="P388">
        <f t="shared" si="121"/>
        <v>0</v>
      </c>
      <c r="Q388">
        <f t="shared" ref="Q388:AF403" si="134">+IF(Q$5=$A388,1,0)</f>
        <v>0</v>
      </c>
      <c r="R388">
        <f t="shared" si="134"/>
        <v>0</v>
      </c>
      <c r="S388">
        <f t="shared" si="134"/>
        <v>0</v>
      </c>
      <c r="T388">
        <f t="shared" si="134"/>
        <v>0</v>
      </c>
      <c r="U388">
        <f t="shared" si="134"/>
        <v>0</v>
      </c>
      <c r="V388">
        <f t="shared" si="134"/>
        <v>0</v>
      </c>
      <c r="W388">
        <f t="shared" si="134"/>
        <v>0</v>
      </c>
      <c r="X388">
        <f t="shared" si="134"/>
        <v>0</v>
      </c>
      <c r="Y388">
        <f t="shared" si="134"/>
        <v>0</v>
      </c>
      <c r="Z388">
        <f t="shared" si="134"/>
        <v>0</v>
      </c>
      <c r="AA388">
        <f t="shared" si="134"/>
        <v>0</v>
      </c>
      <c r="AB388">
        <f t="shared" si="134"/>
        <v>0</v>
      </c>
      <c r="AC388">
        <f t="shared" si="134"/>
        <v>0</v>
      </c>
      <c r="AD388">
        <f t="shared" si="134"/>
        <v>0</v>
      </c>
      <c r="AE388">
        <f t="shared" si="134"/>
        <v>0</v>
      </c>
      <c r="AF388">
        <f t="shared" si="134"/>
        <v>0</v>
      </c>
      <c r="AG388">
        <f t="shared" si="133"/>
        <v>0</v>
      </c>
      <c r="AH388">
        <f t="shared" si="133"/>
        <v>0</v>
      </c>
      <c r="AI388">
        <f t="shared" si="133"/>
        <v>0</v>
      </c>
      <c r="AJ388">
        <f t="shared" si="133"/>
        <v>1</v>
      </c>
      <c r="AK388">
        <f t="shared" si="133"/>
        <v>0</v>
      </c>
      <c r="AL388">
        <f t="shared" si="133"/>
        <v>0</v>
      </c>
      <c r="AM388">
        <f t="shared" si="133"/>
        <v>0</v>
      </c>
      <c r="AN388">
        <f t="shared" si="133"/>
        <v>0</v>
      </c>
      <c r="AO388">
        <f t="shared" si="133"/>
        <v>0</v>
      </c>
      <c r="AP388">
        <f t="shared" si="133"/>
        <v>0</v>
      </c>
      <c r="AQ388">
        <f t="shared" si="133"/>
        <v>0</v>
      </c>
      <c r="AR388">
        <f t="shared" si="133"/>
        <v>0</v>
      </c>
      <c r="AS388">
        <f t="shared" si="133"/>
        <v>0</v>
      </c>
      <c r="AT388">
        <f t="shared" si="133"/>
        <v>0</v>
      </c>
      <c r="AU388">
        <f t="shared" si="133"/>
        <v>0</v>
      </c>
      <c r="AV388">
        <f t="shared" si="130"/>
        <v>0</v>
      </c>
      <c r="AW388">
        <f t="shared" si="130"/>
        <v>0</v>
      </c>
      <c r="AX388">
        <f t="shared" si="130"/>
        <v>0</v>
      </c>
      <c r="AY388">
        <f t="shared" si="130"/>
        <v>0</v>
      </c>
      <c r="AZ388">
        <f t="shared" si="130"/>
        <v>0</v>
      </c>
    </row>
    <row r="389" spans="1:52" x14ac:dyDescent="0.25">
      <c r="A389" t="s">
        <v>44</v>
      </c>
      <c r="B389" s="3">
        <v>41091</v>
      </c>
      <c r="C389" s="1">
        <v>860.13178822857344</v>
      </c>
      <c r="D389" s="1">
        <v>95.570198692063713</v>
      </c>
      <c r="E389" s="1">
        <f t="shared" si="119"/>
        <v>500.13178822857344</v>
      </c>
      <c r="F389" s="1">
        <f t="shared" si="120"/>
        <v>360</v>
      </c>
      <c r="G389" s="2">
        <v>9</v>
      </c>
      <c r="H389" s="1">
        <v>55.570198692063713</v>
      </c>
      <c r="I389" s="1">
        <v>40</v>
      </c>
      <c r="J389" s="1">
        <f t="shared" si="122"/>
        <v>1436655.4001550693</v>
      </c>
      <c r="K389" s="1">
        <f t="shared" si="123"/>
        <v>735946.40015506698</v>
      </c>
      <c r="N389">
        <f t="shared" si="121"/>
        <v>0</v>
      </c>
      <c r="O389">
        <f t="shared" si="121"/>
        <v>0</v>
      </c>
      <c r="P389">
        <f t="shared" si="121"/>
        <v>0</v>
      </c>
      <c r="Q389">
        <f t="shared" si="134"/>
        <v>0</v>
      </c>
      <c r="R389">
        <f t="shared" si="134"/>
        <v>0</v>
      </c>
      <c r="S389">
        <f t="shared" si="134"/>
        <v>0</v>
      </c>
      <c r="T389">
        <f t="shared" si="134"/>
        <v>0</v>
      </c>
      <c r="U389">
        <f t="shared" si="134"/>
        <v>0</v>
      </c>
      <c r="V389">
        <f t="shared" si="134"/>
        <v>0</v>
      </c>
      <c r="W389">
        <f t="shared" si="134"/>
        <v>0</v>
      </c>
      <c r="X389">
        <f t="shared" si="134"/>
        <v>0</v>
      </c>
      <c r="Y389">
        <f t="shared" si="134"/>
        <v>0</v>
      </c>
      <c r="Z389">
        <f t="shared" si="134"/>
        <v>0</v>
      </c>
      <c r="AA389">
        <f t="shared" si="134"/>
        <v>0</v>
      </c>
      <c r="AB389">
        <f t="shared" si="134"/>
        <v>0</v>
      </c>
      <c r="AC389">
        <f t="shared" si="134"/>
        <v>0</v>
      </c>
      <c r="AD389">
        <f t="shared" si="134"/>
        <v>0</v>
      </c>
      <c r="AE389">
        <f t="shared" si="134"/>
        <v>0</v>
      </c>
      <c r="AF389">
        <f t="shared" si="134"/>
        <v>0</v>
      </c>
      <c r="AG389">
        <f t="shared" si="133"/>
        <v>0</v>
      </c>
      <c r="AH389">
        <f t="shared" si="133"/>
        <v>0</v>
      </c>
      <c r="AI389">
        <f t="shared" si="133"/>
        <v>0</v>
      </c>
      <c r="AJ389">
        <f t="shared" si="133"/>
        <v>0</v>
      </c>
      <c r="AK389">
        <f t="shared" si="133"/>
        <v>0</v>
      </c>
      <c r="AL389">
        <f t="shared" si="133"/>
        <v>0</v>
      </c>
      <c r="AM389">
        <f t="shared" si="133"/>
        <v>0</v>
      </c>
      <c r="AN389">
        <f t="shared" si="133"/>
        <v>0</v>
      </c>
      <c r="AO389">
        <f t="shared" si="133"/>
        <v>0</v>
      </c>
      <c r="AP389">
        <f t="shared" si="133"/>
        <v>0</v>
      </c>
      <c r="AQ389">
        <f t="shared" si="133"/>
        <v>0</v>
      </c>
      <c r="AR389">
        <f t="shared" si="133"/>
        <v>0</v>
      </c>
      <c r="AS389">
        <f t="shared" si="133"/>
        <v>0</v>
      </c>
      <c r="AT389">
        <f t="shared" si="133"/>
        <v>0</v>
      </c>
      <c r="AU389">
        <f t="shared" si="133"/>
        <v>1</v>
      </c>
      <c r="AV389">
        <f t="shared" si="130"/>
        <v>0</v>
      </c>
      <c r="AW389">
        <f t="shared" si="130"/>
        <v>0</v>
      </c>
      <c r="AX389">
        <f t="shared" si="130"/>
        <v>0</v>
      </c>
      <c r="AY389">
        <f t="shared" si="130"/>
        <v>0</v>
      </c>
      <c r="AZ389">
        <f t="shared" si="130"/>
        <v>0</v>
      </c>
    </row>
    <row r="390" spans="1:52" x14ac:dyDescent="0.25">
      <c r="A390" t="s">
        <v>11</v>
      </c>
      <c r="B390" s="3">
        <v>41087</v>
      </c>
      <c r="C390" s="1">
        <v>12294.108336563362</v>
      </c>
      <c r="D390" s="1">
        <v>273.20240747918581</v>
      </c>
      <c r="E390" s="1">
        <f t="shared" si="119"/>
        <v>5004.1083365633613</v>
      </c>
      <c r="F390" s="1">
        <f t="shared" si="120"/>
        <v>7290</v>
      </c>
      <c r="G390" s="2">
        <v>45</v>
      </c>
      <c r="H390" s="1">
        <v>111.20240747918581</v>
      </c>
      <c r="I390" s="1">
        <v>162</v>
      </c>
      <c r="J390" s="1">
        <f t="shared" si="122"/>
        <v>1448949.5084916328</v>
      </c>
      <c r="K390" s="1">
        <f t="shared" si="123"/>
        <v>740950.50849163032</v>
      </c>
      <c r="N390">
        <f t="shared" si="121"/>
        <v>0</v>
      </c>
      <c r="O390">
        <f t="shared" si="121"/>
        <v>0</v>
      </c>
      <c r="P390">
        <f t="shared" si="121"/>
        <v>1</v>
      </c>
      <c r="Q390">
        <f t="shared" si="134"/>
        <v>0</v>
      </c>
      <c r="R390">
        <f t="shared" si="134"/>
        <v>0</v>
      </c>
      <c r="S390">
        <f t="shared" si="134"/>
        <v>0</v>
      </c>
      <c r="T390">
        <f t="shared" si="134"/>
        <v>0</v>
      </c>
      <c r="U390">
        <f t="shared" si="134"/>
        <v>0</v>
      </c>
      <c r="V390">
        <f t="shared" si="134"/>
        <v>0</v>
      </c>
      <c r="W390">
        <f t="shared" si="134"/>
        <v>0</v>
      </c>
      <c r="X390">
        <f t="shared" si="134"/>
        <v>0</v>
      </c>
      <c r="Y390">
        <f t="shared" si="134"/>
        <v>0</v>
      </c>
      <c r="Z390">
        <f t="shared" si="134"/>
        <v>0</v>
      </c>
      <c r="AA390">
        <f t="shared" si="134"/>
        <v>0</v>
      </c>
      <c r="AB390">
        <f t="shared" si="134"/>
        <v>0</v>
      </c>
      <c r="AC390">
        <f t="shared" si="134"/>
        <v>0</v>
      </c>
      <c r="AD390">
        <f t="shared" si="134"/>
        <v>0</v>
      </c>
      <c r="AE390">
        <f t="shared" si="134"/>
        <v>0</v>
      </c>
      <c r="AF390">
        <f t="shared" si="134"/>
        <v>0</v>
      </c>
      <c r="AG390">
        <f t="shared" si="133"/>
        <v>0</v>
      </c>
      <c r="AH390">
        <f t="shared" si="133"/>
        <v>0</v>
      </c>
      <c r="AI390">
        <f t="shared" si="133"/>
        <v>0</v>
      </c>
      <c r="AJ390">
        <f t="shared" si="133"/>
        <v>0</v>
      </c>
      <c r="AK390">
        <f t="shared" si="133"/>
        <v>0</v>
      </c>
      <c r="AL390">
        <f t="shared" si="133"/>
        <v>0</v>
      </c>
      <c r="AM390">
        <f t="shared" si="133"/>
        <v>0</v>
      </c>
      <c r="AN390">
        <f t="shared" si="133"/>
        <v>0</v>
      </c>
      <c r="AO390">
        <f t="shared" si="133"/>
        <v>0</v>
      </c>
      <c r="AP390">
        <f t="shared" si="133"/>
        <v>0</v>
      </c>
      <c r="AQ390">
        <f t="shared" si="133"/>
        <v>0</v>
      </c>
      <c r="AR390">
        <f t="shared" si="133"/>
        <v>0</v>
      </c>
      <c r="AS390">
        <f t="shared" si="133"/>
        <v>0</v>
      </c>
      <c r="AT390">
        <f t="shared" si="133"/>
        <v>0</v>
      </c>
      <c r="AU390">
        <f t="shared" si="133"/>
        <v>0</v>
      </c>
      <c r="AV390">
        <f t="shared" si="130"/>
        <v>0</v>
      </c>
      <c r="AW390">
        <f t="shared" si="130"/>
        <v>0</v>
      </c>
      <c r="AX390">
        <f t="shared" si="130"/>
        <v>0</v>
      </c>
      <c r="AY390">
        <f t="shared" si="130"/>
        <v>0</v>
      </c>
      <c r="AZ390">
        <f t="shared" si="130"/>
        <v>0</v>
      </c>
    </row>
    <row r="391" spans="1:52" x14ac:dyDescent="0.25">
      <c r="A391" t="s">
        <v>30</v>
      </c>
      <c r="B391" s="3">
        <v>41080</v>
      </c>
      <c r="C391" s="1">
        <v>8157.0353164480603</v>
      </c>
      <c r="D391" s="1">
        <v>189.69849573135025</v>
      </c>
      <c r="E391" s="1">
        <f t="shared" ref="E391:E454" si="135">+G391*H391</f>
        <v>3341.0353164480603</v>
      </c>
      <c r="F391" s="1">
        <f t="shared" ref="F391:F454" si="136">+G391*I391</f>
        <v>4816</v>
      </c>
      <c r="G391" s="2">
        <v>43</v>
      </c>
      <c r="H391" s="1">
        <v>77.698495731350235</v>
      </c>
      <c r="I391" s="1">
        <v>112</v>
      </c>
      <c r="J391" s="1">
        <f t="shared" si="122"/>
        <v>1457106.5438080807</v>
      </c>
      <c r="K391" s="1">
        <f t="shared" si="123"/>
        <v>744291.54380807839</v>
      </c>
      <c r="N391">
        <f t="shared" ref="N391:AC454" si="137">+IF(N$5=$A391,1,0)</f>
        <v>0</v>
      </c>
      <c r="O391">
        <f t="shared" si="137"/>
        <v>0</v>
      </c>
      <c r="P391">
        <f t="shared" si="137"/>
        <v>0</v>
      </c>
      <c r="Q391">
        <f t="shared" si="134"/>
        <v>0</v>
      </c>
      <c r="R391">
        <f t="shared" si="134"/>
        <v>0</v>
      </c>
      <c r="S391">
        <f t="shared" si="134"/>
        <v>0</v>
      </c>
      <c r="T391">
        <f t="shared" si="134"/>
        <v>0</v>
      </c>
      <c r="U391">
        <f t="shared" si="134"/>
        <v>0</v>
      </c>
      <c r="V391">
        <f t="shared" si="134"/>
        <v>0</v>
      </c>
      <c r="W391">
        <f t="shared" si="134"/>
        <v>0</v>
      </c>
      <c r="X391">
        <f t="shared" si="134"/>
        <v>0</v>
      </c>
      <c r="Y391">
        <f t="shared" si="134"/>
        <v>0</v>
      </c>
      <c r="Z391">
        <f t="shared" si="134"/>
        <v>0</v>
      </c>
      <c r="AA391">
        <f t="shared" si="134"/>
        <v>0</v>
      </c>
      <c r="AB391">
        <f t="shared" si="134"/>
        <v>0</v>
      </c>
      <c r="AC391">
        <f t="shared" si="134"/>
        <v>0</v>
      </c>
      <c r="AD391">
        <f t="shared" si="134"/>
        <v>0</v>
      </c>
      <c r="AE391">
        <f t="shared" si="134"/>
        <v>0</v>
      </c>
      <c r="AF391">
        <f t="shared" si="134"/>
        <v>0</v>
      </c>
      <c r="AG391">
        <f t="shared" si="133"/>
        <v>0</v>
      </c>
      <c r="AH391">
        <f t="shared" si="133"/>
        <v>0</v>
      </c>
      <c r="AI391">
        <f t="shared" si="133"/>
        <v>0</v>
      </c>
      <c r="AJ391">
        <f t="shared" si="133"/>
        <v>0</v>
      </c>
      <c r="AK391">
        <f t="shared" si="133"/>
        <v>0</v>
      </c>
      <c r="AL391">
        <f t="shared" si="133"/>
        <v>0</v>
      </c>
      <c r="AM391">
        <f t="shared" si="133"/>
        <v>0</v>
      </c>
      <c r="AN391">
        <f t="shared" si="133"/>
        <v>0</v>
      </c>
      <c r="AO391">
        <f t="shared" si="133"/>
        <v>0</v>
      </c>
      <c r="AP391">
        <f t="shared" si="133"/>
        <v>0</v>
      </c>
      <c r="AQ391">
        <f t="shared" si="133"/>
        <v>0</v>
      </c>
      <c r="AR391">
        <f t="shared" si="133"/>
        <v>0</v>
      </c>
      <c r="AS391">
        <f t="shared" si="133"/>
        <v>0</v>
      </c>
      <c r="AT391">
        <f t="shared" si="133"/>
        <v>0</v>
      </c>
      <c r="AU391">
        <f t="shared" si="133"/>
        <v>0</v>
      </c>
      <c r="AV391">
        <f t="shared" si="130"/>
        <v>1</v>
      </c>
      <c r="AW391">
        <f t="shared" si="130"/>
        <v>0</v>
      </c>
      <c r="AX391">
        <f t="shared" si="130"/>
        <v>0</v>
      </c>
      <c r="AY391">
        <f t="shared" si="130"/>
        <v>0</v>
      </c>
      <c r="AZ391">
        <f t="shared" si="130"/>
        <v>0</v>
      </c>
    </row>
    <row r="392" spans="1:52" x14ac:dyDescent="0.25">
      <c r="A392" t="s">
        <v>22</v>
      </c>
      <c r="B392" s="3">
        <v>41080</v>
      </c>
      <c r="C392" s="1">
        <v>439.8573078328385</v>
      </c>
      <c r="D392" s="1">
        <v>146.61910261094616</v>
      </c>
      <c r="E392" s="1">
        <f t="shared" si="135"/>
        <v>241.85730783283847</v>
      </c>
      <c r="F392" s="1">
        <f t="shared" si="136"/>
        <v>198</v>
      </c>
      <c r="G392" s="2">
        <v>3</v>
      </c>
      <c r="H392" s="1">
        <v>80.619102610946157</v>
      </c>
      <c r="I392" s="1">
        <v>66</v>
      </c>
      <c r="J392" s="1">
        <f t="shared" ref="J392:J455" si="138">+J391+C392</f>
        <v>1457546.4011159136</v>
      </c>
      <c r="K392" s="1">
        <f t="shared" ref="K392:K455" si="139">+K391+E392</f>
        <v>744533.4011159112</v>
      </c>
      <c r="N392">
        <f t="shared" si="137"/>
        <v>0</v>
      </c>
      <c r="O392">
        <f t="shared" si="137"/>
        <v>0</v>
      </c>
      <c r="P392">
        <f t="shared" si="137"/>
        <v>0</v>
      </c>
      <c r="Q392">
        <f t="shared" si="134"/>
        <v>0</v>
      </c>
      <c r="R392">
        <f t="shared" si="134"/>
        <v>0</v>
      </c>
      <c r="S392">
        <f t="shared" si="134"/>
        <v>0</v>
      </c>
      <c r="T392">
        <f t="shared" si="134"/>
        <v>0</v>
      </c>
      <c r="U392">
        <f t="shared" si="134"/>
        <v>0</v>
      </c>
      <c r="V392">
        <f t="shared" si="134"/>
        <v>0</v>
      </c>
      <c r="W392">
        <f t="shared" si="134"/>
        <v>0</v>
      </c>
      <c r="X392">
        <f t="shared" si="134"/>
        <v>0</v>
      </c>
      <c r="Y392">
        <f t="shared" si="134"/>
        <v>0</v>
      </c>
      <c r="Z392">
        <f t="shared" si="134"/>
        <v>0</v>
      </c>
      <c r="AA392">
        <f t="shared" si="134"/>
        <v>0</v>
      </c>
      <c r="AB392">
        <f t="shared" si="134"/>
        <v>0</v>
      </c>
      <c r="AC392">
        <f t="shared" si="134"/>
        <v>0</v>
      </c>
      <c r="AD392">
        <f t="shared" si="134"/>
        <v>0</v>
      </c>
      <c r="AE392">
        <f t="shared" si="134"/>
        <v>0</v>
      </c>
      <c r="AF392">
        <f t="shared" si="134"/>
        <v>0</v>
      </c>
      <c r="AG392">
        <f t="shared" si="133"/>
        <v>0</v>
      </c>
      <c r="AH392">
        <f t="shared" si="133"/>
        <v>0</v>
      </c>
      <c r="AI392">
        <f t="shared" si="133"/>
        <v>0</v>
      </c>
      <c r="AJ392">
        <f t="shared" si="133"/>
        <v>0</v>
      </c>
      <c r="AK392">
        <f t="shared" si="133"/>
        <v>0</v>
      </c>
      <c r="AL392">
        <f t="shared" si="133"/>
        <v>0</v>
      </c>
      <c r="AM392">
        <f t="shared" si="133"/>
        <v>0</v>
      </c>
      <c r="AN392">
        <f t="shared" si="133"/>
        <v>0</v>
      </c>
      <c r="AO392">
        <f t="shared" si="133"/>
        <v>0</v>
      </c>
      <c r="AP392">
        <f t="shared" si="133"/>
        <v>0</v>
      </c>
      <c r="AQ392">
        <f t="shared" si="133"/>
        <v>0</v>
      </c>
      <c r="AR392">
        <f t="shared" si="133"/>
        <v>0</v>
      </c>
      <c r="AS392">
        <f t="shared" si="133"/>
        <v>0</v>
      </c>
      <c r="AT392">
        <f t="shared" si="133"/>
        <v>0</v>
      </c>
      <c r="AU392">
        <f t="shared" si="133"/>
        <v>0</v>
      </c>
      <c r="AV392">
        <f t="shared" si="130"/>
        <v>0</v>
      </c>
      <c r="AW392">
        <f t="shared" si="130"/>
        <v>0</v>
      </c>
      <c r="AX392">
        <f t="shared" si="130"/>
        <v>1</v>
      </c>
      <c r="AY392">
        <f t="shared" si="130"/>
        <v>0</v>
      </c>
      <c r="AZ392">
        <f t="shared" si="130"/>
        <v>0</v>
      </c>
    </row>
    <row r="393" spans="1:52" x14ac:dyDescent="0.25">
      <c r="A393" t="s">
        <v>49</v>
      </c>
      <c r="B393" s="3">
        <v>41079</v>
      </c>
      <c r="C393" s="1">
        <v>2336.1923461656493</v>
      </c>
      <c r="D393" s="1">
        <v>166.87088186897495</v>
      </c>
      <c r="E393" s="1">
        <f t="shared" si="135"/>
        <v>1006.1923461656495</v>
      </c>
      <c r="F393" s="1">
        <f t="shared" si="136"/>
        <v>1330</v>
      </c>
      <c r="G393" s="2">
        <v>14</v>
      </c>
      <c r="H393" s="1">
        <v>71.870881868974962</v>
      </c>
      <c r="I393" s="1">
        <v>95</v>
      </c>
      <c r="J393" s="1">
        <f t="shared" si="138"/>
        <v>1459882.5934620793</v>
      </c>
      <c r="K393" s="1">
        <f t="shared" si="139"/>
        <v>745539.59346207685</v>
      </c>
      <c r="N393">
        <f t="shared" si="137"/>
        <v>0</v>
      </c>
      <c r="O393">
        <f t="shared" si="137"/>
        <v>0</v>
      </c>
      <c r="P393">
        <f t="shared" si="137"/>
        <v>0</v>
      </c>
      <c r="Q393">
        <f t="shared" si="134"/>
        <v>0</v>
      </c>
      <c r="R393">
        <f t="shared" si="134"/>
        <v>0</v>
      </c>
      <c r="S393">
        <f t="shared" si="134"/>
        <v>0</v>
      </c>
      <c r="T393">
        <f t="shared" si="134"/>
        <v>0</v>
      </c>
      <c r="U393">
        <f t="shared" si="134"/>
        <v>0</v>
      </c>
      <c r="V393">
        <f t="shared" si="134"/>
        <v>0</v>
      </c>
      <c r="W393">
        <f t="shared" si="134"/>
        <v>0</v>
      </c>
      <c r="X393">
        <f t="shared" si="134"/>
        <v>0</v>
      </c>
      <c r="Y393">
        <f t="shared" si="134"/>
        <v>0</v>
      </c>
      <c r="Z393">
        <f t="shared" si="134"/>
        <v>0</v>
      </c>
      <c r="AA393">
        <f t="shared" si="134"/>
        <v>1</v>
      </c>
      <c r="AB393">
        <f t="shared" si="134"/>
        <v>0</v>
      </c>
      <c r="AC393">
        <f t="shared" si="134"/>
        <v>0</v>
      </c>
      <c r="AD393">
        <f t="shared" si="134"/>
        <v>0</v>
      </c>
      <c r="AE393">
        <f t="shared" si="134"/>
        <v>0</v>
      </c>
      <c r="AF393">
        <f t="shared" si="134"/>
        <v>0</v>
      </c>
      <c r="AG393">
        <f t="shared" si="133"/>
        <v>0</v>
      </c>
      <c r="AH393">
        <f t="shared" si="133"/>
        <v>0</v>
      </c>
      <c r="AI393">
        <f t="shared" si="133"/>
        <v>0</v>
      </c>
      <c r="AJ393">
        <f t="shared" si="133"/>
        <v>0</v>
      </c>
      <c r="AK393">
        <f t="shared" si="133"/>
        <v>0</v>
      </c>
      <c r="AL393">
        <f t="shared" si="133"/>
        <v>0</v>
      </c>
      <c r="AM393">
        <f t="shared" si="133"/>
        <v>0</v>
      </c>
      <c r="AN393">
        <f t="shared" si="133"/>
        <v>0</v>
      </c>
      <c r="AO393">
        <f t="shared" si="133"/>
        <v>0</v>
      </c>
      <c r="AP393">
        <f t="shared" si="133"/>
        <v>0</v>
      </c>
      <c r="AQ393">
        <f t="shared" si="133"/>
        <v>0</v>
      </c>
      <c r="AR393">
        <f t="shared" si="133"/>
        <v>0</v>
      </c>
      <c r="AS393">
        <f t="shared" si="133"/>
        <v>0</v>
      </c>
      <c r="AT393">
        <f t="shared" si="133"/>
        <v>0</v>
      </c>
      <c r="AU393">
        <f t="shared" si="133"/>
        <v>0</v>
      </c>
      <c r="AV393">
        <f t="shared" si="130"/>
        <v>0</v>
      </c>
      <c r="AW393">
        <f t="shared" si="130"/>
        <v>0</v>
      </c>
      <c r="AX393">
        <f t="shared" si="130"/>
        <v>0</v>
      </c>
      <c r="AY393">
        <f t="shared" si="130"/>
        <v>0</v>
      </c>
      <c r="AZ393">
        <f t="shared" si="130"/>
        <v>0</v>
      </c>
    </row>
    <row r="394" spans="1:52" x14ac:dyDescent="0.25">
      <c r="A394" t="s">
        <v>16</v>
      </c>
      <c r="B394" s="3">
        <v>41075</v>
      </c>
      <c r="C394" s="1">
        <v>93.798135092368568</v>
      </c>
      <c r="D394" s="1">
        <v>93.798135092368568</v>
      </c>
      <c r="E394" s="1">
        <f t="shared" si="135"/>
        <v>37.798135092368561</v>
      </c>
      <c r="F394" s="1">
        <f t="shared" si="136"/>
        <v>56</v>
      </c>
      <c r="G394" s="2">
        <v>1</v>
      </c>
      <c r="H394" s="1">
        <v>37.798135092368561</v>
      </c>
      <c r="I394" s="1">
        <v>56</v>
      </c>
      <c r="J394" s="1">
        <f t="shared" si="138"/>
        <v>1459976.3915971718</v>
      </c>
      <c r="K394" s="1">
        <f t="shared" si="139"/>
        <v>745577.39159716922</v>
      </c>
      <c r="N394">
        <f t="shared" si="137"/>
        <v>0</v>
      </c>
      <c r="O394">
        <f t="shared" si="137"/>
        <v>0</v>
      </c>
      <c r="P394">
        <f t="shared" si="137"/>
        <v>0</v>
      </c>
      <c r="Q394">
        <f t="shared" si="134"/>
        <v>0</v>
      </c>
      <c r="R394">
        <f t="shared" si="134"/>
        <v>0</v>
      </c>
      <c r="S394">
        <f t="shared" si="134"/>
        <v>0</v>
      </c>
      <c r="T394">
        <f t="shared" si="134"/>
        <v>0</v>
      </c>
      <c r="U394">
        <f t="shared" si="134"/>
        <v>0</v>
      </c>
      <c r="V394">
        <f t="shared" si="134"/>
        <v>0</v>
      </c>
      <c r="W394">
        <f t="shared" si="134"/>
        <v>0</v>
      </c>
      <c r="X394">
        <f t="shared" si="134"/>
        <v>0</v>
      </c>
      <c r="Y394">
        <f t="shared" si="134"/>
        <v>0</v>
      </c>
      <c r="Z394">
        <f t="shared" si="134"/>
        <v>0</v>
      </c>
      <c r="AA394">
        <f t="shared" si="134"/>
        <v>0</v>
      </c>
      <c r="AB394">
        <f t="shared" si="134"/>
        <v>0</v>
      </c>
      <c r="AC394">
        <f t="shared" si="134"/>
        <v>0</v>
      </c>
      <c r="AD394">
        <f t="shared" si="134"/>
        <v>0</v>
      </c>
      <c r="AE394">
        <f t="shared" si="134"/>
        <v>0</v>
      </c>
      <c r="AF394">
        <f t="shared" si="134"/>
        <v>0</v>
      </c>
      <c r="AG394">
        <f t="shared" si="133"/>
        <v>0</v>
      </c>
      <c r="AH394">
        <f t="shared" si="133"/>
        <v>0</v>
      </c>
      <c r="AI394">
        <f t="shared" si="133"/>
        <v>0</v>
      </c>
      <c r="AJ394">
        <f t="shared" si="133"/>
        <v>0</v>
      </c>
      <c r="AK394">
        <f t="shared" si="133"/>
        <v>0</v>
      </c>
      <c r="AL394">
        <f t="shared" si="133"/>
        <v>0</v>
      </c>
      <c r="AM394">
        <f t="shared" si="133"/>
        <v>0</v>
      </c>
      <c r="AN394">
        <f t="shared" si="133"/>
        <v>1</v>
      </c>
      <c r="AO394">
        <f t="shared" si="133"/>
        <v>0</v>
      </c>
      <c r="AP394">
        <f t="shared" si="133"/>
        <v>0</v>
      </c>
      <c r="AQ394">
        <f t="shared" si="133"/>
        <v>0</v>
      </c>
      <c r="AR394">
        <f t="shared" si="133"/>
        <v>0</v>
      </c>
      <c r="AS394">
        <f t="shared" si="133"/>
        <v>0</v>
      </c>
      <c r="AT394">
        <f t="shared" si="133"/>
        <v>0</v>
      </c>
      <c r="AU394">
        <f t="shared" si="133"/>
        <v>0</v>
      </c>
      <c r="AV394">
        <f t="shared" si="130"/>
        <v>0</v>
      </c>
      <c r="AW394">
        <f t="shared" si="130"/>
        <v>0</v>
      </c>
      <c r="AX394">
        <f t="shared" si="130"/>
        <v>0</v>
      </c>
      <c r="AY394">
        <f t="shared" si="130"/>
        <v>0</v>
      </c>
      <c r="AZ394">
        <f t="shared" si="130"/>
        <v>0</v>
      </c>
    </row>
    <row r="395" spans="1:52" x14ac:dyDescent="0.25">
      <c r="A395" t="s">
        <v>49</v>
      </c>
      <c r="B395" s="3">
        <v>41073</v>
      </c>
      <c r="C395" s="1">
        <v>1347.8620755020088</v>
      </c>
      <c r="D395" s="1">
        <v>112.3218396251674</v>
      </c>
      <c r="E395" s="1">
        <f t="shared" si="135"/>
        <v>651.86207550200868</v>
      </c>
      <c r="F395" s="1">
        <f t="shared" si="136"/>
        <v>696</v>
      </c>
      <c r="G395" s="2">
        <v>12</v>
      </c>
      <c r="H395" s="1">
        <v>54.321839625167392</v>
      </c>
      <c r="I395" s="1">
        <v>58</v>
      </c>
      <c r="J395" s="1">
        <f t="shared" si="138"/>
        <v>1461324.2536726738</v>
      </c>
      <c r="K395" s="1">
        <f t="shared" si="139"/>
        <v>746229.25367267127</v>
      </c>
      <c r="N395">
        <f t="shared" si="137"/>
        <v>0</v>
      </c>
      <c r="O395">
        <f t="shared" si="137"/>
        <v>0</v>
      </c>
      <c r="P395">
        <f t="shared" si="137"/>
        <v>0</v>
      </c>
      <c r="Q395">
        <f t="shared" si="134"/>
        <v>0</v>
      </c>
      <c r="R395">
        <f t="shared" si="134"/>
        <v>0</v>
      </c>
      <c r="S395">
        <f t="shared" si="134"/>
        <v>0</v>
      </c>
      <c r="T395">
        <f t="shared" si="134"/>
        <v>0</v>
      </c>
      <c r="U395">
        <f t="shared" si="134"/>
        <v>0</v>
      </c>
      <c r="V395">
        <f t="shared" si="134"/>
        <v>0</v>
      </c>
      <c r="W395">
        <f t="shared" si="134"/>
        <v>0</v>
      </c>
      <c r="X395">
        <f t="shared" si="134"/>
        <v>0</v>
      </c>
      <c r="Y395">
        <f t="shared" si="134"/>
        <v>0</v>
      </c>
      <c r="Z395">
        <f t="shared" si="134"/>
        <v>0</v>
      </c>
      <c r="AA395">
        <f t="shared" si="134"/>
        <v>1</v>
      </c>
      <c r="AB395">
        <f t="shared" si="134"/>
        <v>0</v>
      </c>
      <c r="AC395">
        <f t="shared" si="134"/>
        <v>0</v>
      </c>
      <c r="AD395">
        <f t="shared" si="134"/>
        <v>0</v>
      </c>
      <c r="AE395">
        <f t="shared" si="134"/>
        <v>0</v>
      </c>
      <c r="AF395">
        <f t="shared" si="134"/>
        <v>0</v>
      </c>
      <c r="AG395">
        <f t="shared" si="133"/>
        <v>0</v>
      </c>
      <c r="AH395">
        <f t="shared" si="133"/>
        <v>0</v>
      </c>
      <c r="AI395">
        <f t="shared" si="133"/>
        <v>0</v>
      </c>
      <c r="AJ395">
        <f t="shared" si="133"/>
        <v>0</v>
      </c>
      <c r="AK395">
        <f t="shared" si="133"/>
        <v>0</v>
      </c>
      <c r="AL395">
        <f t="shared" si="133"/>
        <v>0</v>
      </c>
      <c r="AM395">
        <f t="shared" si="133"/>
        <v>0</v>
      </c>
      <c r="AN395">
        <f t="shared" si="133"/>
        <v>0</v>
      </c>
      <c r="AO395">
        <f t="shared" si="133"/>
        <v>0</v>
      </c>
      <c r="AP395">
        <f t="shared" si="133"/>
        <v>0</v>
      </c>
      <c r="AQ395">
        <f t="shared" si="133"/>
        <v>0</v>
      </c>
      <c r="AR395">
        <f t="shared" si="133"/>
        <v>0</v>
      </c>
      <c r="AS395">
        <f t="shared" si="133"/>
        <v>0</v>
      </c>
      <c r="AT395">
        <f t="shared" si="133"/>
        <v>0</v>
      </c>
      <c r="AU395">
        <f t="shared" si="133"/>
        <v>0</v>
      </c>
      <c r="AV395">
        <f t="shared" si="130"/>
        <v>0</v>
      </c>
      <c r="AW395">
        <f t="shared" si="130"/>
        <v>0</v>
      </c>
      <c r="AX395">
        <f t="shared" si="130"/>
        <v>0</v>
      </c>
      <c r="AY395">
        <f t="shared" si="130"/>
        <v>0</v>
      </c>
      <c r="AZ395">
        <f t="shared" si="130"/>
        <v>0</v>
      </c>
    </row>
    <row r="396" spans="1:52" x14ac:dyDescent="0.25">
      <c r="A396" t="s">
        <v>39</v>
      </c>
      <c r="B396" s="3">
        <v>41071</v>
      </c>
      <c r="C396" s="1">
        <v>813.43941798473224</v>
      </c>
      <c r="D396" s="1">
        <v>101.67992724809153</v>
      </c>
      <c r="E396" s="1">
        <f t="shared" si="135"/>
        <v>517.43941798473224</v>
      </c>
      <c r="F396" s="1">
        <f t="shared" si="136"/>
        <v>296</v>
      </c>
      <c r="G396" s="2">
        <v>8</v>
      </c>
      <c r="H396" s="1">
        <v>64.679927248091531</v>
      </c>
      <c r="I396" s="1">
        <v>37</v>
      </c>
      <c r="J396" s="1">
        <f t="shared" si="138"/>
        <v>1462137.6930906586</v>
      </c>
      <c r="K396" s="1">
        <f t="shared" si="139"/>
        <v>746746.69309065596</v>
      </c>
      <c r="N396">
        <f t="shared" si="137"/>
        <v>0</v>
      </c>
      <c r="O396">
        <f t="shared" si="137"/>
        <v>0</v>
      </c>
      <c r="P396">
        <f t="shared" si="137"/>
        <v>0</v>
      </c>
      <c r="Q396">
        <f t="shared" si="134"/>
        <v>0</v>
      </c>
      <c r="R396">
        <f t="shared" si="134"/>
        <v>0</v>
      </c>
      <c r="S396">
        <f t="shared" si="134"/>
        <v>0</v>
      </c>
      <c r="T396">
        <f t="shared" si="134"/>
        <v>0</v>
      </c>
      <c r="U396">
        <f t="shared" si="134"/>
        <v>0</v>
      </c>
      <c r="V396">
        <f t="shared" si="134"/>
        <v>0</v>
      </c>
      <c r="W396">
        <f t="shared" si="134"/>
        <v>0</v>
      </c>
      <c r="X396">
        <f t="shared" si="134"/>
        <v>0</v>
      </c>
      <c r="Y396">
        <f t="shared" si="134"/>
        <v>1</v>
      </c>
      <c r="Z396">
        <f t="shared" si="134"/>
        <v>0</v>
      </c>
      <c r="AA396">
        <f t="shared" si="134"/>
        <v>0</v>
      </c>
      <c r="AB396">
        <f t="shared" si="134"/>
        <v>0</v>
      </c>
      <c r="AC396">
        <f t="shared" si="134"/>
        <v>0</v>
      </c>
      <c r="AD396">
        <f t="shared" si="134"/>
        <v>0</v>
      </c>
      <c r="AE396">
        <f t="shared" si="134"/>
        <v>0</v>
      </c>
      <c r="AF396">
        <f t="shared" si="134"/>
        <v>0</v>
      </c>
      <c r="AG396">
        <f t="shared" si="133"/>
        <v>0</v>
      </c>
      <c r="AH396">
        <f t="shared" si="133"/>
        <v>0</v>
      </c>
      <c r="AI396">
        <f t="shared" si="133"/>
        <v>0</v>
      </c>
      <c r="AJ396">
        <f t="shared" si="133"/>
        <v>0</v>
      </c>
      <c r="AK396">
        <f t="shared" si="133"/>
        <v>0</v>
      </c>
      <c r="AL396">
        <f t="shared" si="133"/>
        <v>0</v>
      </c>
      <c r="AM396">
        <f t="shared" si="133"/>
        <v>0</v>
      </c>
      <c r="AN396">
        <f t="shared" si="133"/>
        <v>0</v>
      </c>
      <c r="AO396">
        <f t="shared" si="133"/>
        <v>0</v>
      </c>
      <c r="AP396">
        <f t="shared" si="133"/>
        <v>0</v>
      </c>
      <c r="AQ396">
        <f t="shared" si="133"/>
        <v>0</v>
      </c>
      <c r="AR396">
        <f t="shared" si="133"/>
        <v>0</v>
      </c>
      <c r="AS396">
        <f t="shared" si="133"/>
        <v>0</v>
      </c>
      <c r="AT396">
        <f t="shared" si="133"/>
        <v>0</v>
      </c>
      <c r="AU396">
        <f t="shared" si="133"/>
        <v>0</v>
      </c>
      <c r="AV396">
        <f t="shared" si="130"/>
        <v>0</v>
      </c>
      <c r="AW396">
        <f t="shared" si="130"/>
        <v>0</v>
      </c>
      <c r="AX396">
        <f t="shared" si="130"/>
        <v>0</v>
      </c>
      <c r="AY396">
        <f t="shared" si="130"/>
        <v>0</v>
      </c>
      <c r="AZ396">
        <f t="shared" si="130"/>
        <v>0</v>
      </c>
    </row>
    <row r="397" spans="1:52" x14ac:dyDescent="0.25">
      <c r="A397" t="s">
        <v>49</v>
      </c>
      <c r="B397" s="3">
        <v>41064</v>
      </c>
      <c r="C397" s="1">
        <v>4006.5975519674735</v>
      </c>
      <c r="D397" s="1">
        <v>78.560736313087716</v>
      </c>
      <c r="E397" s="1">
        <f t="shared" si="135"/>
        <v>2629.5975519674735</v>
      </c>
      <c r="F397" s="1">
        <f t="shared" si="136"/>
        <v>1377</v>
      </c>
      <c r="G397" s="2">
        <v>51</v>
      </c>
      <c r="H397" s="1">
        <v>51.560736313087716</v>
      </c>
      <c r="I397" s="1">
        <v>27</v>
      </c>
      <c r="J397" s="1">
        <f t="shared" si="138"/>
        <v>1466144.2906426261</v>
      </c>
      <c r="K397" s="1">
        <f t="shared" si="139"/>
        <v>749376.29064262344</v>
      </c>
      <c r="N397">
        <f t="shared" si="137"/>
        <v>0</v>
      </c>
      <c r="O397">
        <f t="shared" si="137"/>
        <v>0</v>
      </c>
      <c r="P397">
        <f t="shared" si="137"/>
        <v>0</v>
      </c>
      <c r="Q397">
        <f t="shared" si="134"/>
        <v>0</v>
      </c>
      <c r="R397">
        <f t="shared" si="134"/>
        <v>0</v>
      </c>
      <c r="S397">
        <f t="shared" si="134"/>
        <v>0</v>
      </c>
      <c r="T397">
        <f t="shared" si="134"/>
        <v>0</v>
      </c>
      <c r="U397">
        <f t="shared" si="134"/>
        <v>0</v>
      </c>
      <c r="V397">
        <f t="shared" si="134"/>
        <v>0</v>
      </c>
      <c r="W397">
        <f t="shared" si="134"/>
        <v>0</v>
      </c>
      <c r="X397">
        <f t="shared" si="134"/>
        <v>0</v>
      </c>
      <c r="Y397">
        <f t="shared" si="134"/>
        <v>0</v>
      </c>
      <c r="Z397">
        <f t="shared" si="134"/>
        <v>0</v>
      </c>
      <c r="AA397">
        <f t="shared" si="134"/>
        <v>1</v>
      </c>
      <c r="AB397">
        <f t="shared" si="134"/>
        <v>0</v>
      </c>
      <c r="AC397">
        <f t="shared" si="134"/>
        <v>0</v>
      </c>
      <c r="AD397">
        <f t="shared" si="134"/>
        <v>0</v>
      </c>
      <c r="AE397">
        <f t="shared" si="134"/>
        <v>0</v>
      </c>
      <c r="AF397">
        <f t="shared" si="134"/>
        <v>0</v>
      </c>
      <c r="AG397">
        <f t="shared" si="133"/>
        <v>0</v>
      </c>
      <c r="AH397">
        <f t="shared" si="133"/>
        <v>0</v>
      </c>
      <c r="AI397">
        <f t="shared" si="133"/>
        <v>0</v>
      </c>
      <c r="AJ397">
        <f t="shared" si="133"/>
        <v>0</v>
      </c>
      <c r="AK397">
        <f t="shared" si="133"/>
        <v>0</v>
      </c>
      <c r="AL397">
        <f t="shared" si="133"/>
        <v>0</v>
      </c>
      <c r="AM397">
        <f t="shared" si="133"/>
        <v>0</v>
      </c>
      <c r="AN397">
        <f t="shared" si="133"/>
        <v>0</v>
      </c>
      <c r="AO397">
        <f t="shared" si="133"/>
        <v>0</v>
      </c>
      <c r="AP397">
        <f t="shared" si="133"/>
        <v>0</v>
      </c>
      <c r="AQ397">
        <f t="shared" si="133"/>
        <v>0</v>
      </c>
      <c r="AR397">
        <f t="shared" si="133"/>
        <v>0</v>
      </c>
      <c r="AS397">
        <f t="shared" si="133"/>
        <v>0</v>
      </c>
      <c r="AT397">
        <f t="shared" si="133"/>
        <v>0</v>
      </c>
      <c r="AU397">
        <f t="shared" si="133"/>
        <v>0</v>
      </c>
      <c r="AV397">
        <f t="shared" si="130"/>
        <v>0</v>
      </c>
      <c r="AW397">
        <f t="shared" si="130"/>
        <v>0</v>
      </c>
      <c r="AX397">
        <f t="shared" si="130"/>
        <v>0</v>
      </c>
      <c r="AY397">
        <f t="shared" si="130"/>
        <v>0</v>
      </c>
      <c r="AZ397">
        <f t="shared" si="130"/>
        <v>0</v>
      </c>
    </row>
    <row r="398" spans="1:52" x14ac:dyDescent="0.25">
      <c r="A398" t="s">
        <v>15</v>
      </c>
      <c r="B398" s="3">
        <v>41051</v>
      </c>
      <c r="C398" s="1">
        <v>505.65536129959304</v>
      </c>
      <c r="D398" s="1">
        <v>126.41384032489826</v>
      </c>
      <c r="E398" s="1">
        <f t="shared" si="135"/>
        <v>277.65536129959304</v>
      </c>
      <c r="F398" s="1">
        <f t="shared" si="136"/>
        <v>228</v>
      </c>
      <c r="G398" s="2">
        <v>4</v>
      </c>
      <c r="H398" s="1">
        <v>69.41384032489826</v>
      </c>
      <c r="I398" s="1">
        <v>57</v>
      </c>
      <c r="J398" s="1">
        <f t="shared" si="138"/>
        <v>1466649.9460039258</v>
      </c>
      <c r="K398" s="1">
        <f t="shared" si="139"/>
        <v>749653.94600392308</v>
      </c>
      <c r="N398">
        <f t="shared" si="137"/>
        <v>0</v>
      </c>
      <c r="O398">
        <f t="shared" si="137"/>
        <v>0</v>
      </c>
      <c r="P398">
        <f t="shared" si="137"/>
        <v>0</v>
      </c>
      <c r="Q398">
        <f t="shared" si="134"/>
        <v>0</v>
      </c>
      <c r="R398">
        <f t="shared" si="134"/>
        <v>0</v>
      </c>
      <c r="S398">
        <f t="shared" si="134"/>
        <v>0</v>
      </c>
      <c r="T398">
        <f t="shared" si="134"/>
        <v>0</v>
      </c>
      <c r="U398">
        <f t="shared" si="134"/>
        <v>0</v>
      </c>
      <c r="V398">
        <f t="shared" si="134"/>
        <v>0</v>
      </c>
      <c r="W398">
        <f t="shared" si="134"/>
        <v>0</v>
      </c>
      <c r="X398">
        <f t="shared" si="134"/>
        <v>0</v>
      </c>
      <c r="Y398">
        <f t="shared" si="134"/>
        <v>0</v>
      </c>
      <c r="Z398">
        <f t="shared" si="134"/>
        <v>0</v>
      </c>
      <c r="AA398">
        <f t="shared" si="134"/>
        <v>0</v>
      </c>
      <c r="AB398">
        <f t="shared" si="134"/>
        <v>0</v>
      </c>
      <c r="AC398">
        <f t="shared" si="134"/>
        <v>0</v>
      </c>
      <c r="AD398">
        <f t="shared" si="134"/>
        <v>0</v>
      </c>
      <c r="AE398">
        <f t="shared" si="134"/>
        <v>0</v>
      </c>
      <c r="AF398">
        <f t="shared" si="134"/>
        <v>0</v>
      </c>
      <c r="AG398">
        <f t="shared" si="133"/>
        <v>0</v>
      </c>
      <c r="AH398">
        <f t="shared" si="133"/>
        <v>0</v>
      </c>
      <c r="AI398">
        <f t="shared" si="133"/>
        <v>0</v>
      </c>
      <c r="AJ398">
        <f t="shared" si="133"/>
        <v>0</v>
      </c>
      <c r="AK398">
        <f t="shared" si="133"/>
        <v>0</v>
      </c>
      <c r="AL398">
        <f t="shared" si="133"/>
        <v>0</v>
      </c>
      <c r="AM398">
        <f t="shared" si="133"/>
        <v>0</v>
      </c>
      <c r="AN398">
        <f t="shared" si="133"/>
        <v>0</v>
      </c>
      <c r="AO398">
        <f t="shared" si="133"/>
        <v>0</v>
      </c>
      <c r="AP398">
        <f t="shared" si="133"/>
        <v>0</v>
      </c>
      <c r="AQ398">
        <f t="shared" si="133"/>
        <v>0</v>
      </c>
      <c r="AR398">
        <f t="shared" si="133"/>
        <v>1</v>
      </c>
      <c r="AS398">
        <f t="shared" si="133"/>
        <v>0</v>
      </c>
      <c r="AT398">
        <f t="shared" si="133"/>
        <v>0</v>
      </c>
      <c r="AU398">
        <f t="shared" si="133"/>
        <v>0</v>
      </c>
      <c r="AV398">
        <f t="shared" si="130"/>
        <v>0</v>
      </c>
      <c r="AW398">
        <f t="shared" si="130"/>
        <v>0</v>
      </c>
      <c r="AX398">
        <f t="shared" si="130"/>
        <v>0</v>
      </c>
      <c r="AY398">
        <f t="shared" si="130"/>
        <v>0</v>
      </c>
      <c r="AZ398">
        <f t="shared" si="130"/>
        <v>0</v>
      </c>
    </row>
    <row r="399" spans="1:52" x14ac:dyDescent="0.25">
      <c r="A399" t="s">
        <v>25</v>
      </c>
      <c r="B399" s="3">
        <v>41050</v>
      </c>
      <c r="C399" s="1">
        <v>10924.560491808963</v>
      </c>
      <c r="D399" s="1">
        <v>191.65895599664847</v>
      </c>
      <c r="E399" s="1">
        <f t="shared" si="135"/>
        <v>4711.560491808963</v>
      </c>
      <c r="F399" s="1">
        <f t="shared" si="136"/>
        <v>6213</v>
      </c>
      <c r="G399" s="2">
        <v>57</v>
      </c>
      <c r="H399" s="1">
        <v>82.658955996648473</v>
      </c>
      <c r="I399" s="1">
        <v>109</v>
      </c>
      <c r="J399" s="1">
        <f t="shared" si="138"/>
        <v>1477574.5064957347</v>
      </c>
      <c r="K399" s="1">
        <f t="shared" si="139"/>
        <v>754365.506495732</v>
      </c>
      <c r="N399">
        <f t="shared" si="137"/>
        <v>0</v>
      </c>
      <c r="O399">
        <f t="shared" si="137"/>
        <v>0</v>
      </c>
      <c r="P399">
        <f t="shared" si="137"/>
        <v>0</v>
      </c>
      <c r="Q399">
        <f t="shared" si="134"/>
        <v>0</v>
      </c>
      <c r="R399">
        <f t="shared" si="134"/>
        <v>0</v>
      </c>
      <c r="S399">
        <f t="shared" si="134"/>
        <v>1</v>
      </c>
      <c r="T399">
        <f t="shared" si="134"/>
        <v>0</v>
      </c>
      <c r="U399">
        <f t="shared" si="134"/>
        <v>0</v>
      </c>
      <c r="V399">
        <f t="shared" si="134"/>
        <v>0</v>
      </c>
      <c r="W399">
        <f t="shared" si="134"/>
        <v>0</v>
      </c>
      <c r="X399">
        <f t="shared" si="134"/>
        <v>0</v>
      </c>
      <c r="Y399">
        <f t="shared" si="134"/>
        <v>0</v>
      </c>
      <c r="Z399">
        <f t="shared" si="134"/>
        <v>0</v>
      </c>
      <c r="AA399">
        <f t="shared" si="134"/>
        <v>0</v>
      </c>
      <c r="AB399">
        <f t="shared" si="134"/>
        <v>0</v>
      </c>
      <c r="AC399">
        <f t="shared" si="134"/>
        <v>0</v>
      </c>
      <c r="AD399">
        <f t="shared" si="134"/>
        <v>0</v>
      </c>
      <c r="AE399">
        <f t="shared" si="134"/>
        <v>0</v>
      </c>
      <c r="AF399">
        <f t="shared" si="134"/>
        <v>0</v>
      </c>
      <c r="AG399">
        <f t="shared" si="133"/>
        <v>0</v>
      </c>
      <c r="AH399">
        <f t="shared" si="133"/>
        <v>0</v>
      </c>
      <c r="AI399">
        <f t="shared" si="133"/>
        <v>0</v>
      </c>
      <c r="AJ399">
        <f t="shared" si="133"/>
        <v>0</v>
      </c>
      <c r="AK399">
        <f t="shared" si="133"/>
        <v>0</v>
      </c>
      <c r="AL399">
        <f t="shared" si="133"/>
        <v>0</v>
      </c>
      <c r="AM399">
        <f t="shared" si="133"/>
        <v>0</v>
      </c>
      <c r="AN399">
        <f t="shared" si="133"/>
        <v>0</v>
      </c>
      <c r="AO399">
        <f t="shared" si="133"/>
        <v>0</v>
      </c>
      <c r="AP399">
        <f t="shared" si="133"/>
        <v>0</v>
      </c>
      <c r="AQ399">
        <f t="shared" si="133"/>
        <v>0</v>
      </c>
      <c r="AR399">
        <f t="shared" si="133"/>
        <v>0</v>
      </c>
      <c r="AS399">
        <f t="shared" si="133"/>
        <v>0</v>
      </c>
      <c r="AT399">
        <f t="shared" si="133"/>
        <v>0</v>
      </c>
      <c r="AU399">
        <f t="shared" si="133"/>
        <v>0</v>
      </c>
      <c r="AV399">
        <f t="shared" si="130"/>
        <v>0</v>
      </c>
      <c r="AW399">
        <f t="shared" si="130"/>
        <v>0</v>
      </c>
      <c r="AX399">
        <f t="shared" si="130"/>
        <v>0</v>
      </c>
      <c r="AY399">
        <f t="shared" si="130"/>
        <v>0</v>
      </c>
      <c r="AZ399">
        <f t="shared" si="130"/>
        <v>0</v>
      </c>
    </row>
    <row r="400" spans="1:52" x14ac:dyDescent="0.25">
      <c r="A400" t="s">
        <v>13</v>
      </c>
      <c r="B400" s="3">
        <v>41040</v>
      </c>
      <c r="C400" s="1">
        <v>1447.0887210619192</v>
      </c>
      <c r="D400" s="1">
        <v>96.472581404127951</v>
      </c>
      <c r="E400" s="1">
        <f t="shared" si="135"/>
        <v>832.08872106191927</v>
      </c>
      <c r="F400" s="1">
        <f t="shared" si="136"/>
        <v>615</v>
      </c>
      <c r="G400" s="2">
        <v>15</v>
      </c>
      <c r="H400" s="1">
        <v>55.472581404127951</v>
      </c>
      <c r="I400" s="1">
        <v>41</v>
      </c>
      <c r="J400" s="1">
        <f t="shared" si="138"/>
        <v>1479021.5952167965</v>
      </c>
      <c r="K400" s="1">
        <f t="shared" si="139"/>
        <v>755197.59521679394</v>
      </c>
      <c r="N400">
        <f t="shared" si="137"/>
        <v>0</v>
      </c>
      <c r="O400">
        <f t="shared" si="137"/>
        <v>0</v>
      </c>
      <c r="P400">
        <f t="shared" si="137"/>
        <v>0</v>
      </c>
      <c r="Q400">
        <f t="shared" si="134"/>
        <v>0</v>
      </c>
      <c r="R400">
        <f t="shared" si="134"/>
        <v>1</v>
      </c>
      <c r="S400">
        <f t="shared" si="134"/>
        <v>0</v>
      </c>
      <c r="T400">
        <f t="shared" si="134"/>
        <v>0</v>
      </c>
      <c r="U400">
        <f t="shared" si="134"/>
        <v>0</v>
      </c>
      <c r="V400">
        <f t="shared" si="134"/>
        <v>0</v>
      </c>
      <c r="W400">
        <f t="shared" si="134"/>
        <v>0</v>
      </c>
      <c r="X400">
        <f t="shared" si="134"/>
        <v>0</v>
      </c>
      <c r="Y400">
        <f t="shared" si="134"/>
        <v>0</v>
      </c>
      <c r="Z400">
        <f t="shared" si="134"/>
        <v>0</v>
      </c>
      <c r="AA400">
        <f t="shared" si="134"/>
        <v>0</v>
      </c>
      <c r="AB400">
        <f t="shared" si="134"/>
        <v>0</v>
      </c>
      <c r="AC400">
        <f t="shared" si="134"/>
        <v>0</v>
      </c>
      <c r="AD400">
        <f t="shared" si="134"/>
        <v>0</v>
      </c>
      <c r="AE400">
        <f t="shared" si="134"/>
        <v>0</v>
      </c>
      <c r="AF400">
        <f t="shared" si="134"/>
        <v>0</v>
      </c>
      <c r="AG400">
        <f t="shared" si="133"/>
        <v>0</v>
      </c>
      <c r="AH400">
        <f t="shared" si="133"/>
        <v>0</v>
      </c>
      <c r="AI400">
        <f t="shared" si="133"/>
        <v>0</v>
      </c>
      <c r="AJ400">
        <f t="shared" si="133"/>
        <v>0</v>
      </c>
      <c r="AK400">
        <f t="shared" si="133"/>
        <v>0</v>
      </c>
      <c r="AL400">
        <f t="shared" si="133"/>
        <v>0</v>
      </c>
      <c r="AM400">
        <f t="shared" si="133"/>
        <v>0</v>
      </c>
      <c r="AN400">
        <f t="shared" si="133"/>
        <v>0</v>
      </c>
      <c r="AO400">
        <f t="shared" si="133"/>
        <v>0</v>
      </c>
      <c r="AP400">
        <f t="shared" si="133"/>
        <v>0</v>
      </c>
      <c r="AQ400">
        <f t="shared" si="133"/>
        <v>0</v>
      </c>
      <c r="AR400">
        <f t="shared" si="133"/>
        <v>0</v>
      </c>
      <c r="AS400">
        <f t="shared" si="133"/>
        <v>0</v>
      </c>
      <c r="AT400">
        <f t="shared" si="133"/>
        <v>0</v>
      </c>
      <c r="AU400">
        <f t="shared" si="133"/>
        <v>0</v>
      </c>
      <c r="AV400">
        <f t="shared" si="130"/>
        <v>0</v>
      </c>
      <c r="AW400">
        <f t="shared" si="130"/>
        <v>0</v>
      </c>
      <c r="AX400">
        <f t="shared" si="130"/>
        <v>0</v>
      </c>
      <c r="AY400">
        <f t="shared" si="130"/>
        <v>0</v>
      </c>
      <c r="AZ400">
        <f t="shared" si="130"/>
        <v>0</v>
      </c>
    </row>
    <row r="401" spans="1:52" x14ac:dyDescent="0.25">
      <c r="A401" t="s">
        <v>16</v>
      </c>
      <c r="B401" s="3">
        <v>41039</v>
      </c>
      <c r="C401" s="1">
        <v>3229.2552603071399</v>
      </c>
      <c r="D401" s="1">
        <v>65.903168577696732</v>
      </c>
      <c r="E401" s="1">
        <f t="shared" si="135"/>
        <v>1416.2552603071399</v>
      </c>
      <c r="F401" s="1">
        <f t="shared" si="136"/>
        <v>1813</v>
      </c>
      <c r="G401" s="2">
        <v>49</v>
      </c>
      <c r="H401" s="1">
        <v>28.903168577696732</v>
      </c>
      <c r="I401" s="1">
        <v>37</v>
      </c>
      <c r="J401" s="1">
        <f t="shared" si="138"/>
        <v>1482250.8504771036</v>
      </c>
      <c r="K401" s="1">
        <f t="shared" si="139"/>
        <v>756613.85047710105</v>
      </c>
      <c r="N401">
        <f t="shared" si="137"/>
        <v>0</v>
      </c>
      <c r="O401">
        <f t="shared" si="137"/>
        <v>0</v>
      </c>
      <c r="P401">
        <f t="shared" si="137"/>
        <v>0</v>
      </c>
      <c r="Q401">
        <f t="shared" si="134"/>
        <v>0</v>
      </c>
      <c r="R401">
        <f t="shared" si="134"/>
        <v>0</v>
      </c>
      <c r="S401">
        <f t="shared" si="134"/>
        <v>0</v>
      </c>
      <c r="T401">
        <f t="shared" si="134"/>
        <v>0</v>
      </c>
      <c r="U401">
        <f t="shared" si="134"/>
        <v>0</v>
      </c>
      <c r="V401">
        <f t="shared" si="134"/>
        <v>0</v>
      </c>
      <c r="W401">
        <f t="shared" si="134"/>
        <v>0</v>
      </c>
      <c r="X401">
        <f t="shared" si="134"/>
        <v>0</v>
      </c>
      <c r="Y401">
        <f t="shared" si="134"/>
        <v>0</v>
      </c>
      <c r="Z401">
        <f t="shared" si="134"/>
        <v>0</v>
      </c>
      <c r="AA401">
        <f t="shared" si="134"/>
        <v>0</v>
      </c>
      <c r="AB401">
        <f t="shared" si="134"/>
        <v>0</v>
      </c>
      <c r="AC401">
        <f t="shared" si="134"/>
        <v>0</v>
      </c>
      <c r="AD401">
        <f t="shared" si="134"/>
        <v>0</v>
      </c>
      <c r="AE401">
        <f t="shared" si="134"/>
        <v>0</v>
      </c>
      <c r="AF401">
        <f t="shared" si="134"/>
        <v>0</v>
      </c>
      <c r="AG401">
        <f t="shared" si="133"/>
        <v>0</v>
      </c>
      <c r="AH401">
        <f t="shared" si="133"/>
        <v>0</v>
      </c>
      <c r="AI401">
        <f t="shared" si="133"/>
        <v>0</v>
      </c>
      <c r="AJ401">
        <f t="shared" si="133"/>
        <v>0</v>
      </c>
      <c r="AK401">
        <f t="shared" si="133"/>
        <v>0</v>
      </c>
      <c r="AL401">
        <f t="shared" si="133"/>
        <v>0</v>
      </c>
      <c r="AM401">
        <f t="shared" si="133"/>
        <v>0</v>
      </c>
      <c r="AN401">
        <f t="shared" si="133"/>
        <v>1</v>
      </c>
      <c r="AO401">
        <f t="shared" si="133"/>
        <v>0</v>
      </c>
      <c r="AP401">
        <f t="shared" si="133"/>
        <v>0</v>
      </c>
      <c r="AQ401">
        <f t="shared" si="133"/>
        <v>0</v>
      </c>
      <c r="AR401">
        <f t="shared" si="133"/>
        <v>0</v>
      </c>
      <c r="AS401">
        <f t="shared" si="133"/>
        <v>0</v>
      </c>
      <c r="AT401">
        <f t="shared" si="133"/>
        <v>0</v>
      </c>
      <c r="AU401">
        <f t="shared" si="133"/>
        <v>0</v>
      </c>
      <c r="AV401">
        <f t="shared" si="130"/>
        <v>0</v>
      </c>
      <c r="AW401">
        <f t="shared" si="130"/>
        <v>0</v>
      </c>
      <c r="AX401">
        <f t="shared" si="130"/>
        <v>0</v>
      </c>
      <c r="AY401">
        <f t="shared" si="130"/>
        <v>0</v>
      </c>
      <c r="AZ401">
        <f t="shared" si="130"/>
        <v>0</v>
      </c>
    </row>
    <row r="402" spans="1:52" x14ac:dyDescent="0.25">
      <c r="A402" t="s">
        <v>15</v>
      </c>
      <c r="B402" s="3">
        <v>41037</v>
      </c>
      <c r="C402" s="1">
        <v>1179.7349899334779</v>
      </c>
      <c r="D402" s="1">
        <v>107.24863544849799</v>
      </c>
      <c r="E402" s="1">
        <f t="shared" si="135"/>
        <v>761.73498993347789</v>
      </c>
      <c r="F402" s="1">
        <f t="shared" si="136"/>
        <v>418</v>
      </c>
      <c r="G402" s="2">
        <v>11</v>
      </c>
      <c r="H402" s="1">
        <v>69.248635448497993</v>
      </c>
      <c r="I402" s="1">
        <v>38</v>
      </c>
      <c r="J402" s="1">
        <f t="shared" si="138"/>
        <v>1483430.585467037</v>
      </c>
      <c r="K402" s="1">
        <f t="shared" si="139"/>
        <v>757375.58546703449</v>
      </c>
      <c r="N402">
        <f t="shared" si="137"/>
        <v>0</v>
      </c>
      <c r="O402">
        <f t="shared" si="137"/>
        <v>0</v>
      </c>
      <c r="P402">
        <f t="shared" si="137"/>
        <v>0</v>
      </c>
      <c r="Q402">
        <f t="shared" si="134"/>
        <v>0</v>
      </c>
      <c r="R402">
        <f t="shared" si="134"/>
        <v>0</v>
      </c>
      <c r="S402">
        <f t="shared" si="134"/>
        <v>0</v>
      </c>
      <c r="T402">
        <f t="shared" si="134"/>
        <v>0</v>
      </c>
      <c r="U402">
        <f t="shared" si="134"/>
        <v>0</v>
      </c>
      <c r="V402">
        <f t="shared" si="134"/>
        <v>0</v>
      </c>
      <c r="W402">
        <f t="shared" si="134"/>
        <v>0</v>
      </c>
      <c r="X402">
        <f t="shared" si="134"/>
        <v>0</v>
      </c>
      <c r="Y402">
        <f t="shared" si="134"/>
        <v>0</v>
      </c>
      <c r="Z402">
        <f t="shared" si="134"/>
        <v>0</v>
      </c>
      <c r="AA402">
        <f t="shared" si="134"/>
        <v>0</v>
      </c>
      <c r="AB402">
        <f t="shared" si="134"/>
        <v>0</v>
      </c>
      <c r="AC402">
        <f t="shared" si="134"/>
        <v>0</v>
      </c>
      <c r="AD402">
        <f t="shared" si="134"/>
        <v>0</v>
      </c>
      <c r="AE402">
        <f t="shared" si="134"/>
        <v>0</v>
      </c>
      <c r="AF402">
        <f t="shared" si="134"/>
        <v>0</v>
      </c>
      <c r="AG402">
        <f t="shared" si="133"/>
        <v>0</v>
      </c>
      <c r="AH402">
        <f t="shared" si="133"/>
        <v>0</v>
      </c>
      <c r="AI402">
        <f t="shared" si="133"/>
        <v>0</v>
      </c>
      <c r="AJ402">
        <f t="shared" si="133"/>
        <v>0</v>
      </c>
      <c r="AK402">
        <f t="shared" si="133"/>
        <v>0</v>
      </c>
      <c r="AL402">
        <f t="shared" si="133"/>
        <v>0</v>
      </c>
      <c r="AM402">
        <f t="shared" si="133"/>
        <v>0</v>
      </c>
      <c r="AN402">
        <f t="shared" si="133"/>
        <v>0</v>
      </c>
      <c r="AO402">
        <f t="shared" si="133"/>
        <v>0</v>
      </c>
      <c r="AP402">
        <f t="shared" si="133"/>
        <v>0</v>
      </c>
      <c r="AQ402">
        <f t="shared" si="133"/>
        <v>0</v>
      </c>
      <c r="AR402">
        <f t="shared" si="133"/>
        <v>1</v>
      </c>
      <c r="AS402">
        <f t="shared" si="133"/>
        <v>0</v>
      </c>
      <c r="AT402">
        <f t="shared" si="133"/>
        <v>0</v>
      </c>
      <c r="AU402">
        <f t="shared" si="133"/>
        <v>0</v>
      </c>
      <c r="AV402">
        <f t="shared" si="130"/>
        <v>0</v>
      </c>
      <c r="AW402">
        <f t="shared" si="130"/>
        <v>0</v>
      </c>
      <c r="AX402">
        <f t="shared" si="130"/>
        <v>0</v>
      </c>
      <c r="AY402">
        <f t="shared" si="130"/>
        <v>0</v>
      </c>
      <c r="AZ402">
        <f t="shared" si="130"/>
        <v>0</v>
      </c>
    </row>
    <row r="403" spans="1:52" x14ac:dyDescent="0.25">
      <c r="A403" t="s">
        <v>24</v>
      </c>
      <c r="B403" s="3">
        <v>41024</v>
      </c>
      <c r="C403" s="1">
        <v>1278.9560201766008</v>
      </c>
      <c r="D403" s="1">
        <v>127.89560201766008</v>
      </c>
      <c r="E403" s="1">
        <f t="shared" si="135"/>
        <v>808.95602017660076</v>
      </c>
      <c r="F403" s="1">
        <f t="shared" si="136"/>
        <v>470</v>
      </c>
      <c r="G403" s="2">
        <v>10</v>
      </c>
      <c r="H403" s="1">
        <v>80.895602017660082</v>
      </c>
      <c r="I403" s="1">
        <v>47</v>
      </c>
      <c r="J403" s="1">
        <f t="shared" si="138"/>
        <v>1484709.5414872137</v>
      </c>
      <c r="K403" s="1">
        <f t="shared" si="139"/>
        <v>758184.54148721113</v>
      </c>
      <c r="N403">
        <f t="shared" si="137"/>
        <v>0</v>
      </c>
      <c r="O403">
        <f t="shared" si="137"/>
        <v>0</v>
      </c>
      <c r="P403">
        <f t="shared" si="137"/>
        <v>0</v>
      </c>
      <c r="Q403">
        <f t="shared" si="134"/>
        <v>0</v>
      </c>
      <c r="R403">
        <f t="shared" si="134"/>
        <v>0</v>
      </c>
      <c r="S403">
        <f t="shared" si="134"/>
        <v>0</v>
      </c>
      <c r="T403">
        <f t="shared" si="134"/>
        <v>0</v>
      </c>
      <c r="U403">
        <f t="shared" si="134"/>
        <v>0</v>
      </c>
      <c r="V403">
        <f t="shared" si="134"/>
        <v>1</v>
      </c>
      <c r="W403">
        <f t="shared" si="134"/>
        <v>0</v>
      </c>
      <c r="X403">
        <f t="shared" si="134"/>
        <v>0</v>
      </c>
      <c r="Y403">
        <f t="shared" si="134"/>
        <v>0</v>
      </c>
      <c r="Z403">
        <f t="shared" si="134"/>
        <v>0</v>
      </c>
      <c r="AA403">
        <f t="shared" si="134"/>
        <v>0</v>
      </c>
      <c r="AB403">
        <f t="shared" si="134"/>
        <v>0</v>
      </c>
      <c r="AC403">
        <f t="shared" si="134"/>
        <v>0</v>
      </c>
      <c r="AD403">
        <f t="shared" si="134"/>
        <v>0</v>
      </c>
      <c r="AE403">
        <f t="shared" si="134"/>
        <v>0</v>
      </c>
      <c r="AF403">
        <f t="shared" ref="AF403:AU423" si="140">+IF(AF$5=$A403,1,0)</f>
        <v>0</v>
      </c>
      <c r="AG403">
        <f t="shared" si="140"/>
        <v>0</v>
      </c>
      <c r="AH403">
        <f t="shared" si="140"/>
        <v>0</v>
      </c>
      <c r="AI403">
        <f t="shared" si="140"/>
        <v>0</v>
      </c>
      <c r="AJ403">
        <f t="shared" si="140"/>
        <v>0</v>
      </c>
      <c r="AK403">
        <f t="shared" si="140"/>
        <v>0</v>
      </c>
      <c r="AL403">
        <f t="shared" si="140"/>
        <v>0</v>
      </c>
      <c r="AM403">
        <f t="shared" si="140"/>
        <v>0</v>
      </c>
      <c r="AN403">
        <f t="shared" si="140"/>
        <v>0</v>
      </c>
      <c r="AO403">
        <f t="shared" si="140"/>
        <v>0</v>
      </c>
      <c r="AP403">
        <f t="shared" si="140"/>
        <v>0</v>
      </c>
      <c r="AQ403">
        <f t="shared" si="140"/>
        <v>0</v>
      </c>
      <c r="AR403">
        <f t="shared" si="140"/>
        <v>0</v>
      </c>
      <c r="AS403">
        <f t="shared" si="140"/>
        <v>0</v>
      </c>
      <c r="AT403">
        <f t="shared" si="140"/>
        <v>0</v>
      </c>
      <c r="AU403">
        <f t="shared" si="140"/>
        <v>0</v>
      </c>
      <c r="AV403">
        <f t="shared" si="130"/>
        <v>0</v>
      </c>
      <c r="AW403">
        <f t="shared" si="130"/>
        <v>0</v>
      </c>
      <c r="AX403">
        <f t="shared" si="130"/>
        <v>0</v>
      </c>
      <c r="AY403">
        <f t="shared" si="130"/>
        <v>0</v>
      </c>
      <c r="AZ403">
        <f t="shared" si="130"/>
        <v>0</v>
      </c>
    </row>
    <row r="404" spans="1:52" x14ac:dyDescent="0.25">
      <c r="A404" t="s">
        <v>14</v>
      </c>
      <c r="B404" s="3">
        <v>41007</v>
      </c>
      <c r="C404" s="1">
        <v>1748.532317001788</v>
      </c>
      <c r="D404" s="1">
        <v>124.89516550012772</v>
      </c>
      <c r="E404" s="1">
        <f t="shared" si="135"/>
        <v>712.53231700178799</v>
      </c>
      <c r="F404" s="1">
        <f t="shared" si="136"/>
        <v>1036</v>
      </c>
      <c r="G404" s="2">
        <v>14</v>
      </c>
      <c r="H404" s="1">
        <v>50.89516550012771</v>
      </c>
      <c r="I404" s="1">
        <v>74</v>
      </c>
      <c r="J404" s="1">
        <f t="shared" si="138"/>
        <v>1486458.0738042155</v>
      </c>
      <c r="K404" s="1">
        <f t="shared" si="139"/>
        <v>758897.07380421297</v>
      </c>
      <c r="N404">
        <f t="shared" si="137"/>
        <v>0</v>
      </c>
      <c r="O404">
        <f t="shared" si="137"/>
        <v>0</v>
      </c>
      <c r="P404">
        <f t="shared" si="137"/>
        <v>0</v>
      </c>
      <c r="Q404">
        <f t="shared" si="137"/>
        <v>0</v>
      </c>
      <c r="R404">
        <f t="shared" si="137"/>
        <v>0</v>
      </c>
      <c r="S404">
        <f t="shared" si="137"/>
        <v>0</v>
      </c>
      <c r="T404">
        <f t="shared" si="137"/>
        <v>0</v>
      </c>
      <c r="U404">
        <f t="shared" si="137"/>
        <v>0</v>
      </c>
      <c r="V404">
        <f t="shared" si="137"/>
        <v>0</v>
      </c>
      <c r="W404">
        <f t="shared" si="137"/>
        <v>0</v>
      </c>
      <c r="X404">
        <f t="shared" si="137"/>
        <v>0</v>
      </c>
      <c r="Y404">
        <f t="shared" si="137"/>
        <v>0</v>
      </c>
      <c r="Z404">
        <f t="shared" si="137"/>
        <v>0</v>
      </c>
      <c r="AA404">
        <f t="shared" si="137"/>
        <v>0</v>
      </c>
      <c r="AB404">
        <f t="shared" si="137"/>
        <v>0</v>
      </c>
      <c r="AC404">
        <f t="shared" si="137"/>
        <v>0</v>
      </c>
      <c r="AD404">
        <f t="shared" ref="AD404:AS423" si="141">+IF(AD$5=$A404,1,0)</f>
        <v>0</v>
      </c>
      <c r="AE404">
        <f t="shared" si="141"/>
        <v>0</v>
      </c>
      <c r="AF404">
        <f t="shared" si="141"/>
        <v>0</v>
      </c>
      <c r="AG404">
        <f t="shared" si="141"/>
        <v>0</v>
      </c>
      <c r="AH404">
        <f t="shared" si="141"/>
        <v>0</v>
      </c>
      <c r="AI404">
        <f t="shared" si="141"/>
        <v>0</v>
      </c>
      <c r="AJ404">
        <f t="shared" si="141"/>
        <v>0</v>
      </c>
      <c r="AK404">
        <f t="shared" si="141"/>
        <v>0</v>
      </c>
      <c r="AL404">
        <f t="shared" si="141"/>
        <v>0</v>
      </c>
      <c r="AM404">
        <f t="shared" si="141"/>
        <v>0</v>
      </c>
      <c r="AN404">
        <f t="shared" si="141"/>
        <v>0</v>
      </c>
      <c r="AO404">
        <f t="shared" si="141"/>
        <v>0</v>
      </c>
      <c r="AP404">
        <f t="shared" si="141"/>
        <v>1</v>
      </c>
      <c r="AQ404">
        <f t="shared" si="141"/>
        <v>0</v>
      </c>
      <c r="AR404">
        <f t="shared" si="141"/>
        <v>0</v>
      </c>
      <c r="AS404">
        <f t="shared" si="141"/>
        <v>0</v>
      </c>
      <c r="AT404">
        <f t="shared" si="140"/>
        <v>0</v>
      </c>
      <c r="AU404">
        <f t="shared" si="140"/>
        <v>0</v>
      </c>
      <c r="AV404">
        <f t="shared" si="130"/>
        <v>0</v>
      </c>
      <c r="AW404">
        <f t="shared" si="130"/>
        <v>0</v>
      </c>
      <c r="AX404">
        <f t="shared" si="130"/>
        <v>0</v>
      </c>
      <c r="AY404">
        <f t="shared" si="130"/>
        <v>0</v>
      </c>
      <c r="AZ404">
        <f t="shared" si="130"/>
        <v>0</v>
      </c>
    </row>
    <row r="405" spans="1:52" x14ac:dyDescent="0.25">
      <c r="A405" t="s">
        <v>45</v>
      </c>
      <c r="B405" s="3">
        <v>40996</v>
      </c>
      <c r="C405" s="1">
        <v>2613.9513692192882</v>
      </c>
      <c r="D405" s="1">
        <v>124.47387472472801</v>
      </c>
      <c r="E405" s="1">
        <f t="shared" si="135"/>
        <v>1290.9513692192884</v>
      </c>
      <c r="F405" s="1">
        <f t="shared" si="136"/>
        <v>1323</v>
      </c>
      <c r="G405" s="2">
        <v>21</v>
      </c>
      <c r="H405" s="1">
        <v>61.473874724728013</v>
      </c>
      <c r="I405" s="1">
        <v>63</v>
      </c>
      <c r="J405" s="1">
        <f t="shared" si="138"/>
        <v>1489072.0251734348</v>
      </c>
      <c r="K405" s="1">
        <f t="shared" si="139"/>
        <v>760188.02517343231</v>
      </c>
      <c r="N405">
        <f t="shared" si="137"/>
        <v>0</v>
      </c>
      <c r="O405">
        <f t="shared" si="137"/>
        <v>0</v>
      </c>
      <c r="P405">
        <f t="shared" si="137"/>
        <v>0</v>
      </c>
      <c r="Q405">
        <f t="shared" si="137"/>
        <v>0</v>
      </c>
      <c r="R405">
        <f t="shared" si="137"/>
        <v>0</v>
      </c>
      <c r="S405">
        <f t="shared" si="137"/>
        <v>0</v>
      </c>
      <c r="T405">
        <f t="shared" si="137"/>
        <v>0</v>
      </c>
      <c r="U405">
        <f t="shared" si="137"/>
        <v>0</v>
      </c>
      <c r="V405">
        <f t="shared" si="137"/>
        <v>0</v>
      </c>
      <c r="W405">
        <f t="shared" si="137"/>
        <v>0</v>
      </c>
      <c r="X405">
        <f t="shared" si="137"/>
        <v>0</v>
      </c>
      <c r="Y405">
        <f t="shared" si="137"/>
        <v>0</v>
      </c>
      <c r="Z405">
        <f t="shared" si="137"/>
        <v>0</v>
      </c>
      <c r="AA405">
        <f t="shared" si="137"/>
        <v>0</v>
      </c>
      <c r="AB405">
        <f t="shared" si="137"/>
        <v>0</v>
      </c>
      <c r="AC405">
        <f t="shared" si="137"/>
        <v>0</v>
      </c>
      <c r="AD405">
        <f t="shared" si="141"/>
        <v>0</v>
      </c>
      <c r="AE405">
        <f t="shared" si="141"/>
        <v>0</v>
      </c>
      <c r="AF405">
        <f t="shared" si="141"/>
        <v>0</v>
      </c>
      <c r="AG405">
        <f t="shared" si="141"/>
        <v>0</v>
      </c>
      <c r="AH405">
        <f t="shared" si="141"/>
        <v>0</v>
      </c>
      <c r="AI405">
        <f t="shared" si="141"/>
        <v>0</v>
      </c>
      <c r="AJ405">
        <f t="shared" si="141"/>
        <v>1</v>
      </c>
      <c r="AK405">
        <f t="shared" si="141"/>
        <v>0</v>
      </c>
      <c r="AL405">
        <f t="shared" si="141"/>
        <v>0</v>
      </c>
      <c r="AM405">
        <f t="shared" si="141"/>
        <v>0</v>
      </c>
      <c r="AN405">
        <f t="shared" si="141"/>
        <v>0</v>
      </c>
      <c r="AO405">
        <f t="shared" si="141"/>
        <v>0</v>
      </c>
      <c r="AP405">
        <f t="shared" si="141"/>
        <v>0</v>
      </c>
      <c r="AQ405">
        <f t="shared" si="141"/>
        <v>0</v>
      </c>
      <c r="AR405">
        <f t="shared" si="141"/>
        <v>0</v>
      </c>
      <c r="AS405">
        <f t="shared" si="141"/>
        <v>0</v>
      </c>
      <c r="AT405">
        <f t="shared" si="140"/>
        <v>0</v>
      </c>
      <c r="AU405">
        <f t="shared" si="140"/>
        <v>0</v>
      </c>
      <c r="AV405">
        <f t="shared" si="130"/>
        <v>0</v>
      </c>
      <c r="AW405">
        <f t="shared" si="130"/>
        <v>0</v>
      </c>
      <c r="AX405">
        <f t="shared" si="130"/>
        <v>0</v>
      </c>
      <c r="AY405">
        <f t="shared" si="130"/>
        <v>0</v>
      </c>
      <c r="AZ405">
        <f t="shared" si="130"/>
        <v>0</v>
      </c>
    </row>
    <row r="406" spans="1:52" x14ac:dyDescent="0.25">
      <c r="A406" t="s">
        <v>16</v>
      </c>
      <c r="B406" s="3">
        <v>40996</v>
      </c>
      <c r="C406" s="1">
        <v>4185.2272305858596</v>
      </c>
      <c r="D406" s="1">
        <v>149.47240109235213</v>
      </c>
      <c r="E406" s="1">
        <f t="shared" si="135"/>
        <v>2281.2272305858601</v>
      </c>
      <c r="F406" s="1">
        <f t="shared" si="136"/>
        <v>1904</v>
      </c>
      <c r="G406" s="2">
        <v>28</v>
      </c>
      <c r="H406" s="1">
        <v>81.472401092352143</v>
      </c>
      <c r="I406" s="1">
        <v>68</v>
      </c>
      <c r="J406" s="1">
        <f t="shared" si="138"/>
        <v>1493257.2524040206</v>
      </c>
      <c r="K406" s="1">
        <f t="shared" si="139"/>
        <v>762469.25240401819</v>
      </c>
      <c r="N406">
        <f t="shared" si="137"/>
        <v>0</v>
      </c>
      <c r="O406">
        <f t="shared" si="137"/>
        <v>0</v>
      </c>
      <c r="P406">
        <f t="shared" si="137"/>
        <v>0</v>
      </c>
      <c r="Q406">
        <f t="shared" si="137"/>
        <v>0</v>
      </c>
      <c r="R406">
        <f t="shared" si="137"/>
        <v>0</v>
      </c>
      <c r="S406">
        <f t="shared" si="137"/>
        <v>0</v>
      </c>
      <c r="T406">
        <f t="shared" si="137"/>
        <v>0</v>
      </c>
      <c r="U406">
        <f t="shared" si="137"/>
        <v>0</v>
      </c>
      <c r="V406">
        <f t="shared" si="137"/>
        <v>0</v>
      </c>
      <c r="W406">
        <f t="shared" si="137"/>
        <v>0</v>
      </c>
      <c r="X406">
        <f t="shared" si="137"/>
        <v>0</v>
      </c>
      <c r="Y406">
        <f t="shared" si="137"/>
        <v>0</v>
      </c>
      <c r="Z406">
        <f t="shared" si="137"/>
        <v>0</v>
      </c>
      <c r="AA406">
        <f t="shared" si="137"/>
        <v>0</v>
      </c>
      <c r="AB406">
        <f t="shared" si="137"/>
        <v>0</v>
      </c>
      <c r="AC406">
        <f t="shared" si="137"/>
        <v>0</v>
      </c>
      <c r="AD406">
        <f t="shared" si="141"/>
        <v>0</v>
      </c>
      <c r="AE406">
        <f t="shared" si="141"/>
        <v>0</v>
      </c>
      <c r="AF406">
        <f t="shared" si="141"/>
        <v>0</v>
      </c>
      <c r="AG406">
        <f t="shared" si="141"/>
        <v>0</v>
      </c>
      <c r="AH406">
        <f t="shared" si="141"/>
        <v>0</v>
      </c>
      <c r="AI406">
        <f t="shared" si="141"/>
        <v>0</v>
      </c>
      <c r="AJ406">
        <f t="shared" si="141"/>
        <v>0</v>
      </c>
      <c r="AK406">
        <f t="shared" si="141"/>
        <v>0</v>
      </c>
      <c r="AL406">
        <f t="shared" si="141"/>
        <v>0</v>
      </c>
      <c r="AM406">
        <f t="shared" si="141"/>
        <v>0</v>
      </c>
      <c r="AN406">
        <f t="shared" si="141"/>
        <v>1</v>
      </c>
      <c r="AO406">
        <f t="shared" si="141"/>
        <v>0</v>
      </c>
      <c r="AP406">
        <f t="shared" si="141"/>
        <v>0</v>
      </c>
      <c r="AQ406">
        <f t="shared" si="141"/>
        <v>0</v>
      </c>
      <c r="AR406">
        <f t="shared" si="141"/>
        <v>0</v>
      </c>
      <c r="AS406">
        <f t="shared" si="141"/>
        <v>0</v>
      </c>
      <c r="AT406">
        <f t="shared" si="140"/>
        <v>0</v>
      </c>
      <c r="AU406">
        <f t="shared" si="140"/>
        <v>0</v>
      </c>
      <c r="AV406">
        <f t="shared" si="130"/>
        <v>0</v>
      </c>
      <c r="AW406">
        <f t="shared" si="130"/>
        <v>0</v>
      </c>
      <c r="AX406">
        <f t="shared" si="130"/>
        <v>0</v>
      </c>
      <c r="AY406">
        <f t="shared" si="130"/>
        <v>0</v>
      </c>
      <c r="AZ406">
        <f t="shared" si="130"/>
        <v>0</v>
      </c>
    </row>
    <row r="407" spans="1:52" x14ac:dyDescent="0.25">
      <c r="A407" t="s">
        <v>39</v>
      </c>
      <c r="B407" s="3">
        <v>40989</v>
      </c>
      <c r="C407" s="1">
        <v>486.6785353398941</v>
      </c>
      <c r="D407" s="1">
        <v>81.113089223315683</v>
      </c>
      <c r="E407" s="1">
        <f t="shared" si="135"/>
        <v>204.67853533989415</v>
      </c>
      <c r="F407" s="1">
        <f t="shared" si="136"/>
        <v>282</v>
      </c>
      <c r="G407" s="2">
        <v>6</v>
      </c>
      <c r="H407" s="1">
        <v>34.11308922331569</v>
      </c>
      <c r="I407" s="1">
        <v>47</v>
      </c>
      <c r="J407" s="1">
        <f t="shared" si="138"/>
        <v>1493743.9309393605</v>
      </c>
      <c r="K407" s="1">
        <f t="shared" si="139"/>
        <v>762673.93093935808</v>
      </c>
      <c r="N407">
        <f t="shared" si="137"/>
        <v>0</v>
      </c>
      <c r="O407">
        <f t="shared" si="137"/>
        <v>0</v>
      </c>
      <c r="P407">
        <f t="shared" si="137"/>
        <v>0</v>
      </c>
      <c r="Q407">
        <f t="shared" si="137"/>
        <v>0</v>
      </c>
      <c r="R407">
        <f t="shared" si="137"/>
        <v>0</v>
      </c>
      <c r="S407">
        <f t="shared" si="137"/>
        <v>0</v>
      </c>
      <c r="T407">
        <f t="shared" si="137"/>
        <v>0</v>
      </c>
      <c r="U407">
        <f t="shared" si="137"/>
        <v>0</v>
      </c>
      <c r="V407">
        <f t="shared" si="137"/>
        <v>0</v>
      </c>
      <c r="W407">
        <f t="shared" si="137"/>
        <v>0</v>
      </c>
      <c r="X407">
        <f t="shared" si="137"/>
        <v>0</v>
      </c>
      <c r="Y407">
        <f t="shared" si="137"/>
        <v>1</v>
      </c>
      <c r="Z407">
        <f t="shared" si="137"/>
        <v>0</v>
      </c>
      <c r="AA407">
        <f t="shared" si="137"/>
        <v>0</v>
      </c>
      <c r="AB407">
        <f t="shared" si="137"/>
        <v>0</v>
      </c>
      <c r="AC407">
        <f t="shared" si="137"/>
        <v>0</v>
      </c>
      <c r="AD407">
        <f t="shared" si="141"/>
        <v>0</v>
      </c>
      <c r="AE407">
        <f t="shared" si="141"/>
        <v>0</v>
      </c>
      <c r="AF407">
        <f t="shared" si="141"/>
        <v>0</v>
      </c>
      <c r="AG407">
        <f t="shared" si="141"/>
        <v>0</v>
      </c>
      <c r="AH407">
        <f t="shared" si="141"/>
        <v>0</v>
      </c>
      <c r="AI407">
        <f t="shared" si="141"/>
        <v>0</v>
      </c>
      <c r="AJ407">
        <f t="shared" si="141"/>
        <v>0</v>
      </c>
      <c r="AK407">
        <f t="shared" si="141"/>
        <v>0</v>
      </c>
      <c r="AL407">
        <f t="shared" si="141"/>
        <v>0</v>
      </c>
      <c r="AM407">
        <f t="shared" si="141"/>
        <v>0</v>
      </c>
      <c r="AN407">
        <f t="shared" si="141"/>
        <v>0</v>
      </c>
      <c r="AO407">
        <f t="shared" si="141"/>
        <v>0</v>
      </c>
      <c r="AP407">
        <f t="shared" si="141"/>
        <v>0</v>
      </c>
      <c r="AQ407">
        <f t="shared" si="141"/>
        <v>0</v>
      </c>
      <c r="AR407">
        <f t="shared" si="141"/>
        <v>0</v>
      </c>
      <c r="AS407">
        <f t="shared" si="141"/>
        <v>0</v>
      </c>
      <c r="AT407">
        <f t="shared" si="140"/>
        <v>0</v>
      </c>
      <c r="AU407">
        <f t="shared" si="140"/>
        <v>0</v>
      </c>
      <c r="AV407">
        <f t="shared" si="130"/>
        <v>0</v>
      </c>
      <c r="AW407">
        <f t="shared" si="130"/>
        <v>0</v>
      </c>
      <c r="AX407">
        <f t="shared" si="130"/>
        <v>0</v>
      </c>
      <c r="AY407">
        <f t="shared" si="130"/>
        <v>0</v>
      </c>
      <c r="AZ407">
        <f t="shared" si="130"/>
        <v>0</v>
      </c>
    </row>
    <row r="408" spans="1:52" x14ac:dyDescent="0.25">
      <c r="A408" t="s">
        <v>14</v>
      </c>
      <c r="B408" s="3">
        <v>40988</v>
      </c>
      <c r="C408" s="1">
        <v>916.99645670966538</v>
      </c>
      <c r="D408" s="1">
        <v>83.363314246333218</v>
      </c>
      <c r="E408" s="1">
        <f t="shared" si="135"/>
        <v>509.99645670966538</v>
      </c>
      <c r="F408" s="1">
        <f t="shared" si="136"/>
        <v>407</v>
      </c>
      <c r="G408" s="2">
        <v>11</v>
      </c>
      <c r="H408" s="1">
        <v>46.363314246333218</v>
      </c>
      <c r="I408" s="1">
        <v>37</v>
      </c>
      <c r="J408" s="1">
        <f t="shared" si="138"/>
        <v>1494660.9273960702</v>
      </c>
      <c r="K408" s="1">
        <f t="shared" si="139"/>
        <v>763183.92739606777</v>
      </c>
      <c r="N408">
        <f t="shared" si="137"/>
        <v>0</v>
      </c>
      <c r="O408">
        <f t="shared" si="137"/>
        <v>0</v>
      </c>
      <c r="P408">
        <f t="shared" si="137"/>
        <v>0</v>
      </c>
      <c r="Q408">
        <f t="shared" si="137"/>
        <v>0</v>
      </c>
      <c r="R408">
        <f t="shared" si="137"/>
        <v>0</v>
      </c>
      <c r="S408">
        <f t="shared" si="137"/>
        <v>0</v>
      </c>
      <c r="T408">
        <f t="shared" si="137"/>
        <v>0</v>
      </c>
      <c r="U408">
        <f t="shared" si="137"/>
        <v>0</v>
      </c>
      <c r="V408">
        <f t="shared" si="137"/>
        <v>0</v>
      </c>
      <c r="W408">
        <f t="shared" si="137"/>
        <v>0</v>
      </c>
      <c r="X408">
        <f t="shared" si="137"/>
        <v>0</v>
      </c>
      <c r="Y408">
        <f t="shared" si="137"/>
        <v>0</v>
      </c>
      <c r="Z408">
        <f t="shared" si="137"/>
        <v>0</v>
      </c>
      <c r="AA408">
        <f t="shared" si="137"/>
        <v>0</v>
      </c>
      <c r="AB408">
        <f t="shared" ref="AB408:AQ423" si="142">+IF(AB$5=$A408,1,0)</f>
        <v>0</v>
      </c>
      <c r="AC408">
        <f t="shared" si="142"/>
        <v>0</v>
      </c>
      <c r="AD408">
        <f t="shared" si="142"/>
        <v>0</v>
      </c>
      <c r="AE408">
        <f t="shared" si="142"/>
        <v>0</v>
      </c>
      <c r="AF408">
        <f t="shared" si="142"/>
        <v>0</v>
      </c>
      <c r="AG408">
        <f t="shared" si="142"/>
        <v>0</v>
      </c>
      <c r="AH408">
        <f t="shared" si="142"/>
        <v>0</v>
      </c>
      <c r="AI408">
        <f t="shared" si="142"/>
        <v>0</v>
      </c>
      <c r="AJ408">
        <f t="shared" si="142"/>
        <v>0</v>
      </c>
      <c r="AK408">
        <f t="shared" si="142"/>
        <v>0</v>
      </c>
      <c r="AL408">
        <f t="shared" si="142"/>
        <v>0</v>
      </c>
      <c r="AM408">
        <f t="shared" si="142"/>
        <v>0</v>
      </c>
      <c r="AN408">
        <f t="shared" si="142"/>
        <v>0</v>
      </c>
      <c r="AO408">
        <f t="shared" si="142"/>
        <v>0</v>
      </c>
      <c r="AP408">
        <f t="shared" si="142"/>
        <v>1</v>
      </c>
      <c r="AQ408">
        <f t="shared" si="142"/>
        <v>0</v>
      </c>
      <c r="AR408">
        <f t="shared" si="141"/>
        <v>0</v>
      </c>
      <c r="AS408">
        <f t="shared" si="141"/>
        <v>0</v>
      </c>
      <c r="AT408">
        <f t="shared" si="140"/>
        <v>0</v>
      </c>
      <c r="AU408">
        <f t="shared" si="140"/>
        <v>0</v>
      </c>
      <c r="AV408">
        <f t="shared" si="130"/>
        <v>0</v>
      </c>
      <c r="AW408">
        <f t="shared" si="130"/>
        <v>0</v>
      </c>
      <c r="AX408">
        <f t="shared" si="130"/>
        <v>0</v>
      </c>
      <c r="AY408">
        <f t="shared" si="130"/>
        <v>0</v>
      </c>
      <c r="AZ408">
        <f t="shared" si="130"/>
        <v>0</v>
      </c>
    </row>
    <row r="409" spans="1:52" x14ac:dyDescent="0.25">
      <c r="A409" t="s">
        <v>22</v>
      </c>
      <c r="B409" s="3">
        <v>40986</v>
      </c>
      <c r="C409" s="1">
        <v>2744.6756130094691</v>
      </c>
      <c r="D409" s="1">
        <v>182.97837420063127</v>
      </c>
      <c r="E409" s="1">
        <f t="shared" si="135"/>
        <v>1574.6756130094691</v>
      </c>
      <c r="F409" s="1">
        <f t="shared" si="136"/>
        <v>1170</v>
      </c>
      <c r="G409" s="2">
        <v>15</v>
      </c>
      <c r="H409" s="1">
        <v>104.97837420063127</v>
      </c>
      <c r="I409" s="1">
        <v>78</v>
      </c>
      <c r="J409" s="1">
        <f t="shared" si="138"/>
        <v>1497405.6030090796</v>
      </c>
      <c r="K409" s="1">
        <f t="shared" si="139"/>
        <v>764758.60300907725</v>
      </c>
      <c r="N409">
        <f t="shared" si="137"/>
        <v>0</v>
      </c>
      <c r="O409">
        <f t="shared" si="137"/>
        <v>0</v>
      </c>
      <c r="P409">
        <f t="shared" si="137"/>
        <v>0</v>
      </c>
      <c r="Q409">
        <f t="shared" ref="Q409:AF424" si="143">+IF(Q$5=$A409,1,0)</f>
        <v>0</v>
      </c>
      <c r="R409">
        <f t="shared" si="143"/>
        <v>0</v>
      </c>
      <c r="S409">
        <f t="shared" si="143"/>
        <v>0</v>
      </c>
      <c r="T409">
        <f t="shared" si="143"/>
        <v>0</v>
      </c>
      <c r="U409">
        <f t="shared" si="143"/>
        <v>0</v>
      </c>
      <c r="V409">
        <f t="shared" si="143"/>
        <v>0</v>
      </c>
      <c r="W409">
        <f t="shared" si="143"/>
        <v>0</v>
      </c>
      <c r="X409">
        <f t="shared" si="143"/>
        <v>0</v>
      </c>
      <c r="Y409">
        <f t="shared" si="143"/>
        <v>0</v>
      </c>
      <c r="Z409">
        <f t="shared" si="143"/>
        <v>0</v>
      </c>
      <c r="AA409">
        <f t="shared" si="143"/>
        <v>0</v>
      </c>
      <c r="AB409">
        <f t="shared" si="143"/>
        <v>0</v>
      </c>
      <c r="AC409">
        <f t="shared" si="143"/>
        <v>0</v>
      </c>
      <c r="AD409">
        <f t="shared" si="143"/>
        <v>0</v>
      </c>
      <c r="AE409">
        <f t="shared" si="143"/>
        <v>0</v>
      </c>
      <c r="AF409">
        <f t="shared" si="143"/>
        <v>0</v>
      </c>
      <c r="AG409">
        <f t="shared" si="142"/>
        <v>0</v>
      </c>
      <c r="AH409">
        <f t="shared" si="142"/>
        <v>0</v>
      </c>
      <c r="AI409">
        <f t="shared" si="142"/>
        <v>0</v>
      </c>
      <c r="AJ409">
        <f t="shared" si="142"/>
        <v>0</v>
      </c>
      <c r="AK409">
        <f t="shared" si="142"/>
        <v>0</v>
      </c>
      <c r="AL409">
        <f t="shared" si="142"/>
        <v>0</v>
      </c>
      <c r="AM409">
        <f t="shared" si="142"/>
        <v>0</v>
      </c>
      <c r="AN409">
        <f t="shared" si="142"/>
        <v>0</v>
      </c>
      <c r="AO409">
        <f t="shared" si="142"/>
        <v>0</v>
      </c>
      <c r="AP409">
        <f t="shared" si="142"/>
        <v>0</v>
      </c>
      <c r="AQ409">
        <f t="shared" si="142"/>
        <v>0</v>
      </c>
      <c r="AR409">
        <f t="shared" si="141"/>
        <v>0</v>
      </c>
      <c r="AS409">
        <f t="shared" si="141"/>
        <v>0</v>
      </c>
      <c r="AT409">
        <f t="shared" si="140"/>
        <v>0</v>
      </c>
      <c r="AU409">
        <f t="shared" si="140"/>
        <v>0</v>
      </c>
      <c r="AV409">
        <f t="shared" si="130"/>
        <v>0</v>
      </c>
      <c r="AW409">
        <f t="shared" si="130"/>
        <v>0</v>
      </c>
      <c r="AX409">
        <f t="shared" si="130"/>
        <v>1</v>
      </c>
      <c r="AY409">
        <f t="shared" si="130"/>
        <v>0</v>
      </c>
      <c r="AZ409">
        <f t="shared" si="130"/>
        <v>0</v>
      </c>
    </row>
    <row r="410" spans="1:52" x14ac:dyDescent="0.25">
      <c r="A410" t="s">
        <v>40</v>
      </c>
      <c r="B410" s="3">
        <v>40984</v>
      </c>
      <c r="C410" s="1">
        <v>2829.9801501063434</v>
      </c>
      <c r="D410" s="1">
        <v>217.69078077741102</v>
      </c>
      <c r="E410" s="1">
        <f t="shared" si="135"/>
        <v>1503.9801501063434</v>
      </c>
      <c r="F410" s="1">
        <f t="shared" si="136"/>
        <v>1326</v>
      </c>
      <c r="G410" s="2">
        <v>13</v>
      </c>
      <c r="H410" s="1">
        <v>115.69078077741104</v>
      </c>
      <c r="I410" s="1">
        <v>102</v>
      </c>
      <c r="J410" s="1">
        <f t="shared" si="138"/>
        <v>1500235.5831591859</v>
      </c>
      <c r="K410" s="1">
        <f t="shared" si="139"/>
        <v>766262.58315918362</v>
      </c>
      <c r="N410">
        <f t="shared" si="137"/>
        <v>0</v>
      </c>
      <c r="O410">
        <f t="shared" si="137"/>
        <v>0</v>
      </c>
      <c r="P410">
        <f t="shared" si="137"/>
        <v>0</v>
      </c>
      <c r="Q410">
        <f t="shared" si="143"/>
        <v>0</v>
      </c>
      <c r="R410">
        <f t="shared" si="143"/>
        <v>0</v>
      </c>
      <c r="S410">
        <f t="shared" si="143"/>
        <v>0</v>
      </c>
      <c r="T410">
        <f t="shared" si="143"/>
        <v>0</v>
      </c>
      <c r="U410">
        <f t="shared" si="143"/>
        <v>0</v>
      </c>
      <c r="V410">
        <f t="shared" si="143"/>
        <v>0</v>
      </c>
      <c r="W410">
        <f t="shared" si="143"/>
        <v>0</v>
      </c>
      <c r="X410">
        <f t="shared" si="143"/>
        <v>1</v>
      </c>
      <c r="Y410">
        <f t="shared" si="143"/>
        <v>0</v>
      </c>
      <c r="Z410">
        <f t="shared" si="143"/>
        <v>0</v>
      </c>
      <c r="AA410">
        <f t="shared" si="143"/>
        <v>0</v>
      </c>
      <c r="AB410">
        <f t="shared" si="143"/>
        <v>0</v>
      </c>
      <c r="AC410">
        <f t="shared" si="143"/>
        <v>0</v>
      </c>
      <c r="AD410">
        <f t="shared" si="143"/>
        <v>0</v>
      </c>
      <c r="AE410">
        <f t="shared" si="143"/>
        <v>0</v>
      </c>
      <c r="AF410">
        <f t="shared" si="143"/>
        <v>0</v>
      </c>
      <c r="AG410">
        <f t="shared" si="142"/>
        <v>0</v>
      </c>
      <c r="AH410">
        <f t="shared" si="142"/>
        <v>0</v>
      </c>
      <c r="AI410">
        <f t="shared" si="142"/>
        <v>0</v>
      </c>
      <c r="AJ410">
        <f t="shared" si="142"/>
        <v>0</v>
      </c>
      <c r="AK410">
        <f t="shared" si="142"/>
        <v>0</v>
      </c>
      <c r="AL410">
        <f t="shared" si="142"/>
        <v>0</v>
      </c>
      <c r="AM410">
        <f t="shared" si="142"/>
        <v>0</v>
      </c>
      <c r="AN410">
        <f t="shared" si="142"/>
        <v>0</v>
      </c>
      <c r="AO410">
        <f t="shared" si="142"/>
        <v>0</v>
      </c>
      <c r="AP410">
        <f t="shared" si="142"/>
        <v>0</v>
      </c>
      <c r="AQ410">
        <f t="shared" si="142"/>
        <v>0</v>
      </c>
      <c r="AR410">
        <f t="shared" si="141"/>
        <v>0</v>
      </c>
      <c r="AS410">
        <f t="shared" si="141"/>
        <v>0</v>
      </c>
      <c r="AT410">
        <f t="shared" si="140"/>
        <v>0</v>
      </c>
      <c r="AU410">
        <f t="shared" si="140"/>
        <v>0</v>
      </c>
      <c r="AV410">
        <f t="shared" si="130"/>
        <v>0</v>
      </c>
      <c r="AW410">
        <f t="shared" si="130"/>
        <v>0</v>
      </c>
      <c r="AX410">
        <f t="shared" si="130"/>
        <v>0</v>
      </c>
      <c r="AY410">
        <f t="shared" si="130"/>
        <v>0</v>
      </c>
      <c r="AZ410">
        <f t="shared" si="130"/>
        <v>0</v>
      </c>
    </row>
    <row r="411" spans="1:52" x14ac:dyDescent="0.25">
      <c r="A411" t="s">
        <v>40</v>
      </c>
      <c r="B411" s="3">
        <v>40982</v>
      </c>
      <c r="C411" s="1">
        <v>206.09187363701926</v>
      </c>
      <c r="D411" s="1">
        <v>103.04593681850963</v>
      </c>
      <c r="E411" s="1">
        <f t="shared" si="135"/>
        <v>106.09187363701926</v>
      </c>
      <c r="F411" s="1">
        <f t="shared" si="136"/>
        <v>100</v>
      </c>
      <c r="G411" s="2">
        <v>2</v>
      </c>
      <c r="H411" s="1">
        <v>53.045936818509631</v>
      </c>
      <c r="I411" s="1">
        <v>50</v>
      </c>
      <c r="J411" s="1">
        <f t="shared" si="138"/>
        <v>1500441.6750328229</v>
      </c>
      <c r="K411" s="1">
        <f t="shared" si="139"/>
        <v>766368.67503282067</v>
      </c>
      <c r="N411">
        <f t="shared" si="137"/>
        <v>0</v>
      </c>
      <c r="O411">
        <f t="shared" si="137"/>
        <v>0</v>
      </c>
      <c r="P411">
        <f t="shared" si="137"/>
        <v>0</v>
      </c>
      <c r="Q411">
        <f t="shared" si="143"/>
        <v>0</v>
      </c>
      <c r="R411">
        <f t="shared" si="143"/>
        <v>0</v>
      </c>
      <c r="S411">
        <f t="shared" si="143"/>
        <v>0</v>
      </c>
      <c r="T411">
        <f t="shared" si="143"/>
        <v>0</v>
      </c>
      <c r="U411">
        <f t="shared" si="143"/>
        <v>0</v>
      </c>
      <c r="V411">
        <f t="shared" si="143"/>
        <v>0</v>
      </c>
      <c r="W411">
        <f t="shared" si="143"/>
        <v>0</v>
      </c>
      <c r="X411">
        <f t="shared" si="143"/>
        <v>1</v>
      </c>
      <c r="Y411">
        <f t="shared" si="143"/>
        <v>0</v>
      </c>
      <c r="Z411">
        <f t="shared" si="143"/>
        <v>0</v>
      </c>
      <c r="AA411">
        <f t="shared" si="143"/>
        <v>0</v>
      </c>
      <c r="AB411">
        <f t="shared" si="143"/>
        <v>0</v>
      </c>
      <c r="AC411">
        <f t="shared" si="143"/>
        <v>0</v>
      </c>
      <c r="AD411">
        <f t="shared" si="143"/>
        <v>0</v>
      </c>
      <c r="AE411">
        <f t="shared" si="143"/>
        <v>0</v>
      </c>
      <c r="AF411">
        <f t="shared" si="143"/>
        <v>0</v>
      </c>
      <c r="AG411">
        <f t="shared" si="142"/>
        <v>0</v>
      </c>
      <c r="AH411">
        <f t="shared" si="142"/>
        <v>0</v>
      </c>
      <c r="AI411">
        <f t="shared" si="142"/>
        <v>0</v>
      </c>
      <c r="AJ411">
        <f t="shared" si="142"/>
        <v>0</v>
      </c>
      <c r="AK411">
        <f t="shared" si="142"/>
        <v>0</v>
      </c>
      <c r="AL411">
        <f t="shared" si="142"/>
        <v>0</v>
      </c>
      <c r="AM411">
        <f t="shared" si="142"/>
        <v>0</v>
      </c>
      <c r="AN411">
        <f t="shared" si="142"/>
        <v>0</v>
      </c>
      <c r="AO411">
        <f t="shared" si="142"/>
        <v>0</v>
      </c>
      <c r="AP411">
        <f t="shared" si="142"/>
        <v>0</v>
      </c>
      <c r="AQ411">
        <f t="shared" si="142"/>
        <v>0</v>
      </c>
      <c r="AR411">
        <f t="shared" si="141"/>
        <v>0</v>
      </c>
      <c r="AS411">
        <f t="shared" si="141"/>
        <v>0</v>
      </c>
      <c r="AT411">
        <f t="shared" si="140"/>
        <v>0</v>
      </c>
      <c r="AU411">
        <f t="shared" si="140"/>
        <v>0</v>
      </c>
      <c r="AV411">
        <f t="shared" si="130"/>
        <v>0</v>
      </c>
      <c r="AW411">
        <f t="shared" si="130"/>
        <v>0</v>
      </c>
      <c r="AX411">
        <f t="shared" si="130"/>
        <v>0</v>
      </c>
      <c r="AY411">
        <f t="shared" si="130"/>
        <v>0</v>
      </c>
      <c r="AZ411">
        <f t="shared" si="130"/>
        <v>0</v>
      </c>
    </row>
    <row r="412" spans="1:52" x14ac:dyDescent="0.25">
      <c r="A412" t="s">
        <v>12</v>
      </c>
      <c r="B412" s="3">
        <v>40981</v>
      </c>
      <c r="C412" s="1">
        <v>34939.927708330608</v>
      </c>
      <c r="D412" s="1">
        <v>194.11070949072561</v>
      </c>
      <c r="E412" s="1">
        <f t="shared" si="135"/>
        <v>18559.927708330611</v>
      </c>
      <c r="F412" s="1">
        <f t="shared" si="136"/>
        <v>16380</v>
      </c>
      <c r="G412" s="2">
        <v>180</v>
      </c>
      <c r="H412" s="1">
        <v>103.11070949072561</v>
      </c>
      <c r="I412" s="1">
        <v>91</v>
      </c>
      <c r="J412" s="1">
        <f t="shared" si="138"/>
        <v>1535381.6027411534</v>
      </c>
      <c r="K412" s="1">
        <f t="shared" si="139"/>
        <v>784928.60274115123</v>
      </c>
      <c r="N412">
        <f t="shared" si="137"/>
        <v>0</v>
      </c>
      <c r="O412">
        <f t="shared" si="137"/>
        <v>0</v>
      </c>
      <c r="P412">
        <f t="shared" si="137"/>
        <v>0</v>
      </c>
      <c r="Q412">
        <f t="shared" si="143"/>
        <v>0</v>
      </c>
      <c r="R412">
        <f t="shared" si="143"/>
        <v>0</v>
      </c>
      <c r="S412">
        <f t="shared" si="143"/>
        <v>0</v>
      </c>
      <c r="T412">
        <f t="shared" si="143"/>
        <v>0</v>
      </c>
      <c r="U412">
        <f t="shared" si="143"/>
        <v>0</v>
      </c>
      <c r="V412">
        <f t="shared" si="143"/>
        <v>0</v>
      </c>
      <c r="W412">
        <f t="shared" si="143"/>
        <v>0</v>
      </c>
      <c r="X412">
        <f t="shared" si="143"/>
        <v>0</v>
      </c>
      <c r="Y412">
        <f t="shared" si="143"/>
        <v>0</v>
      </c>
      <c r="Z412">
        <f t="shared" si="143"/>
        <v>0</v>
      </c>
      <c r="AA412">
        <f t="shared" si="143"/>
        <v>0</v>
      </c>
      <c r="AB412">
        <f t="shared" si="143"/>
        <v>0</v>
      </c>
      <c r="AC412">
        <f t="shared" si="143"/>
        <v>0</v>
      </c>
      <c r="AD412">
        <f t="shared" si="143"/>
        <v>0</v>
      </c>
      <c r="AE412">
        <f t="shared" si="143"/>
        <v>0</v>
      </c>
      <c r="AF412">
        <f t="shared" si="143"/>
        <v>0</v>
      </c>
      <c r="AG412">
        <f t="shared" si="142"/>
        <v>0</v>
      </c>
      <c r="AH412">
        <f t="shared" si="142"/>
        <v>0</v>
      </c>
      <c r="AI412">
        <f t="shared" si="142"/>
        <v>0</v>
      </c>
      <c r="AJ412">
        <f t="shared" si="142"/>
        <v>0</v>
      </c>
      <c r="AK412">
        <f t="shared" si="142"/>
        <v>1</v>
      </c>
      <c r="AL412">
        <f t="shared" si="142"/>
        <v>0</v>
      </c>
      <c r="AM412">
        <f t="shared" si="142"/>
        <v>0</v>
      </c>
      <c r="AN412">
        <f t="shared" si="142"/>
        <v>0</v>
      </c>
      <c r="AO412">
        <f t="shared" si="142"/>
        <v>0</v>
      </c>
      <c r="AP412">
        <f t="shared" si="142"/>
        <v>0</v>
      </c>
      <c r="AQ412">
        <f t="shared" si="142"/>
        <v>0</v>
      </c>
      <c r="AR412">
        <f t="shared" si="141"/>
        <v>0</v>
      </c>
      <c r="AS412">
        <f t="shared" si="141"/>
        <v>0</v>
      </c>
      <c r="AT412">
        <f t="shared" si="140"/>
        <v>0</v>
      </c>
      <c r="AU412">
        <f t="shared" si="140"/>
        <v>0</v>
      </c>
      <c r="AV412">
        <f t="shared" si="130"/>
        <v>0</v>
      </c>
      <c r="AW412">
        <f t="shared" si="130"/>
        <v>0</v>
      </c>
      <c r="AX412">
        <f t="shared" si="130"/>
        <v>0</v>
      </c>
      <c r="AY412">
        <f t="shared" si="130"/>
        <v>0</v>
      </c>
      <c r="AZ412">
        <f t="shared" si="130"/>
        <v>0</v>
      </c>
    </row>
    <row r="413" spans="1:52" x14ac:dyDescent="0.25">
      <c r="A413" t="s">
        <v>13</v>
      </c>
      <c r="B413" s="3">
        <v>40979</v>
      </c>
      <c r="C413" s="1">
        <v>5095.8072521658378</v>
      </c>
      <c r="D413" s="1">
        <v>130.66172441450865</v>
      </c>
      <c r="E413" s="1">
        <f t="shared" si="135"/>
        <v>2365.8072521658373</v>
      </c>
      <c r="F413" s="1">
        <f t="shared" si="136"/>
        <v>2730</v>
      </c>
      <c r="G413" s="2">
        <v>39</v>
      </c>
      <c r="H413" s="1">
        <v>60.661724414508654</v>
      </c>
      <c r="I413" s="1">
        <v>70</v>
      </c>
      <c r="J413" s="1">
        <f t="shared" si="138"/>
        <v>1540477.4099933193</v>
      </c>
      <c r="K413" s="1">
        <f t="shared" si="139"/>
        <v>787294.40999331709</v>
      </c>
      <c r="N413">
        <f t="shared" si="137"/>
        <v>0</v>
      </c>
      <c r="O413">
        <f t="shared" si="137"/>
        <v>0</v>
      </c>
      <c r="P413">
        <f t="shared" si="137"/>
        <v>0</v>
      </c>
      <c r="Q413">
        <f t="shared" si="143"/>
        <v>0</v>
      </c>
      <c r="R413">
        <f t="shared" si="143"/>
        <v>1</v>
      </c>
      <c r="S413">
        <f t="shared" si="143"/>
        <v>0</v>
      </c>
      <c r="T413">
        <f t="shared" si="143"/>
        <v>0</v>
      </c>
      <c r="U413">
        <f t="shared" si="143"/>
        <v>0</v>
      </c>
      <c r="V413">
        <f t="shared" si="143"/>
        <v>0</v>
      </c>
      <c r="W413">
        <f t="shared" si="143"/>
        <v>0</v>
      </c>
      <c r="X413">
        <f t="shared" si="143"/>
        <v>0</v>
      </c>
      <c r="Y413">
        <f t="shared" si="143"/>
        <v>0</v>
      </c>
      <c r="Z413">
        <f t="shared" si="143"/>
        <v>0</v>
      </c>
      <c r="AA413">
        <f t="shared" si="143"/>
        <v>0</v>
      </c>
      <c r="AB413">
        <f t="shared" si="143"/>
        <v>0</v>
      </c>
      <c r="AC413">
        <f t="shared" si="143"/>
        <v>0</v>
      </c>
      <c r="AD413">
        <f t="shared" si="143"/>
        <v>0</v>
      </c>
      <c r="AE413">
        <f t="shared" si="143"/>
        <v>0</v>
      </c>
      <c r="AF413">
        <f t="shared" si="143"/>
        <v>0</v>
      </c>
      <c r="AG413">
        <f t="shared" si="142"/>
        <v>0</v>
      </c>
      <c r="AH413">
        <f t="shared" si="142"/>
        <v>0</v>
      </c>
      <c r="AI413">
        <f t="shared" si="142"/>
        <v>0</v>
      </c>
      <c r="AJ413">
        <f t="shared" si="142"/>
        <v>0</v>
      </c>
      <c r="AK413">
        <f t="shared" si="142"/>
        <v>0</v>
      </c>
      <c r="AL413">
        <f t="shared" si="142"/>
        <v>0</v>
      </c>
      <c r="AM413">
        <f t="shared" si="142"/>
        <v>0</v>
      </c>
      <c r="AN413">
        <f t="shared" si="142"/>
        <v>0</v>
      </c>
      <c r="AO413">
        <f t="shared" si="142"/>
        <v>0</v>
      </c>
      <c r="AP413">
        <f t="shared" si="142"/>
        <v>0</v>
      </c>
      <c r="AQ413">
        <f t="shared" si="142"/>
        <v>0</v>
      </c>
      <c r="AR413">
        <f t="shared" si="141"/>
        <v>0</v>
      </c>
      <c r="AS413">
        <f t="shared" si="141"/>
        <v>0</v>
      </c>
      <c r="AT413">
        <f t="shared" si="140"/>
        <v>0</v>
      </c>
      <c r="AU413">
        <f t="shared" si="140"/>
        <v>0</v>
      </c>
      <c r="AV413">
        <f t="shared" si="130"/>
        <v>0</v>
      </c>
      <c r="AW413">
        <f t="shared" si="130"/>
        <v>0</v>
      </c>
      <c r="AX413">
        <f t="shared" si="130"/>
        <v>0</v>
      </c>
      <c r="AY413">
        <f t="shared" si="130"/>
        <v>0</v>
      </c>
      <c r="AZ413">
        <f t="shared" si="130"/>
        <v>0</v>
      </c>
    </row>
    <row r="414" spans="1:52" x14ac:dyDescent="0.25">
      <c r="A414" t="s">
        <v>15</v>
      </c>
      <c r="B414" s="3">
        <v>40976</v>
      </c>
      <c r="C414" s="1">
        <v>1665.2926883065361</v>
      </c>
      <c r="D414" s="1">
        <v>59.474738868090576</v>
      </c>
      <c r="E414" s="1">
        <f t="shared" si="135"/>
        <v>1105.2926883065361</v>
      </c>
      <c r="F414" s="1">
        <f t="shared" si="136"/>
        <v>560</v>
      </c>
      <c r="G414" s="2">
        <v>28</v>
      </c>
      <c r="H414" s="1">
        <v>39.474738868090576</v>
      </c>
      <c r="I414" s="1">
        <v>20</v>
      </c>
      <c r="J414" s="1">
        <f t="shared" si="138"/>
        <v>1542142.7026816257</v>
      </c>
      <c r="K414" s="1">
        <f t="shared" si="139"/>
        <v>788399.70268162363</v>
      </c>
      <c r="N414">
        <f t="shared" si="137"/>
        <v>0</v>
      </c>
      <c r="O414">
        <f t="shared" si="137"/>
        <v>0</v>
      </c>
      <c r="P414">
        <f t="shared" si="137"/>
        <v>0</v>
      </c>
      <c r="Q414">
        <f t="shared" si="143"/>
        <v>0</v>
      </c>
      <c r="R414">
        <f t="shared" si="143"/>
        <v>0</v>
      </c>
      <c r="S414">
        <f t="shared" si="143"/>
        <v>0</v>
      </c>
      <c r="T414">
        <f t="shared" si="143"/>
        <v>0</v>
      </c>
      <c r="U414">
        <f t="shared" si="143"/>
        <v>0</v>
      </c>
      <c r="V414">
        <f t="shared" si="143"/>
        <v>0</v>
      </c>
      <c r="W414">
        <f t="shared" si="143"/>
        <v>0</v>
      </c>
      <c r="X414">
        <f t="shared" si="143"/>
        <v>0</v>
      </c>
      <c r="Y414">
        <f t="shared" si="143"/>
        <v>0</v>
      </c>
      <c r="Z414">
        <f t="shared" si="143"/>
        <v>0</v>
      </c>
      <c r="AA414">
        <f t="shared" si="143"/>
        <v>0</v>
      </c>
      <c r="AB414">
        <f t="shared" si="143"/>
        <v>0</v>
      </c>
      <c r="AC414">
        <f t="shared" si="143"/>
        <v>0</v>
      </c>
      <c r="AD414">
        <f t="shared" si="143"/>
        <v>0</v>
      </c>
      <c r="AE414">
        <f t="shared" si="143"/>
        <v>0</v>
      </c>
      <c r="AF414">
        <f t="shared" si="143"/>
        <v>0</v>
      </c>
      <c r="AG414">
        <f t="shared" si="142"/>
        <v>0</v>
      </c>
      <c r="AH414">
        <f t="shared" si="142"/>
        <v>0</v>
      </c>
      <c r="AI414">
        <f t="shared" si="142"/>
        <v>0</v>
      </c>
      <c r="AJ414">
        <f t="shared" si="142"/>
        <v>0</v>
      </c>
      <c r="AK414">
        <f t="shared" si="142"/>
        <v>0</v>
      </c>
      <c r="AL414">
        <f t="shared" si="142"/>
        <v>0</v>
      </c>
      <c r="AM414">
        <f t="shared" si="142"/>
        <v>0</v>
      </c>
      <c r="AN414">
        <f t="shared" si="142"/>
        <v>0</v>
      </c>
      <c r="AO414">
        <f t="shared" si="142"/>
        <v>0</v>
      </c>
      <c r="AP414">
        <f t="shared" si="142"/>
        <v>0</v>
      </c>
      <c r="AQ414">
        <f t="shared" si="142"/>
        <v>0</v>
      </c>
      <c r="AR414">
        <f t="shared" si="141"/>
        <v>1</v>
      </c>
      <c r="AS414">
        <f t="shared" si="141"/>
        <v>0</v>
      </c>
      <c r="AT414">
        <f t="shared" si="140"/>
        <v>0</v>
      </c>
      <c r="AU414">
        <f t="shared" si="140"/>
        <v>0</v>
      </c>
      <c r="AV414">
        <f t="shared" si="130"/>
        <v>0</v>
      </c>
      <c r="AW414">
        <f t="shared" si="130"/>
        <v>0</v>
      </c>
      <c r="AX414">
        <f t="shared" si="130"/>
        <v>0</v>
      </c>
      <c r="AY414">
        <f t="shared" si="130"/>
        <v>0</v>
      </c>
      <c r="AZ414">
        <f t="shared" si="130"/>
        <v>0</v>
      </c>
    </row>
    <row r="415" spans="1:52" x14ac:dyDescent="0.25">
      <c r="A415" t="s">
        <v>49</v>
      </c>
      <c r="B415" s="3">
        <v>40968</v>
      </c>
      <c r="C415" s="1">
        <v>1668.7210717787204</v>
      </c>
      <c r="D415" s="1">
        <v>92.706726209928917</v>
      </c>
      <c r="E415" s="1">
        <f t="shared" si="135"/>
        <v>822.72107177872067</v>
      </c>
      <c r="F415" s="1">
        <f t="shared" si="136"/>
        <v>846</v>
      </c>
      <c r="G415" s="2">
        <v>18</v>
      </c>
      <c r="H415" s="1">
        <v>45.706726209928924</v>
      </c>
      <c r="I415" s="1">
        <v>47</v>
      </c>
      <c r="J415" s="1">
        <f t="shared" si="138"/>
        <v>1543811.4237534045</v>
      </c>
      <c r="K415" s="1">
        <f t="shared" si="139"/>
        <v>789222.42375340231</v>
      </c>
      <c r="N415">
        <f t="shared" si="137"/>
        <v>0</v>
      </c>
      <c r="O415">
        <f t="shared" si="137"/>
        <v>0</v>
      </c>
      <c r="P415">
        <f t="shared" si="137"/>
        <v>0</v>
      </c>
      <c r="Q415">
        <f t="shared" si="143"/>
        <v>0</v>
      </c>
      <c r="R415">
        <f t="shared" si="143"/>
        <v>0</v>
      </c>
      <c r="S415">
        <f t="shared" si="143"/>
        <v>0</v>
      </c>
      <c r="T415">
        <f t="shared" si="143"/>
        <v>0</v>
      </c>
      <c r="U415">
        <f t="shared" si="143"/>
        <v>0</v>
      </c>
      <c r="V415">
        <f t="shared" si="143"/>
        <v>0</v>
      </c>
      <c r="W415">
        <f t="shared" si="143"/>
        <v>0</v>
      </c>
      <c r="X415">
        <f t="shared" si="143"/>
        <v>0</v>
      </c>
      <c r="Y415">
        <f t="shared" si="143"/>
        <v>0</v>
      </c>
      <c r="Z415">
        <f t="shared" si="143"/>
        <v>0</v>
      </c>
      <c r="AA415">
        <f t="shared" si="143"/>
        <v>1</v>
      </c>
      <c r="AB415">
        <f t="shared" si="143"/>
        <v>0</v>
      </c>
      <c r="AC415">
        <f t="shared" si="143"/>
        <v>0</v>
      </c>
      <c r="AD415">
        <f t="shared" si="143"/>
        <v>0</v>
      </c>
      <c r="AE415">
        <f t="shared" si="143"/>
        <v>0</v>
      </c>
      <c r="AF415">
        <f t="shared" si="143"/>
        <v>0</v>
      </c>
      <c r="AG415">
        <f t="shared" si="142"/>
        <v>0</v>
      </c>
      <c r="AH415">
        <f t="shared" si="142"/>
        <v>0</v>
      </c>
      <c r="AI415">
        <f t="shared" si="142"/>
        <v>0</v>
      </c>
      <c r="AJ415">
        <f t="shared" si="142"/>
        <v>0</v>
      </c>
      <c r="AK415">
        <f t="shared" si="142"/>
        <v>0</v>
      </c>
      <c r="AL415">
        <f t="shared" si="142"/>
        <v>0</v>
      </c>
      <c r="AM415">
        <f t="shared" si="142"/>
        <v>0</v>
      </c>
      <c r="AN415">
        <f t="shared" si="142"/>
        <v>0</v>
      </c>
      <c r="AO415">
        <f t="shared" si="142"/>
        <v>0</v>
      </c>
      <c r="AP415">
        <f t="shared" si="142"/>
        <v>0</v>
      </c>
      <c r="AQ415">
        <f t="shared" si="142"/>
        <v>0</v>
      </c>
      <c r="AR415">
        <f t="shared" si="141"/>
        <v>0</v>
      </c>
      <c r="AS415">
        <f t="shared" si="141"/>
        <v>0</v>
      </c>
      <c r="AT415">
        <f t="shared" si="140"/>
        <v>0</v>
      </c>
      <c r="AU415">
        <f t="shared" si="140"/>
        <v>0</v>
      </c>
      <c r="AV415">
        <f t="shared" si="130"/>
        <v>0</v>
      </c>
      <c r="AW415">
        <f t="shared" si="130"/>
        <v>0</v>
      </c>
      <c r="AX415">
        <f t="shared" si="130"/>
        <v>0</v>
      </c>
      <c r="AY415">
        <f t="shared" si="130"/>
        <v>0</v>
      </c>
      <c r="AZ415">
        <f t="shared" si="130"/>
        <v>0</v>
      </c>
    </row>
    <row r="416" spans="1:52" x14ac:dyDescent="0.25">
      <c r="A416" t="s">
        <v>18</v>
      </c>
      <c r="B416" s="3">
        <v>40962</v>
      </c>
      <c r="C416" s="1">
        <v>3929.5693978042805</v>
      </c>
      <c r="D416" s="1">
        <v>65.49282329673801</v>
      </c>
      <c r="E416" s="1">
        <f t="shared" si="135"/>
        <v>2549.5693978042805</v>
      </c>
      <c r="F416" s="1">
        <f t="shared" si="136"/>
        <v>1380</v>
      </c>
      <c r="G416" s="2">
        <v>60</v>
      </c>
      <c r="H416" s="1">
        <v>42.49282329673801</v>
      </c>
      <c r="I416" s="1">
        <v>23</v>
      </c>
      <c r="J416" s="1">
        <f t="shared" si="138"/>
        <v>1547740.9931512089</v>
      </c>
      <c r="K416" s="1">
        <f t="shared" si="139"/>
        <v>791771.99315120664</v>
      </c>
      <c r="N416">
        <f t="shared" si="137"/>
        <v>0</v>
      </c>
      <c r="O416">
        <f t="shared" si="137"/>
        <v>0</v>
      </c>
      <c r="P416">
        <f t="shared" si="137"/>
        <v>0</v>
      </c>
      <c r="Q416">
        <f t="shared" si="143"/>
        <v>0</v>
      </c>
      <c r="R416">
        <f t="shared" si="143"/>
        <v>0</v>
      </c>
      <c r="S416">
        <f t="shared" si="143"/>
        <v>0</v>
      </c>
      <c r="T416">
        <f t="shared" si="143"/>
        <v>0</v>
      </c>
      <c r="U416">
        <f t="shared" si="143"/>
        <v>1</v>
      </c>
      <c r="V416">
        <f t="shared" si="143"/>
        <v>0</v>
      </c>
      <c r="W416">
        <f t="shared" si="143"/>
        <v>0</v>
      </c>
      <c r="X416">
        <f t="shared" si="143"/>
        <v>0</v>
      </c>
      <c r="Y416">
        <f t="shared" si="143"/>
        <v>0</v>
      </c>
      <c r="Z416">
        <f t="shared" si="143"/>
        <v>0</v>
      </c>
      <c r="AA416">
        <f t="shared" si="143"/>
        <v>0</v>
      </c>
      <c r="AB416">
        <f t="shared" si="143"/>
        <v>0</v>
      </c>
      <c r="AC416">
        <f t="shared" si="143"/>
        <v>0</v>
      </c>
      <c r="AD416">
        <f t="shared" si="143"/>
        <v>0</v>
      </c>
      <c r="AE416">
        <f t="shared" si="143"/>
        <v>0</v>
      </c>
      <c r="AF416">
        <f t="shared" si="143"/>
        <v>0</v>
      </c>
      <c r="AG416">
        <f t="shared" si="142"/>
        <v>0</v>
      </c>
      <c r="AH416">
        <f t="shared" si="142"/>
        <v>0</v>
      </c>
      <c r="AI416">
        <f t="shared" si="142"/>
        <v>0</v>
      </c>
      <c r="AJ416">
        <f t="shared" si="142"/>
        <v>0</v>
      </c>
      <c r="AK416">
        <f t="shared" si="142"/>
        <v>0</v>
      </c>
      <c r="AL416">
        <f t="shared" si="142"/>
        <v>0</v>
      </c>
      <c r="AM416">
        <f t="shared" si="142"/>
        <v>0</v>
      </c>
      <c r="AN416">
        <f t="shared" si="142"/>
        <v>0</v>
      </c>
      <c r="AO416">
        <f t="shared" si="142"/>
        <v>0</v>
      </c>
      <c r="AP416">
        <f t="shared" si="142"/>
        <v>0</v>
      </c>
      <c r="AQ416">
        <f t="shared" si="142"/>
        <v>0</v>
      </c>
      <c r="AR416">
        <f t="shared" si="141"/>
        <v>0</v>
      </c>
      <c r="AS416">
        <f t="shared" si="141"/>
        <v>0</v>
      </c>
      <c r="AT416">
        <f t="shared" si="140"/>
        <v>0</v>
      </c>
      <c r="AU416">
        <f t="shared" si="140"/>
        <v>0</v>
      </c>
      <c r="AV416">
        <f t="shared" si="130"/>
        <v>0</v>
      </c>
      <c r="AW416">
        <f t="shared" si="130"/>
        <v>0</v>
      </c>
      <c r="AX416">
        <f t="shared" si="130"/>
        <v>0</v>
      </c>
      <c r="AY416">
        <f t="shared" si="130"/>
        <v>0</v>
      </c>
      <c r="AZ416">
        <f t="shared" si="130"/>
        <v>0</v>
      </c>
    </row>
    <row r="417" spans="1:52" x14ac:dyDescent="0.25">
      <c r="A417" t="s">
        <v>42</v>
      </c>
      <c r="B417" s="3">
        <v>40958</v>
      </c>
      <c r="C417" s="1">
        <v>2832.5032330315366</v>
      </c>
      <c r="D417" s="1">
        <v>141.62516165157683</v>
      </c>
      <c r="E417" s="1">
        <f t="shared" si="135"/>
        <v>1292.5032330315364</v>
      </c>
      <c r="F417" s="1">
        <f t="shared" si="136"/>
        <v>1540</v>
      </c>
      <c r="G417" s="2">
        <v>20</v>
      </c>
      <c r="H417" s="1">
        <v>64.625161651576818</v>
      </c>
      <c r="I417" s="1">
        <v>77</v>
      </c>
      <c r="J417" s="1">
        <f t="shared" si="138"/>
        <v>1550573.4963842405</v>
      </c>
      <c r="K417" s="1">
        <f t="shared" si="139"/>
        <v>793064.49638423813</v>
      </c>
      <c r="N417">
        <f t="shared" si="137"/>
        <v>0</v>
      </c>
      <c r="O417">
        <f t="shared" si="137"/>
        <v>0</v>
      </c>
      <c r="P417">
        <f t="shared" si="137"/>
        <v>0</v>
      </c>
      <c r="Q417">
        <f t="shared" si="143"/>
        <v>0</v>
      </c>
      <c r="R417">
        <f t="shared" si="143"/>
        <v>0</v>
      </c>
      <c r="S417">
        <f t="shared" si="143"/>
        <v>0</v>
      </c>
      <c r="T417">
        <f t="shared" si="143"/>
        <v>0</v>
      </c>
      <c r="U417">
        <f t="shared" si="143"/>
        <v>0</v>
      </c>
      <c r="V417">
        <f t="shared" si="143"/>
        <v>0</v>
      </c>
      <c r="W417">
        <f t="shared" si="143"/>
        <v>0</v>
      </c>
      <c r="X417">
        <f t="shared" si="143"/>
        <v>0</v>
      </c>
      <c r="Y417">
        <f t="shared" si="143"/>
        <v>0</v>
      </c>
      <c r="Z417">
        <f t="shared" si="143"/>
        <v>1</v>
      </c>
      <c r="AA417">
        <f t="shared" si="143"/>
        <v>0</v>
      </c>
      <c r="AB417">
        <f t="shared" si="143"/>
        <v>0</v>
      </c>
      <c r="AC417">
        <f t="shared" si="143"/>
        <v>0</v>
      </c>
      <c r="AD417">
        <f t="shared" si="143"/>
        <v>0</v>
      </c>
      <c r="AE417">
        <f t="shared" si="143"/>
        <v>0</v>
      </c>
      <c r="AF417">
        <f t="shared" si="143"/>
        <v>0</v>
      </c>
      <c r="AG417">
        <f t="shared" si="142"/>
        <v>0</v>
      </c>
      <c r="AH417">
        <f t="shared" si="142"/>
        <v>0</v>
      </c>
      <c r="AI417">
        <f t="shared" si="142"/>
        <v>0</v>
      </c>
      <c r="AJ417">
        <f t="shared" si="142"/>
        <v>0</v>
      </c>
      <c r="AK417">
        <f t="shared" si="142"/>
        <v>0</v>
      </c>
      <c r="AL417">
        <f t="shared" si="142"/>
        <v>0</v>
      </c>
      <c r="AM417">
        <f t="shared" si="142"/>
        <v>0</v>
      </c>
      <c r="AN417">
        <f t="shared" si="142"/>
        <v>0</v>
      </c>
      <c r="AO417">
        <f t="shared" si="142"/>
        <v>0</v>
      </c>
      <c r="AP417">
        <f t="shared" si="142"/>
        <v>0</v>
      </c>
      <c r="AQ417">
        <f t="shared" si="142"/>
        <v>0</v>
      </c>
      <c r="AR417">
        <f t="shared" si="141"/>
        <v>0</v>
      </c>
      <c r="AS417">
        <f t="shared" si="141"/>
        <v>0</v>
      </c>
      <c r="AT417">
        <f t="shared" si="140"/>
        <v>0</v>
      </c>
      <c r="AU417">
        <f t="shared" si="140"/>
        <v>0</v>
      </c>
      <c r="AV417">
        <f t="shared" si="130"/>
        <v>0</v>
      </c>
      <c r="AW417">
        <f t="shared" si="130"/>
        <v>0</v>
      </c>
      <c r="AX417">
        <f t="shared" si="130"/>
        <v>0</v>
      </c>
      <c r="AY417">
        <f t="shared" si="130"/>
        <v>0</v>
      </c>
      <c r="AZ417">
        <f t="shared" si="130"/>
        <v>0</v>
      </c>
    </row>
    <row r="418" spans="1:52" x14ac:dyDescent="0.25">
      <c r="A418" t="s">
        <v>25</v>
      </c>
      <c r="B418" s="3">
        <v>40924</v>
      </c>
      <c r="C418" s="1">
        <v>5039.5504932188396</v>
      </c>
      <c r="D418" s="1">
        <v>148.22207332996587</v>
      </c>
      <c r="E418" s="1">
        <f t="shared" si="135"/>
        <v>2149.5504932188396</v>
      </c>
      <c r="F418" s="1">
        <f t="shared" si="136"/>
        <v>2890</v>
      </c>
      <c r="G418" s="2">
        <v>34</v>
      </c>
      <c r="H418" s="1">
        <v>63.222073329965873</v>
      </c>
      <c r="I418" s="1">
        <v>85</v>
      </c>
      <c r="J418" s="1">
        <f t="shared" si="138"/>
        <v>1555613.0468774594</v>
      </c>
      <c r="K418" s="1">
        <f t="shared" si="139"/>
        <v>795214.04687745695</v>
      </c>
      <c r="N418">
        <f t="shared" si="137"/>
        <v>0</v>
      </c>
      <c r="O418">
        <f t="shared" si="137"/>
        <v>0</v>
      </c>
      <c r="P418">
        <f t="shared" si="137"/>
        <v>0</v>
      </c>
      <c r="Q418">
        <f t="shared" si="143"/>
        <v>0</v>
      </c>
      <c r="R418">
        <f t="shared" si="143"/>
        <v>0</v>
      </c>
      <c r="S418">
        <f t="shared" si="143"/>
        <v>1</v>
      </c>
      <c r="T418">
        <f t="shared" si="143"/>
        <v>0</v>
      </c>
      <c r="U418">
        <f t="shared" si="143"/>
        <v>0</v>
      </c>
      <c r="V418">
        <f t="shared" si="143"/>
        <v>0</v>
      </c>
      <c r="W418">
        <f t="shared" si="143"/>
        <v>0</v>
      </c>
      <c r="X418">
        <f t="shared" si="143"/>
        <v>0</v>
      </c>
      <c r="Y418">
        <f t="shared" si="143"/>
        <v>0</v>
      </c>
      <c r="Z418">
        <f t="shared" si="143"/>
        <v>0</v>
      </c>
      <c r="AA418">
        <f t="shared" si="143"/>
        <v>0</v>
      </c>
      <c r="AB418">
        <f t="shared" si="143"/>
        <v>0</v>
      </c>
      <c r="AC418">
        <f t="shared" si="143"/>
        <v>0</v>
      </c>
      <c r="AD418">
        <f t="shared" si="143"/>
        <v>0</v>
      </c>
      <c r="AE418">
        <f t="shared" si="143"/>
        <v>0</v>
      </c>
      <c r="AF418">
        <f t="shared" si="143"/>
        <v>0</v>
      </c>
      <c r="AG418">
        <f t="shared" si="142"/>
        <v>0</v>
      </c>
      <c r="AH418">
        <f t="shared" si="142"/>
        <v>0</v>
      </c>
      <c r="AI418">
        <f t="shared" si="142"/>
        <v>0</v>
      </c>
      <c r="AJ418">
        <f t="shared" si="142"/>
        <v>0</v>
      </c>
      <c r="AK418">
        <f t="shared" si="142"/>
        <v>0</v>
      </c>
      <c r="AL418">
        <f t="shared" si="142"/>
        <v>0</v>
      </c>
      <c r="AM418">
        <f t="shared" si="142"/>
        <v>0</v>
      </c>
      <c r="AN418">
        <f t="shared" si="142"/>
        <v>0</v>
      </c>
      <c r="AO418">
        <f t="shared" si="142"/>
        <v>0</v>
      </c>
      <c r="AP418">
        <f t="shared" si="142"/>
        <v>0</v>
      </c>
      <c r="AQ418">
        <f t="shared" si="142"/>
        <v>0</v>
      </c>
      <c r="AR418">
        <f t="shared" si="141"/>
        <v>0</v>
      </c>
      <c r="AS418">
        <f t="shared" si="141"/>
        <v>0</v>
      </c>
      <c r="AT418">
        <f t="shared" si="140"/>
        <v>0</v>
      </c>
      <c r="AU418">
        <f t="shared" si="140"/>
        <v>0</v>
      </c>
      <c r="AV418">
        <f t="shared" si="130"/>
        <v>0</v>
      </c>
      <c r="AW418">
        <f t="shared" si="130"/>
        <v>0</v>
      </c>
      <c r="AX418">
        <f t="shared" si="130"/>
        <v>0</v>
      </c>
      <c r="AY418">
        <f t="shared" si="130"/>
        <v>0</v>
      </c>
      <c r="AZ418">
        <f t="shared" si="130"/>
        <v>0</v>
      </c>
    </row>
    <row r="419" spans="1:52" x14ac:dyDescent="0.25">
      <c r="A419" t="s">
        <v>26</v>
      </c>
      <c r="B419" s="3">
        <v>40913</v>
      </c>
      <c r="C419" s="1">
        <v>3637.8420474358481</v>
      </c>
      <c r="D419" s="1">
        <v>79.08352277034453</v>
      </c>
      <c r="E419" s="1">
        <f t="shared" si="135"/>
        <v>1751.8420474358486</v>
      </c>
      <c r="F419" s="1">
        <f t="shared" si="136"/>
        <v>1886</v>
      </c>
      <c r="G419" s="2">
        <v>46</v>
      </c>
      <c r="H419" s="1">
        <v>38.083522770344537</v>
      </c>
      <c r="I419" s="1">
        <v>41</v>
      </c>
      <c r="J419" s="1">
        <f t="shared" si="138"/>
        <v>1559250.8889248953</v>
      </c>
      <c r="K419" s="1">
        <f t="shared" si="139"/>
        <v>796965.88892489276</v>
      </c>
      <c r="N419">
        <f t="shared" si="137"/>
        <v>1</v>
      </c>
      <c r="O419">
        <f t="shared" si="137"/>
        <v>0</v>
      </c>
      <c r="P419">
        <f t="shared" si="137"/>
        <v>0</v>
      </c>
      <c r="Q419">
        <f t="shared" si="143"/>
        <v>0</v>
      </c>
      <c r="R419">
        <f t="shared" si="143"/>
        <v>0</v>
      </c>
      <c r="S419">
        <f t="shared" si="143"/>
        <v>0</v>
      </c>
      <c r="T419">
        <f t="shared" si="143"/>
        <v>0</v>
      </c>
      <c r="U419">
        <f t="shared" si="143"/>
        <v>0</v>
      </c>
      <c r="V419">
        <f t="shared" si="143"/>
        <v>0</v>
      </c>
      <c r="W419">
        <f t="shared" si="143"/>
        <v>0</v>
      </c>
      <c r="X419">
        <f t="shared" si="143"/>
        <v>0</v>
      </c>
      <c r="Y419">
        <f t="shared" si="143"/>
        <v>0</v>
      </c>
      <c r="Z419">
        <f t="shared" si="143"/>
        <v>0</v>
      </c>
      <c r="AA419">
        <f t="shared" si="143"/>
        <v>0</v>
      </c>
      <c r="AB419">
        <f t="shared" si="143"/>
        <v>0</v>
      </c>
      <c r="AC419">
        <f t="shared" si="143"/>
        <v>0</v>
      </c>
      <c r="AD419">
        <f t="shared" si="143"/>
        <v>0</v>
      </c>
      <c r="AE419">
        <f t="shared" si="143"/>
        <v>0</v>
      </c>
      <c r="AF419">
        <f t="shared" si="143"/>
        <v>0</v>
      </c>
      <c r="AG419">
        <f t="shared" si="142"/>
        <v>0</v>
      </c>
      <c r="AH419">
        <f t="shared" si="142"/>
        <v>0</v>
      </c>
      <c r="AI419">
        <f t="shared" si="142"/>
        <v>0</v>
      </c>
      <c r="AJ419">
        <f t="shared" si="142"/>
        <v>0</v>
      </c>
      <c r="AK419">
        <f t="shared" si="142"/>
        <v>0</v>
      </c>
      <c r="AL419">
        <f t="shared" si="142"/>
        <v>0</v>
      </c>
      <c r="AM419">
        <f t="shared" si="142"/>
        <v>0</v>
      </c>
      <c r="AN419">
        <f t="shared" si="142"/>
        <v>0</v>
      </c>
      <c r="AO419">
        <f t="shared" si="142"/>
        <v>0</v>
      </c>
      <c r="AP419">
        <f t="shared" si="142"/>
        <v>0</v>
      </c>
      <c r="AQ419">
        <f t="shared" si="142"/>
        <v>0</v>
      </c>
      <c r="AR419">
        <f t="shared" si="141"/>
        <v>0</v>
      </c>
      <c r="AS419">
        <f t="shared" si="141"/>
        <v>0</v>
      </c>
      <c r="AT419">
        <f t="shared" si="140"/>
        <v>0</v>
      </c>
      <c r="AU419">
        <f t="shared" si="140"/>
        <v>0</v>
      </c>
      <c r="AV419">
        <f t="shared" si="130"/>
        <v>0</v>
      </c>
      <c r="AW419">
        <f t="shared" si="130"/>
        <v>0</v>
      </c>
      <c r="AX419">
        <f t="shared" si="130"/>
        <v>0</v>
      </c>
      <c r="AY419">
        <f t="shared" si="130"/>
        <v>0</v>
      </c>
      <c r="AZ419">
        <f t="shared" si="130"/>
        <v>0</v>
      </c>
    </row>
    <row r="420" spans="1:52" x14ac:dyDescent="0.25">
      <c r="A420" t="s">
        <v>39</v>
      </c>
      <c r="B420" s="3">
        <v>40904</v>
      </c>
      <c r="C420" s="1">
        <v>4777.0288432806292</v>
      </c>
      <c r="D420" s="1">
        <v>183.73187858771649</v>
      </c>
      <c r="E420" s="1">
        <f t="shared" si="135"/>
        <v>2437.0288432806287</v>
      </c>
      <c r="F420" s="1">
        <f t="shared" si="136"/>
        <v>2340</v>
      </c>
      <c r="G420" s="2">
        <v>26</v>
      </c>
      <c r="H420" s="1">
        <v>93.731878587716494</v>
      </c>
      <c r="I420" s="1">
        <v>90</v>
      </c>
      <c r="J420" s="1">
        <f t="shared" si="138"/>
        <v>1564027.9177681759</v>
      </c>
      <c r="K420" s="1">
        <f t="shared" si="139"/>
        <v>799402.91776817339</v>
      </c>
      <c r="N420">
        <f t="shared" si="137"/>
        <v>0</v>
      </c>
      <c r="O420">
        <f t="shared" si="137"/>
        <v>0</v>
      </c>
      <c r="P420">
        <f t="shared" si="137"/>
        <v>0</v>
      </c>
      <c r="Q420">
        <f t="shared" si="143"/>
        <v>0</v>
      </c>
      <c r="R420">
        <f t="shared" si="143"/>
        <v>0</v>
      </c>
      <c r="S420">
        <f t="shared" si="143"/>
        <v>0</v>
      </c>
      <c r="T420">
        <f t="shared" si="143"/>
        <v>0</v>
      </c>
      <c r="U420">
        <f t="shared" si="143"/>
        <v>0</v>
      </c>
      <c r="V420">
        <f t="shared" si="143"/>
        <v>0</v>
      </c>
      <c r="W420">
        <f t="shared" si="143"/>
        <v>0</v>
      </c>
      <c r="X420">
        <f t="shared" si="143"/>
        <v>0</v>
      </c>
      <c r="Y420">
        <f t="shared" si="143"/>
        <v>1</v>
      </c>
      <c r="Z420">
        <f t="shared" si="143"/>
        <v>0</v>
      </c>
      <c r="AA420">
        <f t="shared" si="143"/>
        <v>0</v>
      </c>
      <c r="AB420">
        <f t="shared" si="143"/>
        <v>0</v>
      </c>
      <c r="AC420">
        <f t="shared" si="143"/>
        <v>0</v>
      </c>
      <c r="AD420">
        <f t="shared" si="143"/>
        <v>0</v>
      </c>
      <c r="AE420">
        <f t="shared" si="143"/>
        <v>0</v>
      </c>
      <c r="AF420">
        <f t="shared" si="143"/>
        <v>0</v>
      </c>
      <c r="AG420">
        <f t="shared" si="142"/>
        <v>0</v>
      </c>
      <c r="AH420">
        <f t="shared" si="142"/>
        <v>0</v>
      </c>
      <c r="AI420">
        <f t="shared" si="142"/>
        <v>0</v>
      </c>
      <c r="AJ420">
        <f t="shared" si="142"/>
        <v>0</v>
      </c>
      <c r="AK420">
        <f t="shared" si="142"/>
        <v>0</v>
      </c>
      <c r="AL420">
        <f t="shared" si="142"/>
        <v>0</v>
      </c>
      <c r="AM420">
        <f t="shared" si="142"/>
        <v>0</v>
      </c>
      <c r="AN420">
        <f t="shared" si="142"/>
        <v>0</v>
      </c>
      <c r="AO420">
        <f t="shared" si="142"/>
        <v>0</v>
      </c>
      <c r="AP420">
        <f t="shared" si="142"/>
        <v>0</v>
      </c>
      <c r="AQ420">
        <f t="shared" si="142"/>
        <v>0</v>
      </c>
      <c r="AR420">
        <f t="shared" si="141"/>
        <v>0</v>
      </c>
      <c r="AS420">
        <f t="shared" si="141"/>
        <v>0</v>
      </c>
      <c r="AT420">
        <f t="shared" si="140"/>
        <v>0</v>
      </c>
      <c r="AU420">
        <f t="shared" si="140"/>
        <v>0</v>
      </c>
      <c r="AV420">
        <f t="shared" ref="AV420:AZ470" si="144">+IF(AV$5=$A420,1,0)</f>
        <v>0</v>
      </c>
      <c r="AW420">
        <f t="shared" si="144"/>
        <v>0</v>
      </c>
      <c r="AX420">
        <f t="shared" si="144"/>
        <v>0</v>
      </c>
      <c r="AY420">
        <f t="shared" si="144"/>
        <v>0</v>
      </c>
      <c r="AZ420">
        <f t="shared" si="144"/>
        <v>0</v>
      </c>
    </row>
    <row r="421" spans="1:52" x14ac:dyDescent="0.25">
      <c r="A421" t="s">
        <v>38</v>
      </c>
      <c r="B421" s="3">
        <v>40903</v>
      </c>
      <c r="C421" s="1">
        <v>999.28417559687614</v>
      </c>
      <c r="D421" s="1">
        <v>142.75488222812515</v>
      </c>
      <c r="E421" s="1">
        <f t="shared" si="135"/>
        <v>488.28417559687608</v>
      </c>
      <c r="F421" s="1">
        <f t="shared" si="136"/>
        <v>511</v>
      </c>
      <c r="G421" s="2">
        <v>7</v>
      </c>
      <c r="H421" s="1">
        <v>69.754882228125155</v>
      </c>
      <c r="I421" s="1">
        <v>73</v>
      </c>
      <c r="J421" s="1">
        <f t="shared" si="138"/>
        <v>1565027.2019437728</v>
      </c>
      <c r="K421" s="1">
        <f t="shared" si="139"/>
        <v>799891.20194377028</v>
      </c>
      <c r="N421">
        <f t="shared" si="137"/>
        <v>0</v>
      </c>
      <c r="O421">
        <f t="shared" si="137"/>
        <v>0</v>
      </c>
      <c r="P421">
        <f t="shared" si="137"/>
        <v>0</v>
      </c>
      <c r="Q421">
        <f t="shared" si="143"/>
        <v>0</v>
      </c>
      <c r="R421">
        <f t="shared" si="143"/>
        <v>0</v>
      </c>
      <c r="S421">
        <f t="shared" si="143"/>
        <v>0</v>
      </c>
      <c r="T421">
        <f t="shared" si="143"/>
        <v>0</v>
      </c>
      <c r="U421">
        <f t="shared" si="143"/>
        <v>0</v>
      </c>
      <c r="V421">
        <f t="shared" si="143"/>
        <v>0</v>
      </c>
      <c r="W421">
        <f t="shared" si="143"/>
        <v>0</v>
      </c>
      <c r="X421">
        <f t="shared" si="143"/>
        <v>0</v>
      </c>
      <c r="Y421">
        <f t="shared" si="143"/>
        <v>0</v>
      </c>
      <c r="Z421">
        <f t="shared" si="143"/>
        <v>0</v>
      </c>
      <c r="AA421">
        <f t="shared" si="143"/>
        <v>0</v>
      </c>
      <c r="AB421">
        <f t="shared" si="143"/>
        <v>1</v>
      </c>
      <c r="AC421">
        <f t="shared" si="143"/>
        <v>0</v>
      </c>
      <c r="AD421">
        <f t="shared" si="143"/>
        <v>0</v>
      </c>
      <c r="AE421">
        <f t="shared" si="143"/>
        <v>0</v>
      </c>
      <c r="AF421">
        <f t="shared" si="143"/>
        <v>0</v>
      </c>
      <c r="AG421">
        <f t="shared" si="142"/>
        <v>0</v>
      </c>
      <c r="AH421">
        <f t="shared" si="142"/>
        <v>0</v>
      </c>
      <c r="AI421">
        <f t="shared" si="142"/>
        <v>0</v>
      </c>
      <c r="AJ421">
        <f t="shared" si="142"/>
        <v>0</v>
      </c>
      <c r="AK421">
        <f t="shared" si="142"/>
        <v>0</v>
      </c>
      <c r="AL421">
        <f t="shared" si="142"/>
        <v>0</v>
      </c>
      <c r="AM421">
        <f t="shared" si="142"/>
        <v>0</v>
      </c>
      <c r="AN421">
        <f t="shared" si="142"/>
        <v>0</v>
      </c>
      <c r="AO421">
        <f t="shared" si="142"/>
        <v>0</v>
      </c>
      <c r="AP421">
        <f t="shared" si="142"/>
        <v>0</v>
      </c>
      <c r="AQ421">
        <f t="shared" si="142"/>
        <v>0</v>
      </c>
      <c r="AR421">
        <f t="shared" si="141"/>
        <v>0</v>
      </c>
      <c r="AS421">
        <f t="shared" si="141"/>
        <v>0</v>
      </c>
      <c r="AT421">
        <f t="shared" si="140"/>
        <v>0</v>
      </c>
      <c r="AU421">
        <f t="shared" si="140"/>
        <v>0</v>
      </c>
      <c r="AV421">
        <f t="shared" si="144"/>
        <v>0</v>
      </c>
      <c r="AW421">
        <f t="shared" si="144"/>
        <v>0</v>
      </c>
      <c r="AX421">
        <f t="shared" si="144"/>
        <v>0</v>
      </c>
      <c r="AY421">
        <f t="shared" si="144"/>
        <v>0</v>
      </c>
      <c r="AZ421">
        <f t="shared" si="144"/>
        <v>0</v>
      </c>
    </row>
    <row r="422" spans="1:52" x14ac:dyDescent="0.25">
      <c r="A422" t="s">
        <v>22</v>
      </c>
      <c r="B422" s="3">
        <v>40903</v>
      </c>
      <c r="C422" s="1">
        <v>2653.5564567678948</v>
      </c>
      <c r="D422" s="1">
        <v>78.045778140232201</v>
      </c>
      <c r="E422" s="1">
        <f t="shared" si="135"/>
        <v>1259.5564567678948</v>
      </c>
      <c r="F422" s="1">
        <f t="shared" si="136"/>
        <v>1394</v>
      </c>
      <c r="G422" s="2">
        <v>34</v>
      </c>
      <c r="H422" s="1">
        <v>37.045778140232201</v>
      </c>
      <c r="I422" s="1">
        <v>41</v>
      </c>
      <c r="J422" s="1">
        <f t="shared" si="138"/>
        <v>1567680.7584005408</v>
      </c>
      <c r="K422" s="1">
        <f t="shared" si="139"/>
        <v>801150.75840053812</v>
      </c>
      <c r="N422">
        <f t="shared" si="137"/>
        <v>0</v>
      </c>
      <c r="O422">
        <f t="shared" si="137"/>
        <v>0</v>
      </c>
      <c r="P422">
        <f t="shared" si="137"/>
        <v>0</v>
      </c>
      <c r="Q422">
        <f t="shared" si="143"/>
        <v>0</v>
      </c>
      <c r="R422">
        <f t="shared" si="143"/>
        <v>0</v>
      </c>
      <c r="S422">
        <f t="shared" si="143"/>
        <v>0</v>
      </c>
      <c r="T422">
        <f t="shared" si="143"/>
        <v>0</v>
      </c>
      <c r="U422">
        <f t="shared" si="143"/>
        <v>0</v>
      </c>
      <c r="V422">
        <f t="shared" si="143"/>
        <v>0</v>
      </c>
      <c r="W422">
        <f t="shared" si="143"/>
        <v>0</v>
      </c>
      <c r="X422">
        <f t="shared" si="143"/>
        <v>0</v>
      </c>
      <c r="Y422">
        <f t="shared" si="143"/>
        <v>0</v>
      </c>
      <c r="Z422">
        <f t="shared" si="143"/>
        <v>0</v>
      </c>
      <c r="AA422">
        <f t="shared" si="143"/>
        <v>0</v>
      </c>
      <c r="AB422">
        <f t="shared" si="143"/>
        <v>0</v>
      </c>
      <c r="AC422">
        <f t="shared" si="143"/>
        <v>0</v>
      </c>
      <c r="AD422">
        <f t="shared" si="143"/>
        <v>0</v>
      </c>
      <c r="AE422">
        <f t="shared" si="143"/>
        <v>0</v>
      </c>
      <c r="AF422">
        <f t="shared" si="143"/>
        <v>0</v>
      </c>
      <c r="AG422">
        <f t="shared" si="142"/>
        <v>0</v>
      </c>
      <c r="AH422">
        <f t="shared" si="142"/>
        <v>0</v>
      </c>
      <c r="AI422">
        <f t="shared" si="142"/>
        <v>0</v>
      </c>
      <c r="AJ422">
        <f t="shared" si="142"/>
        <v>0</v>
      </c>
      <c r="AK422">
        <f t="shared" si="142"/>
        <v>0</v>
      </c>
      <c r="AL422">
        <f t="shared" si="142"/>
        <v>0</v>
      </c>
      <c r="AM422">
        <f t="shared" si="142"/>
        <v>0</v>
      </c>
      <c r="AN422">
        <f t="shared" si="142"/>
        <v>0</v>
      </c>
      <c r="AO422">
        <f t="shared" si="142"/>
        <v>0</v>
      </c>
      <c r="AP422">
        <f t="shared" si="142"/>
        <v>0</v>
      </c>
      <c r="AQ422">
        <f t="shared" si="142"/>
        <v>0</v>
      </c>
      <c r="AR422">
        <f t="shared" si="141"/>
        <v>0</v>
      </c>
      <c r="AS422">
        <f t="shared" si="141"/>
        <v>0</v>
      </c>
      <c r="AT422">
        <f t="shared" si="140"/>
        <v>0</v>
      </c>
      <c r="AU422">
        <f t="shared" si="140"/>
        <v>0</v>
      </c>
      <c r="AV422">
        <f t="shared" si="144"/>
        <v>0</v>
      </c>
      <c r="AW422">
        <f t="shared" si="144"/>
        <v>0</v>
      </c>
      <c r="AX422">
        <f t="shared" si="144"/>
        <v>1</v>
      </c>
      <c r="AY422">
        <f t="shared" si="144"/>
        <v>0</v>
      </c>
      <c r="AZ422">
        <f t="shared" si="144"/>
        <v>0</v>
      </c>
    </row>
    <row r="423" spans="1:52" x14ac:dyDescent="0.25">
      <c r="A423" t="s">
        <v>35</v>
      </c>
      <c r="B423" s="3">
        <v>40898</v>
      </c>
      <c r="C423" s="1">
        <v>2386.5684879247269</v>
      </c>
      <c r="D423" s="1">
        <v>103.76384730107509</v>
      </c>
      <c r="E423" s="1">
        <f t="shared" si="135"/>
        <v>1006.568487924727</v>
      </c>
      <c r="F423" s="1">
        <f t="shared" si="136"/>
        <v>1380</v>
      </c>
      <c r="G423" s="2">
        <v>23</v>
      </c>
      <c r="H423" s="1">
        <v>43.763847301075089</v>
      </c>
      <c r="I423" s="1">
        <v>60</v>
      </c>
      <c r="J423" s="1">
        <f t="shared" si="138"/>
        <v>1570067.3268884656</v>
      </c>
      <c r="K423" s="1">
        <f t="shared" si="139"/>
        <v>802157.32688846288</v>
      </c>
      <c r="N423">
        <f t="shared" si="137"/>
        <v>0</v>
      </c>
      <c r="O423">
        <f t="shared" si="137"/>
        <v>0</v>
      </c>
      <c r="P423">
        <f t="shared" si="137"/>
        <v>0</v>
      </c>
      <c r="Q423">
        <f t="shared" si="143"/>
        <v>0</v>
      </c>
      <c r="R423">
        <f t="shared" si="143"/>
        <v>0</v>
      </c>
      <c r="S423">
        <f t="shared" si="143"/>
        <v>0</v>
      </c>
      <c r="T423">
        <f t="shared" si="143"/>
        <v>0</v>
      </c>
      <c r="U423">
        <f t="shared" si="143"/>
        <v>0</v>
      </c>
      <c r="V423">
        <f t="shared" si="143"/>
        <v>0</v>
      </c>
      <c r="W423">
        <f t="shared" si="143"/>
        <v>0</v>
      </c>
      <c r="X423">
        <f t="shared" si="143"/>
        <v>0</v>
      </c>
      <c r="Y423">
        <f t="shared" si="143"/>
        <v>0</v>
      </c>
      <c r="Z423">
        <f t="shared" si="143"/>
        <v>0</v>
      </c>
      <c r="AA423">
        <f t="shared" si="143"/>
        <v>0</v>
      </c>
      <c r="AB423">
        <f t="shared" si="143"/>
        <v>0</v>
      </c>
      <c r="AC423">
        <f t="shared" si="143"/>
        <v>0</v>
      </c>
      <c r="AD423">
        <f t="shared" si="143"/>
        <v>0</v>
      </c>
      <c r="AE423">
        <f t="shared" si="143"/>
        <v>0</v>
      </c>
      <c r="AF423">
        <f t="shared" si="143"/>
        <v>0</v>
      </c>
      <c r="AG423">
        <f t="shared" si="142"/>
        <v>0</v>
      </c>
      <c r="AH423">
        <f t="shared" si="142"/>
        <v>0</v>
      </c>
      <c r="AI423">
        <f t="shared" si="142"/>
        <v>0</v>
      </c>
      <c r="AJ423">
        <f t="shared" si="142"/>
        <v>0</v>
      </c>
      <c r="AK423">
        <f t="shared" si="142"/>
        <v>0</v>
      </c>
      <c r="AL423">
        <f t="shared" si="142"/>
        <v>1</v>
      </c>
      <c r="AM423">
        <f t="shared" si="142"/>
        <v>0</v>
      </c>
      <c r="AN423">
        <f t="shared" si="142"/>
        <v>0</v>
      </c>
      <c r="AO423">
        <f t="shared" si="142"/>
        <v>0</v>
      </c>
      <c r="AP423">
        <f t="shared" si="142"/>
        <v>0</v>
      </c>
      <c r="AQ423">
        <f t="shared" si="142"/>
        <v>0</v>
      </c>
      <c r="AR423">
        <f t="shared" si="141"/>
        <v>0</v>
      </c>
      <c r="AS423">
        <f t="shared" si="141"/>
        <v>0</v>
      </c>
      <c r="AT423">
        <f t="shared" si="140"/>
        <v>0</v>
      </c>
      <c r="AU423">
        <f t="shared" si="140"/>
        <v>0</v>
      </c>
      <c r="AV423">
        <f t="shared" si="144"/>
        <v>0</v>
      </c>
      <c r="AW423">
        <f t="shared" si="144"/>
        <v>0</v>
      </c>
      <c r="AX423">
        <f t="shared" si="144"/>
        <v>0</v>
      </c>
      <c r="AY423">
        <f t="shared" si="144"/>
        <v>0</v>
      </c>
      <c r="AZ423">
        <f t="shared" si="144"/>
        <v>0</v>
      </c>
    </row>
    <row r="424" spans="1:52" x14ac:dyDescent="0.25">
      <c r="A424" t="s">
        <v>39</v>
      </c>
      <c r="B424" s="3">
        <v>40898</v>
      </c>
      <c r="C424" s="1">
        <v>4052.9053219022499</v>
      </c>
      <c r="D424" s="1">
        <v>135.09684406340833</v>
      </c>
      <c r="E424" s="1">
        <f t="shared" si="135"/>
        <v>2072.9053219022499</v>
      </c>
      <c r="F424" s="1">
        <f t="shared" si="136"/>
        <v>1980</v>
      </c>
      <c r="G424" s="2">
        <v>30</v>
      </c>
      <c r="H424" s="1">
        <v>69.096844063408327</v>
      </c>
      <c r="I424" s="1">
        <v>66</v>
      </c>
      <c r="J424" s="1">
        <f t="shared" si="138"/>
        <v>1574120.2322103679</v>
      </c>
      <c r="K424" s="1">
        <f t="shared" si="139"/>
        <v>804230.23221036512</v>
      </c>
      <c r="N424">
        <f t="shared" si="137"/>
        <v>0</v>
      </c>
      <c r="O424">
        <f t="shared" si="137"/>
        <v>0</v>
      </c>
      <c r="P424">
        <f t="shared" si="137"/>
        <v>0</v>
      </c>
      <c r="Q424">
        <f t="shared" si="143"/>
        <v>0</v>
      </c>
      <c r="R424">
        <f t="shared" si="143"/>
        <v>0</v>
      </c>
      <c r="S424">
        <f t="shared" si="143"/>
        <v>0</v>
      </c>
      <c r="T424">
        <f t="shared" si="143"/>
        <v>0</v>
      </c>
      <c r="U424">
        <f t="shared" si="143"/>
        <v>0</v>
      </c>
      <c r="V424">
        <f t="shared" si="143"/>
        <v>0</v>
      </c>
      <c r="W424">
        <f t="shared" si="143"/>
        <v>0</v>
      </c>
      <c r="X424">
        <f t="shared" si="143"/>
        <v>0</v>
      </c>
      <c r="Y424">
        <f t="shared" si="143"/>
        <v>1</v>
      </c>
      <c r="Z424">
        <f t="shared" si="143"/>
        <v>0</v>
      </c>
      <c r="AA424">
        <f t="shared" si="143"/>
        <v>0</v>
      </c>
      <c r="AB424">
        <f t="shared" si="143"/>
        <v>0</v>
      </c>
      <c r="AC424">
        <f t="shared" si="143"/>
        <v>0</v>
      </c>
      <c r="AD424">
        <f t="shared" si="143"/>
        <v>0</v>
      </c>
      <c r="AE424">
        <f t="shared" si="143"/>
        <v>0</v>
      </c>
      <c r="AF424">
        <f t="shared" ref="AF424:AU439" si="145">+IF(AF$5=$A424,1,0)</f>
        <v>0</v>
      </c>
      <c r="AG424">
        <f t="shared" si="145"/>
        <v>0</v>
      </c>
      <c r="AH424">
        <f t="shared" si="145"/>
        <v>0</v>
      </c>
      <c r="AI424">
        <f t="shared" si="145"/>
        <v>0</v>
      </c>
      <c r="AJ424">
        <f t="shared" si="145"/>
        <v>0</v>
      </c>
      <c r="AK424">
        <f t="shared" si="145"/>
        <v>0</v>
      </c>
      <c r="AL424">
        <f t="shared" si="145"/>
        <v>0</v>
      </c>
      <c r="AM424">
        <f t="shared" si="145"/>
        <v>0</v>
      </c>
      <c r="AN424">
        <f t="shared" si="145"/>
        <v>0</v>
      </c>
      <c r="AO424">
        <f t="shared" si="145"/>
        <v>0</v>
      </c>
      <c r="AP424">
        <f t="shared" si="145"/>
        <v>0</v>
      </c>
      <c r="AQ424">
        <f t="shared" si="145"/>
        <v>0</v>
      </c>
      <c r="AR424">
        <f t="shared" si="145"/>
        <v>0</v>
      </c>
      <c r="AS424">
        <f t="shared" si="145"/>
        <v>0</v>
      </c>
      <c r="AT424">
        <f t="shared" si="145"/>
        <v>0</v>
      </c>
      <c r="AU424">
        <f t="shared" si="145"/>
        <v>0</v>
      </c>
      <c r="AV424">
        <f t="shared" si="144"/>
        <v>0</v>
      </c>
      <c r="AW424">
        <f t="shared" si="144"/>
        <v>0</v>
      </c>
      <c r="AX424">
        <f t="shared" si="144"/>
        <v>0</v>
      </c>
      <c r="AY424">
        <f t="shared" si="144"/>
        <v>0</v>
      </c>
      <c r="AZ424">
        <f t="shared" si="144"/>
        <v>0</v>
      </c>
    </row>
    <row r="425" spans="1:52" x14ac:dyDescent="0.25">
      <c r="A425" t="s">
        <v>30</v>
      </c>
      <c r="B425" s="3">
        <v>40892</v>
      </c>
      <c r="C425" s="1">
        <v>2881.6136271834175</v>
      </c>
      <c r="D425" s="1">
        <v>99.365987144255769</v>
      </c>
      <c r="E425" s="1">
        <f t="shared" si="135"/>
        <v>1228.6136271834175</v>
      </c>
      <c r="F425" s="1">
        <f t="shared" si="136"/>
        <v>1653</v>
      </c>
      <c r="G425" s="2">
        <v>29</v>
      </c>
      <c r="H425" s="1">
        <v>42.365987144255776</v>
      </c>
      <c r="I425" s="1">
        <v>57</v>
      </c>
      <c r="J425" s="1">
        <f t="shared" si="138"/>
        <v>1577001.8458375514</v>
      </c>
      <c r="K425" s="1">
        <f t="shared" si="139"/>
        <v>805458.84583754849</v>
      </c>
      <c r="N425">
        <f t="shared" si="137"/>
        <v>0</v>
      </c>
      <c r="O425">
        <f t="shared" si="137"/>
        <v>0</v>
      </c>
      <c r="P425">
        <f t="shared" si="137"/>
        <v>0</v>
      </c>
      <c r="Q425">
        <f t="shared" ref="Q425:AF440" si="146">+IF(Q$5=$A425,1,0)</f>
        <v>0</v>
      </c>
      <c r="R425">
        <f t="shared" si="146"/>
        <v>0</v>
      </c>
      <c r="S425">
        <f t="shared" si="146"/>
        <v>0</v>
      </c>
      <c r="T425">
        <f t="shared" si="146"/>
        <v>0</v>
      </c>
      <c r="U425">
        <f t="shared" si="146"/>
        <v>0</v>
      </c>
      <c r="V425">
        <f t="shared" si="146"/>
        <v>0</v>
      </c>
      <c r="W425">
        <f t="shared" si="146"/>
        <v>0</v>
      </c>
      <c r="X425">
        <f t="shared" si="146"/>
        <v>0</v>
      </c>
      <c r="Y425">
        <f t="shared" si="146"/>
        <v>0</v>
      </c>
      <c r="Z425">
        <f t="shared" si="146"/>
        <v>0</v>
      </c>
      <c r="AA425">
        <f t="shared" si="146"/>
        <v>0</v>
      </c>
      <c r="AB425">
        <f t="shared" si="146"/>
        <v>0</v>
      </c>
      <c r="AC425">
        <f t="shared" si="146"/>
        <v>0</v>
      </c>
      <c r="AD425">
        <f t="shared" si="146"/>
        <v>0</v>
      </c>
      <c r="AE425">
        <f t="shared" si="146"/>
        <v>0</v>
      </c>
      <c r="AF425">
        <f t="shared" si="146"/>
        <v>0</v>
      </c>
      <c r="AG425">
        <f t="shared" si="145"/>
        <v>0</v>
      </c>
      <c r="AH425">
        <f t="shared" si="145"/>
        <v>0</v>
      </c>
      <c r="AI425">
        <f t="shared" si="145"/>
        <v>0</v>
      </c>
      <c r="AJ425">
        <f t="shared" si="145"/>
        <v>0</v>
      </c>
      <c r="AK425">
        <f t="shared" si="145"/>
        <v>0</v>
      </c>
      <c r="AL425">
        <f t="shared" si="145"/>
        <v>0</v>
      </c>
      <c r="AM425">
        <f t="shared" si="145"/>
        <v>0</v>
      </c>
      <c r="AN425">
        <f t="shared" si="145"/>
        <v>0</v>
      </c>
      <c r="AO425">
        <f t="shared" si="145"/>
        <v>0</v>
      </c>
      <c r="AP425">
        <f t="shared" si="145"/>
        <v>0</v>
      </c>
      <c r="AQ425">
        <f t="shared" si="145"/>
        <v>0</v>
      </c>
      <c r="AR425">
        <f t="shared" si="145"/>
        <v>0</v>
      </c>
      <c r="AS425">
        <f t="shared" si="145"/>
        <v>0</v>
      </c>
      <c r="AT425">
        <f t="shared" si="145"/>
        <v>0</v>
      </c>
      <c r="AU425">
        <f t="shared" si="145"/>
        <v>0</v>
      </c>
      <c r="AV425">
        <f t="shared" si="144"/>
        <v>1</v>
      </c>
      <c r="AW425">
        <f t="shared" si="144"/>
        <v>0</v>
      </c>
      <c r="AX425">
        <f t="shared" si="144"/>
        <v>0</v>
      </c>
      <c r="AY425">
        <f t="shared" si="144"/>
        <v>0</v>
      </c>
      <c r="AZ425">
        <f t="shared" si="144"/>
        <v>0</v>
      </c>
    </row>
    <row r="426" spans="1:52" x14ac:dyDescent="0.25">
      <c r="A426" t="s">
        <v>36</v>
      </c>
      <c r="B426" s="3">
        <v>40857</v>
      </c>
      <c r="C426" s="1">
        <v>458.36908671125639</v>
      </c>
      <c r="D426" s="1">
        <v>152.78969557041879</v>
      </c>
      <c r="E426" s="1">
        <f t="shared" si="135"/>
        <v>218.36908671125636</v>
      </c>
      <c r="F426" s="1">
        <f t="shared" si="136"/>
        <v>240</v>
      </c>
      <c r="G426" s="2">
        <v>3</v>
      </c>
      <c r="H426" s="1">
        <v>72.789695570418786</v>
      </c>
      <c r="I426" s="1">
        <v>80</v>
      </c>
      <c r="J426" s="1">
        <f t="shared" si="138"/>
        <v>1577460.2149242626</v>
      </c>
      <c r="K426" s="1">
        <f t="shared" si="139"/>
        <v>805677.21492425969</v>
      </c>
      <c r="N426">
        <f t="shared" si="137"/>
        <v>0</v>
      </c>
      <c r="O426">
        <f t="shared" si="137"/>
        <v>0</v>
      </c>
      <c r="P426">
        <f t="shared" si="137"/>
        <v>0</v>
      </c>
      <c r="Q426">
        <f t="shared" si="146"/>
        <v>0</v>
      </c>
      <c r="R426">
        <f t="shared" si="146"/>
        <v>0</v>
      </c>
      <c r="S426">
        <f t="shared" si="146"/>
        <v>0</v>
      </c>
      <c r="T426">
        <f t="shared" si="146"/>
        <v>0</v>
      </c>
      <c r="U426">
        <f t="shared" si="146"/>
        <v>0</v>
      </c>
      <c r="V426">
        <f t="shared" si="146"/>
        <v>0</v>
      </c>
      <c r="W426">
        <f t="shared" si="146"/>
        <v>0</v>
      </c>
      <c r="X426">
        <f t="shared" si="146"/>
        <v>0</v>
      </c>
      <c r="Y426">
        <f t="shared" si="146"/>
        <v>0</v>
      </c>
      <c r="Z426">
        <f t="shared" si="146"/>
        <v>0</v>
      </c>
      <c r="AA426">
        <f t="shared" si="146"/>
        <v>0</v>
      </c>
      <c r="AB426">
        <f t="shared" si="146"/>
        <v>0</v>
      </c>
      <c r="AC426">
        <f t="shared" si="146"/>
        <v>0</v>
      </c>
      <c r="AD426">
        <f t="shared" si="146"/>
        <v>0</v>
      </c>
      <c r="AE426">
        <f t="shared" si="146"/>
        <v>0</v>
      </c>
      <c r="AF426">
        <f t="shared" si="146"/>
        <v>0</v>
      </c>
      <c r="AG426">
        <f t="shared" si="145"/>
        <v>0</v>
      </c>
      <c r="AH426">
        <f t="shared" si="145"/>
        <v>0</v>
      </c>
      <c r="AI426">
        <f t="shared" si="145"/>
        <v>0</v>
      </c>
      <c r="AJ426">
        <f t="shared" si="145"/>
        <v>0</v>
      </c>
      <c r="AK426">
        <f t="shared" si="145"/>
        <v>0</v>
      </c>
      <c r="AL426">
        <f t="shared" si="145"/>
        <v>0</v>
      </c>
      <c r="AM426">
        <f t="shared" si="145"/>
        <v>0</v>
      </c>
      <c r="AN426">
        <f t="shared" si="145"/>
        <v>0</v>
      </c>
      <c r="AO426">
        <f t="shared" si="145"/>
        <v>1</v>
      </c>
      <c r="AP426">
        <f t="shared" si="145"/>
        <v>0</v>
      </c>
      <c r="AQ426">
        <f t="shared" si="145"/>
        <v>0</v>
      </c>
      <c r="AR426">
        <f t="shared" si="145"/>
        <v>0</v>
      </c>
      <c r="AS426">
        <f t="shared" si="145"/>
        <v>0</v>
      </c>
      <c r="AT426">
        <f t="shared" si="145"/>
        <v>0</v>
      </c>
      <c r="AU426">
        <f t="shared" si="145"/>
        <v>0</v>
      </c>
      <c r="AV426">
        <f t="shared" si="144"/>
        <v>0</v>
      </c>
      <c r="AW426">
        <f t="shared" si="144"/>
        <v>0</v>
      </c>
      <c r="AX426">
        <f t="shared" si="144"/>
        <v>0</v>
      </c>
      <c r="AY426">
        <f t="shared" si="144"/>
        <v>0</v>
      </c>
      <c r="AZ426">
        <f t="shared" si="144"/>
        <v>0</v>
      </c>
    </row>
    <row r="427" spans="1:52" x14ac:dyDescent="0.25">
      <c r="A427" t="s">
        <v>16</v>
      </c>
      <c r="B427" s="3">
        <v>40838</v>
      </c>
      <c r="C427" s="1">
        <v>5748.1970867085693</v>
      </c>
      <c r="D427" s="1">
        <v>151.2683443870676</v>
      </c>
      <c r="E427" s="1">
        <f t="shared" si="135"/>
        <v>2784.1970867085688</v>
      </c>
      <c r="F427" s="1">
        <f t="shared" si="136"/>
        <v>2964</v>
      </c>
      <c r="G427" s="2">
        <v>38</v>
      </c>
      <c r="H427" s="1">
        <v>73.2683443870676</v>
      </c>
      <c r="I427" s="1">
        <v>78</v>
      </c>
      <c r="J427" s="1">
        <f t="shared" si="138"/>
        <v>1583208.4120109712</v>
      </c>
      <c r="K427" s="1">
        <f t="shared" si="139"/>
        <v>808461.41201096831</v>
      </c>
      <c r="N427">
        <f t="shared" si="137"/>
        <v>0</v>
      </c>
      <c r="O427">
        <f t="shared" si="137"/>
        <v>0</v>
      </c>
      <c r="P427">
        <f t="shared" si="137"/>
        <v>0</v>
      </c>
      <c r="Q427">
        <f t="shared" si="146"/>
        <v>0</v>
      </c>
      <c r="R427">
        <f t="shared" si="146"/>
        <v>0</v>
      </c>
      <c r="S427">
        <f t="shared" si="146"/>
        <v>0</v>
      </c>
      <c r="T427">
        <f t="shared" si="146"/>
        <v>0</v>
      </c>
      <c r="U427">
        <f t="shared" si="146"/>
        <v>0</v>
      </c>
      <c r="V427">
        <f t="shared" si="146"/>
        <v>0</v>
      </c>
      <c r="W427">
        <f t="shared" si="146"/>
        <v>0</v>
      </c>
      <c r="X427">
        <f t="shared" si="146"/>
        <v>0</v>
      </c>
      <c r="Y427">
        <f t="shared" si="146"/>
        <v>0</v>
      </c>
      <c r="Z427">
        <f t="shared" si="146"/>
        <v>0</v>
      </c>
      <c r="AA427">
        <f t="shared" si="146"/>
        <v>0</v>
      </c>
      <c r="AB427">
        <f t="shared" si="146"/>
        <v>0</v>
      </c>
      <c r="AC427">
        <f t="shared" si="146"/>
        <v>0</v>
      </c>
      <c r="AD427">
        <f t="shared" si="146"/>
        <v>0</v>
      </c>
      <c r="AE427">
        <f t="shared" si="146"/>
        <v>0</v>
      </c>
      <c r="AF427">
        <f t="shared" si="146"/>
        <v>0</v>
      </c>
      <c r="AG427">
        <f t="shared" si="145"/>
        <v>0</v>
      </c>
      <c r="AH427">
        <f t="shared" si="145"/>
        <v>0</v>
      </c>
      <c r="AI427">
        <f t="shared" si="145"/>
        <v>0</v>
      </c>
      <c r="AJ427">
        <f t="shared" si="145"/>
        <v>0</v>
      </c>
      <c r="AK427">
        <f t="shared" si="145"/>
        <v>0</v>
      </c>
      <c r="AL427">
        <f t="shared" si="145"/>
        <v>0</v>
      </c>
      <c r="AM427">
        <f t="shared" si="145"/>
        <v>0</v>
      </c>
      <c r="AN427">
        <f t="shared" si="145"/>
        <v>1</v>
      </c>
      <c r="AO427">
        <f t="shared" si="145"/>
        <v>0</v>
      </c>
      <c r="AP427">
        <f t="shared" si="145"/>
        <v>0</v>
      </c>
      <c r="AQ427">
        <f t="shared" si="145"/>
        <v>0</v>
      </c>
      <c r="AR427">
        <f t="shared" si="145"/>
        <v>0</v>
      </c>
      <c r="AS427">
        <f t="shared" si="145"/>
        <v>0</v>
      </c>
      <c r="AT427">
        <f t="shared" si="145"/>
        <v>0</v>
      </c>
      <c r="AU427">
        <f t="shared" si="145"/>
        <v>0</v>
      </c>
      <c r="AV427">
        <f t="shared" si="144"/>
        <v>0</v>
      </c>
      <c r="AW427">
        <f t="shared" si="144"/>
        <v>0</v>
      </c>
      <c r="AX427">
        <f t="shared" si="144"/>
        <v>0</v>
      </c>
      <c r="AY427">
        <f t="shared" si="144"/>
        <v>0</v>
      </c>
      <c r="AZ427">
        <f t="shared" si="144"/>
        <v>0</v>
      </c>
    </row>
    <row r="428" spans="1:52" x14ac:dyDescent="0.25">
      <c r="A428" t="s">
        <v>49</v>
      </c>
      <c r="B428" s="3">
        <v>40838</v>
      </c>
      <c r="C428" s="1">
        <v>805.67923352712171</v>
      </c>
      <c r="D428" s="1">
        <v>134.27987225452028</v>
      </c>
      <c r="E428" s="1">
        <f t="shared" si="135"/>
        <v>385.67923352712171</v>
      </c>
      <c r="F428" s="1">
        <f t="shared" si="136"/>
        <v>420</v>
      </c>
      <c r="G428" s="2">
        <v>6</v>
      </c>
      <c r="H428" s="1">
        <v>64.279872254520285</v>
      </c>
      <c r="I428" s="1">
        <v>70</v>
      </c>
      <c r="J428" s="1">
        <f t="shared" si="138"/>
        <v>1584014.0912444983</v>
      </c>
      <c r="K428" s="1">
        <f t="shared" si="139"/>
        <v>808847.09124449547</v>
      </c>
      <c r="N428">
        <f t="shared" si="137"/>
        <v>0</v>
      </c>
      <c r="O428">
        <f t="shared" si="137"/>
        <v>0</v>
      </c>
      <c r="P428">
        <f t="shared" si="137"/>
        <v>0</v>
      </c>
      <c r="Q428">
        <f t="shared" si="146"/>
        <v>0</v>
      </c>
      <c r="R428">
        <f t="shared" si="146"/>
        <v>0</v>
      </c>
      <c r="S428">
        <f t="shared" si="146"/>
        <v>0</v>
      </c>
      <c r="T428">
        <f t="shared" si="146"/>
        <v>0</v>
      </c>
      <c r="U428">
        <f t="shared" si="146"/>
        <v>0</v>
      </c>
      <c r="V428">
        <f t="shared" si="146"/>
        <v>0</v>
      </c>
      <c r="W428">
        <f t="shared" si="146"/>
        <v>0</v>
      </c>
      <c r="X428">
        <f t="shared" si="146"/>
        <v>0</v>
      </c>
      <c r="Y428">
        <f t="shared" si="146"/>
        <v>0</v>
      </c>
      <c r="Z428">
        <f t="shared" si="146"/>
        <v>0</v>
      </c>
      <c r="AA428">
        <f t="shared" si="146"/>
        <v>1</v>
      </c>
      <c r="AB428">
        <f t="shared" si="146"/>
        <v>0</v>
      </c>
      <c r="AC428">
        <f t="shared" si="146"/>
        <v>0</v>
      </c>
      <c r="AD428">
        <f t="shared" si="146"/>
        <v>0</v>
      </c>
      <c r="AE428">
        <f t="shared" si="146"/>
        <v>0</v>
      </c>
      <c r="AF428">
        <f t="shared" si="146"/>
        <v>0</v>
      </c>
      <c r="AG428">
        <f t="shared" si="145"/>
        <v>0</v>
      </c>
      <c r="AH428">
        <f t="shared" si="145"/>
        <v>0</v>
      </c>
      <c r="AI428">
        <f t="shared" si="145"/>
        <v>0</v>
      </c>
      <c r="AJ428">
        <f t="shared" si="145"/>
        <v>0</v>
      </c>
      <c r="AK428">
        <f t="shared" si="145"/>
        <v>0</v>
      </c>
      <c r="AL428">
        <f t="shared" si="145"/>
        <v>0</v>
      </c>
      <c r="AM428">
        <f t="shared" si="145"/>
        <v>0</v>
      </c>
      <c r="AN428">
        <f t="shared" si="145"/>
        <v>0</v>
      </c>
      <c r="AO428">
        <f t="shared" si="145"/>
        <v>0</v>
      </c>
      <c r="AP428">
        <f t="shared" si="145"/>
        <v>0</v>
      </c>
      <c r="AQ428">
        <f t="shared" si="145"/>
        <v>0</v>
      </c>
      <c r="AR428">
        <f t="shared" si="145"/>
        <v>0</v>
      </c>
      <c r="AS428">
        <f t="shared" si="145"/>
        <v>0</v>
      </c>
      <c r="AT428">
        <f t="shared" si="145"/>
        <v>0</v>
      </c>
      <c r="AU428">
        <f t="shared" si="145"/>
        <v>0</v>
      </c>
      <c r="AV428">
        <f t="shared" si="144"/>
        <v>0</v>
      </c>
      <c r="AW428">
        <f t="shared" si="144"/>
        <v>0</v>
      </c>
      <c r="AX428">
        <f t="shared" si="144"/>
        <v>0</v>
      </c>
      <c r="AY428">
        <f t="shared" si="144"/>
        <v>0</v>
      </c>
      <c r="AZ428">
        <f t="shared" si="144"/>
        <v>0</v>
      </c>
    </row>
    <row r="429" spans="1:52" x14ac:dyDescent="0.25">
      <c r="A429" t="s">
        <v>26</v>
      </c>
      <c r="B429" s="3">
        <v>40822</v>
      </c>
      <c r="C429" s="1">
        <v>996.59915066713552</v>
      </c>
      <c r="D429" s="1">
        <v>110.73323896301505</v>
      </c>
      <c r="E429" s="1">
        <f t="shared" si="135"/>
        <v>411.59915066713552</v>
      </c>
      <c r="F429" s="1">
        <f t="shared" si="136"/>
        <v>585</v>
      </c>
      <c r="G429" s="2">
        <v>9</v>
      </c>
      <c r="H429" s="1">
        <v>45.733238963015054</v>
      </c>
      <c r="I429" s="1">
        <v>65</v>
      </c>
      <c r="J429" s="1">
        <f t="shared" si="138"/>
        <v>1585010.6903951655</v>
      </c>
      <c r="K429" s="1">
        <f t="shared" si="139"/>
        <v>809258.69039516256</v>
      </c>
      <c r="N429">
        <f t="shared" si="137"/>
        <v>1</v>
      </c>
      <c r="O429">
        <f t="shared" si="137"/>
        <v>0</v>
      </c>
      <c r="P429">
        <f t="shared" si="137"/>
        <v>0</v>
      </c>
      <c r="Q429">
        <f t="shared" si="146"/>
        <v>0</v>
      </c>
      <c r="R429">
        <f t="shared" si="146"/>
        <v>0</v>
      </c>
      <c r="S429">
        <f t="shared" si="146"/>
        <v>0</v>
      </c>
      <c r="T429">
        <f t="shared" si="146"/>
        <v>0</v>
      </c>
      <c r="U429">
        <f t="shared" si="146"/>
        <v>0</v>
      </c>
      <c r="V429">
        <f t="shared" si="146"/>
        <v>0</v>
      </c>
      <c r="W429">
        <f t="shared" si="146"/>
        <v>0</v>
      </c>
      <c r="X429">
        <f t="shared" si="146"/>
        <v>0</v>
      </c>
      <c r="Y429">
        <f t="shared" si="146"/>
        <v>0</v>
      </c>
      <c r="Z429">
        <f t="shared" si="146"/>
        <v>0</v>
      </c>
      <c r="AA429">
        <f t="shared" si="146"/>
        <v>0</v>
      </c>
      <c r="AB429">
        <f t="shared" si="146"/>
        <v>0</v>
      </c>
      <c r="AC429">
        <f t="shared" si="146"/>
        <v>0</v>
      </c>
      <c r="AD429">
        <f t="shared" si="146"/>
        <v>0</v>
      </c>
      <c r="AE429">
        <f t="shared" si="146"/>
        <v>0</v>
      </c>
      <c r="AF429">
        <f t="shared" si="146"/>
        <v>0</v>
      </c>
      <c r="AG429">
        <f t="shared" si="145"/>
        <v>0</v>
      </c>
      <c r="AH429">
        <f t="shared" si="145"/>
        <v>0</v>
      </c>
      <c r="AI429">
        <f t="shared" si="145"/>
        <v>0</v>
      </c>
      <c r="AJ429">
        <f t="shared" si="145"/>
        <v>0</v>
      </c>
      <c r="AK429">
        <f t="shared" si="145"/>
        <v>0</v>
      </c>
      <c r="AL429">
        <f t="shared" si="145"/>
        <v>0</v>
      </c>
      <c r="AM429">
        <f t="shared" si="145"/>
        <v>0</v>
      </c>
      <c r="AN429">
        <f t="shared" si="145"/>
        <v>0</v>
      </c>
      <c r="AO429">
        <f t="shared" si="145"/>
        <v>0</v>
      </c>
      <c r="AP429">
        <f t="shared" si="145"/>
        <v>0</v>
      </c>
      <c r="AQ429">
        <f t="shared" si="145"/>
        <v>0</v>
      </c>
      <c r="AR429">
        <f t="shared" si="145"/>
        <v>0</v>
      </c>
      <c r="AS429">
        <f t="shared" si="145"/>
        <v>0</v>
      </c>
      <c r="AT429">
        <f t="shared" si="145"/>
        <v>0</v>
      </c>
      <c r="AU429">
        <f t="shared" si="145"/>
        <v>0</v>
      </c>
      <c r="AV429">
        <f t="shared" si="144"/>
        <v>0</v>
      </c>
      <c r="AW429">
        <f t="shared" si="144"/>
        <v>0</v>
      </c>
      <c r="AX429">
        <f t="shared" si="144"/>
        <v>0</v>
      </c>
      <c r="AY429">
        <f t="shared" si="144"/>
        <v>0</v>
      </c>
      <c r="AZ429">
        <f t="shared" si="144"/>
        <v>0</v>
      </c>
    </row>
    <row r="430" spans="1:52" x14ac:dyDescent="0.25">
      <c r="A430" t="s">
        <v>45</v>
      </c>
      <c r="B430" s="3">
        <v>40817</v>
      </c>
      <c r="C430" s="1">
        <v>9298.4795972802331</v>
      </c>
      <c r="D430" s="1">
        <v>216.24371156465656</v>
      </c>
      <c r="E430" s="1">
        <f t="shared" si="135"/>
        <v>3923.4795972802331</v>
      </c>
      <c r="F430" s="1">
        <f t="shared" si="136"/>
        <v>5375</v>
      </c>
      <c r="G430" s="2">
        <v>43</v>
      </c>
      <c r="H430" s="1">
        <v>91.243711564656579</v>
      </c>
      <c r="I430" s="1">
        <v>125</v>
      </c>
      <c r="J430" s="1">
        <f t="shared" si="138"/>
        <v>1594309.1699924457</v>
      </c>
      <c r="K430" s="1">
        <f t="shared" si="139"/>
        <v>813182.16999244282</v>
      </c>
      <c r="N430">
        <f t="shared" si="137"/>
        <v>0</v>
      </c>
      <c r="O430">
        <f t="shared" si="137"/>
        <v>0</v>
      </c>
      <c r="P430">
        <f t="shared" si="137"/>
        <v>0</v>
      </c>
      <c r="Q430">
        <f t="shared" si="146"/>
        <v>0</v>
      </c>
      <c r="R430">
        <f t="shared" si="146"/>
        <v>0</v>
      </c>
      <c r="S430">
        <f t="shared" si="146"/>
        <v>0</v>
      </c>
      <c r="T430">
        <f t="shared" si="146"/>
        <v>0</v>
      </c>
      <c r="U430">
        <f t="shared" si="146"/>
        <v>0</v>
      </c>
      <c r="V430">
        <f t="shared" si="146"/>
        <v>0</v>
      </c>
      <c r="W430">
        <f t="shared" si="146"/>
        <v>0</v>
      </c>
      <c r="X430">
        <f t="shared" si="146"/>
        <v>0</v>
      </c>
      <c r="Y430">
        <f t="shared" si="146"/>
        <v>0</v>
      </c>
      <c r="Z430">
        <f t="shared" si="146"/>
        <v>0</v>
      </c>
      <c r="AA430">
        <f t="shared" si="146"/>
        <v>0</v>
      </c>
      <c r="AB430">
        <f t="shared" si="146"/>
        <v>0</v>
      </c>
      <c r="AC430">
        <f t="shared" si="146"/>
        <v>0</v>
      </c>
      <c r="AD430">
        <f t="shared" si="146"/>
        <v>0</v>
      </c>
      <c r="AE430">
        <f t="shared" si="146"/>
        <v>0</v>
      </c>
      <c r="AF430">
        <f t="shared" si="146"/>
        <v>0</v>
      </c>
      <c r="AG430">
        <f t="shared" si="145"/>
        <v>0</v>
      </c>
      <c r="AH430">
        <f t="shared" si="145"/>
        <v>0</v>
      </c>
      <c r="AI430">
        <f t="shared" si="145"/>
        <v>0</v>
      </c>
      <c r="AJ430">
        <f t="shared" si="145"/>
        <v>1</v>
      </c>
      <c r="AK430">
        <f t="shared" si="145"/>
        <v>0</v>
      </c>
      <c r="AL430">
        <f t="shared" si="145"/>
        <v>0</v>
      </c>
      <c r="AM430">
        <f t="shared" si="145"/>
        <v>0</v>
      </c>
      <c r="AN430">
        <f t="shared" si="145"/>
        <v>0</v>
      </c>
      <c r="AO430">
        <f t="shared" si="145"/>
        <v>0</v>
      </c>
      <c r="AP430">
        <f t="shared" si="145"/>
        <v>0</v>
      </c>
      <c r="AQ430">
        <f t="shared" si="145"/>
        <v>0</v>
      </c>
      <c r="AR430">
        <f t="shared" si="145"/>
        <v>0</v>
      </c>
      <c r="AS430">
        <f t="shared" si="145"/>
        <v>0</v>
      </c>
      <c r="AT430">
        <f t="shared" si="145"/>
        <v>0</v>
      </c>
      <c r="AU430">
        <f t="shared" si="145"/>
        <v>0</v>
      </c>
      <c r="AV430">
        <f t="shared" si="144"/>
        <v>0</v>
      </c>
      <c r="AW430">
        <f t="shared" si="144"/>
        <v>0</v>
      </c>
      <c r="AX430">
        <f t="shared" si="144"/>
        <v>0</v>
      </c>
      <c r="AY430">
        <f t="shared" si="144"/>
        <v>0</v>
      </c>
      <c r="AZ430">
        <f t="shared" si="144"/>
        <v>0</v>
      </c>
    </row>
    <row r="431" spans="1:52" x14ac:dyDescent="0.25">
      <c r="A431" t="s">
        <v>16</v>
      </c>
      <c r="B431" s="3">
        <v>40792</v>
      </c>
      <c r="C431" s="1">
        <v>886.78258143004041</v>
      </c>
      <c r="D431" s="1">
        <v>98.531397936671155</v>
      </c>
      <c r="E431" s="1">
        <f t="shared" si="135"/>
        <v>526.78258143004041</v>
      </c>
      <c r="F431" s="1">
        <f t="shared" si="136"/>
        <v>360</v>
      </c>
      <c r="G431" s="2">
        <v>9</v>
      </c>
      <c r="H431" s="1">
        <v>58.531397936671155</v>
      </c>
      <c r="I431" s="1">
        <v>40</v>
      </c>
      <c r="J431" s="1">
        <f t="shared" si="138"/>
        <v>1595195.9525738757</v>
      </c>
      <c r="K431" s="1">
        <f t="shared" si="139"/>
        <v>813708.95257387287</v>
      </c>
      <c r="N431">
        <f t="shared" si="137"/>
        <v>0</v>
      </c>
      <c r="O431">
        <f t="shared" si="137"/>
        <v>0</v>
      </c>
      <c r="P431">
        <f t="shared" si="137"/>
        <v>0</v>
      </c>
      <c r="Q431">
        <f t="shared" si="146"/>
        <v>0</v>
      </c>
      <c r="R431">
        <f t="shared" si="146"/>
        <v>0</v>
      </c>
      <c r="S431">
        <f t="shared" si="146"/>
        <v>0</v>
      </c>
      <c r="T431">
        <f t="shared" si="146"/>
        <v>0</v>
      </c>
      <c r="U431">
        <f t="shared" si="146"/>
        <v>0</v>
      </c>
      <c r="V431">
        <f t="shared" si="146"/>
        <v>0</v>
      </c>
      <c r="W431">
        <f t="shared" si="146"/>
        <v>0</v>
      </c>
      <c r="X431">
        <f t="shared" si="146"/>
        <v>0</v>
      </c>
      <c r="Y431">
        <f t="shared" si="146"/>
        <v>0</v>
      </c>
      <c r="Z431">
        <f t="shared" si="146"/>
        <v>0</v>
      </c>
      <c r="AA431">
        <f t="shared" si="146"/>
        <v>0</v>
      </c>
      <c r="AB431">
        <f t="shared" si="146"/>
        <v>0</v>
      </c>
      <c r="AC431">
        <f t="shared" si="146"/>
        <v>0</v>
      </c>
      <c r="AD431">
        <f t="shared" si="146"/>
        <v>0</v>
      </c>
      <c r="AE431">
        <f t="shared" si="146"/>
        <v>0</v>
      </c>
      <c r="AF431">
        <f t="shared" si="146"/>
        <v>0</v>
      </c>
      <c r="AG431">
        <f t="shared" si="145"/>
        <v>0</v>
      </c>
      <c r="AH431">
        <f t="shared" si="145"/>
        <v>0</v>
      </c>
      <c r="AI431">
        <f t="shared" si="145"/>
        <v>0</v>
      </c>
      <c r="AJ431">
        <f t="shared" si="145"/>
        <v>0</v>
      </c>
      <c r="AK431">
        <f t="shared" si="145"/>
        <v>0</v>
      </c>
      <c r="AL431">
        <f t="shared" si="145"/>
        <v>0</v>
      </c>
      <c r="AM431">
        <f t="shared" si="145"/>
        <v>0</v>
      </c>
      <c r="AN431">
        <f t="shared" si="145"/>
        <v>1</v>
      </c>
      <c r="AO431">
        <f t="shared" si="145"/>
        <v>0</v>
      </c>
      <c r="AP431">
        <f t="shared" si="145"/>
        <v>0</v>
      </c>
      <c r="AQ431">
        <f t="shared" si="145"/>
        <v>0</v>
      </c>
      <c r="AR431">
        <f t="shared" si="145"/>
        <v>0</v>
      </c>
      <c r="AS431">
        <f t="shared" si="145"/>
        <v>0</v>
      </c>
      <c r="AT431">
        <f t="shared" si="145"/>
        <v>0</v>
      </c>
      <c r="AU431">
        <f t="shared" si="145"/>
        <v>0</v>
      </c>
      <c r="AV431">
        <f t="shared" si="144"/>
        <v>0</v>
      </c>
      <c r="AW431">
        <f t="shared" si="144"/>
        <v>0</v>
      </c>
      <c r="AX431">
        <f t="shared" si="144"/>
        <v>0</v>
      </c>
      <c r="AY431">
        <f t="shared" si="144"/>
        <v>0</v>
      </c>
      <c r="AZ431">
        <f t="shared" si="144"/>
        <v>0</v>
      </c>
    </row>
    <row r="432" spans="1:52" x14ac:dyDescent="0.25">
      <c r="A432" t="s">
        <v>19</v>
      </c>
      <c r="B432" s="3">
        <v>40783</v>
      </c>
      <c r="C432" s="1">
        <v>1747.48476905098</v>
      </c>
      <c r="D432" s="1">
        <v>91.972882581630529</v>
      </c>
      <c r="E432" s="1">
        <f t="shared" si="135"/>
        <v>873.48476905098005</v>
      </c>
      <c r="F432" s="1">
        <f t="shared" si="136"/>
        <v>874</v>
      </c>
      <c r="G432" s="2">
        <v>19</v>
      </c>
      <c r="H432" s="1">
        <v>45.972882581630529</v>
      </c>
      <c r="I432" s="1">
        <v>46</v>
      </c>
      <c r="J432" s="1">
        <f t="shared" si="138"/>
        <v>1596943.4373429266</v>
      </c>
      <c r="K432" s="1">
        <f t="shared" si="139"/>
        <v>814582.43734292383</v>
      </c>
      <c r="N432">
        <f t="shared" si="137"/>
        <v>0</v>
      </c>
      <c r="O432">
        <f t="shared" si="137"/>
        <v>0</v>
      </c>
      <c r="P432">
        <f t="shared" si="137"/>
        <v>0</v>
      </c>
      <c r="Q432">
        <f t="shared" si="146"/>
        <v>0</v>
      </c>
      <c r="R432">
        <f t="shared" si="146"/>
        <v>0</v>
      </c>
      <c r="S432">
        <f t="shared" si="146"/>
        <v>0</v>
      </c>
      <c r="T432">
        <f t="shared" si="146"/>
        <v>0</v>
      </c>
      <c r="U432">
        <f t="shared" si="146"/>
        <v>0</v>
      </c>
      <c r="V432">
        <f t="shared" si="146"/>
        <v>0</v>
      </c>
      <c r="W432">
        <f t="shared" si="146"/>
        <v>0</v>
      </c>
      <c r="X432">
        <f t="shared" si="146"/>
        <v>0</v>
      </c>
      <c r="Y432">
        <f t="shared" si="146"/>
        <v>0</v>
      </c>
      <c r="Z432">
        <f t="shared" si="146"/>
        <v>0</v>
      </c>
      <c r="AA432">
        <f t="shared" si="146"/>
        <v>0</v>
      </c>
      <c r="AB432">
        <f t="shared" si="146"/>
        <v>0</v>
      </c>
      <c r="AC432">
        <f t="shared" si="146"/>
        <v>0</v>
      </c>
      <c r="AD432">
        <f t="shared" si="146"/>
        <v>0</v>
      </c>
      <c r="AE432">
        <f t="shared" si="146"/>
        <v>0</v>
      </c>
      <c r="AF432">
        <f t="shared" si="146"/>
        <v>0</v>
      </c>
      <c r="AG432">
        <f t="shared" si="145"/>
        <v>0</v>
      </c>
      <c r="AH432">
        <f t="shared" si="145"/>
        <v>0</v>
      </c>
      <c r="AI432">
        <f t="shared" si="145"/>
        <v>0</v>
      </c>
      <c r="AJ432">
        <f t="shared" si="145"/>
        <v>0</v>
      </c>
      <c r="AK432">
        <f t="shared" si="145"/>
        <v>0</v>
      </c>
      <c r="AL432">
        <f t="shared" si="145"/>
        <v>0</v>
      </c>
      <c r="AM432">
        <f t="shared" si="145"/>
        <v>0</v>
      </c>
      <c r="AN432">
        <f t="shared" si="145"/>
        <v>0</v>
      </c>
      <c r="AO432">
        <f t="shared" si="145"/>
        <v>0</v>
      </c>
      <c r="AP432">
        <f t="shared" si="145"/>
        <v>0</v>
      </c>
      <c r="AQ432">
        <f t="shared" si="145"/>
        <v>0</v>
      </c>
      <c r="AR432">
        <f t="shared" si="145"/>
        <v>0</v>
      </c>
      <c r="AS432">
        <f t="shared" si="145"/>
        <v>0</v>
      </c>
      <c r="AT432">
        <f t="shared" si="145"/>
        <v>0</v>
      </c>
      <c r="AU432">
        <f t="shared" si="145"/>
        <v>0</v>
      </c>
      <c r="AV432">
        <f t="shared" si="144"/>
        <v>0</v>
      </c>
      <c r="AW432">
        <f t="shared" si="144"/>
        <v>1</v>
      </c>
      <c r="AX432">
        <f t="shared" si="144"/>
        <v>0</v>
      </c>
      <c r="AY432">
        <f t="shared" si="144"/>
        <v>0</v>
      </c>
      <c r="AZ432">
        <f t="shared" si="144"/>
        <v>0</v>
      </c>
    </row>
    <row r="433" spans="1:52" x14ac:dyDescent="0.25">
      <c r="A433" t="s">
        <v>22</v>
      </c>
      <c r="B433" s="3">
        <v>40777</v>
      </c>
      <c r="C433" s="1">
        <v>2318.6793677703999</v>
      </c>
      <c r="D433" s="1">
        <v>110.4133032271619</v>
      </c>
      <c r="E433" s="1">
        <f t="shared" si="135"/>
        <v>1268.6793677703999</v>
      </c>
      <c r="F433" s="1">
        <f t="shared" si="136"/>
        <v>1050</v>
      </c>
      <c r="G433" s="2">
        <v>21</v>
      </c>
      <c r="H433" s="1">
        <v>60.413303227161904</v>
      </c>
      <c r="I433" s="1">
        <v>50</v>
      </c>
      <c r="J433" s="1">
        <f t="shared" si="138"/>
        <v>1599262.1167106971</v>
      </c>
      <c r="K433" s="1">
        <f t="shared" si="139"/>
        <v>815851.11671069427</v>
      </c>
      <c r="N433">
        <f t="shared" si="137"/>
        <v>0</v>
      </c>
      <c r="O433">
        <f t="shared" si="137"/>
        <v>0</v>
      </c>
      <c r="P433">
        <f t="shared" si="137"/>
        <v>0</v>
      </c>
      <c r="Q433">
        <f t="shared" si="146"/>
        <v>0</v>
      </c>
      <c r="R433">
        <f t="shared" si="146"/>
        <v>0</v>
      </c>
      <c r="S433">
        <f t="shared" si="146"/>
        <v>0</v>
      </c>
      <c r="T433">
        <f t="shared" si="146"/>
        <v>0</v>
      </c>
      <c r="U433">
        <f t="shared" si="146"/>
        <v>0</v>
      </c>
      <c r="V433">
        <f t="shared" si="146"/>
        <v>0</v>
      </c>
      <c r="W433">
        <f t="shared" si="146"/>
        <v>0</v>
      </c>
      <c r="X433">
        <f t="shared" si="146"/>
        <v>0</v>
      </c>
      <c r="Y433">
        <f t="shared" si="146"/>
        <v>0</v>
      </c>
      <c r="Z433">
        <f t="shared" si="146"/>
        <v>0</v>
      </c>
      <c r="AA433">
        <f t="shared" si="146"/>
        <v>0</v>
      </c>
      <c r="AB433">
        <f t="shared" si="146"/>
        <v>0</v>
      </c>
      <c r="AC433">
        <f t="shared" si="146"/>
        <v>0</v>
      </c>
      <c r="AD433">
        <f t="shared" si="146"/>
        <v>0</v>
      </c>
      <c r="AE433">
        <f t="shared" si="146"/>
        <v>0</v>
      </c>
      <c r="AF433">
        <f t="shared" si="146"/>
        <v>0</v>
      </c>
      <c r="AG433">
        <f t="shared" si="145"/>
        <v>0</v>
      </c>
      <c r="AH433">
        <f t="shared" si="145"/>
        <v>0</v>
      </c>
      <c r="AI433">
        <f t="shared" si="145"/>
        <v>0</v>
      </c>
      <c r="AJ433">
        <f t="shared" si="145"/>
        <v>0</v>
      </c>
      <c r="AK433">
        <f t="shared" si="145"/>
        <v>0</v>
      </c>
      <c r="AL433">
        <f t="shared" si="145"/>
        <v>0</v>
      </c>
      <c r="AM433">
        <f t="shared" si="145"/>
        <v>0</v>
      </c>
      <c r="AN433">
        <f t="shared" si="145"/>
        <v>0</v>
      </c>
      <c r="AO433">
        <f t="shared" si="145"/>
        <v>0</v>
      </c>
      <c r="AP433">
        <f t="shared" si="145"/>
        <v>0</v>
      </c>
      <c r="AQ433">
        <f t="shared" si="145"/>
        <v>0</v>
      </c>
      <c r="AR433">
        <f t="shared" si="145"/>
        <v>0</v>
      </c>
      <c r="AS433">
        <f t="shared" si="145"/>
        <v>0</v>
      </c>
      <c r="AT433">
        <f t="shared" si="145"/>
        <v>0</v>
      </c>
      <c r="AU433">
        <f t="shared" si="145"/>
        <v>0</v>
      </c>
      <c r="AV433">
        <f t="shared" si="144"/>
        <v>0</v>
      </c>
      <c r="AW433">
        <f t="shared" si="144"/>
        <v>0</v>
      </c>
      <c r="AX433">
        <f t="shared" si="144"/>
        <v>1</v>
      </c>
      <c r="AY433">
        <f t="shared" si="144"/>
        <v>0</v>
      </c>
      <c r="AZ433">
        <f t="shared" si="144"/>
        <v>0</v>
      </c>
    </row>
    <row r="434" spans="1:52" x14ac:dyDescent="0.25">
      <c r="A434" t="s">
        <v>28</v>
      </c>
      <c r="B434" s="3">
        <v>40749</v>
      </c>
      <c r="C434" s="1">
        <v>319.33864290833856</v>
      </c>
      <c r="D434" s="1">
        <v>106.44621430277951</v>
      </c>
      <c r="E434" s="1">
        <f t="shared" si="135"/>
        <v>160.33864290833856</v>
      </c>
      <c r="F434" s="1">
        <f t="shared" si="136"/>
        <v>159</v>
      </c>
      <c r="G434" s="2">
        <v>3</v>
      </c>
      <c r="H434" s="1">
        <v>53.446214302779516</v>
      </c>
      <c r="I434" s="1">
        <v>53</v>
      </c>
      <c r="J434" s="1">
        <f t="shared" si="138"/>
        <v>1599581.4553536053</v>
      </c>
      <c r="K434" s="1">
        <f t="shared" si="139"/>
        <v>816011.45535360265</v>
      </c>
      <c r="N434">
        <f t="shared" si="137"/>
        <v>0</v>
      </c>
      <c r="O434">
        <f t="shared" si="137"/>
        <v>0</v>
      </c>
      <c r="P434">
        <f t="shared" si="137"/>
        <v>0</v>
      </c>
      <c r="Q434">
        <f t="shared" si="146"/>
        <v>0</v>
      </c>
      <c r="R434">
        <f t="shared" si="146"/>
        <v>0</v>
      </c>
      <c r="S434">
        <f t="shared" si="146"/>
        <v>0</v>
      </c>
      <c r="T434">
        <f t="shared" si="146"/>
        <v>0</v>
      </c>
      <c r="U434">
        <f t="shared" si="146"/>
        <v>0</v>
      </c>
      <c r="V434">
        <f t="shared" si="146"/>
        <v>0</v>
      </c>
      <c r="W434">
        <f t="shared" si="146"/>
        <v>0</v>
      </c>
      <c r="X434">
        <f t="shared" si="146"/>
        <v>0</v>
      </c>
      <c r="Y434">
        <f t="shared" si="146"/>
        <v>0</v>
      </c>
      <c r="Z434">
        <f t="shared" si="146"/>
        <v>0</v>
      </c>
      <c r="AA434">
        <f t="shared" si="146"/>
        <v>0</v>
      </c>
      <c r="AB434">
        <f t="shared" si="146"/>
        <v>0</v>
      </c>
      <c r="AC434">
        <f t="shared" si="146"/>
        <v>0</v>
      </c>
      <c r="AD434">
        <f t="shared" si="146"/>
        <v>0</v>
      </c>
      <c r="AE434">
        <f t="shared" si="146"/>
        <v>0</v>
      </c>
      <c r="AF434">
        <f t="shared" si="146"/>
        <v>0</v>
      </c>
      <c r="AG434">
        <f t="shared" si="145"/>
        <v>0</v>
      </c>
      <c r="AH434">
        <f t="shared" si="145"/>
        <v>0</v>
      </c>
      <c r="AI434">
        <f t="shared" si="145"/>
        <v>0</v>
      </c>
      <c r="AJ434">
        <f t="shared" si="145"/>
        <v>0</v>
      </c>
      <c r="AK434">
        <f t="shared" si="145"/>
        <v>0</v>
      </c>
      <c r="AL434">
        <f t="shared" si="145"/>
        <v>0</v>
      </c>
      <c r="AM434">
        <f t="shared" si="145"/>
        <v>0</v>
      </c>
      <c r="AN434">
        <f t="shared" si="145"/>
        <v>0</v>
      </c>
      <c r="AO434">
        <f t="shared" si="145"/>
        <v>0</v>
      </c>
      <c r="AP434">
        <f t="shared" si="145"/>
        <v>0</v>
      </c>
      <c r="AQ434">
        <f t="shared" si="145"/>
        <v>0</v>
      </c>
      <c r="AR434">
        <f t="shared" si="145"/>
        <v>0</v>
      </c>
      <c r="AS434">
        <f t="shared" si="145"/>
        <v>0</v>
      </c>
      <c r="AT434">
        <f t="shared" si="145"/>
        <v>1</v>
      </c>
      <c r="AU434">
        <f t="shared" si="145"/>
        <v>0</v>
      </c>
      <c r="AV434">
        <f t="shared" si="144"/>
        <v>0</v>
      </c>
      <c r="AW434">
        <f t="shared" si="144"/>
        <v>0</v>
      </c>
      <c r="AX434">
        <f t="shared" si="144"/>
        <v>0</v>
      </c>
      <c r="AY434">
        <f t="shared" si="144"/>
        <v>0</v>
      </c>
      <c r="AZ434">
        <f t="shared" si="144"/>
        <v>0</v>
      </c>
    </row>
    <row r="435" spans="1:52" x14ac:dyDescent="0.25">
      <c r="A435" t="s">
        <v>27</v>
      </c>
      <c r="B435" s="3">
        <v>40740</v>
      </c>
      <c r="C435" s="1">
        <v>4183.9352062754933</v>
      </c>
      <c r="D435" s="1">
        <v>130.74797519610917</v>
      </c>
      <c r="E435" s="1">
        <f t="shared" si="135"/>
        <v>1783.9352062754936</v>
      </c>
      <c r="F435" s="1">
        <f t="shared" si="136"/>
        <v>2400</v>
      </c>
      <c r="G435" s="2">
        <v>32</v>
      </c>
      <c r="H435" s="1">
        <v>55.747975196109174</v>
      </c>
      <c r="I435" s="1">
        <v>75</v>
      </c>
      <c r="J435" s="1">
        <f t="shared" si="138"/>
        <v>1603765.3905598808</v>
      </c>
      <c r="K435" s="1">
        <f t="shared" si="139"/>
        <v>817795.3905598782</v>
      </c>
      <c r="N435">
        <f t="shared" si="137"/>
        <v>0</v>
      </c>
      <c r="O435">
        <f t="shared" si="137"/>
        <v>0</v>
      </c>
      <c r="P435">
        <f t="shared" si="137"/>
        <v>0</v>
      </c>
      <c r="Q435">
        <f t="shared" si="146"/>
        <v>0</v>
      </c>
      <c r="R435">
        <f t="shared" si="146"/>
        <v>0</v>
      </c>
      <c r="S435">
        <f t="shared" si="146"/>
        <v>0</v>
      </c>
      <c r="T435">
        <f t="shared" si="146"/>
        <v>0</v>
      </c>
      <c r="U435">
        <f t="shared" si="146"/>
        <v>0</v>
      </c>
      <c r="V435">
        <f t="shared" si="146"/>
        <v>0</v>
      </c>
      <c r="W435">
        <f t="shared" si="146"/>
        <v>0</v>
      </c>
      <c r="X435">
        <f t="shared" si="146"/>
        <v>0</v>
      </c>
      <c r="Y435">
        <f t="shared" si="146"/>
        <v>0</v>
      </c>
      <c r="Z435">
        <f t="shared" si="146"/>
        <v>0</v>
      </c>
      <c r="AA435">
        <f t="shared" si="146"/>
        <v>0</v>
      </c>
      <c r="AB435">
        <f t="shared" si="146"/>
        <v>0</v>
      </c>
      <c r="AC435">
        <f t="shared" si="146"/>
        <v>1</v>
      </c>
      <c r="AD435">
        <f t="shared" si="146"/>
        <v>0</v>
      </c>
      <c r="AE435">
        <f t="shared" si="146"/>
        <v>0</v>
      </c>
      <c r="AF435">
        <f t="shared" si="146"/>
        <v>0</v>
      </c>
      <c r="AG435">
        <f t="shared" si="145"/>
        <v>0</v>
      </c>
      <c r="AH435">
        <f t="shared" si="145"/>
        <v>0</v>
      </c>
      <c r="AI435">
        <f t="shared" si="145"/>
        <v>0</v>
      </c>
      <c r="AJ435">
        <f t="shared" si="145"/>
        <v>0</v>
      </c>
      <c r="AK435">
        <f t="shared" si="145"/>
        <v>0</v>
      </c>
      <c r="AL435">
        <f t="shared" si="145"/>
        <v>0</v>
      </c>
      <c r="AM435">
        <f t="shared" si="145"/>
        <v>0</v>
      </c>
      <c r="AN435">
        <f t="shared" si="145"/>
        <v>0</v>
      </c>
      <c r="AO435">
        <f t="shared" si="145"/>
        <v>0</v>
      </c>
      <c r="AP435">
        <f t="shared" si="145"/>
        <v>0</v>
      </c>
      <c r="AQ435">
        <f t="shared" si="145"/>
        <v>0</v>
      </c>
      <c r="AR435">
        <f t="shared" si="145"/>
        <v>0</v>
      </c>
      <c r="AS435">
        <f t="shared" si="145"/>
        <v>0</v>
      </c>
      <c r="AT435">
        <f t="shared" si="145"/>
        <v>0</v>
      </c>
      <c r="AU435">
        <f t="shared" si="145"/>
        <v>0</v>
      </c>
      <c r="AV435">
        <f t="shared" si="144"/>
        <v>0</v>
      </c>
      <c r="AW435">
        <f t="shared" si="144"/>
        <v>0</v>
      </c>
      <c r="AX435">
        <f t="shared" si="144"/>
        <v>0</v>
      </c>
      <c r="AY435">
        <f t="shared" si="144"/>
        <v>0</v>
      </c>
      <c r="AZ435">
        <f t="shared" si="144"/>
        <v>0</v>
      </c>
    </row>
    <row r="436" spans="1:52" x14ac:dyDescent="0.25">
      <c r="A436" t="s">
        <v>22</v>
      </c>
      <c r="B436" s="3">
        <v>40733</v>
      </c>
      <c r="C436" s="1">
        <v>5669.6087781202723</v>
      </c>
      <c r="D436" s="1">
        <v>138.28314092976274</v>
      </c>
      <c r="E436" s="1">
        <f t="shared" si="135"/>
        <v>2512.6087781202723</v>
      </c>
      <c r="F436" s="1">
        <f t="shared" si="136"/>
        <v>3157</v>
      </c>
      <c r="G436" s="2">
        <v>41</v>
      </c>
      <c r="H436" s="1">
        <v>61.283140929762737</v>
      </c>
      <c r="I436" s="1">
        <v>77</v>
      </c>
      <c r="J436" s="1">
        <f t="shared" si="138"/>
        <v>1609434.999338001</v>
      </c>
      <c r="K436" s="1">
        <f t="shared" si="139"/>
        <v>820307.99933799845</v>
      </c>
      <c r="N436">
        <f t="shared" si="137"/>
        <v>0</v>
      </c>
      <c r="O436">
        <f t="shared" si="137"/>
        <v>0</v>
      </c>
      <c r="P436">
        <f t="shared" si="137"/>
        <v>0</v>
      </c>
      <c r="Q436">
        <f t="shared" si="146"/>
        <v>0</v>
      </c>
      <c r="R436">
        <f t="shared" si="146"/>
        <v>0</v>
      </c>
      <c r="S436">
        <f t="shared" si="146"/>
        <v>0</v>
      </c>
      <c r="T436">
        <f t="shared" si="146"/>
        <v>0</v>
      </c>
      <c r="U436">
        <f t="shared" si="146"/>
        <v>0</v>
      </c>
      <c r="V436">
        <f t="shared" si="146"/>
        <v>0</v>
      </c>
      <c r="W436">
        <f t="shared" si="146"/>
        <v>0</v>
      </c>
      <c r="X436">
        <f t="shared" si="146"/>
        <v>0</v>
      </c>
      <c r="Y436">
        <f t="shared" si="146"/>
        <v>0</v>
      </c>
      <c r="Z436">
        <f t="shared" si="146"/>
        <v>0</v>
      </c>
      <c r="AA436">
        <f t="shared" si="146"/>
        <v>0</v>
      </c>
      <c r="AB436">
        <f t="shared" si="146"/>
        <v>0</v>
      </c>
      <c r="AC436">
        <f t="shared" si="146"/>
        <v>0</v>
      </c>
      <c r="AD436">
        <f t="shared" si="146"/>
        <v>0</v>
      </c>
      <c r="AE436">
        <f t="shared" si="146"/>
        <v>0</v>
      </c>
      <c r="AF436">
        <f t="shared" si="146"/>
        <v>0</v>
      </c>
      <c r="AG436">
        <f t="shared" si="145"/>
        <v>0</v>
      </c>
      <c r="AH436">
        <f t="shared" si="145"/>
        <v>0</v>
      </c>
      <c r="AI436">
        <f t="shared" si="145"/>
        <v>0</v>
      </c>
      <c r="AJ436">
        <f t="shared" si="145"/>
        <v>0</v>
      </c>
      <c r="AK436">
        <f t="shared" si="145"/>
        <v>0</v>
      </c>
      <c r="AL436">
        <f t="shared" si="145"/>
        <v>0</v>
      </c>
      <c r="AM436">
        <f t="shared" si="145"/>
        <v>0</v>
      </c>
      <c r="AN436">
        <f t="shared" si="145"/>
        <v>0</v>
      </c>
      <c r="AO436">
        <f t="shared" si="145"/>
        <v>0</v>
      </c>
      <c r="AP436">
        <f t="shared" si="145"/>
        <v>0</v>
      </c>
      <c r="AQ436">
        <f t="shared" si="145"/>
        <v>0</v>
      </c>
      <c r="AR436">
        <f t="shared" si="145"/>
        <v>0</v>
      </c>
      <c r="AS436">
        <f t="shared" si="145"/>
        <v>0</v>
      </c>
      <c r="AT436">
        <f t="shared" si="145"/>
        <v>0</v>
      </c>
      <c r="AU436">
        <f t="shared" si="145"/>
        <v>0</v>
      </c>
      <c r="AV436">
        <f t="shared" si="144"/>
        <v>0</v>
      </c>
      <c r="AW436">
        <f t="shared" si="144"/>
        <v>0</v>
      </c>
      <c r="AX436">
        <f t="shared" si="144"/>
        <v>1</v>
      </c>
      <c r="AY436">
        <f t="shared" si="144"/>
        <v>0</v>
      </c>
      <c r="AZ436">
        <f t="shared" si="144"/>
        <v>0</v>
      </c>
    </row>
    <row r="437" spans="1:52" x14ac:dyDescent="0.25">
      <c r="A437" t="s">
        <v>23</v>
      </c>
      <c r="B437" s="3">
        <v>40720</v>
      </c>
      <c r="C437" s="1">
        <v>682.47289906258391</v>
      </c>
      <c r="D437" s="1">
        <v>28.436370794274328</v>
      </c>
      <c r="E437" s="1">
        <f t="shared" si="135"/>
        <v>442.47289906258391</v>
      </c>
      <c r="F437" s="1">
        <f t="shared" si="136"/>
        <v>240</v>
      </c>
      <c r="G437" s="2">
        <v>24</v>
      </c>
      <c r="H437" s="1">
        <v>18.436370794274328</v>
      </c>
      <c r="I437" s="1">
        <v>10</v>
      </c>
      <c r="J437" s="1">
        <f t="shared" si="138"/>
        <v>1610117.4722370636</v>
      </c>
      <c r="K437" s="1">
        <f t="shared" si="139"/>
        <v>820750.47223706101</v>
      </c>
      <c r="N437">
        <f t="shared" si="137"/>
        <v>0</v>
      </c>
      <c r="O437">
        <f t="shared" si="137"/>
        <v>0</v>
      </c>
      <c r="P437">
        <f t="shared" si="137"/>
        <v>0</v>
      </c>
      <c r="Q437">
        <f t="shared" si="146"/>
        <v>0</v>
      </c>
      <c r="R437">
        <f t="shared" si="146"/>
        <v>0</v>
      </c>
      <c r="S437">
        <f t="shared" si="146"/>
        <v>0</v>
      </c>
      <c r="T437">
        <f t="shared" si="146"/>
        <v>0</v>
      </c>
      <c r="U437">
        <f t="shared" si="146"/>
        <v>0</v>
      </c>
      <c r="V437">
        <f t="shared" si="146"/>
        <v>0</v>
      </c>
      <c r="W437">
        <f t="shared" si="146"/>
        <v>0</v>
      </c>
      <c r="X437">
        <f t="shared" si="146"/>
        <v>0</v>
      </c>
      <c r="Y437">
        <f t="shared" si="146"/>
        <v>0</v>
      </c>
      <c r="Z437">
        <f t="shared" si="146"/>
        <v>0</v>
      </c>
      <c r="AA437">
        <f t="shared" si="146"/>
        <v>0</v>
      </c>
      <c r="AB437">
        <f t="shared" si="146"/>
        <v>0</v>
      </c>
      <c r="AC437">
        <f t="shared" si="146"/>
        <v>0</v>
      </c>
      <c r="AD437">
        <f t="shared" si="146"/>
        <v>0</v>
      </c>
      <c r="AE437">
        <f t="shared" si="146"/>
        <v>0</v>
      </c>
      <c r="AF437">
        <f t="shared" si="146"/>
        <v>0</v>
      </c>
      <c r="AG437">
        <f t="shared" si="145"/>
        <v>0</v>
      </c>
      <c r="AH437">
        <f t="shared" si="145"/>
        <v>0</v>
      </c>
      <c r="AI437">
        <f t="shared" si="145"/>
        <v>0</v>
      </c>
      <c r="AJ437">
        <f t="shared" si="145"/>
        <v>0</v>
      </c>
      <c r="AK437">
        <f t="shared" si="145"/>
        <v>0</v>
      </c>
      <c r="AL437">
        <f t="shared" si="145"/>
        <v>0</v>
      </c>
      <c r="AM437">
        <f t="shared" si="145"/>
        <v>1</v>
      </c>
      <c r="AN437">
        <f t="shared" si="145"/>
        <v>0</v>
      </c>
      <c r="AO437">
        <f t="shared" si="145"/>
        <v>0</v>
      </c>
      <c r="AP437">
        <f t="shared" si="145"/>
        <v>0</v>
      </c>
      <c r="AQ437">
        <f t="shared" si="145"/>
        <v>0</v>
      </c>
      <c r="AR437">
        <f t="shared" si="145"/>
        <v>0</v>
      </c>
      <c r="AS437">
        <f t="shared" si="145"/>
        <v>0</v>
      </c>
      <c r="AT437">
        <f t="shared" si="145"/>
        <v>0</v>
      </c>
      <c r="AU437">
        <f t="shared" si="145"/>
        <v>0</v>
      </c>
      <c r="AV437">
        <f t="shared" si="144"/>
        <v>0</v>
      </c>
      <c r="AW437">
        <f t="shared" si="144"/>
        <v>0</v>
      </c>
      <c r="AX437">
        <f t="shared" si="144"/>
        <v>0</v>
      </c>
      <c r="AY437">
        <f t="shared" si="144"/>
        <v>0</v>
      </c>
      <c r="AZ437">
        <f t="shared" si="144"/>
        <v>0</v>
      </c>
    </row>
    <row r="438" spans="1:52" x14ac:dyDescent="0.25">
      <c r="A438" t="s">
        <v>46</v>
      </c>
      <c r="B438" s="3">
        <v>40702</v>
      </c>
      <c r="C438" s="1">
        <v>674.94298258804611</v>
      </c>
      <c r="D438" s="1">
        <v>96.420426084006579</v>
      </c>
      <c r="E438" s="1">
        <f t="shared" si="135"/>
        <v>443.94298258804611</v>
      </c>
      <c r="F438" s="1">
        <f t="shared" si="136"/>
        <v>231</v>
      </c>
      <c r="G438" s="2">
        <v>7</v>
      </c>
      <c r="H438" s="1">
        <v>63.420426084006586</v>
      </c>
      <c r="I438" s="1">
        <v>33</v>
      </c>
      <c r="J438" s="1">
        <f t="shared" si="138"/>
        <v>1610792.4152196515</v>
      </c>
      <c r="K438" s="1">
        <f t="shared" si="139"/>
        <v>821194.41521964909</v>
      </c>
      <c r="N438">
        <f t="shared" si="137"/>
        <v>0</v>
      </c>
      <c r="O438">
        <f t="shared" si="137"/>
        <v>1</v>
      </c>
      <c r="P438">
        <f t="shared" si="137"/>
        <v>0</v>
      </c>
      <c r="Q438">
        <f t="shared" si="146"/>
        <v>0</v>
      </c>
      <c r="R438">
        <f t="shared" si="146"/>
        <v>0</v>
      </c>
      <c r="S438">
        <f t="shared" si="146"/>
        <v>0</v>
      </c>
      <c r="T438">
        <f t="shared" si="146"/>
        <v>0</v>
      </c>
      <c r="U438">
        <f t="shared" si="146"/>
        <v>0</v>
      </c>
      <c r="V438">
        <f t="shared" si="146"/>
        <v>0</v>
      </c>
      <c r="W438">
        <f t="shared" si="146"/>
        <v>0</v>
      </c>
      <c r="X438">
        <f t="shared" si="146"/>
        <v>0</v>
      </c>
      <c r="Y438">
        <f t="shared" si="146"/>
        <v>0</v>
      </c>
      <c r="Z438">
        <f t="shared" si="146"/>
        <v>0</v>
      </c>
      <c r="AA438">
        <f t="shared" si="146"/>
        <v>0</v>
      </c>
      <c r="AB438">
        <f t="shared" si="146"/>
        <v>0</v>
      </c>
      <c r="AC438">
        <f t="shared" si="146"/>
        <v>0</v>
      </c>
      <c r="AD438">
        <f t="shared" si="146"/>
        <v>0</v>
      </c>
      <c r="AE438">
        <f t="shared" si="146"/>
        <v>0</v>
      </c>
      <c r="AF438">
        <f t="shared" si="146"/>
        <v>0</v>
      </c>
      <c r="AG438">
        <f t="shared" si="145"/>
        <v>0</v>
      </c>
      <c r="AH438">
        <f t="shared" si="145"/>
        <v>0</v>
      </c>
      <c r="AI438">
        <f t="shared" si="145"/>
        <v>0</v>
      </c>
      <c r="AJ438">
        <f t="shared" si="145"/>
        <v>0</v>
      </c>
      <c r="AK438">
        <f t="shared" si="145"/>
        <v>0</v>
      </c>
      <c r="AL438">
        <f t="shared" si="145"/>
        <v>0</v>
      </c>
      <c r="AM438">
        <f t="shared" si="145"/>
        <v>0</v>
      </c>
      <c r="AN438">
        <f t="shared" si="145"/>
        <v>0</v>
      </c>
      <c r="AO438">
        <f t="shared" si="145"/>
        <v>0</v>
      </c>
      <c r="AP438">
        <f t="shared" si="145"/>
        <v>0</v>
      </c>
      <c r="AQ438">
        <f t="shared" si="145"/>
        <v>0</v>
      </c>
      <c r="AR438">
        <f t="shared" si="145"/>
        <v>0</v>
      </c>
      <c r="AS438">
        <f t="shared" si="145"/>
        <v>0</v>
      </c>
      <c r="AT438">
        <f t="shared" si="145"/>
        <v>0</v>
      </c>
      <c r="AU438">
        <f t="shared" si="145"/>
        <v>0</v>
      </c>
      <c r="AV438">
        <f t="shared" si="144"/>
        <v>0</v>
      </c>
      <c r="AW438">
        <f t="shared" si="144"/>
        <v>0</v>
      </c>
      <c r="AX438">
        <f t="shared" si="144"/>
        <v>0</v>
      </c>
      <c r="AY438">
        <f t="shared" si="144"/>
        <v>0</v>
      </c>
      <c r="AZ438">
        <f t="shared" si="144"/>
        <v>0</v>
      </c>
    </row>
    <row r="439" spans="1:52" x14ac:dyDescent="0.25">
      <c r="A439" t="s">
        <v>17</v>
      </c>
      <c r="B439" s="3">
        <v>40689</v>
      </c>
      <c r="C439" s="1">
        <v>2497.7708434652341</v>
      </c>
      <c r="D439" s="1">
        <v>104.07378514438476</v>
      </c>
      <c r="E439" s="1">
        <f t="shared" si="135"/>
        <v>1081.7708434652341</v>
      </c>
      <c r="F439" s="1">
        <f t="shared" si="136"/>
        <v>1416</v>
      </c>
      <c r="G439" s="2">
        <v>24</v>
      </c>
      <c r="H439" s="1">
        <v>45.073785144384757</v>
      </c>
      <c r="I439" s="1">
        <v>59</v>
      </c>
      <c r="J439" s="1">
        <f t="shared" si="138"/>
        <v>1613290.1860631169</v>
      </c>
      <c r="K439" s="1">
        <f t="shared" si="139"/>
        <v>822276.18606311432</v>
      </c>
      <c r="N439">
        <f t="shared" si="137"/>
        <v>0</v>
      </c>
      <c r="O439">
        <f t="shared" si="137"/>
        <v>0</v>
      </c>
      <c r="P439">
        <f t="shared" si="137"/>
        <v>0</v>
      </c>
      <c r="Q439">
        <f t="shared" si="146"/>
        <v>0</v>
      </c>
      <c r="R439">
        <f t="shared" si="146"/>
        <v>0</v>
      </c>
      <c r="S439">
        <f t="shared" si="146"/>
        <v>0</v>
      </c>
      <c r="T439">
        <f t="shared" si="146"/>
        <v>0</v>
      </c>
      <c r="U439">
        <f t="shared" si="146"/>
        <v>0</v>
      </c>
      <c r="V439">
        <f t="shared" si="146"/>
        <v>0</v>
      </c>
      <c r="W439">
        <f t="shared" si="146"/>
        <v>0</v>
      </c>
      <c r="X439">
        <f t="shared" si="146"/>
        <v>0</v>
      </c>
      <c r="Y439">
        <f t="shared" si="146"/>
        <v>0</v>
      </c>
      <c r="Z439">
        <f t="shared" si="146"/>
        <v>0</v>
      </c>
      <c r="AA439">
        <f t="shared" si="146"/>
        <v>0</v>
      </c>
      <c r="AB439">
        <f t="shared" si="146"/>
        <v>0</v>
      </c>
      <c r="AC439">
        <f t="shared" si="146"/>
        <v>0</v>
      </c>
      <c r="AD439">
        <f t="shared" si="146"/>
        <v>0</v>
      </c>
      <c r="AE439">
        <f t="shared" si="146"/>
        <v>0</v>
      </c>
      <c r="AF439">
        <f t="shared" si="146"/>
        <v>0</v>
      </c>
      <c r="AG439">
        <f t="shared" si="145"/>
        <v>1</v>
      </c>
      <c r="AH439">
        <f t="shared" si="145"/>
        <v>0</v>
      </c>
      <c r="AI439">
        <f t="shared" si="145"/>
        <v>0</v>
      </c>
      <c r="AJ439">
        <f t="shared" si="145"/>
        <v>0</v>
      </c>
      <c r="AK439">
        <f t="shared" si="145"/>
        <v>0</v>
      </c>
      <c r="AL439">
        <f t="shared" si="145"/>
        <v>0</v>
      </c>
      <c r="AM439">
        <f t="shared" si="145"/>
        <v>0</v>
      </c>
      <c r="AN439">
        <f t="shared" si="145"/>
        <v>0</v>
      </c>
      <c r="AO439">
        <f t="shared" si="145"/>
        <v>0</v>
      </c>
      <c r="AP439">
        <f t="shared" si="145"/>
        <v>0</v>
      </c>
      <c r="AQ439">
        <f t="shared" si="145"/>
        <v>0</v>
      </c>
      <c r="AR439">
        <f t="shared" si="145"/>
        <v>0</v>
      </c>
      <c r="AS439">
        <f t="shared" si="145"/>
        <v>0</v>
      </c>
      <c r="AT439">
        <f t="shared" si="145"/>
        <v>0</v>
      </c>
      <c r="AU439">
        <f t="shared" si="145"/>
        <v>0</v>
      </c>
      <c r="AV439">
        <f t="shared" si="144"/>
        <v>0</v>
      </c>
      <c r="AW439">
        <f t="shared" si="144"/>
        <v>0</v>
      </c>
      <c r="AX439">
        <f t="shared" si="144"/>
        <v>0</v>
      </c>
      <c r="AY439">
        <f t="shared" si="144"/>
        <v>0</v>
      </c>
      <c r="AZ439">
        <f t="shared" si="144"/>
        <v>0</v>
      </c>
    </row>
    <row r="440" spans="1:52" x14ac:dyDescent="0.25">
      <c r="A440" t="s">
        <v>41</v>
      </c>
      <c r="B440" s="3">
        <v>40673</v>
      </c>
      <c r="C440" s="1">
        <v>2083.2998993658457</v>
      </c>
      <c r="D440" s="1">
        <v>122.54705290387326</v>
      </c>
      <c r="E440" s="1">
        <f t="shared" si="135"/>
        <v>978.29989936584559</v>
      </c>
      <c r="F440" s="1">
        <f t="shared" si="136"/>
        <v>1105</v>
      </c>
      <c r="G440" s="2">
        <v>17</v>
      </c>
      <c r="H440" s="1">
        <v>57.547052903873272</v>
      </c>
      <c r="I440" s="1">
        <v>65</v>
      </c>
      <c r="J440" s="1">
        <f t="shared" si="138"/>
        <v>1615373.4859624826</v>
      </c>
      <c r="K440" s="1">
        <f t="shared" si="139"/>
        <v>823254.48596248019</v>
      </c>
      <c r="N440">
        <f t="shared" si="137"/>
        <v>0</v>
      </c>
      <c r="O440">
        <f t="shared" si="137"/>
        <v>0</v>
      </c>
      <c r="P440">
        <f t="shared" si="137"/>
        <v>0</v>
      </c>
      <c r="Q440">
        <f t="shared" si="146"/>
        <v>1</v>
      </c>
      <c r="R440">
        <f t="shared" si="146"/>
        <v>0</v>
      </c>
      <c r="S440">
        <f t="shared" si="146"/>
        <v>0</v>
      </c>
      <c r="T440">
        <f t="shared" si="146"/>
        <v>0</v>
      </c>
      <c r="U440">
        <f t="shared" si="146"/>
        <v>0</v>
      </c>
      <c r="V440">
        <f t="shared" si="146"/>
        <v>0</v>
      </c>
      <c r="W440">
        <f t="shared" si="146"/>
        <v>0</v>
      </c>
      <c r="X440">
        <f t="shared" si="146"/>
        <v>0</v>
      </c>
      <c r="Y440">
        <f t="shared" si="146"/>
        <v>0</v>
      </c>
      <c r="Z440">
        <f t="shared" si="146"/>
        <v>0</v>
      </c>
      <c r="AA440">
        <f t="shared" si="146"/>
        <v>0</v>
      </c>
      <c r="AB440">
        <f t="shared" si="146"/>
        <v>0</v>
      </c>
      <c r="AC440">
        <f t="shared" si="146"/>
        <v>0</v>
      </c>
      <c r="AD440">
        <f t="shared" si="146"/>
        <v>0</v>
      </c>
      <c r="AE440">
        <f t="shared" si="146"/>
        <v>0</v>
      </c>
      <c r="AF440">
        <f t="shared" ref="AF440:AU455" si="147">+IF(AF$5=$A440,1,0)</f>
        <v>0</v>
      </c>
      <c r="AG440">
        <f t="shared" si="147"/>
        <v>0</v>
      </c>
      <c r="AH440">
        <f t="shared" si="147"/>
        <v>0</v>
      </c>
      <c r="AI440">
        <f t="shared" si="147"/>
        <v>0</v>
      </c>
      <c r="AJ440">
        <f t="shared" si="147"/>
        <v>0</v>
      </c>
      <c r="AK440">
        <f t="shared" si="147"/>
        <v>0</v>
      </c>
      <c r="AL440">
        <f t="shared" si="147"/>
        <v>0</v>
      </c>
      <c r="AM440">
        <f t="shared" si="147"/>
        <v>0</v>
      </c>
      <c r="AN440">
        <f t="shared" si="147"/>
        <v>0</v>
      </c>
      <c r="AO440">
        <f t="shared" si="147"/>
        <v>0</v>
      </c>
      <c r="AP440">
        <f t="shared" si="147"/>
        <v>0</v>
      </c>
      <c r="AQ440">
        <f t="shared" si="147"/>
        <v>0</v>
      </c>
      <c r="AR440">
        <f t="shared" si="147"/>
        <v>0</v>
      </c>
      <c r="AS440">
        <f t="shared" si="147"/>
        <v>0</v>
      </c>
      <c r="AT440">
        <f t="shared" si="147"/>
        <v>0</v>
      </c>
      <c r="AU440">
        <f t="shared" si="147"/>
        <v>0</v>
      </c>
      <c r="AV440">
        <f t="shared" si="144"/>
        <v>0</v>
      </c>
      <c r="AW440">
        <f t="shared" si="144"/>
        <v>0</v>
      </c>
      <c r="AX440">
        <f t="shared" si="144"/>
        <v>0</v>
      </c>
      <c r="AY440">
        <f t="shared" si="144"/>
        <v>0</v>
      </c>
      <c r="AZ440">
        <f t="shared" si="144"/>
        <v>0</v>
      </c>
    </row>
    <row r="441" spans="1:52" x14ac:dyDescent="0.25">
      <c r="A441" t="s">
        <v>14</v>
      </c>
      <c r="B441" s="3">
        <v>40664</v>
      </c>
      <c r="C441" s="1">
        <v>6089.3539903120918</v>
      </c>
      <c r="D441" s="1">
        <v>144.98461881695457</v>
      </c>
      <c r="E441" s="1">
        <f t="shared" si="135"/>
        <v>2561.3539903120923</v>
      </c>
      <c r="F441" s="1">
        <f t="shared" si="136"/>
        <v>3528</v>
      </c>
      <c r="G441" s="2">
        <v>42</v>
      </c>
      <c r="H441" s="1">
        <v>60.984618816954573</v>
      </c>
      <c r="I441" s="1">
        <v>84</v>
      </c>
      <c r="J441" s="1">
        <f t="shared" si="138"/>
        <v>1621462.8399527948</v>
      </c>
      <c r="K441" s="1">
        <f t="shared" si="139"/>
        <v>825815.83995279227</v>
      </c>
      <c r="N441">
        <f t="shared" si="137"/>
        <v>0</v>
      </c>
      <c r="O441">
        <f t="shared" si="137"/>
        <v>0</v>
      </c>
      <c r="P441">
        <f t="shared" si="137"/>
        <v>0</v>
      </c>
      <c r="Q441">
        <f t="shared" ref="Q441:AF456" si="148">+IF(Q$5=$A441,1,0)</f>
        <v>0</v>
      </c>
      <c r="R441">
        <f t="shared" si="148"/>
        <v>0</v>
      </c>
      <c r="S441">
        <f t="shared" si="148"/>
        <v>0</v>
      </c>
      <c r="T441">
        <f t="shared" si="148"/>
        <v>0</v>
      </c>
      <c r="U441">
        <f t="shared" si="148"/>
        <v>0</v>
      </c>
      <c r="V441">
        <f t="shared" si="148"/>
        <v>0</v>
      </c>
      <c r="W441">
        <f t="shared" si="148"/>
        <v>0</v>
      </c>
      <c r="X441">
        <f t="shared" si="148"/>
        <v>0</v>
      </c>
      <c r="Y441">
        <f t="shared" si="148"/>
        <v>0</v>
      </c>
      <c r="Z441">
        <f t="shared" si="148"/>
        <v>0</v>
      </c>
      <c r="AA441">
        <f t="shared" si="148"/>
        <v>0</v>
      </c>
      <c r="AB441">
        <f t="shared" si="148"/>
        <v>0</v>
      </c>
      <c r="AC441">
        <f t="shared" si="148"/>
        <v>0</v>
      </c>
      <c r="AD441">
        <f t="shared" si="148"/>
        <v>0</v>
      </c>
      <c r="AE441">
        <f t="shared" si="148"/>
        <v>0</v>
      </c>
      <c r="AF441">
        <f t="shared" si="148"/>
        <v>0</v>
      </c>
      <c r="AG441">
        <f t="shared" si="147"/>
        <v>0</v>
      </c>
      <c r="AH441">
        <f t="shared" si="147"/>
        <v>0</v>
      </c>
      <c r="AI441">
        <f t="shared" si="147"/>
        <v>0</v>
      </c>
      <c r="AJ441">
        <f t="shared" si="147"/>
        <v>0</v>
      </c>
      <c r="AK441">
        <f t="shared" si="147"/>
        <v>0</v>
      </c>
      <c r="AL441">
        <f t="shared" si="147"/>
        <v>0</v>
      </c>
      <c r="AM441">
        <f t="shared" si="147"/>
        <v>0</v>
      </c>
      <c r="AN441">
        <f t="shared" si="147"/>
        <v>0</v>
      </c>
      <c r="AO441">
        <f t="shared" si="147"/>
        <v>0</v>
      </c>
      <c r="AP441">
        <f t="shared" si="147"/>
        <v>1</v>
      </c>
      <c r="AQ441">
        <f t="shared" si="147"/>
        <v>0</v>
      </c>
      <c r="AR441">
        <f t="shared" si="147"/>
        <v>0</v>
      </c>
      <c r="AS441">
        <f t="shared" si="147"/>
        <v>0</v>
      </c>
      <c r="AT441">
        <f t="shared" si="147"/>
        <v>0</v>
      </c>
      <c r="AU441">
        <f t="shared" si="147"/>
        <v>0</v>
      </c>
      <c r="AV441">
        <f t="shared" si="144"/>
        <v>0</v>
      </c>
      <c r="AW441">
        <f t="shared" si="144"/>
        <v>0</v>
      </c>
      <c r="AX441">
        <f t="shared" si="144"/>
        <v>0</v>
      </c>
      <c r="AY441">
        <f t="shared" si="144"/>
        <v>0</v>
      </c>
      <c r="AZ441">
        <f t="shared" si="144"/>
        <v>0</v>
      </c>
    </row>
    <row r="442" spans="1:52" x14ac:dyDescent="0.25">
      <c r="A442" t="s">
        <v>19</v>
      </c>
      <c r="B442" s="3">
        <v>40663</v>
      </c>
      <c r="C442" s="1">
        <v>5566.3468796291199</v>
      </c>
      <c r="D442" s="1">
        <v>109.14405646331608</v>
      </c>
      <c r="E442" s="1">
        <f t="shared" si="135"/>
        <v>2251.3468796291204</v>
      </c>
      <c r="F442" s="1">
        <f t="shared" si="136"/>
        <v>3315</v>
      </c>
      <c r="G442" s="2">
        <v>51</v>
      </c>
      <c r="H442" s="1">
        <v>44.144056463316083</v>
      </c>
      <c r="I442" s="1">
        <v>65</v>
      </c>
      <c r="J442" s="1">
        <f t="shared" si="138"/>
        <v>1627029.186832424</v>
      </c>
      <c r="K442" s="1">
        <f t="shared" si="139"/>
        <v>828067.18683242134</v>
      </c>
      <c r="N442">
        <f t="shared" si="137"/>
        <v>0</v>
      </c>
      <c r="O442">
        <f t="shared" si="137"/>
        <v>0</v>
      </c>
      <c r="P442">
        <f t="shared" si="137"/>
        <v>0</v>
      </c>
      <c r="Q442">
        <f t="shared" si="148"/>
        <v>0</v>
      </c>
      <c r="R442">
        <f t="shared" si="148"/>
        <v>0</v>
      </c>
      <c r="S442">
        <f t="shared" si="148"/>
        <v>0</v>
      </c>
      <c r="T442">
        <f t="shared" si="148"/>
        <v>0</v>
      </c>
      <c r="U442">
        <f t="shared" si="148"/>
        <v>0</v>
      </c>
      <c r="V442">
        <f t="shared" si="148"/>
        <v>0</v>
      </c>
      <c r="W442">
        <f t="shared" si="148"/>
        <v>0</v>
      </c>
      <c r="X442">
        <f t="shared" si="148"/>
        <v>0</v>
      </c>
      <c r="Y442">
        <f t="shared" si="148"/>
        <v>0</v>
      </c>
      <c r="Z442">
        <f t="shared" si="148"/>
        <v>0</v>
      </c>
      <c r="AA442">
        <f t="shared" si="148"/>
        <v>0</v>
      </c>
      <c r="AB442">
        <f t="shared" si="148"/>
        <v>0</v>
      </c>
      <c r="AC442">
        <f t="shared" si="148"/>
        <v>0</v>
      </c>
      <c r="AD442">
        <f t="shared" si="148"/>
        <v>0</v>
      </c>
      <c r="AE442">
        <f t="shared" si="148"/>
        <v>0</v>
      </c>
      <c r="AF442">
        <f t="shared" si="148"/>
        <v>0</v>
      </c>
      <c r="AG442">
        <f t="shared" si="147"/>
        <v>0</v>
      </c>
      <c r="AH442">
        <f t="shared" si="147"/>
        <v>0</v>
      </c>
      <c r="AI442">
        <f t="shared" si="147"/>
        <v>0</v>
      </c>
      <c r="AJ442">
        <f t="shared" si="147"/>
        <v>0</v>
      </c>
      <c r="AK442">
        <f t="shared" si="147"/>
        <v>0</v>
      </c>
      <c r="AL442">
        <f t="shared" si="147"/>
        <v>0</v>
      </c>
      <c r="AM442">
        <f t="shared" si="147"/>
        <v>0</v>
      </c>
      <c r="AN442">
        <f t="shared" si="147"/>
        <v>0</v>
      </c>
      <c r="AO442">
        <f t="shared" si="147"/>
        <v>0</v>
      </c>
      <c r="AP442">
        <f t="shared" si="147"/>
        <v>0</v>
      </c>
      <c r="AQ442">
        <f t="shared" si="147"/>
        <v>0</v>
      </c>
      <c r="AR442">
        <f t="shared" si="147"/>
        <v>0</v>
      </c>
      <c r="AS442">
        <f t="shared" si="147"/>
        <v>0</v>
      </c>
      <c r="AT442">
        <f t="shared" si="147"/>
        <v>0</v>
      </c>
      <c r="AU442">
        <f t="shared" si="147"/>
        <v>0</v>
      </c>
      <c r="AV442">
        <f t="shared" si="144"/>
        <v>0</v>
      </c>
      <c r="AW442">
        <f t="shared" si="144"/>
        <v>1</v>
      </c>
      <c r="AX442">
        <f t="shared" si="144"/>
        <v>0</v>
      </c>
      <c r="AY442">
        <f t="shared" si="144"/>
        <v>0</v>
      </c>
      <c r="AZ442">
        <f t="shared" si="144"/>
        <v>0</v>
      </c>
    </row>
    <row r="443" spans="1:52" x14ac:dyDescent="0.25">
      <c r="A443" t="s">
        <v>42</v>
      </c>
      <c r="B443" s="3">
        <v>40659</v>
      </c>
      <c r="C443" s="1">
        <v>7606.0419167996461</v>
      </c>
      <c r="D443" s="1">
        <v>77.612672620404553</v>
      </c>
      <c r="E443" s="1">
        <f t="shared" si="135"/>
        <v>4078.0419167996461</v>
      </c>
      <c r="F443" s="1">
        <f t="shared" si="136"/>
        <v>3528</v>
      </c>
      <c r="G443" s="2">
        <v>98</v>
      </c>
      <c r="H443" s="1">
        <v>41.612672620404553</v>
      </c>
      <c r="I443" s="1">
        <v>36</v>
      </c>
      <c r="J443" s="1">
        <f t="shared" si="138"/>
        <v>1634635.2287492238</v>
      </c>
      <c r="K443" s="1">
        <f t="shared" si="139"/>
        <v>832145.22874922096</v>
      </c>
      <c r="N443">
        <f t="shared" si="137"/>
        <v>0</v>
      </c>
      <c r="O443">
        <f t="shared" si="137"/>
        <v>0</v>
      </c>
      <c r="P443">
        <f t="shared" si="137"/>
        <v>0</v>
      </c>
      <c r="Q443">
        <f t="shared" si="148"/>
        <v>0</v>
      </c>
      <c r="R443">
        <f t="shared" si="148"/>
        <v>0</v>
      </c>
      <c r="S443">
        <f t="shared" si="148"/>
        <v>0</v>
      </c>
      <c r="T443">
        <f t="shared" si="148"/>
        <v>0</v>
      </c>
      <c r="U443">
        <f t="shared" si="148"/>
        <v>0</v>
      </c>
      <c r="V443">
        <f t="shared" si="148"/>
        <v>0</v>
      </c>
      <c r="W443">
        <f t="shared" si="148"/>
        <v>0</v>
      </c>
      <c r="X443">
        <f t="shared" si="148"/>
        <v>0</v>
      </c>
      <c r="Y443">
        <f t="shared" si="148"/>
        <v>0</v>
      </c>
      <c r="Z443">
        <f t="shared" si="148"/>
        <v>1</v>
      </c>
      <c r="AA443">
        <f t="shared" si="148"/>
        <v>0</v>
      </c>
      <c r="AB443">
        <f t="shared" si="148"/>
        <v>0</v>
      </c>
      <c r="AC443">
        <f t="shared" si="148"/>
        <v>0</v>
      </c>
      <c r="AD443">
        <f t="shared" si="148"/>
        <v>0</v>
      </c>
      <c r="AE443">
        <f t="shared" si="148"/>
        <v>0</v>
      </c>
      <c r="AF443">
        <f t="shared" si="148"/>
        <v>0</v>
      </c>
      <c r="AG443">
        <f t="shared" si="147"/>
        <v>0</v>
      </c>
      <c r="AH443">
        <f t="shared" si="147"/>
        <v>0</v>
      </c>
      <c r="AI443">
        <f t="shared" si="147"/>
        <v>0</v>
      </c>
      <c r="AJ443">
        <f t="shared" si="147"/>
        <v>0</v>
      </c>
      <c r="AK443">
        <f t="shared" si="147"/>
        <v>0</v>
      </c>
      <c r="AL443">
        <f t="shared" si="147"/>
        <v>0</v>
      </c>
      <c r="AM443">
        <f t="shared" si="147"/>
        <v>0</v>
      </c>
      <c r="AN443">
        <f t="shared" si="147"/>
        <v>0</v>
      </c>
      <c r="AO443">
        <f t="shared" si="147"/>
        <v>0</v>
      </c>
      <c r="AP443">
        <f t="shared" si="147"/>
        <v>0</v>
      </c>
      <c r="AQ443">
        <f t="shared" si="147"/>
        <v>0</v>
      </c>
      <c r="AR443">
        <f t="shared" si="147"/>
        <v>0</v>
      </c>
      <c r="AS443">
        <f t="shared" si="147"/>
        <v>0</v>
      </c>
      <c r="AT443">
        <f t="shared" si="147"/>
        <v>0</v>
      </c>
      <c r="AU443">
        <f t="shared" si="147"/>
        <v>0</v>
      </c>
      <c r="AV443">
        <f t="shared" si="144"/>
        <v>0</v>
      </c>
      <c r="AW443">
        <f t="shared" si="144"/>
        <v>0</v>
      </c>
      <c r="AX443">
        <f t="shared" si="144"/>
        <v>0</v>
      </c>
      <c r="AY443">
        <f t="shared" si="144"/>
        <v>0</v>
      </c>
      <c r="AZ443">
        <f t="shared" si="144"/>
        <v>0</v>
      </c>
    </row>
    <row r="444" spans="1:52" x14ac:dyDescent="0.25">
      <c r="A444" t="s">
        <v>38</v>
      </c>
      <c r="B444" s="3">
        <v>40657</v>
      </c>
      <c r="C444" s="1">
        <v>60333.222814898872</v>
      </c>
      <c r="D444" s="1">
        <v>151.97285343803242</v>
      </c>
      <c r="E444" s="1">
        <f t="shared" si="135"/>
        <v>26985.222814898869</v>
      </c>
      <c r="F444" s="1">
        <f t="shared" si="136"/>
        <v>33348</v>
      </c>
      <c r="G444" s="2">
        <v>397</v>
      </c>
      <c r="H444" s="1">
        <v>67.972853438032416</v>
      </c>
      <c r="I444" s="1">
        <v>84</v>
      </c>
      <c r="J444" s="1">
        <f t="shared" si="138"/>
        <v>1694968.4515641227</v>
      </c>
      <c r="K444" s="1">
        <f t="shared" si="139"/>
        <v>859130.45156411978</v>
      </c>
      <c r="N444">
        <f t="shared" si="137"/>
        <v>0</v>
      </c>
      <c r="O444">
        <f t="shared" si="137"/>
        <v>0</v>
      </c>
      <c r="P444">
        <f t="shared" si="137"/>
        <v>0</v>
      </c>
      <c r="Q444">
        <f t="shared" si="148"/>
        <v>0</v>
      </c>
      <c r="R444">
        <f t="shared" si="148"/>
        <v>0</v>
      </c>
      <c r="S444">
        <f t="shared" si="148"/>
        <v>0</v>
      </c>
      <c r="T444">
        <f t="shared" si="148"/>
        <v>0</v>
      </c>
      <c r="U444">
        <f t="shared" si="148"/>
        <v>0</v>
      </c>
      <c r="V444">
        <f t="shared" si="148"/>
        <v>0</v>
      </c>
      <c r="W444">
        <f t="shared" si="148"/>
        <v>0</v>
      </c>
      <c r="X444">
        <f t="shared" si="148"/>
        <v>0</v>
      </c>
      <c r="Y444">
        <f t="shared" si="148"/>
        <v>0</v>
      </c>
      <c r="Z444">
        <f t="shared" si="148"/>
        <v>0</v>
      </c>
      <c r="AA444">
        <f t="shared" si="148"/>
        <v>0</v>
      </c>
      <c r="AB444">
        <f t="shared" si="148"/>
        <v>1</v>
      </c>
      <c r="AC444">
        <f t="shared" si="148"/>
        <v>0</v>
      </c>
      <c r="AD444">
        <f t="shared" si="148"/>
        <v>0</v>
      </c>
      <c r="AE444">
        <f t="shared" si="148"/>
        <v>0</v>
      </c>
      <c r="AF444">
        <f t="shared" si="148"/>
        <v>0</v>
      </c>
      <c r="AG444">
        <f t="shared" si="147"/>
        <v>0</v>
      </c>
      <c r="AH444">
        <f t="shared" si="147"/>
        <v>0</v>
      </c>
      <c r="AI444">
        <f t="shared" si="147"/>
        <v>0</v>
      </c>
      <c r="AJ444">
        <f t="shared" si="147"/>
        <v>0</v>
      </c>
      <c r="AK444">
        <f t="shared" si="147"/>
        <v>0</v>
      </c>
      <c r="AL444">
        <f t="shared" si="147"/>
        <v>0</v>
      </c>
      <c r="AM444">
        <f t="shared" si="147"/>
        <v>0</v>
      </c>
      <c r="AN444">
        <f t="shared" si="147"/>
        <v>0</v>
      </c>
      <c r="AO444">
        <f t="shared" si="147"/>
        <v>0</v>
      </c>
      <c r="AP444">
        <f t="shared" si="147"/>
        <v>0</v>
      </c>
      <c r="AQ444">
        <f t="shared" si="147"/>
        <v>0</v>
      </c>
      <c r="AR444">
        <f t="shared" si="147"/>
        <v>0</v>
      </c>
      <c r="AS444">
        <f t="shared" si="147"/>
        <v>0</v>
      </c>
      <c r="AT444">
        <f t="shared" si="147"/>
        <v>0</v>
      </c>
      <c r="AU444">
        <f t="shared" si="147"/>
        <v>0</v>
      </c>
      <c r="AV444">
        <f t="shared" si="144"/>
        <v>0</v>
      </c>
      <c r="AW444">
        <f t="shared" si="144"/>
        <v>0</v>
      </c>
      <c r="AX444">
        <f t="shared" si="144"/>
        <v>0</v>
      </c>
      <c r="AY444">
        <f t="shared" si="144"/>
        <v>0</v>
      </c>
      <c r="AZ444">
        <f t="shared" si="144"/>
        <v>0</v>
      </c>
    </row>
    <row r="445" spans="1:52" x14ac:dyDescent="0.25">
      <c r="A445" t="s">
        <v>15</v>
      </c>
      <c r="B445" s="3">
        <v>40655</v>
      </c>
      <c r="C445" s="1">
        <v>5725.7120434651843</v>
      </c>
      <c r="D445" s="1">
        <v>116.85126619316702</v>
      </c>
      <c r="E445" s="1">
        <f t="shared" si="135"/>
        <v>3814.7120434651843</v>
      </c>
      <c r="F445" s="1">
        <f t="shared" si="136"/>
        <v>1911</v>
      </c>
      <c r="G445" s="2">
        <v>49</v>
      </c>
      <c r="H445" s="1">
        <v>77.851266193167021</v>
      </c>
      <c r="I445" s="1">
        <v>39</v>
      </c>
      <c r="J445" s="1">
        <f t="shared" si="138"/>
        <v>1700694.1636075878</v>
      </c>
      <c r="K445" s="1">
        <f t="shared" si="139"/>
        <v>862945.16360758501</v>
      </c>
      <c r="N445">
        <f t="shared" si="137"/>
        <v>0</v>
      </c>
      <c r="O445">
        <f t="shared" si="137"/>
        <v>0</v>
      </c>
      <c r="P445">
        <f t="shared" si="137"/>
        <v>0</v>
      </c>
      <c r="Q445">
        <f t="shared" si="148"/>
        <v>0</v>
      </c>
      <c r="R445">
        <f t="shared" si="148"/>
        <v>0</v>
      </c>
      <c r="S445">
        <f t="shared" si="148"/>
        <v>0</v>
      </c>
      <c r="T445">
        <f t="shared" si="148"/>
        <v>0</v>
      </c>
      <c r="U445">
        <f t="shared" si="148"/>
        <v>0</v>
      </c>
      <c r="V445">
        <f t="shared" si="148"/>
        <v>0</v>
      </c>
      <c r="W445">
        <f t="shared" si="148"/>
        <v>0</v>
      </c>
      <c r="X445">
        <f t="shared" si="148"/>
        <v>0</v>
      </c>
      <c r="Y445">
        <f t="shared" si="148"/>
        <v>0</v>
      </c>
      <c r="Z445">
        <f t="shared" si="148"/>
        <v>0</v>
      </c>
      <c r="AA445">
        <f t="shared" si="148"/>
        <v>0</v>
      </c>
      <c r="AB445">
        <f t="shared" si="148"/>
        <v>0</v>
      </c>
      <c r="AC445">
        <f t="shared" si="148"/>
        <v>0</v>
      </c>
      <c r="AD445">
        <f t="shared" si="148"/>
        <v>0</v>
      </c>
      <c r="AE445">
        <f t="shared" si="148"/>
        <v>0</v>
      </c>
      <c r="AF445">
        <f t="shared" si="148"/>
        <v>0</v>
      </c>
      <c r="AG445">
        <f t="shared" si="147"/>
        <v>0</v>
      </c>
      <c r="AH445">
        <f t="shared" si="147"/>
        <v>0</v>
      </c>
      <c r="AI445">
        <f t="shared" si="147"/>
        <v>0</v>
      </c>
      <c r="AJ445">
        <f t="shared" si="147"/>
        <v>0</v>
      </c>
      <c r="AK445">
        <f t="shared" si="147"/>
        <v>0</v>
      </c>
      <c r="AL445">
        <f t="shared" si="147"/>
        <v>0</v>
      </c>
      <c r="AM445">
        <f t="shared" si="147"/>
        <v>0</v>
      </c>
      <c r="AN445">
        <f t="shared" si="147"/>
        <v>0</v>
      </c>
      <c r="AO445">
        <f t="shared" si="147"/>
        <v>0</v>
      </c>
      <c r="AP445">
        <f t="shared" si="147"/>
        <v>0</v>
      </c>
      <c r="AQ445">
        <f t="shared" si="147"/>
        <v>0</v>
      </c>
      <c r="AR445">
        <f t="shared" si="147"/>
        <v>1</v>
      </c>
      <c r="AS445">
        <f t="shared" si="147"/>
        <v>0</v>
      </c>
      <c r="AT445">
        <f t="shared" si="147"/>
        <v>0</v>
      </c>
      <c r="AU445">
        <f t="shared" si="147"/>
        <v>0</v>
      </c>
      <c r="AV445">
        <f t="shared" si="144"/>
        <v>0</v>
      </c>
      <c r="AW445">
        <f t="shared" si="144"/>
        <v>0</v>
      </c>
      <c r="AX445">
        <f t="shared" si="144"/>
        <v>0</v>
      </c>
      <c r="AY445">
        <f t="shared" si="144"/>
        <v>0</v>
      </c>
      <c r="AZ445">
        <f t="shared" si="144"/>
        <v>0</v>
      </c>
    </row>
    <row r="446" spans="1:52" x14ac:dyDescent="0.25">
      <c r="A446" t="s">
        <v>40</v>
      </c>
      <c r="B446" s="3">
        <v>40642</v>
      </c>
      <c r="C446" s="1">
        <v>1813.6865731132893</v>
      </c>
      <c r="D446" s="1">
        <v>67.173576781973679</v>
      </c>
      <c r="E446" s="1">
        <f t="shared" si="135"/>
        <v>868.68657311328911</v>
      </c>
      <c r="F446" s="1">
        <f t="shared" si="136"/>
        <v>945</v>
      </c>
      <c r="G446" s="2">
        <v>27</v>
      </c>
      <c r="H446" s="1">
        <v>32.173576781973672</v>
      </c>
      <c r="I446" s="1">
        <v>35</v>
      </c>
      <c r="J446" s="1">
        <f t="shared" si="138"/>
        <v>1702507.8501807011</v>
      </c>
      <c r="K446" s="1">
        <f t="shared" si="139"/>
        <v>863813.85018069833</v>
      </c>
      <c r="N446">
        <f t="shared" si="137"/>
        <v>0</v>
      </c>
      <c r="O446">
        <f t="shared" si="137"/>
        <v>0</v>
      </c>
      <c r="P446">
        <f t="shared" si="137"/>
        <v>0</v>
      </c>
      <c r="Q446">
        <f t="shared" si="148"/>
        <v>0</v>
      </c>
      <c r="R446">
        <f t="shared" si="148"/>
        <v>0</v>
      </c>
      <c r="S446">
        <f t="shared" si="148"/>
        <v>0</v>
      </c>
      <c r="T446">
        <f t="shared" si="148"/>
        <v>0</v>
      </c>
      <c r="U446">
        <f t="shared" si="148"/>
        <v>0</v>
      </c>
      <c r="V446">
        <f t="shared" si="148"/>
        <v>0</v>
      </c>
      <c r="W446">
        <f t="shared" si="148"/>
        <v>0</v>
      </c>
      <c r="X446">
        <f t="shared" si="148"/>
        <v>1</v>
      </c>
      <c r="Y446">
        <f t="shared" si="148"/>
        <v>0</v>
      </c>
      <c r="Z446">
        <f t="shared" si="148"/>
        <v>0</v>
      </c>
      <c r="AA446">
        <f t="shared" si="148"/>
        <v>0</v>
      </c>
      <c r="AB446">
        <f t="shared" si="148"/>
        <v>0</v>
      </c>
      <c r="AC446">
        <f t="shared" si="148"/>
        <v>0</v>
      </c>
      <c r="AD446">
        <f t="shared" si="148"/>
        <v>0</v>
      </c>
      <c r="AE446">
        <f t="shared" si="148"/>
        <v>0</v>
      </c>
      <c r="AF446">
        <f t="shared" si="148"/>
        <v>0</v>
      </c>
      <c r="AG446">
        <f t="shared" si="147"/>
        <v>0</v>
      </c>
      <c r="AH446">
        <f t="shared" si="147"/>
        <v>0</v>
      </c>
      <c r="AI446">
        <f t="shared" si="147"/>
        <v>0</v>
      </c>
      <c r="AJ446">
        <f t="shared" si="147"/>
        <v>0</v>
      </c>
      <c r="AK446">
        <f t="shared" si="147"/>
        <v>0</v>
      </c>
      <c r="AL446">
        <f t="shared" si="147"/>
        <v>0</v>
      </c>
      <c r="AM446">
        <f t="shared" si="147"/>
        <v>0</v>
      </c>
      <c r="AN446">
        <f t="shared" si="147"/>
        <v>0</v>
      </c>
      <c r="AO446">
        <f t="shared" si="147"/>
        <v>0</v>
      </c>
      <c r="AP446">
        <f t="shared" si="147"/>
        <v>0</v>
      </c>
      <c r="AQ446">
        <f t="shared" si="147"/>
        <v>0</v>
      </c>
      <c r="AR446">
        <f t="shared" si="147"/>
        <v>0</v>
      </c>
      <c r="AS446">
        <f t="shared" si="147"/>
        <v>0</v>
      </c>
      <c r="AT446">
        <f t="shared" si="147"/>
        <v>0</v>
      </c>
      <c r="AU446">
        <f t="shared" si="147"/>
        <v>0</v>
      </c>
      <c r="AV446">
        <f t="shared" si="144"/>
        <v>0</v>
      </c>
      <c r="AW446">
        <f t="shared" si="144"/>
        <v>0</v>
      </c>
      <c r="AX446">
        <f t="shared" si="144"/>
        <v>0</v>
      </c>
      <c r="AY446">
        <f t="shared" si="144"/>
        <v>0</v>
      </c>
      <c r="AZ446">
        <f t="shared" si="144"/>
        <v>0</v>
      </c>
    </row>
    <row r="447" spans="1:52" x14ac:dyDescent="0.25">
      <c r="A447" t="s">
        <v>25</v>
      </c>
      <c r="B447" s="3">
        <v>40636</v>
      </c>
      <c r="C447" s="1">
        <v>20361.007449716686</v>
      </c>
      <c r="D447" s="1">
        <v>154.25005643724762</v>
      </c>
      <c r="E447" s="1">
        <f t="shared" si="135"/>
        <v>9273.0074497166879</v>
      </c>
      <c r="F447" s="1">
        <f t="shared" si="136"/>
        <v>11088</v>
      </c>
      <c r="G447" s="2">
        <v>132</v>
      </c>
      <c r="H447" s="1">
        <v>70.250056437247636</v>
      </c>
      <c r="I447" s="1">
        <v>84</v>
      </c>
      <c r="J447" s="1">
        <f t="shared" si="138"/>
        <v>1722868.8576304179</v>
      </c>
      <c r="K447" s="1">
        <f t="shared" si="139"/>
        <v>873086.857630415</v>
      </c>
      <c r="N447">
        <f t="shared" si="137"/>
        <v>0</v>
      </c>
      <c r="O447">
        <f t="shared" si="137"/>
        <v>0</v>
      </c>
      <c r="P447">
        <f t="shared" si="137"/>
        <v>0</v>
      </c>
      <c r="Q447">
        <f t="shared" si="148"/>
        <v>0</v>
      </c>
      <c r="R447">
        <f t="shared" si="148"/>
        <v>0</v>
      </c>
      <c r="S447">
        <f t="shared" si="148"/>
        <v>1</v>
      </c>
      <c r="T447">
        <f t="shared" si="148"/>
        <v>0</v>
      </c>
      <c r="U447">
        <f t="shared" si="148"/>
        <v>0</v>
      </c>
      <c r="V447">
        <f t="shared" si="148"/>
        <v>0</v>
      </c>
      <c r="W447">
        <f t="shared" si="148"/>
        <v>0</v>
      </c>
      <c r="X447">
        <f t="shared" si="148"/>
        <v>0</v>
      </c>
      <c r="Y447">
        <f t="shared" si="148"/>
        <v>0</v>
      </c>
      <c r="Z447">
        <f t="shared" si="148"/>
        <v>0</v>
      </c>
      <c r="AA447">
        <f t="shared" si="148"/>
        <v>0</v>
      </c>
      <c r="AB447">
        <f t="shared" si="148"/>
        <v>0</v>
      </c>
      <c r="AC447">
        <f t="shared" si="148"/>
        <v>0</v>
      </c>
      <c r="AD447">
        <f t="shared" si="148"/>
        <v>0</v>
      </c>
      <c r="AE447">
        <f t="shared" si="148"/>
        <v>0</v>
      </c>
      <c r="AF447">
        <f t="shared" si="148"/>
        <v>0</v>
      </c>
      <c r="AG447">
        <f t="shared" si="147"/>
        <v>0</v>
      </c>
      <c r="AH447">
        <f t="shared" si="147"/>
        <v>0</v>
      </c>
      <c r="AI447">
        <f t="shared" si="147"/>
        <v>0</v>
      </c>
      <c r="AJ447">
        <f t="shared" si="147"/>
        <v>0</v>
      </c>
      <c r="AK447">
        <f t="shared" si="147"/>
        <v>0</v>
      </c>
      <c r="AL447">
        <f t="shared" si="147"/>
        <v>0</v>
      </c>
      <c r="AM447">
        <f t="shared" si="147"/>
        <v>0</v>
      </c>
      <c r="AN447">
        <f t="shared" si="147"/>
        <v>0</v>
      </c>
      <c r="AO447">
        <f t="shared" si="147"/>
        <v>0</v>
      </c>
      <c r="AP447">
        <f t="shared" si="147"/>
        <v>0</v>
      </c>
      <c r="AQ447">
        <f t="shared" si="147"/>
        <v>0</v>
      </c>
      <c r="AR447">
        <f t="shared" si="147"/>
        <v>0</v>
      </c>
      <c r="AS447">
        <f t="shared" si="147"/>
        <v>0</v>
      </c>
      <c r="AT447">
        <f t="shared" si="147"/>
        <v>0</v>
      </c>
      <c r="AU447">
        <f t="shared" si="147"/>
        <v>0</v>
      </c>
      <c r="AV447">
        <f t="shared" si="144"/>
        <v>0</v>
      </c>
      <c r="AW447">
        <f t="shared" si="144"/>
        <v>0</v>
      </c>
      <c r="AX447">
        <f t="shared" si="144"/>
        <v>0</v>
      </c>
      <c r="AY447">
        <f t="shared" si="144"/>
        <v>0</v>
      </c>
      <c r="AZ447">
        <f t="shared" si="144"/>
        <v>0</v>
      </c>
    </row>
    <row r="448" spans="1:52" x14ac:dyDescent="0.25">
      <c r="A448" t="s">
        <v>45</v>
      </c>
      <c r="B448" s="3">
        <v>40622</v>
      </c>
      <c r="C448" s="1">
        <v>1771.5482909589184</v>
      </c>
      <c r="D448" s="1">
        <v>161.04984463262895</v>
      </c>
      <c r="E448" s="1">
        <f t="shared" si="135"/>
        <v>1012.5482909589183</v>
      </c>
      <c r="F448" s="1">
        <f t="shared" si="136"/>
        <v>759</v>
      </c>
      <c r="G448" s="2">
        <v>11</v>
      </c>
      <c r="H448" s="1">
        <v>92.049844632628933</v>
      </c>
      <c r="I448" s="1">
        <v>69</v>
      </c>
      <c r="J448" s="1">
        <f t="shared" si="138"/>
        <v>1724640.4059213768</v>
      </c>
      <c r="K448" s="1">
        <f t="shared" si="139"/>
        <v>874099.40592137387</v>
      </c>
      <c r="N448">
        <f t="shared" si="137"/>
        <v>0</v>
      </c>
      <c r="O448">
        <f t="shared" si="137"/>
        <v>0</v>
      </c>
      <c r="P448">
        <f t="shared" si="137"/>
        <v>0</v>
      </c>
      <c r="Q448">
        <f t="shared" si="148"/>
        <v>0</v>
      </c>
      <c r="R448">
        <f t="shared" si="148"/>
        <v>0</v>
      </c>
      <c r="S448">
        <f t="shared" si="148"/>
        <v>0</v>
      </c>
      <c r="T448">
        <f t="shared" si="148"/>
        <v>0</v>
      </c>
      <c r="U448">
        <f t="shared" si="148"/>
        <v>0</v>
      </c>
      <c r="V448">
        <f t="shared" si="148"/>
        <v>0</v>
      </c>
      <c r="W448">
        <f t="shared" si="148"/>
        <v>0</v>
      </c>
      <c r="X448">
        <f t="shared" si="148"/>
        <v>0</v>
      </c>
      <c r="Y448">
        <f t="shared" si="148"/>
        <v>0</v>
      </c>
      <c r="Z448">
        <f t="shared" si="148"/>
        <v>0</v>
      </c>
      <c r="AA448">
        <f t="shared" si="148"/>
        <v>0</v>
      </c>
      <c r="AB448">
        <f t="shared" si="148"/>
        <v>0</v>
      </c>
      <c r="AC448">
        <f t="shared" si="148"/>
        <v>0</v>
      </c>
      <c r="AD448">
        <f t="shared" si="148"/>
        <v>0</v>
      </c>
      <c r="AE448">
        <f t="shared" si="148"/>
        <v>0</v>
      </c>
      <c r="AF448">
        <f t="shared" si="148"/>
        <v>0</v>
      </c>
      <c r="AG448">
        <f t="shared" si="147"/>
        <v>0</v>
      </c>
      <c r="AH448">
        <f t="shared" si="147"/>
        <v>0</v>
      </c>
      <c r="AI448">
        <f t="shared" si="147"/>
        <v>0</v>
      </c>
      <c r="AJ448">
        <f t="shared" si="147"/>
        <v>1</v>
      </c>
      <c r="AK448">
        <f t="shared" si="147"/>
        <v>0</v>
      </c>
      <c r="AL448">
        <f t="shared" si="147"/>
        <v>0</v>
      </c>
      <c r="AM448">
        <f t="shared" si="147"/>
        <v>0</v>
      </c>
      <c r="AN448">
        <f t="shared" si="147"/>
        <v>0</v>
      </c>
      <c r="AO448">
        <f t="shared" si="147"/>
        <v>0</v>
      </c>
      <c r="AP448">
        <f t="shared" si="147"/>
        <v>0</v>
      </c>
      <c r="AQ448">
        <f t="shared" si="147"/>
        <v>0</v>
      </c>
      <c r="AR448">
        <f t="shared" si="147"/>
        <v>0</v>
      </c>
      <c r="AS448">
        <f t="shared" si="147"/>
        <v>0</v>
      </c>
      <c r="AT448">
        <f t="shared" si="147"/>
        <v>0</v>
      </c>
      <c r="AU448">
        <f t="shared" si="147"/>
        <v>0</v>
      </c>
      <c r="AV448">
        <f t="shared" si="144"/>
        <v>0</v>
      </c>
      <c r="AW448">
        <f t="shared" si="144"/>
        <v>0</v>
      </c>
      <c r="AX448">
        <f t="shared" si="144"/>
        <v>0</v>
      </c>
      <c r="AY448">
        <f t="shared" si="144"/>
        <v>0</v>
      </c>
      <c r="AZ448">
        <f t="shared" si="144"/>
        <v>0</v>
      </c>
    </row>
    <row r="449" spans="1:52" x14ac:dyDescent="0.25">
      <c r="A449" t="s">
        <v>37</v>
      </c>
      <c r="B449" s="3">
        <v>40594</v>
      </c>
      <c r="C449" s="1">
        <v>2433.4032311735659</v>
      </c>
      <c r="D449" s="1">
        <v>143.14136653962152</v>
      </c>
      <c r="E449" s="1">
        <f t="shared" si="135"/>
        <v>1022.4032311735657</v>
      </c>
      <c r="F449" s="1">
        <f t="shared" si="136"/>
        <v>1411</v>
      </c>
      <c r="G449" s="2">
        <v>17</v>
      </c>
      <c r="H449" s="1">
        <v>60.141366539621515</v>
      </c>
      <c r="I449" s="1">
        <v>83</v>
      </c>
      <c r="J449" s="1">
        <f t="shared" si="138"/>
        <v>1727073.8091525503</v>
      </c>
      <c r="K449" s="1">
        <f t="shared" si="139"/>
        <v>875121.80915254739</v>
      </c>
      <c r="N449">
        <f t="shared" si="137"/>
        <v>0</v>
      </c>
      <c r="O449">
        <f t="shared" si="137"/>
        <v>0</v>
      </c>
      <c r="P449">
        <f t="shared" si="137"/>
        <v>0</v>
      </c>
      <c r="Q449">
        <f t="shared" si="148"/>
        <v>0</v>
      </c>
      <c r="R449">
        <f t="shared" si="148"/>
        <v>0</v>
      </c>
      <c r="S449">
        <f t="shared" si="148"/>
        <v>0</v>
      </c>
      <c r="T449">
        <f t="shared" si="148"/>
        <v>0</v>
      </c>
      <c r="U449">
        <f t="shared" si="148"/>
        <v>0</v>
      </c>
      <c r="V449">
        <f t="shared" si="148"/>
        <v>0</v>
      </c>
      <c r="W449">
        <f t="shared" si="148"/>
        <v>0</v>
      </c>
      <c r="X449">
        <f t="shared" si="148"/>
        <v>0</v>
      </c>
      <c r="Y449">
        <f t="shared" si="148"/>
        <v>0</v>
      </c>
      <c r="Z449">
        <f t="shared" si="148"/>
        <v>0</v>
      </c>
      <c r="AA449">
        <f t="shared" si="148"/>
        <v>0</v>
      </c>
      <c r="AB449">
        <f t="shared" si="148"/>
        <v>0</v>
      </c>
      <c r="AC449">
        <f t="shared" si="148"/>
        <v>0</v>
      </c>
      <c r="AD449">
        <f t="shared" si="148"/>
        <v>1</v>
      </c>
      <c r="AE449">
        <f t="shared" si="148"/>
        <v>0</v>
      </c>
      <c r="AF449">
        <f t="shared" si="148"/>
        <v>0</v>
      </c>
      <c r="AG449">
        <f t="shared" si="147"/>
        <v>0</v>
      </c>
      <c r="AH449">
        <f t="shared" si="147"/>
        <v>0</v>
      </c>
      <c r="AI449">
        <f t="shared" si="147"/>
        <v>0</v>
      </c>
      <c r="AJ449">
        <f t="shared" si="147"/>
        <v>0</v>
      </c>
      <c r="AK449">
        <f t="shared" si="147"/>
        <v>0</v>
      </c>
      <c r="AL449">
        <f t="shared" si="147"/>
        <v>0</v>
      </c>
      <c r="AM449">
        <f t="shared" si="147"/>
        <v>0</v>
      </c>
      <c r="AN449">
        <f t="shared" si="147"/>
        <v>0</v>
      </c>
      <c r="AO449">
        <f t="shared" si="147"/>
        <v>0</v>
      </c>
      <c r="AP449">
        <f t="shared" si="147"/>
        <v>0</v>
      </c>
      <c r="AQ449">
        <f t="shared" si="147"/>
        <v>0</v>
      </c>
      <c r="AR449">
        <f t="shared" si="147"/>
        <v>0</v>
      </c>
      <c r="AS449">
        <f t="shared" si="147"/>
        <v>0</v>
      </c>
      <c r="AT449">
        <f t="shared" si="147"/>
        <v>0</v>
      </c>
      <c r="AU449">
        <f t="shared" si="147"/>
        <v>0</v>
      </c>
      <c r="AV449">
        <f t="shared" si="144"/>
        <v>0</v>
      </c>
      <c r="AW449">
        <f t="shared" si="144"/>
        <v>0</v>
      </c>
      <c r="AX449">
        <f t="shared" si="144"/>
        <v>0</v>
      </c>
      <c r="AY449">
        <f t="shared" si="144"/>
        <v>0</v>
      </c>
      <c r="AZ449">
        <f t="shared" si="144"/>
        <v>0</v>
      </c>
    </row>
    <row r="450" spans="1:52" x14ac:dyDescent="0.25">
      <c r="A450" t="s">
        <v>48</v>
      </c>
      <c r="B450" s="3">
        <v>40583</v>
      </c>
      <c r="C450" s="1">
        <v>820.43618552439227</v>
      </c>
      <c r="D450" s="1">
        <v>68.369682127032689</v>
      </c>
      <c r="E450" s="1">
        <f t="shared" si="135"/>
        <v>484.43618552439227</v>
      </c>
      <c r="F450" s="1">
        <f t="shared" si="136"/>
        <v>336</v>
      </c>
      <c r="G450" s="2">
        <v>12</v>
      </c>
      <c r="H450" s="1">
        <v>40.369682127032689</v>
      </c>
      <c r="I450" s="1">
        <v>28</v>
      </c>
      <c r="J450" s="1">
        <f t="shared" si="138"/>
        <v>1727894.2453380746</v>
      </c>
      <c r="K450" s="1">
        <f t="shared" si="139"/>
        <v>875606.24533807184</v>
      </c>
      <c r="N450">
        <f t="shared" si="137"/>
        <v>0</v>
      </c>
      <c r="O450">
        <f t="shared" si="137"/>
        <v>0</v>
      </c>
      <c r="P450">
        <f t="shared" si="137"/>
        <v>0</v>
      </c>
      <c r="Q450">
        <f t="shared" si="148"/>
        <v>0</v>
      </c>
      <c r="R450">
        <f t="shared" si="148"/>
        <v>0</v>
      </c>
      <c r="S450">
        <f t="shared" si="148"/>
        <v>0</v>
      </c>
      <c r="T450">
        <f t="shared" si="148"/>
        <v>0</v>
      </c>
      <c r="U450">
        <f t="shared" si="148"/>
        <v>0</v>
      </c>
      <c r="V450">
        <f t="shared" si="148"/>
        <v>0</v>
      </c>
      <c r="W450">
        <f t="shared" si="148"/>
        <v>0</v>
      </c>
      <c r="X450">
        <f t="shared" si="148"/>
        <v>0</v>
      </c>
      <c r="Y450">
        <f t="shared" si="148"/>
        <v>0</v>
      </c>
      <c r="Z450">
        <f t="shared" si="148"/>
        <v>0</v>
      </c>
      <c r="AA450">
        <f t="shared" si="148"/>
        <v>0</v>
      </c>
      <c r="AB450">
        <f t="shared" si="148"/>
        <v>0</v>
      </c>
      <c r="AC450">
        <f t="shared" si="148"/>
        <v>0</v>
      </c>
      <c r="AD450">
        <f t="shared" si="148"/>
        <v>0</v>
      </c>
      <c r="AE450">
        <f t="shared" si="148"/>
        <v>0</v>
      </c>
      <c r="AF450">
        <f t="shared" si="148"/>
        <v>0</v>
      </c>
      <c r="AG450">
        <f t="shared" si="147"/>
        <v>0</v>
      </c>
      <c r="AH450">
        <f t="shared" si="147"/>
        <v>0</v>
      </c>
      <c r="AI450">
        <f t="shared" si="147"/>
        <v>1</v>
      </c>
      <c r="AJ450">
        <f t="shared" si="147"/>
        <v>0</v>
      </c>
      <c r="AK450">
        <f t="shared" si="147"/>
        <v>0</v>
      </c>
      <c r="AL450">
        <f t="shared" si="147"/>
        <v>0</v>
      </c>
      <c r="AM450">
        <f t="shared" si="147"/>
        <v>0</v>
      </c>
      <c r="AN450">
        <f t="shared" si="147"/>
        <v>0</v>
      </c>
      <c r="AO450">
        <f t="shared" si="147"/>
        <v>0</v>
      </c>
      <c r="AP450">
        <f t="shared" si="147"/>
        <v>0</v>
      </c>
      <c r="AQ450">
        <f t="shared" si="147"/>
        <v>0</v>
      </c>
      <c r="AR450">
        <f t="shared" si="147"/>
        <v>0</v>
      </c>
      <c r="AS450">
        <f t="shared" si="147"/>
        <v>0</v>
      </c>
      <c r="AT450">
        <f t="shared" si="147"/>
        <v>0</v>
      </c>
      <c r="AU450">
        <f t="shared" si="147"/>
        <v>0</v>
      </c>
      <c r="AV450">
        <f t="shared" si="144"/>
        <v>0</v>
      </c>
      <c r="AW450">
        <f t="shared" si="144"/>
        <v>0</v>
      </c>
      <c r="AX450">
        <f t="shared" si="144"/>
        <v>0</v>
      </c>
      <c r="AY450">
        <f t="shared" si="144"/>
        <v>0</v>
      </c>
      <c r="AZ450">
        <f t="shared" si="144"/>
        <v>0</v>
      </c>
    </row>
    <row r="451" spans="1:52" x14ac:dyDescent="0.25">
      <c r="A451" t="s">
        <v>47</v>
      </c>
      <c r="B451" s="3">
        <v>40570</v>
      </c>
      <c r="C451" s="1">
        <v>15041.733490758397</v>
      </c>
      <c r="D451" s="1">
        <v>103.02557185450956</v>
      </c>
      <c r="E451" s="1">
        <f t="shared" si="135"/>
        <v>7303.7334907583963</v>
      </c>
      <c r="F451" s="1">
        <f t="shared" si="136"/>
        <v>7738</v>
      </c>
      <c r="G451" s="2">
        <v>146</v>
      </c>
      <c r="H451" s="1">
        <v>50.025571854509565</v>
      </c>
      <c r="I451" s="1">
        <v>53</v>
      </c>
      <c r="J451" s="1">
        <f t="shared" si="138"/>
        <v>1742935.978828833</v>
      </c>
      <c r="K451" s="1">
        <f t="shared" si="139"/>
        <v>882909.97882883018</v>
      </c>
      <c r="N451">
        <f t="shared" si="137"/>
        <v>0</v>
      </c>
      <c r="O451">
        <f t="shared" si="137"/>
        <v>0</v>
      </c>
      <c r="P451">
        <f t="shared" si="137"/>
        <v>0</v>
      </c>
      <c r="Q451">
        <f t="shared" si="148"/>
        <v>0</v>
      </c>
      <c r="R451">
        <f t="shared" si="148"/>
        <v>0</v>
      </c>
      <c r="S451">
        <f t="shared" si="148"/>
        <v>0</v>
      </c>
      <c r="T451">
        <f t="shared" si="148"/>
        <v>0</v>
      </c>
      <c r="U451">
        <f t="shared" si="148"/>
        <v>0</v>
      </c>
      <c r="V451">
        <f t="shared" si="148"/>
        <v>0</v>
      </c>
      <c r="W451">
        <f t="shared" si="148"/>
        <v>0</v>
      </c>
      <c r="X451">
        <f t="shared" si="148"/>
        <v>0</v>
      </c>
      <c r="Y451">
        <f t="shared" si="148"/>
        <v>0</v>
      </c>
      <c r="Z451">
        <f t="shared" si="148"/>
        <v>0</v>
      </c>
      <c r="AA451">
        <f t="shared" si="148"/>
        <v>0</v>
      </c>
      <c r="AB451">
        <f t="shared" si="148"/>
        <v>0</v>
      </c>
      <c r="AC451">
        <f t="shared" si="148"/>
        <v>0</v>
      </c>
      <c r="AD451">
        <f t="shared" si="148"/>
        <v>0</v>
      </c>
      <c r="AE451">
        <f t="shared" si="148"/>
        <v>0</v>
      </c>
      <c r="AF451">
        <f t="shared" si="148"/>
        <v>0</v>
      </c>
      <c r="AG451">
        <f t="shared" si="147"/>
        <v>0</v>
      </c>
      <c r="AH451">
        <f t="shared" si="147"/>
        <v>0</v>
      </c>
      <c r="AI451">
        <f t="shared" si="147"/>
        <v>0</v>
      </c>
      <c r="AJ451">
        <f t="shared" si="147"/>
        <v>0</v>
      </c>
      <c r="AK451">
        <f t="shared" si="147"/>
        <v>0</v>
      </c>
      <c r="AL451">
        <f t="shared" si="147"/>
        <v>0</v>
      </c>
      <c r="AM451">
        <f t="shared" si="147"/>
        <v>0</v>
      </c>
      <c r="AN451">
        <f t="shared" si="147"/>
        <v>0</v>
      </c>
      <c r="AO451">
        <f t="shared" si="147"/>
        <v>0</v>
      </c>
      <c r="AP451">
        <f t="shared" si="147"/>
        <v>0</v>
      </c>
      <c r="AQ451">
        <f t="shared" si="147"/>
        <v>0</v>
      </c>
      <c r="AR451">
        <f t="shared" si="147"/>
        <v>0</v>
      </c>
      <c r="AS451">
        <f t="shared" si="147"/>
        <v>0</v>
      </c>
      <c r="AT451">
        <f t="shared" si="147"/>
        <v>0</v>
      </c>
      <c r="AU451">
        <f t="shared" si="147"/>
        <v>0</v>
      </c>
      <c r="AV451">
        <f t="shared" si="144"/>
        <v>0</v>
      </c>
      <c r="AW451">
        <f t="shared" si="144"/>
        <v>0</v>
      </c>
      <c r="AX451">
        <f t="shared" si="144"/>
        <v>0</v>
      </c>
      <c r="AY451">
        <f t="shared" si="144"/>
        <v>0</v>
      </c>
      <c r="AZ451">
        <f t="shared" si="144"/>
        <v>1</v>
      </c>
    </row>
    <row r="452" spans="1:52" x14ac:dyDescent="0.25">
      <c r="A452" t="s">
        <v>28</v>
      </c>
      <c r="B452" s="3">
        <v>40555</v>
      </c>
      <c r="C452" s="1">
        <v>1865.8036396427635</v>
      </c>
      <c r="D452" s="1">
        <v>60.187214182024633</v>
      </c>
      <c r="E452" s="1">
        <f t="shared" si="135"/>
        <v>1183.8036396427635</v>
      </c>
      <c r="F452" s="1">
        <f t="shared" si="136"/>
        <v>682</v>
      </c>
      <c r="G452" s="2">
        <v>31</v>
      </c>
      <c r="H452" s="1">
        <v>38.187214182024633</v>
      </c>
      <c r="I452" s="1">
        <v>22</v>
      </c>
      <c r="J452" s="1">
        <f t="shared" si="138"/>
        <v>1744801.7824684756</v>
      </c>
      <c r="K452" s="1">
        <f t="shared" si="139"/>
        <v>884093.78246847296</v>
      </c>
      <c r="N452">
        <f t="shared" si="137"/>
        <v>0</v>
      </c>
      <c r="O452">
        <f t="shared" si="137"/>
        <v>0</v>
      </c>
      <c r="P452">
        <f t="shared" si="137"/>
        <v>0</v>
      </c>
      <c r="Q452">
        <f t="shared" si="148"/>
        <v>0</v>
      </c>
      <c r="R452">
        <f t="shared" si="148"/>
        <v>0</v>
      </c>
      <c r="S452">
        <f t="shared" si="148"/>
        <v>0</v>
      </c>
      <c r="T452">
        <f t="shared" si="148"/>
        <v>0</v>
      </c>
      <c r="U452">
        <f t="shared" si="148"/>
        <v>0</v>
      </c>
      <c r="V452">
        <f t="shared" si="148"/>
        <v>0</v>
      </c>
      <c r="W452">
        <f t="shared" si="148"/>
        <v>0</v>
      </c>
      <c r="X452">
        <f t="shared" si="148"/>
        <v>0</v>
      </c>
      <c r="Y452">
        <f t="shared" si="148"/>
        <v>0</v>
      </c>
      <c r="Z452">
        <f t="shared" si="148"/>
        <v>0</v>
      </c>
      <c r="AA452">
        <f t="shared" si="148"/>
        <v>0</v>
      </c>
      <c r="AB452">
        <f t="shared" si="148"/>
        <v>0</v>
      </c>
      <c r="AC452">
        <f t="shared" si="148"/>
        <v>0</v>
      </c>
      <c r="AD452">
        <f t="shared" si="148"/>
        <v>0</v>
      </c>
      <c r="AE452">
        <f t="shared" si="148"/>
        <v>0</v>
      </c>
      <c r="AF452">
        <f t="shared" si="148"/>
        <v>0</v>
      </c>
      <c r="AG452">
        <f t="shared" si="147"/>
        <v>0</v>
      </c>
      <c r="AH452">
        <f t="shared" si="147"/>
        <v>0</v>
      </c>
      <c r="AI452">
        <f t="shared" si="147"/>
        <v>0</v>
      </c>
      <c r="AJ452">
        <f t="shared" si="147"/>
        <v>0</v>
      </c>
      <c r="AK452">
        <f t="shared" si="147"/>
        <v>0</v>
      </c>
      <c r="AL452">
        <f t="shared" si="147"/>
        <v>0</v>
      </c>
      <c r="AM452">
        <f t="shared" si="147"/>
        <v>0</v>
      </c>
      <c r="AN452">
        <f t="shared" si="147"/>
        <v>0</v>
      </c>
      <c r="AO452">
        <f t="shared" si="147"/>
        <v>0</v>
      </c>
      <c r="AP452">
        <f t="shared" si="147"/>
        <v>0</v>
      </c>
      <c r="AQ452">
        <f t="shared" si="147"/>
        <v>0</v>
      </c>
      <c r="AR452">
        <f t="shared" si="147"/>
        <v>0</v>
      </c>
      <c r="AS452">
        <f t="shared" si="147"/>
        <v>0</v>
      </c>
      <c r="AT452">
        <f t="shared" si="147"/>
        <v>1</v>
      </c>
      <c r="AU452">
        <f t="shared" si="147"/>
        <v>0</v>
      </c>
      <c r="AV452">
        <f t="shared" si="144"/>
        <v>0</v>
      </c>
      <c r="AW452">
        <f t="shared" si="144"/>
        <v>0</v>
      </c>
      <c r="AX452">
        <f t="shared" si="144"/>
        <v>0</v>
      </c>
      <c r="AY452">
        <f t="shared" si="144"/>
        <v>0</v>
      </c>
      <c r="AZ452">
        <f t="shared" si="144"/>
        <v>0</v>
      </c>
    </row>
    <row r="453" spans="1:52" x14ac:dyDescent="0.25">
      <c r="A453" t="s">
        <v>31</v>
      </c>
      <c r="B453" s="3">
        <v>40547</v>
      </c>
      <c r="C453" s="1">
        <v>782.6477371441747</v>
      </c>
      <c r="D453" s="1">
        <v>71.149794285834062</v>
      </c>
      <c r="E453" s="1">
        <f t="shared" si="135"/>
        <v>364.6477371441747</v>
      </c>
      <c r="F453" s="1">
        <f t="shared" si="136"/>
        <v>418</v>
      </c>
      <c r="G453" s="2">
        <v>11</v>
      </c>
      <c r="H453" s="1">
        <v>33.149794285834062</v>
      </c>
      <c r="I453" s="1">
        <v>38</v>
      </c>
      <c r="J453" s="1">
        <f t="shared" si="138"/>
        <v>1745584.4302056199</v>
      </c>
      <c r="K453" s="1">
        <f t="shared" si="139"/>
        <v>884458.4302056171</v>
      </c>
      <c r="N453">
        <f t="shared" si="137"/>
        <v>0</v>
      </c>
      <c r="O453">
        <f t="shared" si="137"/>
        <v>0</v>
      </c>
      <c r="P453">
        <f t="shared" si="137"/>
        <v>0</v>
      </c>
      <c r="Q453">
        <f t="shared" si="148"/>
        <v>0</v>
      </c>
      <c r="R453">
        <f t="shared" si="148"/>
        <v>0</v>
      </c>
      <c r="S453">
        <f t="shared" si="148"/>
        <v>0</v>
      </c>
      <c r="T453">
        <f t="shared" si="148"/>
        <v>0</v>
      </c>
      <c r="U453">
        <f t="shared" si="148"/>
        <v>0</v>
      </c>
      <c r="V453">
        <f t="shared" si="148"/>
        <v>0</v>
      </c>
      <c r="W453">
        <f t="shared" si="148"/>
        <v>1</v>
      </c>
      <c r="X453">
        <f t="shared" si="148"/>
        <v>0</v>
      </c>
      <c r="Y453">
        <f t="shared" si="148"/>
        <v>0</v>
      </c>
      <c r="Z453">
        <f t="shared" si="148"/>
        <v>0</v>
      </c>
      <c r="AA453">
        <f t="shared" si="148"/>
        <v>0</v>
      </c>
      <c r="AB453">
        <f t="shared" si="148"/>
        <v>0</v>
      </c>
      <c r="AC453">
        <f t="shared" si="148"/>
        <v>0</v>
      </c>
      <c r="AD453">
        <f t="shared" si="148"/>
        <v>0</v>
      </c>
      <c r="AE453">
        <f t="shared" si="148"/>
        <v>0</v>
      </c>
      <c r="AF453">
        <f t="shared" si="148"/>
        <v>0</v>
      </c>
      <c r="AG453">
        <f t="shared" si="147"/>
        <v>0</v>
      </c>
      <c r="AH453">
        <f t="shared" si="147"/>
        <v>0</v>
      </c>
      <c r="AI453">
        <f t="shared" si="147"/>
        <v>0</v>
      </c>
      <c r="AJ453">
        <f t="shared" si="147"/>
        <v>0</v>
      </c>
      <c r="AK453">
        <f t="shared" si="147"/>
        <v>0</v>
      </c>
      <c r="AL453">
        <f t="shared" si="147"/>
        <v>0</v>
      </c>
      <c r="AM453">
        <f t="shared" si="147"/>
        <v>0</v>
      </c>
      <c r="AN453">
        <f t="shared" si="147"/>
        <v>0</v>
      </c>
      <c r="AO453">
        <f t="shared" si="147"/>
        <v>0</v>
      </c>
      <c r="AP453">
        <f t="shared" si="147"/>
        <v>0</v>
      </c>
      <c r="AQ453">
        <f t="shared" si="147"/>
        <v>0</v>
      </c>
      <c r="AR453">
        <f t="shared" si="147"/>
        <v>0</v>
      </c>
      <c r="AS453">
        <f t="shared" si="147"/>
        <v>0</v>
      </c>
      <c r="AT453">
        <f t="shared" si="147"/>
        <v>0</v>
      </c>
      <c r="AU453">
        <f t="shared" si="147"/>
        <v>0</v>
      </c>
      <c r="AV453">
        <f t="shared" si="144"/>
        <v>0</v>
      </c>
      <c r="AW453">
        <f t="shared" si="144"/>
        <v>0</v>
      </c>
      <c r="AX453">
        <f t="shared" si="144"/>
        <v>0</v>
      </c>
      <c r="AY453">
        <f t="shared" si="144"/>
        <v>0</v>
      </c>
      <c r="AZ453">
        <f t="shared" si="144"/>
        <v>0</v>
      </c>
    </row>
    <row r="454" spans="1:52" x14ac:dyDescent="0.25">
      <c r="A454" t="s">
        <v>35</v>
      </c>
      <c r="B454" s="3">
        <v>40546</v>
      </c>
      <c r="C454" s="1">
        <v>2709.1673592439283</v>
      </c>
      <c r="D454" s="1">
        <v>135.45836796219641</v>
      </c>
      <c r="E454" s="1">
        <f t="shared" si="135"/>
        <v>1309.1673592439281</v>
      </c>
      <c r="F454" s="1">
        <f t="shared" si="136"/>
        <v>1400</v>
      </c>
      <c r="G454" s="2">
        <v>20</v>
      </c>
      <c r="H454" s="1">
        <v>65.458367962196405</v>
      </c>
      <c r="I454" s="1">
        <v>70</v>
      </c>
      <c r="J454" s="1">
        <f t="shared" si="138"/>
        <v>1748293.5975648637</v>
      </c>
      <c r="K454" s="1">
        <f t="shared" si="139"/>
        <v>885767.59756486106</v>
      </c>
      <c r="N454">
        <f t="shared" si="137"/>
        <v>0</v>
      </c>
      <c r="O454">
        <f t="shared" si="137"/>
        <v>0</v>
      </c>
      <c r="P454">
        <f t="shared" si="137"/>
        <v>0</v>
      </c>
      <c r="Q454">
        <f t="shared" si="148"/>
        <v>0</v>
      </c>
      <c r="R454">
        <f t="shared" si="148"/>
        <v>0</v>
      </c>
      <c r="S454">
        <f t="shared" si="148"/>
        <v>0</v>
      </c>
      <c r="T454">
        <f t="shared" si="148"/>
        <v>0</v>
      </c>
      <c r="U454">
        <f t="shared" si="148"/>
        <v>0</v>
      </c>
      <c r="V454">
        <f t="shared" si="148"/>
        <v>0</v>
      </c>
      <c r="W454">
        <f t="shared" si="148"/>
        <v>0</v>
      </c>
      <c r="X454">
        <f t="shared" si="148"/>
        <v>0</v>
      </c>
      <c r="Y454">
        <f t="shared" si="148"/>
        <v>0</v>
      </c>
      <c r="Z454">
        <f t="shared" si="148"/>
        <v>0</v>
      </c>
      <c r="AA454">
        <f t="shared" si="148"/>
        <v>0</v>
      </c>
      <c r="AB454">
        <f t="shared" si="148"/>
        <v>0</v>
      </c>
      <c r="AC454">
        <f t="shared" si="148"/>
        <v>0</v>
      </c>
      <c r="AD454">
        <f t="shared" si="148"/>
        <v>0</v>
      </c>
      <c r="AE454">
        <f t="shared" si="148"/>
        <v>0</v>
      </c>
      <c r="AF454">
        <f t="shared" si="148"/>
        <v>0</v>
      </c>
      <c r="AG454">
        <f t="shared" si="147"/>
        <v>0</v>
      </c>
      <c r="AH454">
        <f t="shared" si="147"/>
        <v>0</v>
      </c>
      <c r="AI454">
        <f t="shared" si="147"/>
        <v>0</v>
      </c>
      <c r="AJ454">
        <f t="shared" si="147"/>
        <v>0</v>
      </c>
      <c r="AK454">
        <f t="shared" si="147"/>
        <v>0</v>
      </c>
      <c r="AL454">
        <f t="shared" si="147"/>
        <v>1</v>
      </c>
      <c r="AM454">
        <f t="shared" si="147"/>
        <v>0</v>
      </c>
      <c r="AN454">
        <f t="shared" si="147"/>
        <v>0</v>
      </c>
      <c r="AO454">
        <f t="shared" si="147"/>
        <v>0</v>
      </c>
      <c r="AP454">
        <f t="shared" si="147"/>
        <v>0</v>
      </c>
      <c r="AQ454">
        <f t="shared" si="147"/>
        <v>0</v>
      </c>
      <c r="AR454">
        <f t="shared" si="147"/>
        <v>0</v>
      </c>
      <c r="AS454">
        <f t="shared" si="147"/>
        <v>0</v>
      </c>
      <c r="AT454">
        <f t="shared" si="147"/>
        <v>0</v>
      </c>
      <c r="AU454">
        <f t="shared" si="147"/>
        <v>0</v>
      </c>
      <c r="AV454">
        <f t="shared" si="144"/>
        <v>0</v>
      </c>
      <c r="AW454">
        <f t="shared" si="144"/>
        <v>0</v>
      </c>
      <c r="AX454">
        <f t="shared" si="144"/>
        <v>0</v>
      </c>
      <c r="AY454">
        <f t="shared" si="144"/>
        <v>0</v>
      </c>
      <c r="AZ454">
        <f t="shared" si="144"/>
        <v>0</v>
      </c>
    </row>
    <row r="455" spans="1:52" x14ac:dyDescent="0.25">
      <c r="A455" t="s">
        <v>46</v>
      </c>
      <c r="B455" s="3">
        <v>40524</v>
      </c>
      <c r="C455" s="1">
        <v>4813.9413667131639</v>
      </c>
      <c r="D455" s="1">
        <v>200.58089027971516</v>
      </c>
      <c r="E455" s="1">
        <f t="shared" ref="E455:E505" si="149">+G455*H455</f>
        <v>2557.9413667131635</v>
      </c>
      <c r="F455" s="1">
        <f t="shared" ref="F455:F505" si="150">+G455*I455</f>
        <v>2256</v>
      </c>
      <c r="G455" s="2">
        <v>24</v>
      </c>
      <c r="H455" s="1">
        <v>106.58089027971515</v>
      </c>
      <c r="I455" s="1">
        <v>94</v>
      </c>
      <c r="J455" s="1">
        <f t="shared" si="138"/>
        <v>1753107.538931577</v>
      </c>
      <c r="K455" s="1">
        <f t="shared" si="139"/>
        <v>888325.53893157421</v>
      </c>
      <c r="N455">
        <f t="shared" ref="N455:AC505" si="151">+IF(N$5=$A455,1,0)</f>
        <v>0</v>
      </c>
      <c r="O455">
        <f t="shared" si="151"/>
        <v>1</v>
      </c>
      <c r="P455">
        <f t="shared" si="151"/>
        <v>0</v>
      </c>
      <c r="Q455">
        <f t="shared" si="148"/>
        <v>0</v>
      </c>
      <c r="R455">
        <f t="shared" si="148"/>
        <v>0</v>
      </c>
      <c r="S455">
        <f t="shared" si="148"/>
        <v>0</v>
      </c>
      <c r="T455">
        <f t="shared" si="148"/>
        <v>0</v>
      </c>
      <c r="U455">
        <f t="shared" si="148"/>
        <v>0</v>
      </c>
      <c r="V455">
        <f t="shared" si="148"/>
        <v>0</v>
      </c>
      <c r="W455">
        <f t="shared" si="148"/>
        <v>0</v>
      </c>
      <c r="X455">
        <f t="shared" si="148"/>
        <v>0</v>
      </c>
      <c r="Y455">
        <f t="shared" si="148"/>
        <v>0</v>
      </c>
      <c r="Z455">
        <f t="shared" si="148"/>
        <v>0</v>
      </c>
      <c r="AA455">
        <f t="shared" si="148"/>
        <v>0</v>
      </c>
      <c r="AB455">
        <f t="shared" si="148"/>
        <v>0</v>
      </c>
      <c r="AC455">
        <f t="shared" si="148"/>
        <v>0</v>
      </c>
      <c r="AD455">
        <f t="shared" si="148"/>
        <v>0</v>
      </c>
      <c r="AE455">
        <f t="shared" si="148"/>
        <v>0</v>
      </c>
      <c r="AF455">
        <f t="shared" si="148"/>
        <v>0</v>
      </c>
      <c r="AG455">
        <f t="shared" si="147"/>
        <v>0</v>
      </c>
      <c r="AH455">
        <f t="shared" si="147"/>
        <v>0</v>
      </c>
      <c r="AI455">
        <f t="shared" si="147"/>
        <v>0</v>
      </c>
      <c r="AJ455">
        <f t="shared" si="147"/>
        <v>0</v>
      </c>
      <c r="AK455">
        <f t="shared" si="147"/>
        <v>0</v>
      </c>
      <c r="AL455">
        <f t="shared" si="147"/>
        <v>0</v>
      </c>
      <c r="AM455">
        <f t="shared" si="147"/>
        <v>0</v>
      </c>
      <c r="AN455">
        <f t="shared" si="147"/>
        <v>0</v>
      </c>
      <c r="AO455">
        <f t="shared" si="147"/>
        <v>0</v>
      </c>
      <c r="AP455">
        <f t="shared" si="147"/>
        <v>0</v>
      </c>
      <c r="AQ455">
        <f t="shared" si="147"/>
        <v>0</v>
      </c>
      <c r="AR455">
        <f t="shared" si="147"/>
        <v>0</v>
      </c>
      <c r="AS455">
        <f t="shared" si="147"/>
        <v>0</v>
      </c>
      <c r="AT455">
        <f t="shared" si="147"/>
        <v>0</v>
      </c>
      <c r="AU455">
        <f t="shared" si="147"/>
        <v>0</v>
      </c>
      <c r="AV455">
        <f t="shared" si="144"/>
        <v>0</v>
      </c>
      <c r="AW455">
        <f t="shared" si="144"/>
        <v>0</v>
      </c>
      <c r="AX455">
        <f t="shared" si="144"/>
        <v>0</v>
      </c>
      <c r="AY455">
        <f t="shared" si="144"/>
        <v>0</v>
      </c>
      <c r="AZ455">
        <f t="shared" si="144"/>
        <v>0</v>
      </c>
    </row>
    <row r="456" spans="1:52" x14ac:dyDescent="0.25">
      <c r="A456" t="s">
        <v>38</v>
      </c>
      <c r="B456" s="3">
        <v>40523</v>
      </c>
      <c r="C456" s="1">
        <v>620.23770514896228</v>
      </c>
      <c r="D456" s="1">
        <v>88.60538644985175</v>
      </c>
      <c r="E456" s="1">
        <f t="shared" si="149"/>
        <v>291.23770514896228</v>
      </c>
      <c r="F456" s="1">
        <f t="shared" si="150"/>
        <v>329</v>
      </c>
      <c r="G456" s="2">
        <v>7</v>
      </c>
      <c r="H456" s="1">
        <v>41.60538644985175</v>
      </c>
      <c r="I456" s="1">
        <v>47</v>
      </c>
      <c r="J456" s="1">
        <f t="shared" ref="J456:J505" si="152">+J455+C456</f>
        <v>1753727.776636726</v>
      </c>
      <c r="K456" s="1">
        <f t="shared" ref="K456:K505" si="153">+K455+E456</f>
        <v>888616.7766367232</v>
      </c>
      <c r="N456">
        <f t="shared" si="151"/>
        <v>0</v>
      </c>
      <c r="O456">
        <f t="shared" si="151"/>
        <v>0</v>
      </c>
      <c r="P456">
        <f t="shared" si="151"/>
        <v>0</v>
      </c>
      <c r="Q456">
        <f t="shared" si="148"/>
        <v>0</v>
      </c>
      <c r="R456">
        <f t="shared" si="148"/>
        <v>0</v>
      </c>
      <c r="S456">
        <f t="shared" si="148"/>
        <v>0</v>
      </c>
      <c r="T456">
        <f t="shared" si="148"/>
        <v>0</v>
      </c>
      <c r="U456">
        <f t="shared" si="148"/>
        <v>0</v>
      </c>
      <c r="V456">
        <f t="shared" si="148"/>
        <v>0</v>
      </c>
      <c r="W456">
        <f t="shared" si="148"/>
        <v>0</v>
      </c>
      <c r="X456">
        <f t="shared" si="148"/>
        <v>0</v>
      </c>
      <c r="Y456">
        <f t="shared" si="148"/>
        <v>0</v>
      </c>
      <c r="Z456">
        <f t="shared" si="148"/>
        <v>0</v>
      </c>
      <c r="AA456">
        <f t="shared" si="148"/>
        <v>0</v>
      </c>
      <c r="AB456">
        <f t="shared" si="148"/>
        <v>1</v>
      </c>
      <c r="AC456">
        <f t="shared" si="148"/>
        <v>0</v>
      </c>
      <c r="AD456">
        <f t="shared" si="148"/>
        <v>0</v>
      </c>
      <c r="AE456">
        <f t="shared" si="148"/>
        <v>0</v>
      </c>
      <c r="AF456">
        <f t="shared" ref="AF456:AU479" si="154">+IF(AF$5=$A456,1,0)</f>
        <v>0</v>
      </c>
      <c r="AG456">
        <f t="shared" si="154"/>
        <v>0</v>
      </c>
      <c r="AH456">
        <f t="shared" si="154"/>
        <v>0</v>
      </c>
      <c r="AI456">
        <f t="shared" si="154"/>
        <v>0</v>
      </c>
      <c r="AJ456">
        <f t="shared" si="154"/>
        <v>0</v>
      </c>
      <c r="AK456">
        <f t="shared" si="154"/>
        <v>0</v>
      </c>
      <c r="AL456">
        <f t="shared" si="154"/>
        <v>0</v>
      </c>
      <c r="AM456">
        <f t="shared" si="154"/>
        <v>0</v>
      </c>
      <c r="AN456">
        <f t="shared" si="154"/>
        <v>0</v>
      </c>
      <c r="AO456">
        <f t="shared" si="154"/>
        <v>0</v>
      </c>
      <c r="AP456">
        <f t="shared" si="154"/>
        <v>0</v>
      </c>
      <c r="AQ456">
        <f t="shared" si="154"/>
        <v>0</v>
      </c>
      <c r="AR456">
        <f t="shared" si="154"/>
        <v>0</v>
      </c>
      <c r="AS456">
        <f t="shared" si="154"/>
        <v>0</v>
      </c>
      <c r="AT456">
        <f t="shared" si="154"/>
        <v>0</v>
      </c>
      <c r="AU456">
        <f t="shared" si="154"/>
        <v>0</v>
      </c>
      <c r="AV456">
        <f t="shared" si="144"/>
        <v>0</v>
      </c>
      <c r="AW456">
        <f t="shared" si="144"/>
        <v>0</v>
      </c>
      <c r="AX456">
        <f t="shared" si="144"/>
        <v>0</v>
      </c>
      <c r="AY456">
        <f t="shared" si="144"/>
        <v>0</v>
      </c>
      <c r="AZ456">
        <f t="shared" si="144"/>
        <v>0</v>
      </c>
    </row>
    <row r="457" spans="1:52" x14ac:dyDescent="0.25">
      <c r="A457" t="s">
        <v>17</v>
      </c>
      <c r="B457" s="3">
        <v>40511</v>
      </c>
      <c r="C457" s="1">
        <v>2008.1172764618063</v>
      </c>
      <c r="D457" s="1">
        <v>200.81172764618063</v>
      </c>
      <c r="E457" s="1">
        <f t="shared" si="149"/>
        <v>808.11727646180634</v>
      </c>
      <c r="F457" s="1">
        <f t="shared" si="150"/>
        <v>1200</v>
      </c>
      <c r="G457" s="2">
        <v>10</v>
      </c>
      <c r="H457" s="1">
        <v>80.811727646180628</v>
      </c>
      <c r="I457" s="1">
        <v>120</v>
      </c>
      <c r="J457" s="1">
        <f t="shared" si="152"/>
        <v>1755735.8939131878</v>
      </c>
      <c r="K457" s="1">
        <f t="shared" si="153"/>
        <v>889424.89391318499</v>
      </c>
      <c r="N457">
        <f t="shared" si="151"/>
        <v>0</v>
      </c>
      <c r="O457">
        <f t="shared" si="151"/>
        <v>0</v>
      </c>
      <c r="P457">
        <f t="shared" si="151"/>
        <v>0</v>
      </c>
      <c r="Q457">
        <f t="shared" si="151"/>
        <v>0</v>
      </c>
      <c r="R457">
        <f t="shared" si="151"/>
        <v>0</v>
      </c>
      <c r="S457">
        <f t="shared" si="151"/>
        <v>0</v>
      </c>
      <c r="T457">
        <f t="shared" si="151"/>
        <v>0</v>
      </c>
      <c r="U457">
        <f t="shared" si="151"/>
        <v>0</v>
      </c>
      <c r="V457">
        <f t="shared" si="151"/>
        <v>0</v>
      </c>
      <c r="W457">
        <f t="shared" si="151"/>
        <v>0</v>
      </c>
      <c r="X457">
        <f t="shared" si="151"/>
        <v>0</v>
      </c>
      <c r="Y457">
        <f t="shared" si="151"/>
        <v>0</v>
      </c>
      <c r="Z457">
        <f t="shared" si="151"/>
        <v>0</v>
      </c>
      <c r="AA457">
        <f t="shared" si="151"/>
        <v>0</v>
      </c>
      <c r="AB457">
        <f t="shared" si="151"/>
        <v>0</v>
      </c>
      <c r="AC457">
        <f t="shared" si="151"/>
        <v>0</v>
      </c>
      <c r="AD457">
        <f t="shared" ref="AD457:AS479" si="155">+IF(AD$5=$A457,1,0)</f>
        <v>0</v>
      </c>
      <c r="AE457">
        <f t="shared" si="155"/>
        <v>0</v>
      </c>
      <c r="AF457">
        <f t="shared" si="155"/>
        <v>0</v>
      </c>
      <c r="AG457">
        <f t="shared" si="155"/>
        <v>1</v>
      </c>
      <c r="AH457">
        <f t="shared" si="155"/>
        <v>0</v>
      </c>
      <c r="AI457">
        <f t="shared" si="155"/>
        <v>0</v>
      </c>
      <c r="AJ457">
        <f t="shared" si="155"/>
        <v>0</v>
      </c>
      <c r="AK457">
        <f t="shared" si="155"/>
        <v>0</v>
      </c>
      <c r="AL457">
        <f t="shared" si="155"/>
        <v>0</v>
      </c>
      <c r="AM457">
        <f t="shared" si="155"/>
        <v>0</v>
      </c>
      <c r="AN457">
        <f t="shared" si="155"/>
        <v>0</v>
      </c>
      <c r="AO457">
        <f t="shared" si="155"/>
        <v>0</v>
      </c>
      <c r="AP457">
        <f t="shared" si="155"/>
        <v>0</v>
      </c>
      <c r="AQ457">
        <f t="shared" si="155"/>
        <v>0</v>
      </c>
      <c r="AR457">
        <f t="shared" si="155"/>
        <v>0</v>
      </c>
      <c r="AS457">
        <f t="shared" si="155"/>
        <v>0</v>
      </c>
      <c r="AT457">
        <f t="shared" si="154"/>
        <v>0</v>
      </c>
      <c r="AU457">
        <f t="shared" si="154"/>
        <v>0</v>
      </c>
      <c r="AV457">
        <f t="shared" si="144"/>
        <v>0</v>
      </c>
      <c r="AW457">
        <f t="shared" si="144"/>
        <v>0</v>
      </c>
      <c r="AX457">
        <f t="shared" si="144"/>
        <v>0</v>
      </c>
      <c r="AY457">
        <f t="shared" si="144"/>
        <v>0</v>
      </c>
      <c r="AZ457">
        <f t="shared" si="144"/>
        <v>0</v>
      </c>
    </row>
    <row r="458" spans="1:52" x14ac:dyDescent="0.25">
      <c r="A458" t="s">
        <v>30</v>
      </c>
      <c r="B458" s="3">
        <v>40508</v>
      </c>
      <c r="C458" s="1">
        <v>5714.6416107598088</v>
      </c>
      <c r="D458" s="1">
        <v>139.38150270145874</v>
      </c>
      <c r="E458" s="1">
        <f t="shared" si="149"/>
        <v>2762.6416107598084</v>
      </c>
      <c r="F458" s="1">
        <f t="shared" si="150"/>
        <v>2952</v>
      </c>
      <c r="G458" s="2">
        <v>41</v>
      </c>
      <c r="H458" s="1">
        <v>67.381502701458743</v>
      </c>
      <c r="I458" s="1">
        <v>72</v>
      </c>
      <c r="J458" s="1">
        <f t="shared" si="152"/>
        <v>1761450.5355239476</v>
      </c>
      <c r="K458" s="1">
        <f t="shared" si="153"/>
        <v>892187.53552394477</v>
      </c>
      <c r="N458">
        <f t="shared" si="151"/>
        <v>0</v>
      </c>
      <c r="O458">
        <f t="shared" si="151"/>
        <v>0</v>
      </c>
      <c r="P458">
        <f t="shared" si="151"/>
        <v>0</v>
      </c>
      <c r="Q458">
        <f t="shared" si="151"/>
        <v>0</v>
      </c>
      <c r="R458">
        <f t="shared" si="151"/>
        <v>0</v>
      </c>
      <c r="S458">
        <f t="shared" si="151"/>
        <v>0</v>
      </c>
      <c r="T458">
        <f t="shared" si="151"/>
        <v>0</v>
      </c>
      <c r="U458">
        <f t="shared" si="151"/>
        <v>0</v>
      </c>
      <c r="V458">
        <f t="shared" si="151"/>
        <v>0</v>
      </c>
      <c r="W458">
        <f t="shared" si="151"/>
        <v>0</v>
      </c>
      <c r="X458">
        <f t="shared" si="151"/>
        <v>0</v>
      </c>
      <c r="Y458">
        <f t="shared" si="151"/>
        <v>0</v>
      </c>
      <c r="Z458">
        <f t="shared" si="151"/>
        <v>0</v>
      </c>
      <c r="AA458">
        <f t="shared" si="151"/>
        <v>0</v>
      </c>
      <c r="AB458">
        <f t="shared" si="151"/>
        <v>0</v>
      </c>
      <c r="AC458">
        <f t="shared" si="151"/>
        <v>0</v>
      </c>
      <c r="AD458">
        <f t="shared" si="155"/>
        <v>0</v>
      </c>
      <c r="AE458">
        <f t="shared" si="155"/>
        <v>0</v>
      </c>
      <c r="AF458">
        <f t="shared" si="155"/>
        <v>0</v>
      </c>
      <c r="AG458">
        <f t="shared" si="155"/>
        <v>0</v>
      </c>
      <c r="AH458">
        <f t="shared" si="155"/>
        <v>0</v>
      </c>
      <c r="AI458">
        <f t="shared" si="155"/>
        <v>0</v>
      </c>
      <c r="AJ458">
        <f t="shared" si="155"/>
        <v>0</v>
      </c>
      <c r="AK458">
        <f t="shared" si="155"/>
        <v>0</v>
      </c>
      <c r="AL458">
        <f t="shared" si="155"/>
        <v>0</v>
      </c>
      <c r="AM458">
        <f t="shared" si="155"/>
        <v>0</v>
      </c>
      <c r="AN458">
        <f t="shared" si="155"/>
        <v>0</v>
      </c>
      <c r="AO458">
        <f t="shared" si="155"/>
        <v>0</v>
      </c>
      <c r="AP458">
        <f t="shared" si="155"/>
        <v>0</v>
      </c>
      <c r="AQ458">
        <f t="shared" si="155"/>
        <v>0</v>
      </c>
      <c r="AR458">
        <f t="shared" si="155"/>
        <v>0</v>
      </c>
      <c r="AS458">
        <f t="shared" si="155"/>
        <v>0</v>
      </c>
      <c r="AT458">
        <f t="shared" si="154"/>
        <v>0</v>
      </c>
      <c r="AU458">
        <f t="shared" si="154"/>
        <v>0</v>
      </c>
      <c r="AV458">
        <f t="shared" si="144"/>
        <v>1</v>
      </c>
      <c r="AW458">
        <f t="shared" si="144"/>
        <v>0</v>
      </c>
      <c r="AX458">
        <f t="shared" si="144"/>
        <v>0</v>
      </c>
      <c r="AY458">
        <f t="shared" si="144"/>
        <v>0</v>
      </c>
      <c r="AZ458">
        <f t="shared" si="144"/>
        <v>0</v>
      </c>
    </row>
    <row r="459" spans="1:52" x14ac:dyDescent="0.25">
      <c r="A459" t="s">
        <v>23</v>
      </c>
      <c r="B459" s="3">
        <v>40483</v>
      </c>
      <c r="C459" s="1">
        <v>17122.693416919028</v>
      </c>
      <c r="D459" s="1">
        <v>155.66084924471843</v>
      </c>
      <c r="E459" s="1">
        <f t="shared" si="149"/>
        <v>7002.693416919029</v>
      </c>
      <c r="F459" s="1">
        <f t="shared" si="150"/>
        <v>10120</v>
      </c>
      <c r="G459" s="2">
        <v>110</v>
      </c>
      <c r="H459" s="1">
        <v>63.660849244718442</v>
      </c>
      <c r="I459" s="1">
        <v>92</v>
      </c>
      <c r="J459" s="1">
        <f t="shared" si="152"/>
        <v>1778573.2289408667</v>
      </c>
      <c r="K459" s="1">
        <f t="shared" si="153"/>
        <v>899190.22894086374</v>
      </c>
      <c r="N459">
        <f t="shared" si="151"/>
        <v>0</v>
      </c>
      <c r="O459">
        <f t="shared" si="151"/>
        <v>0</v>
      </c>
      <c r="P459">
        <f t="shared" si="151"/>
        <v>0</v>
      </c>
      <c r="Q459">
        <f t="shared" si="151"/>
        <v>0</v>
      </c>
      <c r="R459">
        <f t="shared" si="151"/>
        <v>0</v>
      </c>
      <c r="S459">
        <f t="shared" si="151"/>
        <v>0</v>
      </c>
      <c r="T459">
        <f t="shared" si="151"/>
        <v>0</v>
      </c>
      <c r="U459">
        <f t="shared" si="151"/>
        <v>0</v>
      </c>
      <c r="V459">
        <f t="shared" si="151"/>
        <v>0</v>
      </c>
      <c r="W459">
        <f t="shared" si="151"/>
        <v>0</v>
      </c>
      <c r="X459">
        <f t="shared" si="151"/>
        <v>0</v>
      </c>
      <c r="Y459">
        <f t="shared" si="151"/>
        <v>0</v>
      </c>
      <c r="Z459">
        <f t="shared" si="151"/>
        <v>0</v>
      </c>
      <c r="AA459">
        <f t="shared" si="151"/>
        <v>0</v>
      </c>
      <c r="AB459">
        <f t="shared" si="151"/>
        <v>0</v>
      </c>
      <c r="AC459">
        <f t="shared" si="151"/>
        <v>0</v>
      </c>
      <c r="AD459">
        <f t="shared" si="155"/>
        <v>0</v>
      </c>
      <c r="AE459">
        <f t="shared" si="155"/>
        <v>0</v>
      </c>
      <c r="AF459">
        <f t="shared" si="155"/>
        <v>0</v>
      </c>
      <c r="AG459">
        <f t="shared" si="155"/>
        <v>0</v>
      </c>
      <c r="AH459">
        <f t="shared" si="155"/>
        <v>0</v>
      </c>
      <c r="AI459">
        <f t="shared" si="155"/>
        <v>0</v>
      </c>
      <c r="AJ459">
        <f t="shared" si="155"/>
        <v>0</v>
      </c>
      <c r="AK459">
        <f t="shared" si="155"/>
        <v>0</v>
      </c>
      <c r="AL459">
        <f t="shared" si="155"/>
        <v>0</v>
      </c>
      <c r="AM459">
        <f t="shared" si="155"/>
        <v>1</v>
      </c>
      <c r="AN459">
        <f t="shared" si="155"/>
        <v>0</v>
      </c>
      <c r="AO459">
        <f t="shared" si="155"/>
        <v>0</v>
      </c>
      <c r="AP459">
        <f t="shared" si="155"/>
        <v>0</v>
      </c>
      <c r="AQ459">
        <f t="shared" si="155"/>
        <v>0</v>
      </c>
      <c r="AR459">
        <f t="shared" si="155"/>
        <v>0</v>
      </c>
      <c r="AS459">
        <f t="shared" si="155"/>
        <v>0</v>
      </c>
      <c r="AT459">
        <f t="shared" si="154"/>
        <v>0</v>
      </c>
      <c r="AU459">
        <f t="shared" si="154"/>
        <v>0</v>
      </c>
      <c r="AV459">
        <f t="shared" si="144"/>
        <v>0</v>
      </c>
      <c r="AW459">
        <f t="shared" si="144"/>
        <v>0</v>
      </c>
      <c r="AX459">
        <f t="shared" si="144"/>
        <v>0</v>
      </c>
      <c r="AY459">
        <f t="shared" si="144"/>
        <v>0</v>
      </c>
      <c r="AZ459">
        <f t="shared" si="144"/>
        <v>0</v>
      </c>
    </row>
    <row r="460" spans="1:52" x14ac:dyDescent="0.25">
      <c r="A460" t="s">
        <v>12</v>
      </c>
      <c r="B460" s="3">
        <v>40465</v>
      </c>
      <c r="C460" s="1">
        <v>1518.5955767122027</v>
      </c>
      <c r="D460" s="1">
        <v>63.274815696341776</v>
      </c>
      <c r="E460" s="1">
        <f t="shared" si="149"/>
        <v>774.59557671220261</v>
      </c>
      <c r="F460" s="1">
        <f t="shared" si="150"/>
        <v>744</v>
      </c>
      <c r="G460" s="2">
        <v>24</v>
      </c>
      <c r="H460" s="1">
        <v>32.274815696341776</v>
      </c>
      <c r="I460" s="1">
        <v>31</v>
      </c>
      <c r="J460" s="1">
        <f t="shared" si="152"/>
        <v>1780091.8245175788</v>
      </c>
      <c r="K460" s="1">
        <f t="shared" si="153"/>
        <v>899964.82451757591</v>
      </c>
      <c r="N460">
        <f t="shared" si="151"/>
        <v>0</v>
      </c>
      <c r="O460">
        <f t="shared" si="151"/>
        <v>0</v>
      </c>
      <c r="P460">
        <f t="shared" si="151"/>
        <v>0</v>
      </c>
      <c r="Q460">
        <f t="shared" si="151"/>
        <v>0</v>
      </c>
      <c r="R460">
        <f t="shared" si="151"/>
        <v>0</v>
      </c>
      <c r="S460">
        <f t="shared" si="151"/>
        <v>0</v>
      </c>
      <c r="T460">
        <f t="shared" si="151"/>
        <v>0</v>
      </c>
      <c r="U460">
        <f t="shared" si="151"/>
        <v>0</v>
      </c>
      <c r="V460">
        <f t="shared" si="151"/>
        <v>0</v>
      </c>
      <c r="W460">
        <f t="shared" si="151"/>
        <v>0</v>
      </c>
      <c r="X460">
        <f t="shared" si="151"/>
        <v>0</v>
      </c>
      <c r="Y460">
        <f t="shared" si="151"/>
        <v>0</v>
      </c>
      <c r="Z460">
        <f t="shared" si="151"/>
        <v>0</v>
      </c>
      <c r="AA460">
        <f t="shared" si="151"/>
        <v>0</v>
      </c>
      <c r="AB460">
        <f t="shared" si="151"/>
        <v>0</v>
      </c>
      <c r="AC460">
        <f t="shared" si="151"/>
        <v>0</v>
      </c>
      <c r="AD460">
        <f t="shared" si="155"/>
        <v>0</v>
      </c>
      <c r="AE460">
        <f t="shared" si="155"/>
        <v>0</v>
      </c>
      <c r="AF460">
        <f t="shared" si="155"/>
        <v>0</v>
      </c>
      <c r="AG460">
        <f t="shared" si="155"/>
        <v>0</v>
      </c>
      <c r="AH460">
        <f t="shared" si="155"/>
        <v>0</v>
      </c>
      <c r="AI460">
        <f t="shared" si="155"/>
        <v>0</v>
      </c>
      <c r="AJ460">
        <f t="shared" si="155"/>
        <v>0</v>
      </c>
      <c r="AK460">
        <f t="shared" si="155"/>
        <v>1</v>
      </c>
      <c r="AL460">
        <f t="shared" si="155"/>
        <v>0</v>
      </c>
      <c r="AM460">
        <f t="shared" si="155"/>
        <v>0</v>
      </c>
      <c r="AN460">
        <f t="shared" si="155"/>
        <v>0</v>
      </c>
      <c r="AO460">
        <f t="shared" si="155"/>
        <v>0</v>
      </c>
      <c r="AP460">
        <f t="shared" si="155"/>
        <v>0</v>
      </c>
      <c r="AQ460">
        <f t="shared" si="155"/>
        <v>0</v>
      </c>
      <c r="AR460">
        <f t="shared" si="155"/>
        <v>0</v>
      </c>
      <c r="AS460">
        <f t="shared" si="155"/>
        <v>0</v>
      </c>
      <c r="AT460">
        <f t="shared" si="154"/>
        <v>0</v>
      </c>
      <c r="AU460">
        <f t="shared" si="154"/>
        <v>0</v>
      </c>
      <c r="AV460">
        <f t="shared" si="144"/>
        <v>0</v>
      </c>
      <c r="AW460">
        <f t="shared" si="144"/>
        <v>0</v>
      </c>
      <c r="AX460">
        <f t="shared" si="144"/>
        <v>0</v>
      </c>
      <c r="AY460">
        <f t="shared" si="144"/>
        <v>0</v>
      </c>
      <c r="AZ460">
        <f t="shared" si="144"/>
        <v>0</v>
      </c>
    </row>
    <row r="461" spans="1:52" x14ac:dyDescent="0.25">
      <c r="A461" t="s">
        <v>30</v>
      </c>
      <c r="B461" s="3">
        <v>40458</v>
      </c>
      <c r="C461" s="1">
        <v>4791.9945462407004</v>
      </c>
      <c r="D461" s="1">
        <v>140.94101606590294</v>
      </c>
      <c r="E461" s="1">
        <f t="shared" si="149"/>
        <v>2207.9945462406999</v>
      </c>
      <c r="F461" s="1">
        <f t="shared" si="150"/>
        <v>2584</v>
      </c>
      <c r="G461" s="2">
        <v>34</v>
      </c>
      <c r="H461" s="1">
        <v>64.941016065902943</v>
      </c>
      <c r="I461" s="1">
        <v>76</v>
      </c>
      <c r="J461" s="1">
        <f t="shared" si="152"/>
        <v>1784883.8190638195</v>
      </c>
      <c r="K461" s="1">
        <f t="shared" si="153"/>
        <v>902172.81906381657</v>
      </c>
      <c r="N461">
        <f t="shared" si="151"/>
        <v>0</v>
      </c>
      <c r="O461">
        <f t="shared" si="151"/>
        <v>0</v>
      </c>
      <c r="P461">
        <f t="shared" si="151"/>
        <v>0</v>
      </c>
      <c r="Q461">
        <f t="shared" si="151"/>
        <v>0</v>
      </c>
      <c r="R461">
        <f t="shared" si="151"/>
        <v>0</v>
      </c>
      <c r="S461">
        <f t="shared" si="151"/>
        <v>0</v>
      </c>
      <c r="T461">
        <f t="shared" si="151"/>
        <v>0</v>
      </c>
      <c r="U461">
        <f t="shared" si="151"/>
        <v>0</v>
      </c>
      <c r="V461">
        <f t="shared" si="151"/>
        <v>0</v>
      </c>
      <c r="W461">
        <f t="shared" si="151"/>
        <v>0</v>
      </c>
      <c r="X461">
        <f t="shared" si="151"/>
        <v>0</v>
      </c>
      <c r="Y461">
        <f t="shared" si="151"/>
        <v>0</v>
      </c>
      <c r="Z461">
        <f t="shared" si="151"/>
        <v>0</v>
      </c>
      <c r="AA461">
        <f t="shared" si="151"/>
        <v>0</v>
      </c>
      <c r="AB461">
        <f t="shared" si="151"/>
        <v>0</v>
      </c>
      <c r="AC461">
        <f t="shared" si="151"/>
        <v>0</v>
      </c>
      <c r="AD461">
        <f t="shared" si="155"/>
        <v>0</v>
      </c>
      <c r="AE461">
        <f t="shared" si="155"/>
        <v>0</v>
      </c>
      <c r="AF461">
        <f t="shared" si="155"/>
        <v>0</v>
      </c>
      <c r="AG461">
        <f t="shared" si="155"/>
        <v>0</v>
      </c>
      <c r="AH461">
        <f t="shared" si="155"/>
        <v>0</v>
      </c>
      <c r="AI461">
        <f t="shared" si="155"/>
        <v>0</v>
      </c>
      <c r="AJ461">
        <f t="shared" si="155"/>
        <v>0</v>
      </c>
      <c r="AK461">
        <f t="shared" si="155"/>
        <v>0</v>
      </c>
      <c r="AL461">
        <f t="shared" si="155"/>
        <v>0</v>
      </c>
      <c r="AM461">
        <f t="shared" si="155"/>
        <v>0</v>
      </c>
      <c r="AN461">
        <f t="shared" si="155"/>
        <v>0</v>
      </c>
      <c r="AO461">
        <f t="shared" si="155"/>
        <v>0</v>
      </c>
      <c r="AP461">
        <f t="shared" si="155"/>
        <v>0</v>
      </c>
      <c r="AQ461">
        <f t="shared" si="155"/>
        <v>0</v>
      </c>
      <c r="AR461">
        <f t="shared" si="155"/>
        <v>0</v>
      </c>
      <c r="AS461">
        <f t="shared" si="155"/>
        <v>0</v>
      </c>
      <c r="AT461">
        <f t="shared" si="154"/>
        <v>0</v>
      </c>
      <c r="AU461">
        <f t="shared" si="154"/>
        <v>0</v>
      </c>
      <c r="AV461">
        <f t="shared" si="144"/>
        <v>1</v>
      </c>
      <c r="AW461">
        <f t="shared" si="144"/>
        <v>0</v>
      </c>
      <c r="AX461">
        <f t="shared" si="144"/>
        <v>0</v>
      </c>
      <c r="AY461">
        <f t="shared" si="144"/>
        <v>0</v>
      </c>
      <c r="AZ461">
        <f t="shared" si="144"/>
        <v>0</v>
      </c>
    </row>
    <row r="462" spans="1:52" x14ac:dyDescent="0.25">
      <c r="A462" t="s">
        <v>25</v>
      </c>
      <c r="B462" s="3">
        <v>40455</v>
      </c>
      <c r="C462" s="1">
        <v>5858.9756242709436</v>
      </c>
      <c r="D462" s="1">
        <v>162.74932289641509</v>
      </c>
      <c r="E462" s="1">
        <f t="shared" si="149"/>
        <v>2510.9756242709441</v>
      </c>
      <c r="F462" s="1">
        <f t="shared" si="150"/>
        <v>3348</v>
      </c>
      <c r="G462" s="2">
        <v>36</v>
      </c>
      <c r="H462" s="1">
        <v>69.749322896415109</v>
      </c>
      <c r="I462" s="1">
        <v>93</v>
      </c>
      <c r="J462" s="1">
        <f t="shared" si="152"/>
        <v>1790742.7946880904</v>
      </c>
      <c r="K462" s="1">
        <f t="shared" si="153"/>
        <v>904683.79468808754</v>
      </c>
      <c r="N462">
        <f t="shared" si="151"/>
        <v>0</v>
      </c>
      <c r="O462">
        <f t="shared" si="151"/>
        <v>0</v>
      </c>
      <c r="P462">
        <f t="shared" si="151"/>
        <v>0</v>
      </c>
      <c r="Q462">
        <f t="shared" si="151"/>
        <v>0</v>
      </c>
      <c r="R462">
        <f t="shared" si="151"/>
        <v>0</v>
      </c>
      <c r="S462">
        <f t="shared" si="151"/>
        <v>1</v>
      </c>
      <c r="T462">
        <f t="shared" si="151"/>
        <v>0</v>
      </c>
      <c r="U462">
        <f t="shared" si="151"/>
        <v>0</v>
      </c>
      <c r="V462">
        <f t="shared" si="151"/>
        <v>0</v>
      </c>
      <c r="W462">
        <f t="shared" si="151"/>
        <v>0</v>
      </c>
      <c r="X462">
        <f t="shared" si="151"/>
        <v>0</v>
      </c>
      <c r="Y462">
        <f t="shared" si="151"/>
        <v>0</v>
      </c>
      <c r="Z462">
        <f t="shared" si="151"/>
        <v>0</v>
      </c>
      <c r="AA462">
        <f t="shared" si="151"/>
        <v>0</v>
      </c>
      <c r="AB462">
        <f t="shared" si="151"/>
        <v>0</v>
      </c>
      <c r="AC462">
        <f t="shared" si="151"/>
        <v>0</v>
      </c>
      <c r="AD462">
        <f t="shared" si="155"/>
        <v>0</v>
      </c>
      <c r="AE462">
        <f t="shared" si="155"/>
        <v>0</v>
      </c>
      <c r="AF462">
        <f t="shared" si="155"/>
        <v>0</v>
      </c>
      <c r="AG462">
        <f t="shared" si="155"/>
        <v>0</v>
      </c>
      <c r="AH462">
        <f t="shared" si="155"/>
        <v>0</v>
      </c>
      <c r="AI462">
        <f t="shared" si="155"/>
        <v>0</v>
      </c>
      <c r="AJ462">
        <f t="shared" si="155"/>
        <v>0</v>
      </c>
      <c r="AK462">
        <f t="shared" si="155"/>
        <v>0</v>
      </c>
      <c r="AL462">
        <f t="shared" si="155"/>
        <v>0</v>
      </c>
      <c r="AM462">
        <f t="shared" si="155"/>
        <v>0</v>
      </c>
      <c r="AN462">
        <f t="shared" si="155"/>
        <v>0</v>
      </c>
      <c r="AO462">
        <f t="shared" si="155"/>
        <v>0</v>
      </c>
      <c r="AP462">
        <f t="shared" si="155"/>
        <v>0</v>
      </c>
      <c r="AQ462">
        <f t="shared" si="155"/>
        <v>0</v>
      </c>
      <c r="AR462">
        <f t="shared" si="155"/>
        <v>0</v>
      </c>
      <c r="AS462">
        <f t="shared" si="155"/>
        <v>0</v>
      </c>
      <c r="AT462">
        <f t="shared" si="154"/>
        <v>0</v>
      </c>
      <c r="AU462">
        <f t="shared" si="154"/>
        <v>0</v>
      </c>
      <c r="AV462">
        <f t="shared" si="144"/>
        <v>0</v>
      </c>
      <c r="AW462">
        <f t="shared" si="144"/>
        <v>0</v>
      </c>
      <c r="AX462">
        <f t="shared" si="144"/>
        <v>0</v>
      </c>
      <c r="AY462">
        <f t="shared" si="144"/>
        <v>0</v>
      </c>
      <c r="AZ462">
        <f t="shared" si="144"/>
        <v>0</v>
      </c>
    </row>
    <row r="463" spans="1:52" x14ac:dyDescent="0.25">
      <c r="A463" t="s">
        <v>48</v>
      </c>
      <c r="B463" s="3">
        <v>40447</v>
      </c>
      <c r="C463" s="1">
        <v>256.35409088773622</v>
      </c>
      <c r="D463" s="1">
        <v>85.451363629245407</v>
      </c>
      <c r="E463" s="1">
        <f t="shared" si="149"/>
        <v>151.35409088773619</v>
      </c>
      <c r="F463" s="1">
        <f t="shared" si="150"/>
        <v>105</v>
      </c>
      <c r="G463" s="2">
        <v>3</v>
      </c>
      <c r="H463" s="1">
        <v>50.4513636292454</v>
      </c>
      <c r="I463" s="1">
        <v>35</v>
      </c>
      <c r="J463" s="1">
        <f t="shared" si="152"/>
        <v>1790999.1487789783</v>
      </c>
      <c r="K463" s="1">
        <f t="shared" si="153"/>
        <v>904835.14877897524</v>
      </c>
      <c r="N463">
        <f t="shared" si="151"/>
        <v>0</v>
      </c>
      <c r="O463">
        <f t="shared" si="151"/>
        <v>0</v>
      </c>
      <c r="P463">
        <f t="shared" si="151"/>
        <v>0</v>
      </c>
      <c r="Q463">
        <f t="shared" si="151"/>
        <v>0</v>
      </c>
      <c r="R463">
        <f t="shared" si="151"/>
        <v>0</v>
      </c>
      <c r="S463">
        <f t="shared" si="151"/>
        <v>0</v>
      </c>
      <c r="T463">
        <f t="shared" si="151"/>
        <v>0</v>
      </c>
      <c r="U463">
        <f t="shared" si="151"/>
        <v>0</v>
      </c>
      <c r="V463">
        <f t="shared" si="151"/>
        <v>0</v>
      </c>
      <c r="W463">
        <f t="shared" si="151"/>
        <v>0</v>
      </c>
      <c r="X463">
        <f t="shared" si="151"/>
        <v>0</v>
      </c>
      <c r="Y463">
        <f t="shared" si="151"/>
        <v>0</v>
      </c>
      <c r="Z463">
        <f t="shared" si="151"/>
        <v>0</v>
      </c>
      <c r="AA463">
        <f t="shared" si="151"/>
        <v>0</v>
      </c>
      <c r="AB463">
        <f t="shared" si="151"/>
        <v>0</v>
      </c>
      <c r="AC463">
        <f t="shared" si="151"/>
        <v>0</v>
      </c>
      <c r="AD463">
        <f t="shared" si="155"/>
        <v>0</v>
      </c>
      <c r="AE463">
        <f t="shared" si="155"/>
        <v>0</v>
      </c>
      <c r="AF463">
        <f t="shared" si="155"/>
        <v>0</v>
      </c>
      <c r="AG463">
        <f t="shared" si="155"/>
        <v>0</v>
      </c>
      <c r="AH463">
        <f t="shared" si="155"/>
        <v>0</v>
      </c>
      <c r="AI463">
        <f t="shared" si="155"/>
        <v>1</v>
      </c>
      <c r="AJ463">
        <f t="shared" si="155"/>
        <v>0</v>
      </c>
      <c r="AK463">
        <f t="shared" si="155"/>
        <v>0</v>
      </c>
      <c r="AL463">
        <f t="shared" si="155"/>
        <v>0</v>
      </c>
      <c r="AM463">
        <f t="shared" si="155"/>
        <v>0</v>
      </c>
      <c r="AN463">
        <f t="shared" si="155"/>
        <v>0</v>
      </c>
      <c r="AO463">
        <f t="shared" si="155"/>
        <v>0</v>
      </c>
      <c r="AP463">
        <f t="shared" si="155"/>
        <v>0</v>
      </c>
      <c r="AQ463">
        <f t="shared" si="155"/>
        <v>0</v>
      </c>
      <c r="AR463">
        <f t="shared" si="155"/>
        <v>0</v>
      </c>
      <c r="AS463">
        <f t="shared" si="155"/>
        <v>0</v>
      </c>
      <c r="AT463">
        <f t="shared" si="154"/>
        <v>0</v>
      </c>
      <c r="AU463">
        <f t="shared" si="154"/>
        <v>0</v>
      </c>
      <c r="AV463">
        <f t="shared" si="144"/>
        <v>0</v>
      </c>
      <c r="AW463">
        <f t="shared" si="144"/>
        <v>0</v>
      </c>
      <c r="AX463">
        <f t="shared" si="144"/>
        <v>0</v>
      </c>
      <c r="AY463">
        <f t="shared" si="144"/>
        <v>0</v>
      </c>
      <c r="AZ463">
        <f t="shared" si="144"/>
        <v>0</v>
      </c>
    </row>
    <row r="464" spans="1:52" x14ac:dyDescent="0.25">
      <c r="A464" t="s">
        <v>28</v>
      </c>
      <c r="B464" s="3">
        <v>40446</v>
      </c>
      <c r="C464" s="1">
        <v>4086.7190900843243</v>
      </c>
      <c r="D464" s="1">
        <v>177.68343869931846</v>
      </c>
      <c r="E464" s="1">
        <f t="shared" si="149"/>
        <v>2637.7190900843243</v>
      </c>
      <c r="F464" s="1">
        <f t="shared" si="150"/>
        <v>1449</v>
      </c>
      <c r="G464" s="2">
        <v>23</v>
      </c>
      <c r="H464" s="1">
        <v>114.68343869931844</v>
      </c>
      <c r="I464" s="1">
        <v>63</v>
      </c>
      <c r="J464" s="1">
        <f t="shared" si="152"/>
        <v>1795085.8678690626</v>
      </c>
      <c r="K464" s="1">
        <f t="shared" si="153"/>
        <v>907472.86786905956</v>
      </c>
      <c r="N464">
        <f t="shared" si="151"/>
        <v>0</v>
      </c>
      <c r="O464">
        <f t="shared" si="151"/>
        <v>0</v>
      </c>
      <c r="P464">
        <f t="shared" si="151"/>
        <v>0</v>
      </c>
      <c r="Q464">
        <f t="shared" si="151"/>
        <v>0</v>
      </c>
      <c r="R464">
        <f t="shared" si="151"/>
        <v>0</v>
      </c>
      <c r="S464">
        <f t="shared" si="151"/>
        <v>0</v>
      </c>
      <c r="T464">
        <f t="shared" si="151"/>
        <v>0</v>
      </c>
      <c r="U464">
        <f t="shared" si="151"/>
        <v>0</v>
      </c>
      <c r="V464">
        <f t="shared" si="151"/>
        <v>0</v>
      </c>
      <c r="W464">
        <f t="shared" si="151"/>
        <v>0</v>
      </c>
      <c r="X464">
        <f t="shared" si="151"/>
        <v>0</v>
      </c>
      <c r="Y464">
        <f t="shared" si="151"/>
        <v>0</v>
      </c>
      <c r="Z464">
        <f t="shared" si="151"/>
        <v>0</v>
      </c>
      <c r="AA464">
        <f t="shared" si="151"/>
        <v>0</v>
      </c>
      <c r="AB464">
        <f t="shared" ref="AB464:AQ479" si="156">+IF(AB$5=$A464,1,0)</f>
        <v>0</v>
      </c>
      <c r="AC464">
        <f t="shared" si="156"/>
        <v>0</v>
      </c>
      <c r="AD464">
        <f t="shared" si="156"/>
        <v>0</v>
      </c>
      <c r="AE464">
        <f t="shared" si="156"/>
        <v>0</v>
      </c>
      <c r="AF464">
        <f t="shared" si="156"/>
        <v>0</v>
      </c>
      <c r="AG464">
        <f t="shared" si="156"/>
        <v>0</v>
      </c>
      <c r="AH464">
        <f t="shared" si="156"/>
        <v>0</v>
      </c>
      <c r="AI464">
        <f t="shared" si="156"/>
        <v>0</v>
      </c>
      <c r="AJ464">
        <f t="shared" si="156"/>
        <v>0</v>
      </c>
      <c r="AK464">
        <f t="shared" si="156"/>
        <v>0</v>
      </c>
      <c r="AL464">
        <f t="shared" si="156"/>
        <v>0</v>
      </c>
      <c r="AM464">
        <f t="shared" si="156"/>
        <v>0</v>
      </c>
      <c r="AN464">
        <f t="shared" si="156"/>
        <v>0</v>
      </c>
      <c r="AO464">
        <f t="shared" si="156"/>
        <v>0</v>
      </c>
      <c r="AP464">
        <f t="shared" si="156"/>
        <v>0</v>
      </c>
      <c r="AQ464">
        <f t="shared" si="156"/>
        <v>0</v>
      </c>
      <c r="AR464">
        <f t="shared" si="155"/>
        <v>0</v>
      </c>
      <c r="AS464">
        <f t="shared" si="155"/>
        <v>0</v>
      </c>
      <c r="AT464">
        <f t="shared" si="154"/>
        <v>1</v>
      </c>
      <c r="AU464">
        <f t="shared" si="154"/>
        <v>0</v>
      </c>
      <c r="AV464">
        <f t="shared" si="144"/>
        <v>0</v>
      </c>
      <c r="AW464">
        <f t="shared" si="144"/>
        <v>0</v>
      </c>
      <c r="AX464">
        <f t="shared" si="144"/>
        <v>0</v>
      </c>
      <c r="AY464">
        <f t="shared" si="144"/>
        <v>0</v>
      </c>
      <c r="AZ464">
        <f t="shared" si="144"/>
        <v>0</v>
      </c>
    </row>
    <row r="465" spans="1:52" x14ac:dyDescent="0.25">
      <c r="A465" t="s">
        <v>39</v>
      </c>
      <c r="B465" s="3">
        <v>40444</v>
      </c>
      <c r="C465" s="1">
        <v>8263.5451526523029</v>
      </c>
      <c r="D465" s="1">
        <v>236.1012900757801</v>
      </c>
      <c r="E465" s="1">
        <f t="shared" si="149"/>
        <v>4133.5451526523038</v>
      </c>
      <c r="F465" s="1">
        <f t="shared" si="150"/>
        <v>4130</v>
      </c>
      <c r="G465" s="2">
        <v>35</v>
      </c>
      <c r="H465" s="1">
        <v>118.1012900757801</v>
      </c>
      <c r="I465" s="1">
        <v>118</v>
      </c>
      <c r="J465" s="1">
        <f t="shared" si="152"/>
        <v>1803349.4130217149</v>
      </c>
      <c r="K465" s="1">
        <f t="shared" si="153"/>
        <v>911606.41302171187</v>
      </c>
      <c r="N465">
        <f t="shared" si="151"/>
        <v>0</v>
      </c>
      <c r="O465">
        <f t="shared" si="151"/>
        <v>0</v>
      </c>
      <c r="P465">
        <f t="shared" si="151"/>
        <v>0</v>
      </c>
      <c r="Q465">
        <f t="shared" ref="Q465:AF480" si="157">+IF(Q$5=$A465,1,0)</f>
        <v>0</v>
      </c>
      <c r="R465">
        <f t="shared" si="157"/>
        <v>0</v>
      </c>
      <c r="S465">
        <f t="shared" si="157"/>
        <v>0</v>
      </c>
      <c r="T465">
        <f t="shared" si="157"/>
        <v>0</v>
      </c>
      <c r="U465">
        <f t="shared" si="157"/>
        <v>0</v>
      </c>
      <c r="V465">
        <f t="shared" si="157"/>
        <v>0</v>
      </c>
      <c r="W465">
        <f t="shared" si="157"/>
        <v>0</v>
      </c>
      <c r="X465">
        <f t="shared" si="157"/>
        <v>0</v>
      </c>
      <c r="Y465">
        <f t="shared" si="157"/>
        <v>1</v>
      </c>
      <c r="Z465">
        <f t="shared" si="157"/>
        <v>0</v>
      </c>
      <c r="AA465">
        <f t="shared" si="157"/>
        <v>0</v>
      </c>
      <c r="AB465">
        <f t="shared" si="157"/>
        <v>0</v>
      </c>
      <c r="AC465">
        <f t="shared" si="157"/>
        <v>0</v>
      </c>
      <c r="AD465">
        <f t="shared" si="157"/>
        <v>0</v>
      </c>
      <c r="AE465">
        <f t="shared" si="157"/>
        <v>0</v>
      </c>
      <c r="AF465">
        <f t="shared" si="157"/>
        <v>0</v>
      </c>
      <c r="AG465">
        <f t="shared" si="156"/>
        <v>0</v>
      </c>
      <c r="AH465">
        <f t="shared" si="156"/>
        <v>0</v>
      </c>
      <c r="AI465">
        <f t="shared" si="156"/>
        <v>0</v>
      </c>
      <c r="AJ465">
        <f t="shared" si="156"/>
        <v>0</v>
      </c>
      <c r="AK465">
        <f t="shared" si="156"/>
        <v>0</v>
      </c>
      <c r="AL465">
        <f t="shared" si="156"/>
        <v>0</v>
      </c>
      <c r="AM465">
        <f t="shared" si="156"/>
        <v>0</v>
      </c>
      <c r="AN465">
        <f t="shared" si="156"/>
        <v>0</v>
      </c>
      <c r="AO465">
        <f t="shared" si="156"/>
        <v>0</v>
      </c>
      <c r="AP465">
        <f t="shared" si="156"/>
        <v>0</v>
      </c>
      <c r="AQ465">
        <f t="shared" si="156"/>
        <v>0</v>
      </c>
      <c r="AR465">
        <f t="shared" si="155"/>
        <v>0</v>
      </c>
      <c r="AS465">
        <f t="shared" si="155"/>
        <v>0</v>
      </c>
      <c r="AT465">
        <f t="shared" si="154"/>
        <v>0</v>
      </c>
      <c r="AU465">
        <f t="shared" si="154"/>
        <v>0</v>
      </c>
      <c r="AV465">
        <f t="shared" si="144"/>
        <v>0</v>
      </c>
      <c r="AW465">
        <f t="shared" si="144"/>
        <v>0</v>
      </c>
      <c r="AX465">
        <f t="shared" si="144"/>
        <v>0</v>
      </c>
      <c r="AY465">
        <f t="shared" si="144"/>
        <v>0</v>
      </c>
      <c r="AZ465">
        <f t="shared" si="144"/>
        <v>0</v>
      </c>
    </row>
    <row r="466" spans="1:52" x14ac:dyDescent="0.25">
      <c r="A466" t="s">
        <v>42</v>
      </c>
      <c r="B466" s="3">
        <v>40444</v>
      </c>
      <c r="C466" s="1">
        <v>345.29450063896036</v>
      </c>
      <c r="D466" s="1">
        <v>86.323625159740089</v>
      </c>
      <c r="E466" s="1">
        <f t="shared" si="149"/>
        <v>201.29450063896039</v>
      </c>
      <c r="F466" s="1">
        <f t="shared" si="150"/>
        <v>144</v>
      </c>
      <c r="G466" s="2">
        <v>4</v>
      </c>
      <c r="H466" s="1">
        <v>50.323625159740097</v>
      </c>
      <c r="I466" s="1">
        <v>36</v>
      </c>
      <c r="J466" s="1">
        <f t="shared" si="152"/>
        <v>1803694.7075223539</v>
      </c>
      <c r="K466" s="1">
        <f t="shared" si="153"/>
        <v>911807.70752235083</v>
      </c>
      <c r="N466">
        <f t="shared" si="151"/>
        <v>0</v>
      </c>
      <c r="O466">
        <f t="shared" si="151"/>
        <v>0</v>
      </c>
      <c r="P466">
        <f t="shared" si="151"/>
        <v>0</v>
      </c>
      <c r="Q466">
        <f t="shared" si="157"/>
        <v>0</v>
      </c>
      <c r="R466">
        <f t="shared" si="157"/>
        <v>0</v>
      </c>
      <c r="S466">
        <f t="shared" si="157"/>
        <v>0</v>
      </c>
      <c r="T466">
        <f t="shared" si="157"/>
        <v>0</v>
      </c>
      <c r="U466">
        <f t="shared" si="157"/>
        <v>0</v>
      </c>
      <c r="V466">
        <f t="shared" si="157"/>
        <v>0</v>
      </c>
      <c r="W466">
        <f t="shared" si="157"/>
        <v>0</v>
      </c>
      <c r="X466">
        <f t="shared" si="157"/>
        <v>0</v>
      </c>
      <c r="Y466">
        <f t="shared" si="157"/>
        <v>0</v>
      </c>
      <c r="Z466">
        <f t="shared" si="157"/>
        <v>1</v>
      </c>
      <c r="AA466">
        <f t="shared" si="157"/>
        <v>0</v>
      </c>
      <c r="AB466">
        <f t="shared" si="157"/>
        <v>0</v>
      </c>
      <c r="AC466">
        <f t="shared" si="157"/>
        <v>0</v>
      </c>
      <c r="AD466">
        <f t="shared" si="157"/>
        <v>0</v>
      </c>
      <c r="AE466">
        <f t="shared" si="157"/>
        <v>0</v>
      </c>
      <c r="AF466">
        <f t="shared" si="157"/>
        <v>0</v>
      </c>
      <c r="AG466">
        <f t="shared" si="156"/>
        <v>0</v>
      </c>
      <c r="AH466">
        <f t="shared" si="156"/>
        <v>0</v>
      </c>
      <c r="AI466">
        <f t="shared" si="156"/>
        <v>0</v>
      </c>
      <c r="AJ466">
        <f t="shared" si="156"/>
        <v>0</v>
      </c>
      <c r="AK466">
        <f t="shared" si="156"/>
        <v>0</v>
      </c>
      <c r="AL466">
        <f t="shared" si="156"/>
        <v>0</v>
      </c>
      <c r="AM466">
        <f t="shared" si="156"/>
        <v>0</v>
      </c>
      <c r="AN466">
        <f t="shared" si="156"/>
        <v>0</v>
      </c>
      <c r="AO466">
        <f t="shared" si="156"/>
        <v>0</v>
      </c>
      <c r="AP466">
        <f t="shared" si="156"/>
        <v>0</v>
      </c>
      <c r="AQ466">
        <f t="shared" si="156"/>
        <v>0</v>
      </c>
      <c r="AR466">
        <f t="shared" si="155"/>
        <v>0</v>
      </c>
      <c r="AS466">
        <f t="shared" si="155"/>
        <v>0</v>
      </c>
      <c r="AT466">
        <f t="shared" si="154"/>
        <v>0</v>
      </c>
      <c r="AU466">
        <f t="shared" si="154"/>
        <v>0</v>
      </c>
      <c r="AV466">
        <f t="shared" si="144"/>
        <v>0</v>
      </c>
      <c r="AW466">
        <f t="shared" si="144"/>
        <v>0</v>
      </c>
      <c r="AX466">
        <f t="shared" si="144"/>
        <v>0</v>
      </c>
      <c r="AY466">
        <f t="shared" si="144"/>
        <v>0</v>
      </c>
      <c r="AZ466">
        <f t="shared" si="144"/>
        <v>0</v>
      </c>
    </row>
    <row r="467" spans="1:52" x14ac:dyDescent="0.25">
      <c r="A467" t="s">
        <v>15</v>
      </c>
      <c r="B467" s="3">
        <v>40441</v>
      </c>
      <c r="C467" s="1">
        <v>4623.846363739548</v>
      </c>
      <c r="D467" s="1">
        <v>154.12821212465161</v>
      </c>
      <c r="E467" s="1">
        <f t="shared" si="149"/>
        <v>2853.846363739548</v>
      </c>
      <c r="F467" s="1">
        <f t="shared" si="150"/>
        <v>1770</v>
      </c>
      <c r="G467" s="2">
        <v>30</v>
      </c>
      <c r="H467" s="1">
        <v>95.128212124651597</v>
      </c>
      <c r="I467" s="1">
        <v>59</v>
      </c>
      <c r="J467" s="1">
        <f t="shared" si="152"/>
        <v>1808318.5538860934</v>
      </c>
      <c r="K467" s="1">
        <f t="shared" si="153"/>
        <v>914661.55388609041</v>
      </c>
      <c r="N467">
        <f t="shared" si="151"/>
        <v>0</v>
      </c>
      <c r="O467">
        <f t="shared" si="151"/>
        <v>0</v>
      </c>
      <c r="P467">
        <f t="shared" si="151"/>
        <v>0</v>
      </c>
      <c r="Q467">
        <f t="shared" si="157"/>
        <v>0</v>
      </c>
      <c r="R467">
        <f t="shared" si="157"/>
        <v>0</v>
      </c>
      <c r="S467">
        <f t="shared" si="157"/>
        <v>0</v>
      </c>
      <c r="T467">
        <f t="shared" si="157"/>
        <v>0</v>
      </c>
      <c r="U467">
        <f t="shared" si="157"/>
        <v>0</v>
      </c>
      <c r="V467">
        <f t="shared" si="157"/>
        <v>0</v>
      </c>
      <c r="W467">
        <f t="shared" si="157"/>
        <v>0</v>
      </c>
      <c r="X467">
        <f t="shared" si="157"/>
        <v>0</v>
      </c>
      <c r="Y467">
        <f t="shared" si="157"/>
        <v>0</v>
      </c>
      <c r="Z467">
        <f t="shared" si="157"/>
        <v>0</v>
      </c>
      <c r="AA467">
        <f t="shared" si="157"/>
        <v>0</v>
      </c>
      <c r="AB467">
        <f t="shared" si="157"/>
        <v>0</v>
      </c>
      <c r="AC467">
        <f t="shared" si="157"/>
        <v>0</v>
      </c>
      <c r="AD467">
        <f t="shared" si="157"/>
        <v>0</v>
      </c>
      <c r="AE467">
        <f t="shared" si="157"/>
        <v>0</v>
      </c>
      <c r="AF467">
        <f t="shared" si="157"/>
        <v>0</v>
      </c>
      <c r="AG467">
        <f t="shared" si="156"/>
        <v>0</v>
      </c>
      <c r="AH467">
        <f t="shared" si="156"/>
        <v>0</v>
      </c>
      <c r="AI467">
        <f t="shared" si="156"/>
        <v>0</v>
      </c>
      <c r="AJ467">
        <f t="shared" si="156"/>
        <v>0</v>
      </c>
      <c r="AK467">
        <f t="shared" si="156"/>
        <v>0</v>
      </c>
      <c r="AL467">
        <f t="shared" si="156"/>
        <v>0</v>
      </c>
      <c r="AM467">
        <f t="shared" si="156"/>
        <v>0</v>
      </c>
      <c r="AN467">
        <f t="shared" si="156"/>
        <v>0</v>
      </c>
      <c r="AO467">
        <f t="shared" si="156"/>
        <v>0</v>
      </c>
      <c r="AP467">
        <f t="shared" si="156"/>
        <v>0</v>
      </c>
      <c r="AQ467">
        <f t="shared" si="156"/>
        <v>0</v>
      </c>
      <c r="AR467">
        <f t="shared" si="155"/>
        <v>1</v>
      </c>
      <c r="AS467">
        <f t="shared" si="155"/>
        <v>0</v>
      </c>
      <c r="AT467">
        <f t="shared" si="154"/>
        <v>0</v>
      </c>
      <c r="AU467">
        <f t="shared" si="154"/>
        <v>0</v>
      </c>
      <c r="AV467">
        <f t="shared" si="144"/>
        <v>0</v>
      </c>
      <c r="AW467">
        <f t="shared" si="144"/>
        <v>0</v>
      </c>
      <c r="AX467">
        <f t="shared" si="144"/>
        <v>0</v>
      </c>
      <c r="AY467">
        <f t="shared" si="144"/>
        <v>0</v>
      </c>
      <c r="AZ467">
        <f t="shared" si="144"/>
        <v>0</v>
      </c>
    </row>
    <row r="468" spans="1:52" x14ac:dyDescent="0.25">
      <c r="A468" t="s">
        <v>48</v>
      </c>
      <c r="B468" s="3">
        <v>40439</v>
      </c>
      <c r="C468" s="1">
        <v>1794.2259205206624</v>
      </c>
      <c r="D468" s="1">
        <v>179.42259205206625</v>
      </c>
      <c r="E468" s="1">
        <f t="shared" si="149"/>
        <v>774.22592052066261</v>
      </c>
      <c r="F468" s="1">
        <f t="shared" si="150"/>
        <v>1020</v>
      </c>
      <c r="G468" s="2">
        <v>10</v>
      </c>
      <c r="H468" s="1">
        <v>77.422592052066264</v>
      </c>
      <c r="I468" s="1">
        <v>102</v>
      </c>
      <c r="J468" s="1">
        <f t="shared" si="152"/>
        <v>1810112.7798066142</v>
      </c>
      <c r="K468" s="1">
        <f t="shared" si="153"/>
        <v>915435.77980661101</v>
      </c>
      <c r="N468">
        <f t="shared" si="151"/>
        <v>0</v>
      </c>
      <c r="O468">
        <f t="shared" si="151"/>
        <v>0</v>
      </c>
      <c r="P468">
        <f t="shared" si="151"/>
        <v>0</v>
      </c>
      <c r="Q468">
        <f t="shared" si="157"/>
        <v>0</v>
      </c>
      <c r="R468">
        <f t="shared" si="157"/>
        <v>0</v>
      </c>
      <c r="S468">
        <f t="shared" si="157"/>
        <v>0</v>
      </c>
      <c r="T468">
        <f t="shared" si="157"/>
        <v>0</v>
      </c>
      <c r="U468">
        <f t="shared" si="157"/>
        <v>0</v>
      </c>
      <c r="V468">
        <f t="shared" si="157"/>
        <v>0</v>
      </c>
      <c r="W468">
        <f t="shared" si="157"/>
        <v>0</v>
      </c>
      <c r="X468">
        <f t="shared" si="157"/>
        <v>0</v>
      </c>
      <c r="Y468">
        <f t="shared" si="157"/>
        <v>0</v>
      </c>
      <c r="Z468">
        <f t="shared" si="157"/>
        <v>0</v>
      </c>
      <c r="AA468">
        <f t="shared" si="157"/>
        <v>0</v>
      </c>
      <c r="AB468">
        <f t="shared" si="157"/>
        <v>0</v>
      </c>
      <c r="AC468">
        <f t="shared" si="157"/>
        <v>0</v>
      </c>
      <c r="AD468">
        <f t="shared" si="157"/>
        <v>0</v>
      </c>
      <c r="AE468">
        <f t="shared" si="157"/>
        <v>0</v>
      </c>
      <c r="AF468">
        <f t="shared" si="157"/>
        <v>0</v>
      </c>
      <c r="AG468">
        <f t="shared" si="156"/>
        <v>0</v>
      </c>
      <c r="AH468">
        <f t="shared" si="156"/>
        <v>0</v>
      </c>
      <c r="AI468">
        <f t="shared" si="156"/>
        <v>1</v>
      </c>
      <c r="AJ468">
        <f t="shared" si="156"/>
        <v>0</v>
      </c>
      <c r="AK468">
        <f t="shared" si="156"/>
        <v>0</v>
      </c>
      <c r="AL468">
        <f t="shared" si="156"/>
        <v>0</v>
      </c>
      <c r="AM468">
        <f t="shared" si="156"/>
        <v>0</v>
      </c>
      <c r="AN468">
        <f t="shared" si="156"/>
        <v>0</v>
      </c>
      <c r="AO468">
        <f t="shared" si="156"/>
        <v>0</v>
      </c>
      <c r="AP468">
        <f t="shared" si="156"/>
        <v>0</v>
      </c>
      <c r="AQ468">
        <f t="shared" si="156"/>
        <v>0</v>
      </c>
      <c r="AR468">
        <f t="shared" si="155"/>
        <v>0</v>
      </c>
      <c r="AS468">
        <f t="shared" si="155"/>
        <v>0</v>
      </c>
      <c r="AT468">
        <f t="shared" si="154"/>
        <v>0</v>
      </c>
      <c r="AU468">
        <f t="shared" si="154"/>
        <v>0</v>
      </c>
      <c r="AV468">
        <f t="shared" si="144"/>
        <v>0</v>
      </c>
      <c r="AW468">
        <f t="shared" si="144"/>
        <v>0</v>
      </c>
      <c r="AX468">
        <f t="shared" si="144"/>
        <v>0</v>
      </c>
      <c r="AY468">
        <f t="shared" si="144"/>
        <v>0</v>
      </c>
      <c r="AZ468">
        <f t="shared" si="144"/>
        <v>0</v>
      </c>
    </row>
    <row r="469" spans="1:52" x14ac:dyDescent="0.25">
      <c r="A469" t="s">
        <v>36</v>
      </c>
      <c r="B469" s="3">
        <v>40431</v>
      </c>
      <c r="C469" s="1">
        <v>780.72550095270969</v>
      </c>
      <c r="D469" s="1">
        <v>33.944586997943901</v>
      </c>
      <c r="E469" s="1">
        <f t="shared" si="149"/>
        <v>320.72550095270969</v>
      </c>
      <c r="F469" s="1">
        <f t="shared" si="150"/>
        <v>460</v>
      </c>
      <c r="G469" s="2">
        <v>23</v>
      </c>
      <c r="H469" s="1">
        <v>13.944586997943901</v>
      </c>
      <c r="I469" s="1">
        <v>20</v>
      </c>
      <c r="J469" s="1">
        <f t="shared" si="152"/>
        <v>1810893.5053075668</v>
      </c>
      <c r="K469" s="1">
        <f t="shared" si="153"/>
        <v>915756.5053075637</v>
      </c>
      <c r="N469">
        <f t="shared" si="151"/>
        <v>0</v>
      </c>
      <c r="O469">
        <f t="shared" si="151"/>
        <v>0</v>
      </c>
      <c r="P469">
        <f t="shared" si="151"/>
        <v>0</v>
      </c>
      <c r="Q469">
        <f t="shared" si="157"/>
        <v>0</v>
      </c>
      <c r="R469">
        <f t="shared" si="157"/>
        <v>0</v>
      </c>
      <c r="S469">
        <f t="shared" si="157"/>
        <v>0</v>
      </c>
      <c r="T469">
        <f t="shared" si="157"/>
        <v>0</v>
      </c>
      <c r="U469">
        <f t="shared" si="157"/>
        <v>0</v>
      </c>
      <c r="V469">
        <f t="shared" si="157"/>
        <v>0</v>
      </c>
      <c r="W469">
        <f t="shared" si="157"/>
        <v>0</v>
      </c>
      <c r="X469">
        <f t="shared" si="157"/>
        <v>0</v>
      </c>
      <c r="Y469">
        <f t="shared" si="157"/>
        <v>0</v>
      </c>
      <c r="Z469">
        <f t="shared" si="157"/>
        <v>0</v>
      </c>
      <c r="AA469">
        <f t="shared" si="157"/>
        <v>0</v>
      </c>
      <c r="AB469">
        <f t="shared" si="157"/>
        <v>0</v>
      </c>
      <c r="AC469">
        <f t="shared" si="157"/>
        <v>0</v>
      </c>
      <c r="AD469">
        <f t="shared" si="157"/>
        <v>0</v>
      </c>
      <c r="AE469">
        <f t="shared" si="157"/>
        <v>0</v>
      </c>
      <c r="AF469">
        <f t="shared" si="157"/>
        <v>0</v>
      </c>
      <c r="AG469">
        <f t="shared" si="156"/>
        <v>0</v>
      </c>
      <c r="AH469">
        <f t="shared" si="156"/>
        <v>0</v>
      </c>
      <c r="AI469">
        <f t="shared" si="156"/>
        <v>0</v>
      </c>
      <c r="AJ469">
        <f t="shared" si="156"/>
        <v>0</v>
      </c>
      <c r="AK469">
        <f t="shared" si="156"/>
        <v>0</v>
      </c>
      <c r="AL469">
        <f t="shared" si="156"/>
        <v>0</v>
      </c>
      <c r="AM469">
        <f t="shared" si="156"/>
        <v>0</v>
      </c>
      <c r="AN469">
        <f t="shared" si="156"/>
        <v>0</v>
      </c>
      <c r="AO469">
        <f t="shared" si="156"/>
        <v>1</v>
      </c>
      <c r="AP469">
        <f t="shared" si="156"/>
        <v>0</v>
      </c>
      <c r="AQ469">
        <f t="shared" si="156"/>
        <v>0</v>
      </c>
      <c r="AR469">
        <f t="shared" si="155"/>
        <v>0</v>
      </c>
      <c r="AS469">
        <f t="shared" si="155"/>
        <v>0</v>
      </c>
      <c r="AT469">
        <f t="shared" si="154"/>
        <v>0</v>
      </c>
      <c r="AU469">
        <f t="shared" si="154"/>
        <v>0</v>
      </c>
      <c r="AV469">
        <f t="shared" si="144"/>
        <v>0</v>
      </c>
      <c r="AW469">
        <f t="shared" si="144"/>
        <v>0</v>
      </c>
      <c r="AX469">
        <f t="shared" si="144"/>
        <v>0</v>
      </c>
      <c r="AY469">
        <f t="shared" si="144"/>
        <v>0</v>
      </c>
      <c r="AZ469">
        <f t="shared" si="144"/>
        <v>0</v>
      </c>
    </row>
    <row r="470" spans="1:52" x14ac:dyDescent="0.25">
      <c r="A470" t="s">
        <v>32</v>
      </c>
      <c r="B470" s="3">
        <v>40423</v>
      </c>
      <c r="C470" s="1">
        <v>1209.3993858695258</v>
      </c>
      <c r="D470" s="1">
        <v>151.17492323369072</v>
      </c>
      <c r="E470" s="1">
        <f t="shared" si="149"/>
        <v>545.39938586952564</v>
      </c>
      <c r="F470" s="1">
        <f t="shared" si="150"/>
        <v>664</v>
      </c>
      <c r="G470" s="2">
        <v>8</v>
      </c>
      <c r="H470" s="1">
        <v>68.174923233690706</v>
      </c>
      <c r="I470" s="1">
        <v>83</v>
      </c>
      <c r="J470" s="1">
        <f t="shared" si="152"/>
        <v>1812102.9046934363</v>
      </c>
      <c r="K470" s="1">
        <f t="shared" si="153"/>
        <v>916301.9046934332</v>
      </c>
      <c r="N470">
        <f t="shared" si="151"/>
        <v>0</v>
      </c>
      <c r="O470">
        <f t="shared" si="151"/>
        <v>0</v>
      </c>
      <c r="P470">
        <f t="shared" si="151"/>
        <v>0</v>
      </c>
      <c r="Q470">
        <f t="shared" si="157"/>
        <v>0</v>
      </c>
      <c r="R470">
        <f t="shared" si="157"/>
        <v>0</v>
      </c>
      <c r="S470">
        <f t="shared" si="157"/>
        <v>0</v>
      </c>
      <c r="T470">
        <f t="shared" si="157"/>
        <v>0</v>
      </c>
      <c r="U470">
        <f t="shared" si="157"/>
        <v>0</v>
      </c>
      <c r="V470">
        <f t="shared" si="157"/>
        <v>0</v>
      </c>
      <c r="W470">
        <f t="shared" si="157"/>
        <v>0</v>
      </c>
      <c r="X470">
        <f t="shared" si="157"/>
        <v>0</v>
      </c>
      <c r="Y470">
        <f t="shared" si="157"/>
        <v>0</v>
      </c>
      <c r="Z470">
        <f t="shared" si="157"/>
        <v>0</v>
      </c>
      <c r="AA470">
        <f t="shared" si="157"/>
        <v>0</v>
      </c>
      <c r="AB470">
        <f t="shared" si="157"/>
        <v>0</v>
      </c>
      <c r="AC470">
        <f t="shared" si="157"/>
        <v>0</v>
      </c>
      <c r="AD470">
        <f t="shared" si="157"/>
        <v>0</v>
      </c>
      <c r="AE470">
        <f t="shared" si="157"/>
        <v>0</v>
      </c>
      <c r="AF470">
        <f t="shared" si="157"/>
        <v>0</v>
      </c>
      <c r="AG470">
        <f t="shared" si="156"/>
        <v>0</v>
      </c>
      <c r="AH470">
        <f t="shared" si="156"/>
        <v>1</v>
      </c>
      <c r="AI470">
        <f t="shared" si="156"/>
        <v>0</v>
      </c>
      <c r="AJ470">
        <f t="shared" si="156"/>
        <v>0</v>
      </c>
      <c r="AK470">
        <f t="shared" si="156"/>
        <v>0</v>
      </c>
      <c r="AL470">
        <f t="shared" si="156"/>
        <v>0</v>
      </c>
      <c r="AM470">
        <f t="shared" si="156"/>
        <v>0</v>
      </c>
      <c r="AN470">
        <f t="shared" si="156"/>
        <v>0</v>
      </c>
      <c r="AO470">
        <f t="shared" si="156"/>
        <v>0</v>
      </c>
      <c r="AP470">
        <f t="shared" si="156"/>
        <v>0</v>
      </c>
      <c r="AQ470">
        <f t="shared" si="156"/>
        <v>0</v>
      </c>
      <c r="AR470">
        <f t="shared" si="155"/>
        <v>0</v>
      </c>
      <c r="AS470">
        <f t="shared" si="155"/>
        <v>0</v>
      </c>
      <c r="AT470">
        <f t="shared" si="154"/>
        <v>0</v>
      </c>
      <c r="AU470">
        <f t="shared" si="154"/>
        <v>0</v>
      </c>
      <c r="AV470">
        <f t="shared" si="144"/>
        <v>0</v>
      </c>
      <c r="AW470">
        <f t="shared" si="144"/>
        <v>0</v>
      </c>
      <c r="AX470">
        <f t="shared" si="144"/>
        <v>0</v>
      </c>
      <c r="AY470">
        <f t="shared" si="144"/>
        <v>0</v>
      </c>
      <c r="AZ470">
        <f t="shared" si="144"/>
        <v>0</v>
      </c>
    </row>
    <row r="471" spans="1:52" x14ac:dyDescent="0.25">
      <c r="A471" t="s">
        <v>40</v>
      </c>
      <c r="B471" s="3">
        <v>40423</v>
      </c>
      <c r="C471" s="1">
        <v>22023.725259081082</v>
      </c>
      <c r="D471" s="1">
        <v>236.81425009764604</v>
      </c>
      <c r="E471" s="1">
        <f t="shared" si="149"/>
        <v>9840.7252590810804</v>
      </c>
      <c r="F471" s="1">
        <f t="shared" si="150"/>
        <v>12183</v>
      </c>
      <c r="G471" s="2">
        <v>93</v>
      </c>
      <c r="H471" s="1">
        <v>105.81425009764602</v>
      </c>
      <c r="I471" s="1">
        <v>131</v>
      </c>
      <c r="J471" s="1">
        <f t="shared" si="152"/>
        <v>1834126.6299525173</v>
      </c>
      <c r="K471" s="1">
        <f t="shared" si="153"/>
        <v>926142.62995251431</v>
      </c>
      <c r="N471">
        <f t="shared" si="151"/>
        <v>0</v>
      </c>
      <c r="O471">
        <f t="shared" si="151"/>
        <v>0</v>
      </c>
      <c r="P471">
        <f t="shared" si="151"/>
        <v>0</v>
      </c>
      <c r="Q471">
        <f t="shared" si="157"/>
        <v>0</v>
      </c>
      <c r="R471">
        <f t="shared" si="157"/>
        <v>0</v>
      </c>
      <c r="S471">
        <f t="shared" si="157"/>
        <v>0</v>
      </c>
      <c r="T471">
        <f t="shared" si="157"/>
        <v>0</v>
      </c>
      <c r="U471">
        <f t="shared" si="157"/>
        <v>0</v>
      </c>
      <c r="V471">
        <f t="shared" si="157"/>
        <v>0</v>
      </c>
      <c r="W471">
        <f t="shared" si="157"/>
        <v>0</v>
      </c>
      <c r="X471">
        <f t="shared" si="157"/>
        <v>1</v>
      </c>
      <c r="Y471">
        <f t="shared" si="157"/>
        <v>0</v>
      </c>
      <c r="Z471">
        <f t="shared" si="157"/>
        <v>0</v>
      </c>
      <c r="AA471">
        <f t="shared" si="157"/>
        <v>0</v>
      </c>
      <c r="AB471">
        <f t="shared" si="157"/>
        <v>0</v>
      </c>
      <c r="AC471">
        <f t="shared" si="157"/>
        <v>0</v>
      </c>
      <c r="AD471">
        <f t="shared" si="157"/>
        <v>0</v>
      </c>
      <c r="AE471">
        <f t="shared" si="157"/>
        <v>0</v>
      </c>
      <c r="AF471">
        <f t="shared" si="157"/>
        <v>0</v>
      </c>
      <c r="AG471">
        <f t="shared" si="156"/>
        <v>0</v>
      </c>
      <c r="AH471">
        <f t="shared" si="156"/>
        <v>0</v>
      </c>
      <c r="AI471">
        <f t="shared" si="156"/>
        <v>0</v>
      </c>
      <c r="AJ471">
        <f t="shared" si="156"/>
        <v>0</v>
      </c>
      <c r="AK471">
        <f t="shared" si="156"/>
        <v>0</v>
      </c>
      <c r="AL471">
        <f t="shared" si="156"/>
        <v>0</v>
      </c>
      <c r="AM471">
        <f t="shared" si="156"/>
        <v>0</v>
      </c>
      <c r="AN471">
        <f t="shared" si="156"/>
        <v>0</v>
      </c>
      <c r="AO471">
        <f t="shared" si="156"/>
        <v>0</v>
      </c>
      <c r="AP471">
        <f t="shared" si="156"/>
        <v>0</v>
      </c>
      <c r="AQ471">
        <f t="shared" si="156"/>
        <v>0</v>
      </c>
      <c r="AR471">
        <f t="shared" si="155"/>
        <v>0</v>
      </c>
      <c r="AS471">
        <f t="shared" si="155"/>
        <v>0</v>
      </c>
      <c r="AT471">
        <f t="shared" si="154"/>
        <v>0</v>
      </c>
      <c r="AU471">
        <f t="shared" si="154"/>
        <v>0</v>
      </c>
      <c r="AV471">
        <f t="shared" ref="AV471:AZ505" si="158">+IF(AV$5=$A471,1,0)</f>
        <v>0</v>
      </c>
      <c r="AW471">
        <f t="shared" si="158"/>
        <v>0</v>
      </c>
      <c r="AX471">
        <f t="shared" si="158"/>
        <v>0</v>
      </c>
      <c r="AY471">
        <f t="shared" si="158"/>
        <v>0</v>
      </c>
      <c r="AZ471">
        <f t="shared" si="158"/>
        <v>0</v>
      </c>
    </row>
    <row r="472" spans="1:52" x14ac:dyDescent="0.25">
      <c r="A472" t="s">
        <v>49</v>
      </c>
      <c r="B472" s="3">
        <v>40420</v>
      </c>
      <c r="C472" s="1">
        <v>1318.2541184066208</v>
      </c>
      <c r="D472" s="1">
        <v>101.40416295435544</v>
      </c>
      <c r="E472" s="1">
        <f t="shared" si="149"/>
        <v>681.25411840662071</v>
      </c>
      <c r="F472" s="1">
        <f t="shared" si="150"/>
        <v>637</v>
      </c>
      <c r="G472" s="2">
        <v>13</v>
      </c>
      <c r="H472" s="1">
        <v>52.404162954355442</v>
      </c>
      <c r="I472" s="1">
        <v>49</v>
      </c>
      <c r="J472" s="1">
        <f t="shared" si="152"/>
        <v>1835444.884070924</v>
      </c>
      <c r="K472" s="1">
        <f t="shared" si="153"/>
        <v>926823.88407092087</v>
      </c>
      <c r="N472">
        <f t="shared" si="151"/>
        <v>0</v>
      </c>
      <c r="O472">
        <f t="shared" si="151"/>
        <v>0</v>
      </c>
      <c r="P472">
        <f t="shared" si="151"/>
        <v>0</v>
      </c>
      <c r="Q472">
        <f t="shared" si="157"/>
        <v>0</v>
      </c>
      <c r="R472">
        <f t="shared" si="157"/>
        <v>0</v>
      </c>
      <c r="S472">
        <f t="shared" si="157"/>
        <v>0</v>
      </c>
      <c r="T472">
        <f t="shared" si="157"/>
        <v>0</v>
      </c>
      <c r="U472">
        <f t="shared" si="157"/>
        <v>0</v>
      </c>
      <c r="V472">
        <f t="shared" si="157"/>
        <v>0</v>
      </c>
      <c r="W472">
        <f t="shared" si="157"/>
        <v>0</v>
      </c>
      <c r="X472">
        <f t="shared" si="157"/>
        <v>0</v>
      </c>
      <c r="Y472">
        <f t="shared" si="157"/>
        <v>0</v>
      </c>
      <c r="Z472">
        <f t="shared" si="157"/>
        <v>0</v>
      </c>
      <c r="AA472">
        <f t="shared" si="157"/>
        <v>1</v>
      </c>
      <c r="AB472">
        <f t="shared" si="157"/>
        <v>0</v>
      </c>
      <c r="AC472">
        <f t="shared" si="157"/>
        <v>0</v>
      </c>
      <c r="AD472">
        <f t="shared" si="157"/>
        <v>0</v>
      </c>
      <c r="AE472">
        <f t="shared" si="157"/>
        <v>0</v>
      </c>
      <c r="AF472">
        <f t="shared" si="157"/>
        <v>0</v>
      </c>
      <c r="AG472">
        <f t="shared" si="156"/>
        <v>0</v>
      </c>
      <c r="AH472">
        <f t="shared" si="156"/>
        <v>0</v>
      </c>
      <c r="AI472">
        <f t="shared" si="156"/>
        <v>0</v>
      </c>
      <c r="AJ472">
        <f t="shared" si="156"/>
        <v>0</v>
      </c>
      <c r="AK472">
        <f t="shared" si="156"/>
        <v>0</v>
      </c>
      <c r="AL472">
        <f t="shared" si="156"/>
        <v>0</v>
      </c>
      <c r="AM472">
        <f t="shared" si="156"/>
        <v>0</v>
      </c>
      <c r="AN472">
        <f t="shared" si="156"/>
        <v>0</v>
      </c>
      <c r="AO472">
        <f t="shared" si="156"/>
        <v>0</v>
      </c>
      <c r="AP472">
        <f t="shared" si="156"/>
        <v>0</v>
      </c>
      <c r="AQ472">
        <f t="shared" si="156"/>
        <v>0</v>
      </c>
      <c r="AR472">
        <f t="shared" si="155"/>
        <v>0</v>
      </c>
      <c r="AS472">
        <f t="shared" si="155"/>
        <v>0</v>
      </c>
      <c r="AT472">
        <f t="shared" si="154"/>
        <v>0</v>
      </c>
      <c r="AU472">
        <f t="shared" si="154"/>
        <v>0</v>
      </c>
      <c r="AV472">
        <f t="shared" si="158"/>
        <v>0</v>
      </c>
      <c r="AW472">
        <f t="shared" si="158"/>
        <v>0</v>
      </c>
      <c r="AX472">
        <f t="shared" si="158"/>
        <v>0</v>
      </c>
      <c r="AY472">
        <f t="shared" si="158"/>
        <v>0</v>
      </c>
      <c r="AZ472">
        <f t="shared" si="158"/>
        <v>0</v>
      </c>
    </row>
    <row r="473" spans="1:52" x14ac:dyDescent="0.25">
      <c r="A473" t="s">
        <v>19</v>
      </c>
      <c r="B473" s="3">
        <v>40415</v>
      </c>
      <c r="C473" s="1">
        <v>763.94097526845667</v>
      </c>
      <c r="D473" s="1">
        <v>190.98524381711417</v>
      </c>
      <c r="E473" s="1">
        <f t="shared" si="149"/>
        <v>311.94097526845673</v>
      </c>
      <c r="F473" s="1">
        <f t="shared" si="150"/>
        <v>452</v>
      </c>
      <c r="G473" s="2">
        <v>4</v>
      </c>
      <c r="H473" s="1">
        <v>77.985243817114181</v>
      </c>
      <c r="I473" s="1">
        <v>113</v>
      </c>
      <c r="J473" s="1">
        <f t="shared" si="152"/>
        <v>1836208.8250461924</v>
      </c>
      <c r="K473" s="1">
        <f t="shared" si="153"/>
        <v>927135.82504618936</v>
      </c>
      <c r="N473">
        <f t="shared" si="151"/>
        <v>0</v>
      </c>
      <c r="O473">
        <f t="shared" si="151"/>
        <v>0</v>
      </c>
      <c r="P473">
        <f t="shared" si="151"/>
        <v>0</v>
      </c>
      <c r="Q473">
        <f t="shared" si="157"/>
        <v>0</v>
      </c>
      <c r="R473">
        <f t="shared" si="157"/>
        <v>0</v>
      </c>
      <c r="S473">
        <f t="shared" si="157"/>
        <v>0</v>
      </c>
      <c r="T473">
        <f t="shared" si="157"/>
        <v>0</v>
      </c>
      <c r="U473">
        <f t="shared" si="157"/>
        <v>0</v>
      </c>
      <c r="V473">
        <f t="shared" si="157"/>
        <v>0</v>
      </c>
      <c r="W473">
        <f t="shared" si="157"/>
        <v>0</v>
      </c>
      <c r="X473">
        <f t="shared" si="157"/>
        <v>0</v>
      </c>
      <c r="Y473">
        <f t="shared" si="157"/>
        <v>0</v>
      </c>
      <c r="Z473">
        <f t="shared" si="157"/>
        <v>0</v>
      </c>
      <c r="AA473">
        <f t="shared" si="157"/>
        <v>0</v>
      </c>
      <c r="AB473">
        <f t="shared" si="157"/>
        <v>0</v>
      </c>
      <c r="AC473">
        <f t="shared" si="157"/>
        <v>0</v>
      </c>
      <c r="AD473">
        <f t="shared" si="157"/>
        <v>0</v>
      </c>
      <c r="AE473">
        <f t="shared" si="157"/>
        <v>0</v>
      </c>
      <c r="AF473">
        <f t="shared" si="157"/>
        <v>0</v>
      </c>
      <c r="AG473">
        <f t="shared" si="156"/>
        <v>0</v>
      </c>
      <c r="AH473">
        <f t="shared" si="156"/>
        <v>0</v>
      </c>
      <c r="AI473">
        <f t="shared" si="156"/>
        <v>0</v>
      </c>
      <c r="AJ473">
        <f t="shared" si="156"/>
        <v>0</v>
      </c>
      <c r="AK473">
        <f t="shared" si="156"/>
        <v>0</v>
      </c>
      <c r="AL473">
        <f t="shared" si="156"/>
        <v>0</v>
      </c>
      <c r="AM473">
        <f t="shared" si="156"/>
        <v>0</v>
      </c>
      <c r="AN473">
        <f t="shared" si="156"/>
        <v>0</v>
      </c>
      <c r="AO473">
        <f t="shared" si="156"/>
        <v>0</v>
      </c>
      <c r="AP473">
        <f t="shared" si="156"/>
        <v>0</v>
      </c>
      <c r="AQ473">
        <f t="shared" si="156"/>
        <v>0</v>
      </c>
      <c r="AR473">
        <f t="shared" si="155"/>
        <v>0</v>
      </c>
      <c r="AS473">
        <f t="shared" si="155"/>
        <v>0</v>
      </c>
      <c r="AT473">
        <f t="shared" si="154"/>
        <v>0</v>
      </c>
      <c r="AU473">
        <f t="shared" si="154"/>
        <v>0</v>
      </c>
      <c r="AV473">
        <f t="shared" si="158"/>
        <v>0</v>
      </c>
      <c r="AW473">
        <f t="shared" si="158"/>
        <v>1</v>
      </c>
      <c r="AX473">
        <f t="shared" si="158"/>
        <v>0</v>
      </c>
      <c r="AY473">
        <f t="shared" si="158"/>
        <v>0</v>
      </c>
      <c r="AZ473">
        <f t="shared" si="158"/>
        <v>0</v>
      </c>
    </row>
    <row r="474" spans="1:52" x14ac:dyDescent="0.25">
      <c r="A474" t="s">
        <v>30</v>
      </c>
      <c r="B474" s="3">
        <v>40408</v>
      </c>
      <c r="C474" s="1">
        <v>2586.6375304478952</v>
      </c>
      <c r="D474" s="1">
        <v>99.486058863380592</v>
      </c>
      <c r="E474" s="1">
        <f t="shared" si="149"/>
        <v>1182.6375304478954</v>
      </c>
      <c r="F474" s="1">
        <f t="shared" si="150"/>
        <v>1404</v>
      </c>
      <c r="G474" s="2">
        <v>26</v>
      </c>
      <c r="H474" s="1">
        <v>45.486058863380592</v>
      </c>
      <c r="I474" s="1">
        <v>54</v>
      </c>
      <c r="J474" s="1">
        <f t="shared" si="152"/>
        <v>1838795.4625766403</v>
      </c>
      <c r="K474" s="1">
        <f t="shared" si="153"/>
        <v>928318.46257663728</v>
      </c>
      <c r="N474">
        <f t="shared" si="151"/>
        <v>0</v>
      </c>
      <c r="O474">
        <f t="shared" si="151"/>
        <v>0</v>
      </c>
      <c r="P474">
        <f t="shared" si="151"/>
        <v>0</v>
      </c>
      <c r="Q474">
        <f t="shared" si="157"/>
        <v>0</v>
      </c>
      <c r="R474">
        <f t="shared" si="157"/>
        <v>0</v>
      </c>
      <c r="S474">
        <f t="shared" si="157"/>
        <v>0</v>
      </c>
      <c r="T474">
        <f t="shared" si="157"/>
        <v>0</v>
      </c>
      <c r="U474">
        <f t="shared" si="157"/>
        <v>0</v>
      </c>
      <c r="V474">
        <f t="shared" si="157"/>
        <v>0</v>
      </c>
      <c r="W474">
        <f t="shared" si="157"/>
        <v>0</v>
      </c>
      <c r="X474">
        <f t="shared" si="157"/>
        <v>0</v>
      </c>
      <c r="Y474">
        <f t="shared" si="157"/>
        <v>0</v>
      </c>
      <c r="Z474">
        <f t="shared" si="157"/>
        <v>0</v>
      </c>
      <c r="AA474">
        <f t="shared" si="157"/>
        <v>0</v>
      </c>
      <c r="AB474">
        <f t="shared" si="157"/>
        <v>0</v>
      </c>
      <c r="AC474">
        <f t="shared" si="157"/>
        <v>0</v>
      </c>
      <c r="AD474">
        <f t="shared" si="157"/>
        <v>0</v>
      </c>
      <c r="AE474">
        <f t="shared" si="157"/>
        <v>0</v>
      </c>
      <c r="AF474">
        <f t="shared" si="157"/>
        <v>0</v>
      </c>
      <c r="AG474">
        <f t="shared" si="156"/>
        <v>0</v>
      </c>
      <c r="AH474">
        <f t="shared" si="156"/>
        <v>0</v>
      </c>
      <c r="AI474">
        <f t="shared" si="156"/>
        <v>0</v>
      </c>
      <c r="AJ474">
        <f t="shared" si="156"/>
        <v>0</v>
      </c>
      <c r="AK474">
        <f t="shared" si="156"/>
        <v>0</v>
      </c>
      <c r="AL474">
        <f t="shared" si="156"/>
        <v>0</v>
      </c>
      <c r="AM474">
        <f t="shared" si="156"/>
        <v>0</v>
      </c>
      <c r="AN474">
        <f t="shared" si="156"/>
        <v>0</v>
      </c>
      <c r="AO474">
        <f t="shared" si="156"/>
        <v>0</v>
      </c>
      <c r="AP474">
        <f t="shared" si="156"/>
        <v>0</v>
      </c>
      <c r="AQ474">
        <f t="shared" si="156"/>
        <v>0</v>
      </c>
      <c r="AR474">
        <f t="shared" si="155"/>
        <v>0</v>
      </c>
      <c r="AS474">
        <f t="shared" si="155"/>
        <v>0</v>
      </c>
      <c r="AT474">
        <f t="shared" si="154"/>
        <v>0</v>
      </c>
      <c r="AU474">
        <f t="shared" si="154"/>
        <v>0</v>
      </c>
      <c r="AV474">
        <f t="shared" si="158"/>
        <v>1</v>
      </c>
      <c r="AW474">
        <f t="shared" si="158"/>
        <v>0</v>
      </c>
      <c r="AX474">
        <f t="shared" si="158"/>
        <v>0</v>
      </c>
      <c r="AY474">
        <f t="shared" si="158"/>
        <v>0</v>
      </c>
      <c r="AZ474">
        <f t="shared" si="158"/>
        <v>0</v>
      </c>
    </row>
    <row r="475" spans="1:52" x14ac:dyDescent="0.25">
      <c r="A475" t="s">
        <v>37</v>
      </c>
      <c r="B475" s="3">
        <v>40407</v>
      </c>
      <c r="C475" s="1">
        <v>443.26545180105126</v>
      </c>
      <c r="D475" s="1">
        <v>73.877575300175209</v>
      </c>
      <c r="E475" s="1">
        <f t="shared" si="149"/>
        <v>191.26545180105128</v>
      </c>
      <c r="F475" s="1">
        <f t="shared" si="150"/>
        <v>252</v>
      </c>
      <c r="G475" s="2">
        <v>6</v>
      </c>
      <c r="H475" s="1">
        <v>31.877575300175213</v>
      </c>
      <c r="I475" s="1">
        <v>42</v>
      </c>
      <c r="J475" s="1">
        <f t="shared" si="152"/>
        <v>1839238.7280284413</v>
      </c>
      <c r="K475" s="1">
        <f t="shared" si="153"/>
        <v>928509.72802843829</v>
      </c>
      <c r="N475">
        <f t="shared" si="151"/>
        <v>0</v>
      </c>
      <c r="O475">
        <f t="shared" si="151"/>
        <v>0</v>
      </c>
      <c r="P475">
        <f t="shared" si="151"/>
        <v>0</v>
      </c>
      <c r="Q475">
        <f t="shared" si="157"/>
        <v>0</v>
      </c>
      <c r="R475">
        <f t="shared" si="157"/>
        <v>0</v>
      </c>
      <c r="S475">
        <f t="shared" si="157"/>
        <v>0</v>
      </c>
      <c r="T475">
        <f t="shared" si="157"/>
        <v>0</v>
      </c>
      <c r="U475">
        <f t="shared" si="157"/>
        <v>0</v>
      </c>
      <c r="V475">
        <f t="shared" si="157"/>
        <v>0</v>
      </c>
      <c r="W475">
        <f t="shared" si="157"/>
        <v>0</v>
      </c>
      <c r="X475">
        <f t="shared" si="157"/>
        <v>0</v>
      </c>
      <c r="Y475">
        <f t="shared" si="157"/>
        <v>0</v>
      </c>
      <c r="Z475">
        <f t="shared" si="157"/>
        <v>0</v>
      </c>
      <c r="AA475">
        <f t="shared" si="157"/>
        <v>0</v>
      </c>
      <c r="AB475">
        <f t="shared" si="157"/>
        <v>0</v>
      </c>
      <c r="AC475">
        <f t="shared" si="157"/>
        <v>0</v>
      </c>
      <c r="AD475">
        <f t="shared" si="157"/>
        <v>1</v>
      </c>
      <c r="AE475">
        <f t="shared" si="157"/>
        <v>0</v>
      </c>
      <c r="AF475">
        <f t="shared" si="157"/>
        <v>0</v>
      </c>
      <c r="AG475">
        <f t="shared" si="156"/>
        <v>0</v>
      </c>
      <c r="AH475">
        <f t="shared" si="156"/>
        <v>0</v>
      </c>
      <c r="AI475">
        <f t="shared" si="156"/>
        <v>0</v>
      </c>
      <c r="AJ475">
        <f t="shared" si="156"/>
        <v>0</v>
      </c>
      <c r="AK475">
        <f t="shared" si="156"/>
        <v>0</v>
      </c>
      <c r="AL475">
        <f t="shared" si="156"/>
        <v>0</v>
      </c>
      <c r="AM475">
        <f t="shared" si="156"/>
        <v>0</v>
      </c>
      <c r="AN475">
        <f t="shared" si="156"/>
        <v>0</v>
      </c>
      <c r="AO475">
        <f t="shared" si="156"/>
        <v>0</v>
      </c>
      <c r="AP475">
        <f t="shared" si="156"/>
        <v>0</v>
      </c>
      <c r="AQ475">
        <f t="shared" si="156"/>
        <v>0</v>
      </c>
      <c r="AR475">
        <f t="shared" si="155"/>
        <v>0</v>
      </c>
      <c r="AS475">
        <f t="shared" si="155"/>
        <v>0</v>
      </c>
      <c r="AT475">
        <f t="shared" si="154"/>
        <v>0</v>
      </c>
      <c r="AU475">
        <f t="shared" si="154"/>
        <v>0</v>
      </c>
      <c r="AV475">
        <f t="shared" si="158"/>
        <v>0</v>
      </c>
      <c r="AW475">
        <f t="shared" si="158"/>
        <v>0</v>
      </c>
      <c r="AX475">
        <f t="shared" si="158"/>
        <v>0</v>
      </c>
      <c r="AY475">
        <f t="shared" si="158"/>
        <v>0</v>
      </c>
      <c r="AZ475">
        <f t="shared" si="158"/>
        <v>0</v>
      </c>
    </row>
    <row r="476" spans="1:52" x14ac:dyDescent="0.25">
      <c r="A476" t="s">
        <v>35</v>
      </c>
      <c r="B476" s="3">
        <v>40400</v>
      </c>
      <c r="C476" s="1">
        <v>7015.145952615484</v>
      </c>
      <c r="D476" s="1">
        <v>116.91909921025807</v>
      </c>
      <c r="E476" s="1">
        <f t="shared" si="149"/>
        <v>3475.145952615484</v>
      </c>
      <c r="F476" s="1">
        <f t="shared" si="150"/>
        <v>3540</v>
      </c>
      <c r="G476" s="2">
        <v>60</v>
      </c>
      <c r="H476" s="1">
        <v>57.919099210258068</v>
      </c>
      <c r="I476" s="1">
        <v>59</v>
      </c>
      <c r="J476" s="1">
        <f t="shared" si="152"/>
        <v>1846253.8739810567</v>
      </c>
      <c r="K476" s="1">
        <f t="shared" si="153"/>
        <v>931984.87398105382</v>
      </c>
      <c r="N476">
        <f t="shared" si="151"/>
        <v>0</v>
      </c>
      <c r="O476">
        <f t="shared" si="151"/>
        <v>0</v>
      </c>
      <c r="P476">
        <f t="shared" si="151"/>
        <v>0</v>
      </c>
      <c r="Q476">
        <f t="shared" si="157"/>
        <v>0</v>
      </c>
      <c r="R476">
        <f t="shared" si="157"/>
        <v>0</v>
      </c>
      <c r="S476">
        <f t="shared" si="157"/>
        <v>0</v>
      </c>
      <c r="T476">
        <f t="shared" si="157"/>
        <v>0</v>
      </c>
      <c r="U476">
        <f t="shared" si="157"/>
        <v>0</v>
      </c>
      <c r="V476">
        <f t="shared" si="157"/>
        <v>0</v>
      </c>
      <c r="W476">
        <f t="shared" si="157"/>
        <v>0</v>
      </c>
      <c r="X476">
        <f t="shared" si="157"/>
        <v>0</v>
      </c>
      <c r="Y476">
        <f t="shared" si="157"/>
        <v>0</v>
      </c>
      <c r="Z476">
        <f t="shared" si="157"/>
        <v>0</v>
      </c>
      <c r="AA476">
        <f t="shared" si="157"/>
        <v>0</v>
      </c>
      <c r="AB476">
        <f t="shared" si="157"/>
        <v>0</v>
      </c>
      <c r="AC476">
        <f t="shared" si="157"/>
        <v>0</v>
      </c>
      <c r="AD476">
        <f t="shared" si="157"/>
        <v>0</v>
      </c>
      <c r="AE476">
        <f t="shared" si="157"/>
        <v>0</v>
      </c>
      <c r="AF476">
        <f t="shared" si="157"/>
        <v>0</v>
      </c>
      <c r="AG476">
        <f t="shared" si="156"/>
        <v>0</v>
      </c>
      <c r="AH476">
        <f t="shared" si="156"/>
        <v>0</v>
      </c>
      <c r="AI476">
        <f t="shared" si="156"/>
        <v>0</v>
      </c>
      <c r="AJ476">
        <f t="shared" si="156"/>
        <v>0</v>
      </c>
      <c r="AK476">
        <f t="shared" si="156"/>
        <v>0</v>
      </c>
      <c r="AL476">
        <f t="shared" si="156"/>
        <v>1</v>
      </c>
      <c r="AM476">
        <f t="shared" si="156"/>
        <v>0</v>
      </c>
      <c r="AN476">
        <f t="shared" si="156"/>
        <v>0</v>
      </c>
      <c r="AO476">
        <f t="shared" si="156"/>
        <v>0</v>
      </c>
      <c r="AP476">
        <f t="shared" si="156"/>
        <v>0</v>
      </c>
      <c r="AQ476">
        <f t="shared" si="156"/>
        <v>0</v>
      </c>
      <c r="AR476">
        <f t="shared" si="155"/>
        <v>0</v>
      </c>
      <c r="AS476">
        <f t="shared" si="155"/>
        <v>0</v>
      </c>
      <c r="AT476">
        <f t="shared" si="154"/>
        <v>0</v>
      </c>
      <c r="AU476">
        <f t="shared" si="154"/>
        <v>0</v>
      </c>
      <c r="AV476">
        <f t="shared" si="158"/>
        <v>0</v>
      </c>
      <c r="AW476">
        <f t="shared" si="158"/>
        <v>0</v>
      </c>
      <c r="AX476">
        <f t="shared" si="158"/>
        <v>0</v>
      </c>
      <c r="AY476">
        <f t="shared" si="158"/>
        <v>0</v>
      </c>
      <c r="AZ476">
        <f t="shared" si="158"/>
        <v>0</v>
      </c>
    </row>
    <row r="477" spans="1:52" x14ac:dyDescent="0.25">
      <c r="A477" t="s">
        <v>45</v>
      </c>
      <c r="B477" s="3">
        <v>40397</v>
      </c>
      <c r="C477" s="1">
        <v>982.11493250313515</v>
      </c>
      <c r="D477" s="1">
        <v>98.211493250313509</v>
      </c>
      <c r="E477" s="1">
        <f t="shared" si="149"/>
        <v>552.11493250313515</v>
      </c>
      <c r="F477" s="1">
        <f t="shared" si="150"/>
        <v>430</v>
      </c>
      <c r="G477" s="2">
        <v>10</v>
      </c>
      <c r="H477" s="1">
        <v>55.211493250313517</v>
      </c>
      <c r="I477" s="1">
        <v>43</v>
      </c>
      <c r="J477" s="1">
        <f t="shared" si="152"/>
        <v>1847235.9889135598</v>
      </c>
      <c r="K477" s="1">
        <f t="shared" si="153"/>
        <v>932536.98891355691</v>
      </c>
      <c r="N477">
        <f t="shared" si="151"/>
        <v>0</v>
      </c>
      <c r="O477">
        <f t="shared" si="151"/>
        <v>0</v>
      </c>
      <c r="P477">
        <f t="shared" si="151"/>
        <v>0</v>
      </c>
      <c r="Q477">
        <f t="shared" si="157"/>
        <v>0</v>
      </c>
      <c r="R477">
        <f t="shared" si="157"/>
        <v>0</v>
      </c>
      <c r="S477">
        <f t="shared" si="157"/>
        <v>0</v>
      </c>
      <c r="T477">
        <f t="shared" si="157"/>
        <v>0</v>
      </c>
      <c r="U477">
        <f t="shared" si="157"/>
        <v>0</v>
      </c>
      <c r="V477">
        <f t="shared" si="157"/>
        <v>0</v>
      </c>
      <c r="W477">
        <f t="shared" si="157"/>
        <v>0</v>
      </c>
      <c r="X477">
        <f t="shared" si="157"/>
        <v>0</v>
      </c>
      <c r="Y477">
        <f t="shared" si="157"/>
        <v>0</v>
      </c>
      <c r="Z477">
        <f t="shared" si="157"/>
        <v>0</v>
      </c>
      <c r="AA477">
        <f t="shared" si="157"/>
        <v>0</v>
      </c>
      <c r="AB477">
        <f t="shared" si="157"/>
        <v>0</v>
      </c>
      <c r="AC477">
        <f t="shared" si="157"/>
        <v>0</v>
      </c>
      <c r="AD477">
        <f t="shared" si="157"/>
        <v>0</v>
      </c>
      <c r="AE477">
        <f t="shared" si="157"/>
        <v>0</v>
      </c>
      <c r="AF477">
        <f t="shared" si="157"/>
        <v>0</v>
      </c>
      <c r="AG477">
        <f t="shared" si="156"/>
        <v>0</v>
      </c>
      <c r="AH477">
        <f t="shared" si="156"/>
        <v>0</v>
      </c>
      <c r="AI477">
        <f t="shared" si="156"/>
        <v>0</v>
      </c>
      <c r="AJ477">
        <f t="shared" si="156"/>
        <v>1</v>
      </c>
      <c r="AK477">
        <f t="shared" si="156"/>
        <v>0</v>
      </c>
      <c r="AL477">
        <f t="shared" si="156"/>
        <v>0</v>
      </c>
      <c r="AM477">
        <f t="shared" si="156"/>
        <v>0</v>
      </c>
      <c r="AN477">
        <f t="shared" si="156"/>
        <v>0</v>
      </c>
      <c r="AO477">
        <f t="shared" si="156"/>
        <v>0</v>
      </c>
      <c r="AP477">
        <f t="shared" si="156"/>
        <v>0</v>
      </c>
      <c r="AQ477">
        <f t="shared" si="156"/>
        <v>0</v>
      </c>
      <c r="AR477">
        <f t="shared" si="155"/>
        <v>0</v>
      </c>
      <c r="AS477">
        <f t="shared" si="155"/>
        <v>0</v>
      </c>
      <c r="AT477">
        <f t="shared" si="154"/>
        <v>0</v>
      </c>
      <c r="AU477">
        <f t="shared" si="154"/>
        <v>0</v>
      </c>
      <c r="AV477">
        <f t="shared" si="158"/>
        <v>0</v>
      </c>
      <c r="AW477">
        <f t="shared" si="158"/>
        <v>0</v>
      </c>
      <c r="AX477">
        <f t="shared" si="158"/>
        <v>0</v>
      </c>
      <c r="AY477">
        <f t="shared" si="158"/>
        <v>0</v>
      </c>
      <c r="AZ477">
        <f t="shared" si="158"/>
        <v>0</v>
      </c>
    </row>
    <row r="478" spans="1:52" x14ac:dyDescent="0.25">
      <c r="A478" t="s">
        <v>22</v>
      </c>
      <c r="B478" s="3">
        <v>40390</v>
      </c>
      <c r="C478" s="1">
        <v>618.98949915300557</v>
      </c>
      <c r="D478" s="1">
        <v>38.686843697062848</v>
      </c>
      <c r="E478" s="1">
        <f t="shared" si="149"/>
        <v>346.98949915300557</v>
      </c>
      <c r="F478" s="1">
        <f t="shared" si="150"/>
        <v>272</v>
      </c>
      <c r="G478" s="2">
        <v>16</v>
      </c>
      <c r="H478" s="1">
        <v>21.686843697062848</v>
      </c>
      <c r="I478" s="1">
        <v>17</v>
      </c>
      <c r="J478" s="1">
        <f t="shared" si="152"/>
        <v>1847854.9784127129</v>
      </c>
      <c r="K478" s="1">
        <f t="shared" si="153"/>
        <v>932883.9784127099</v>
      </c>
      <c r="N478">
        <f t="shared" si="151"/>
        <v>0</v>
      </c>
      <c r="O478">
        <f t="shared" si="151"/>
        <v>0</v>
      </c>
      <c r="P478">
        <f t="shared" si="151"/>
        <v>0</v>
      </c>
      <c r="Q478">
        <f t="shared" si="157"/>
        <v>0</v>
      </c>
      <c r="R478">
        <f t="shared" si="157"/>
        <v>0</v>
      </c>
      <c r="S478">
        <f t="shared" si="157"/>
        <v>0</v>
      </c>
      <c r="T478">
        <f t="shared" si="157"/>
        <v>0</v>
      </c>
      <c r="U478">
        <f t="shared" si="157"/>
        <v>0</v>
      </c>
      <c r="V478">
        <f t="shared" si="157"/>
        <v>0</v>
      </c>
      <c r="W478">
        <f t="shared" si="157"/>
        <v>0</v>
      </c>
      <c r="X478">
        <f t="shared" si="157"/>
        <v>0</v>
      </c>
      <c r="Y478">
        <f t="shared" si="157"/>
        <v>0</v>
      </c>
      <c r="Z478">
        <f t="shared" si="157"/>
        <v>0</v>
      </c>
      <c r="AA478">
        <f t="shared" si="157"/>
        <v>0</v>
      </c>
      <c r="AB478">
        <f t="shared" si="157"/>
        <v>0</v>
      </c>
      <c r="AC478">
        <f t="shared" si="157"/>
        <v>0</v>
      </c>
      <c r="AD478">
        <f t="shared" si="157"/>
        <v>0</v>
      </c>
      <c r="AE478">
        <f t="shared" si="157"/>
        <v>0</v>
      </c>
      <c r="AF478">
        <f t="shared" si="157"/>
        <v>0</v>
      </c>
      <c r="AG478">
        <f t="shared" si="156"/>
        <v>0</v>
      </c>
      <c r="AH478">
        <f t="shared" si="156"/>
        <v>0</v>
      </c>
      <c r="AI478">
        <f t="shared" si="156"/>
        <v>0</v>
      </c>
      <c r="AJ478">
        <f t="shared" si="156"/>
        <v>0</v>
      </c>
      <c r="AK478">
        <f t="shared" si="156"/>
        <v>0</v>
      </c>
      <c r="AL478">
        <f t="shared" si="156"/>
        <v>0</v>
      </c>
      <c r="AM478">
        <f t="shared" si="156"/>
        <v>0</v>
      </c>
      <c r="AN478">
        <f t="shared" si="156"/>
        <v>0</v>
      </c>
      <c r="AO478">
        <f t="shared" si="156"/>
        <v>0</v>
      </c>
      <c r="AP478">
        <f t="shared" si="156"/>
        <v>0</v>
      </c>
      <c r="AQ478">
        <f t="shared" si="156"/>
        <v>0</v>
      </c>
      <c r="AR478">
        <f t="shared" si="155"/>
        <v>0</v>
      </c>
      <c r="AS478">
        <f t="shared" si="155"/>
        <v>0</v>
      </c>
      <c r="AT478">
        <f t="shared" si="154"/>
        <v>0</v>
      </c>
      <c r="AU478">
        <f t="shared" si="154"/>
        <v>0</v>
      </c>
      <c r="AV478">
        <f t="shared" si="158"/>
        <v>0</v>
      </c>
      <c r="AW478">
        <f t="shared" si="158"/>
        <v>0</v>
      </c>
      <c r="AX478">
        <f t="shared" si="158"/>
        <v>1</v>
      </c>
      <c r="AY478">
        <f t="shared" si="158"/>
        <v>0</v>
      </c>
      <c r="AZ478">
        <f t="shared" si="158"/>
        <v>0</v>
      </c>
    </row>
    <row r="479" spans="1:52" x14ac:dyDescent="0.25">
      <c r="A479" t="s">
        <v>23</v>
      </c>
      <c r="B479" s="3">
        <v>40375</v>
      </c>
      <c r="C479" s="1">
        <v>4951.9254660378883</v>
      </c>
      <c r="D479" s="1">
        <v>120.77866990336314</v>
      </c>
      <c r="E479" s="1">
        <f t="shared" si="149"/>
        <v>2368.9254660378888</v>
      </c>
      <c r="F479" s="1">
        <f t="shared" si="150"/>
        <v>2583</v>
      </c>
      <c r="G479" s="2">
        <v>41</v>
      </c>
      <c r="H479" s="1">
        <v>57.778669903363138</v>
      </c>
      <c r="I479" s="1">
        <v>63</v>
      </c>
      <c r="J479" s="1">
        <f t="shared" si="152"/>
        <v>1852806.9038787507</v>
      </c>
      <c r="K479" s="1">
        <f t="shared" si="153"/>
        <v>935252.90387874783</v>
      </c>
      <c r="N479">
        <f t="shared" si="151"/>
        <v>0</v>
      </c>
      <c r="O479">
        <f t="shared" si="151"/>
        <v>0</v>
      </c>
      <c r="P479">
        <f t="shared" si="151"/>
        <v>0</v>
      </c>
      <c r="Q479">
        <f t="shared" si="157"/>
        <v>0</v>
      </c>
      <c r="R479">
        <f t="shared" si="157"/>
        <v>0</v>
      </c>
      <c r="S479">
        <f t="shared" si="157"/>
        <v>0</v>
      </c>
      <c r="T479">
        <f t="shared" si="157"/>
        <v>0</v>
      </c>
      <c r="U479">
        <f t="shared" si="157"/>
        <v>0</v>
      </c>
      <c r="V479">
        <f t="shared" si="157"/>
        <v>0</v>
      </c>
      <c r="W479">
        <f t="shared" si="157"/>
        <v>0</v>
      </c>
      <c r="X479">
        <f t="shared" si="157"/>
        <v>0</v>
      </c>
      <c r="Y479">
        <f t="shared" si="157"/>
        <v>0</v>
      </c>
      <c r="Z479">
        <f t="shared" si="157"/>
        <v>0</v>
      </c>
      <c r="AA479">
        <f t="shared" si="157"/>
        <v>0</v>
      </c>
      <c r="AB479">
        <f t="shared" si="157"/>
        <v>0</v>
      </c>
      <c r="AC479">
        <f t="shared" si="157"/>
        <v>0</v>
      </c>
      <c r="AD479">
        <f t="shared" si="157"/>
        <v>0</v>
      </c>
      <c r="AE479">
        <f t="shared" si="157"/>
        <v>0</v>
      </c>
      <c r="AF479">
        <f t="shared" si="157"/>
        <v>0</v>
      </c>
      <c r="AG479">
        <f t="shared" si="156"/>
        <v>0</v>
      </c>
      <c r="AH479">
        <f t="shared" si="156"/>
        <v>0</v>
      </c>
      <c r="AI479">
        <f t="shared" si="156"/>
        <v>0</v>
      </c>
      <c r="AJ479">
        <f t="shared" si="156"/>
        <v>0</v>
      </c>
      <c r="AK479">
        <f t="shared" si="156"/>
        <v>0</v>
      </c>
      <c r="AL479">
        <f t="shared" si="156"/>
        <v>0</v>
      </c>
      <c r="AM479">
        <f t="shared" si="156"/>
        <v>1</v>
      </c>
      <c r="AN479">
        <f t="shared" si="156"/>
        <v>0</v>
      </c>
      <c r="AO479">
        <f t="shared" si="156"/>
        <v>0</v>
      </c>
      <c r="AP479">
        <f t="shared" si="156"/>
        <v>0</v>
      </c>
      <c r="AQ479">
        <f t="shared" si="156"/>
        <v>0</v>
      </c>
      <c r="AR479">
        <f t="shared" si="155"/>
        <v>0</v>
      </c>
      <c r="AS479">
        <f t="shared" si="155"/>
        <v>0</v>
      </c>
      <c r="AT479">
        <f t="shared" si="154"/>
        <v>0</v>
      </c>
      <c r="AU479">
        <f t="shared" si="154"/>
        <v>0</v>
      </c>
      <c r="AV479">
        <f t="shared" si="158"/>
        <v>0</v>
      </c>
      <c r="AW479">
        <f t="shared" si="158"/>
        <v>0</v>
      </c>
      <c r="AX479">
        <f t="shared" si="158"/>
        <v>0</v>
      </c>
      <c r="AY479">
        <f t="shared" si="158"/>
        <v>0</v>
      </c>
      <c r="AZ479">
        <f t="shared" si="158"/>
        <v>0</v>
      </c>
    </row>
    <row r="480" spans="1:52" x14ac:dyDescent="0.25">
      <c r="A480" t="s">
        <v>14</v>
      </c>
      <c r="B480" s="3">
        <v>40372</v>
      </c>
      <c r="C480" s="1">
        <v>6748.486470351565</v>
      </c>
      <c r="D480" s="1">
        <v>153.37469250799012</v>
      </c>
      <c r="E480" s="1">
        <f t="shared" si="149"/>
        <v>4460.4864703515659</v>
      </c>
      <c r="F480" s="1">
        <f t="shared" si="150"/>
        <v>2288</v>
      </c>
      <c r="G480" s="2">
        <v>44</v>
      </c>
      <c r="H480" s="1">
        <v>101.37469250799013</v>
      </c>
      <c r="I480" s="1">
        <v>52</v>
      </c>
      <c r="J480" s="1">
        <f t="shared" si="152"/>
        <v>1859555.3903491022</v>
      </c>
      <c r="K480" s="1">
        <f t="shared" si="153"/>
        <v>939713.39034909941</v>
      </c>
      <c r="N480">
        <f t="shared" si="151"/>
        <v>0</v>
      </c>
      <c r="O480">
        <f t="shared" si="151"/>
        <v>0</v>
      </c>
      <c r="P480">
        <f t="shared" si="151"/>
        <v>0</v>
      </c>
      <c r="Q480">
        <f t="shared" si="157"/>
        <v>0</v>
      </c>
      <c r="R480">
        <f t="shared" si="157"/>
        <v>0</v>
      </c>
      <c r="S480">
        <f t="shared" si="157"/>
        <v>0</v>
      </c>
      <c r="T480">
        <f t="shared" si="157"/>
        <v>0</v>
      </c>
      <c r="U480">
        <f t="shared" si="157"/>
        <v>0</v>
      </c>
      <c r="V480">
        <f t="shared" si="157"/>
        <v>0</v>
      </c>
      <c r="W480">
        <f t="shared" si="157"/>
        <v>0</v>
      </c>
      <c r="X480">
        <f t="shared" si="157"/>
        <v>0</v>
      </c>
      <c r="Y480">
        <f t="shared" si="157"/>
        <v>0</v>
      </c>
      <c r="Z480">
        <f t="shared" si="157"/>
        <v>0</v>
      </c>
      <c r="AA480">
        <f t="shared" si="157"/>
        <v>0</v>
      </c>
      <c r="AB480">
        <f t="shared" si="157"/>
        <v>0</v>
      </c>
      <c r="AC480">
        <f t="shared" si="157"/>
        <v>0</v>
      </c>
      <c r="AD480">
        <f t="shared" si="157"/>
        <v>0</v>
      </c>
      <c r="AE480">
        <f t="shared" si="157"/>
        <v>0</v>
      </c>
      <c r="AF480">
        <f t="shared" ref="AF480:AU495" si="159">+IF(AF$5=$A480,1,0)</f>
        <v>0</v>
      </c>
      <c r="AG480">
        <f t="shared" si="159"/>
        <v>0</v>
      </c>
      <c r="AH480">
        <f t="shared" si="159"/>
        <v>0</v>
      </c>
      <c r="AI480">
        <f t="shared" si="159"/>
        <v>0</v>
      </c>
      <c r="AJ480">
        <f t="shared" si="159"/>
        <v>0</v>
      </c>
      <c r="AK480">
        <f t="shared" si="159"/>
        <v>0</v>
      </c>
      <c r="AL480">
        <f t="shared" si="159"/>
        <v>0</v>
      </c>
      <c r="AM480">
        <f t="shared" si="159"/>
        <v>0</v>
      </c>
      <c r="AN480">
        <f t="shared" si="159"/>
        <v>0</v>
      </c>
      <c r="AO480">
        <f t="shared" si="159"/>
        <v>0</v>
      </c>
      <c r="AP480">
        <f t="shared" si="159"/>
        <v>1</v>
      </c>
      <c r="AQ480">
        <f t="shared" si="159"/>
        <v>0</v>
      </c>
      <c r="AR480">
        <f t="shared" si="159"/>
        <v>0</v>
      </c>
      <c r="AS480">
        <f t="shared" si="159"/>
        <v>0</v>
      </c>
      <c r="AT480">
        <f t="shared" si="159"/>
        <v>0</v>
      </c>
      <c r="AU480">
        <f t="shared" si="159"/>
        <v>0</v>
      </c>
      <c r="AV480">
        <f t="shared" si="158"/>
        <v>0</v>
      </c>
      <c r="AW480">
        <f t="shared" si="158"/>
        <v>0</v>
      </c>
      <c r="AX480">
        <f t="shared" si="158"/>
        <v>0</v>
      </c>
      <c r="AY480">
        <f t="shared" si="158"/>
        <v>0</v>
      </c>
      <c r="AZ480">
        <f t="shared" si="158"/>
        <v>0</v>
      </c>
    </row>
    <row r="481" spans="1:52" x14ac:dyDescent="0.25">
      <c r="A481" t="s">
        <v>39</v>
      </c>
      <c r="B481" s="3">
        <v>40363</v>
      </c>
      <c r="C481" s="1">
        <v>6468.3480676119561</v>
      </c>
      <c r="D481" s="1">
        <v>150.42669924678967</v>
      </c>
      <c r="E481" s="1">
        <f t="shared" si="149"/>
        <v>3243.3480676119561</v>
      </c>
      <c r="F481" s="1">
        <f t="shared" si="150"/>
        <v>3225</v>
      </c>
      <c r="G481" s="2">
        <v>43</v>
      </c>
      <c r="H481" s="1">
        <v>75.426699246789681</v>
      </c>
      <c r="I481" s="1">
        <v>75</v>
      </c>
      <c r="J481" s="1">
        <f t="shared" si="152"/>
        <v>1866023.7384167141</v>
      </c>
      <c r="K481" s="1">
        <f t="shared" si="153"/>
        <v>942956.73841671133</v>
      </c>
      <c r="N481">
        <f t="shared" si="151"/>
        <v>0</v>
      </c>
      <c r="O481">
        <f t="shared" si="151"/>
        <v>0</v>
      </c>
      <c r="P481">
        <f t="shared" si="151"/>
        <v>0</v>
      </c>
      <c r="Q481">
        <f t="shared" ref="Q481:AF496" si="160">+IF(Q$5=$A481,1,0)</f>
        <v>0</v>
      </c>
      <c r="R481">
        <f t="shared" si="160"/>
        <v>0</v>
      </c>
      <c r="S481">
        <f t="shared" si="160"/>
        <v>0</v>
      </c>
      <c r="T481">
        <f t="shared" si="160"/>
        <v>0</v>
      </c>
      <c r="U481">
        <f t="shared" si="160"/>
        <v>0</v>
      </c>
      <c r="V481">
        <f t="shared" si="160"/>
        <v>0</v>
      </c>
      <c r="W481">
        <f t="shared" si="160"/>
        <v>0</v>
      </c>
      <c r="X481">
        <f t="shared" si="160"/>
        <v>0</v>
      </c>
      <c r="Y481">
        <f t="shared" si="160"/>
        <v>1</v>
      </c>
      <c r="Z481">
        <f t="shared" si="160"/>
        <v>0</v>
      </c>
      <c r="AA481">
        <f t="shared" si="160"/>
        <v>0</v>
      </c>
      <c r="AB481">
        <f t="shared" si="160"/>
        <v>0</v>
      </c>
      <c r="AC481">
        <f t="shared" si="160"/>
        <v>0</v>
      </c>
      <c r="AD481">
        <f t="shared" si="160"/>
        <v>0</v>
      </c>
      <c r="AE481">
        <f t="shared" si="160"/>
        <v>0</v>
      </c>
      <c r="AF481">
        <f t="shared" si="160"/>
        <v>0</v>
      </c>
      <c r="AG481">
        <f t="shared" si="159"/>
        <v>0</v>
      </c>
      <c r="AH481">
        <f t="shared" si="159"/>
        <v>0</v>
      </c>
      <c r="AI481">
        <f t="shared" si="159"/>
        <v>0</v>
      </c>
      <c r="AJ481">
        <f t="shared" si="159"/>
        <v>0</v>
      </c>
      <c r="AK481">
        <f t="shared" si="159"/>
        <v>0</v>
      </c>
      <c r="AL481">
        <f t="shared" si="159"/>
        <v>0</v>
      </c>
      <c r="AM481">
        <f t="shared" si="159"/>
        <v>0</v>
      </c>
      <c r="AN481">
        <f t="shared" si="159"/>
        <v>0</v>
      </c>
      <c r="AO481">
        <f t="shared" si="159"/>
        <v>0</v>
      </c>
      <c r="AP481">
        <f t="shared" si="159"/>
        <v>0</v>
      </c>
      <c r="AQ481">
        <f t="shared" si="159"/>
        <v>0</v>
      </c>
      <c r="AR481">
        <f t="shared" si="159"/>
        <v>0</v>
      </c>
      <c r="AS481">
        <f t="shared" si="159"/>
        <v>0</v>
      </c>
      <c r="AT481">
        <f t="shared" si="159"/>
        <v>0</v>
      </c>
      <c r="AU481">
        <f t="shared" si="159"/>
        <v>0</v>
      </c>
      <c r="AV481">
        <f t="shared" si="158"/>
        <v>0</v>
      </c>
      <c r="AW481">
        <f t="shared" si="158"/>
        <v>0</v>
      </c>
      <c r="AX481">
        <f t="shared" si="158"/>
        <v>0</v>
      </c>
      <c r="AY481">
        <f t="shared" si="158"/>
        <v>0</v>
      </c>
      <c r="AZ481">
        <f t="shared" si="158"/>
        <v>0</v>
      </c>
    </row>
    <row r="482" spans="1:52" x14ac:dyDescent="0.25">
      <c r="A482" t="s">
        <v>35</v>
      </c>
      <c r="B482" s="3">
        <v>40359</v>
      </c>
      <c r="C482" s="1">
        <v>414.06691433863864</v>
      </c>
      <c r="D482" s="1">
        <v>103.51672858465966</v>
      </c>
      <c r="E482" s="1">
        <f t="shared" si="149"/>
        <v>230.06691433863864</v>
      </c>
      <c r="F482" s="1">
        <f t="shared" si="150"/>
        <v>184</v>
      </c>
      <c r="G482" s="2">
        <v>4</v>
      </c>
      <c r="H482" s="1">
        <v>57.51672858465966</v>
      </c>
      <c r="I482" s="1">
        <v>46</v>
      </c>
      <c r="J482" s="1">
        <f t="shared" si="152"/>
        <v>1866437.8053310527</v>
      </c>
      <c r="K482" s="1">
        <f t="shared" si="153"/>
        <v>943186.80533104995</v>
      </c>
      <c r="N482">
        <f t="shared" si="151"/>
        <v>0</v>
      </c>
      <c r="O482">
        <f t="shared" si="151"/>
        <v>0</v>
      </c>
      <c r="P482">
        <f t="shared" si="151"/>
        <v>0</v>
      </c>
      <c r="Q482">
        <f t="shared" si="160"/>
        <v>0</v>
      </c>
      <c r="R482">
        <f t="shared" si="160"/>
        <v>0</v>
      </c>
      <c r="S482">
        <f t="shared" si="160"/>
        <v>0</v>
      </c>
      <c r="T482">
        <f t="shared" si="160"/>
        <v>0</v>
      </c>
      <c r="U482">
        <f t="shared" si="160"/>
        <v>0</v>
      </c>
      <c r="V482">
        <f t="shared" si="160"/>
        <v>0</v>
      </c>
      <c r="W482">
        <f t="shared" si="160"/>
        <v>0</v>
      </c>
      <c r="X482">
        <f t="shared" si="160"/>
        <v>0</v>
      </c>
      <c r="Y482">
        <f t="shared" si="160"/>
        <v>0</v>
      </c>
      <c r="Z482">
        <f t="shared" si="160"/>
        <v>0</v>
      </c>
      <c r="AA482">
        <f t="shared" si="160"/>
        <v>0</v>
      </c>
      <c r="AB482">
        <f t="shared" si="160"/>
        <v>0</v>
      </c>
      <c r="AC482">
        <f t="shared" si="160"/>
        <v>0</v>
      </c>
      <c r="AD482">
        <f t="shared" si="160"/>
        <v>0</v>
      </c>
      <c r="AE482">
        <f t="shared" si="160"/>
        <v>0</v>
      </c>
      <c r="AF482">
        <f t="shared" si="160"/>
        <v>0</v>
      </c>
      <c r="AG482">
        <f t="shared" si="159"/>
        <v>0</v>
      </c>
      <c r="AH482">
        <f t="shared" si="159"/>
        <v>0</v>
      </c>
      <c r="AI482">
        <f t="shared" si="159"/>
        <v>0</v>
      </c>
      <c r="AJ482">
        <f t="shared" si="159"/>
        <v>0</v>
      </c>
      <c r="AK482">
        <f t="shared" si="159"/>
        <v>0</v>
      </c>
      <c r="AL482">
        <f t="shared" si="159"/>
        <v>1</v>
      </c>
      <c r="AM482">
        <f t="shared" si="159"/>
        <v>0</v>
      </c>
      <c r="AN482">
        <f t="shared" si="159"/>
        <v>0</v>
      </c>
      <c r="AO482">
        <f t="shared" si="159"/>
        <v>0</v>
      </c>
      <c r="AP482">
        <f t="shared" si="159"/>
        <v>0</v>
      </c>
      <c r="AQ482">
        <f t="shared" si="159"/>
        <v>0</v>
      </c>
      <c r="AR482">
        <f t="shared" si="159"/>
        <v>0</v>
      </c>
      <c r="AS482">
        <f t="shared" si="159"/>
        <v>0</v>
      </c>
      <c r="AT482">
        <f t="shared" si="159"/>
        <v>0</v>
      </c>
      <c r="AU482">
        <f t="shared" si="159"/>
        <v>0</v>
      </c>
      <c r="AV482">
        <f t="shared" si="158"/>
        <v>0</v>
      </c>
      <c r="AW482">
        <f t="shared" si="158"/>
        <v>0</v>
      </c>
      <c r="AX482">
        <f t="shared" si="158"/>
        <v>0</v>
      </c>
      <c r="AY482">
        <f t="shared" si="158"/>
        <v>0</v>
      </c>
      <c r="AZ482">
        <f t="shared" si="158"/>
        <v>0</v>
      </c>
    </row>
    <row r="483" spans="1:52" x14ac:dyDescent="0.25">
      <c r="A483" t="s">
        <v>14</v>
      </c>
      <c r="B483" s="3">
        <v>40356</v>
      </c>
      <c r="C483" s="1">
        <v>89.96623369755919</v>
      </c>
      <c r="D483" s="1">
        <v>89.96623369755919</v>
      </c>
      <c r="E483" s="1">
        <f t="shared" si="149"/>
        <v>47.96623369755919</v>
      </c>
      <c r="F483" s="1">
        <f t="shared" si="150"/>
        <v>42</v>
      </c>
      <c r="G483" s="2">
        <v>1</v>
      </c>
      <c r="H483" s="1">
        <v>47.96623369755919</v>
      </c>
      <c r="I483" s="1">
        <v>42</v>
      </c>
      <c r="J483" s="1">
        <f t="shared" si="152"/>
        <v>1866527.7715647502</v>
      </c>
      <c r="K483" s="1">
        <f t="shared" si="153"/>
        <v>943234.77156474756</v>
      </c>
      <c r="N483">
        <f t="shared" si="151"/>
        <v>0</v>
      </c>
      <c r="O483">
        <f t="shared" si="151"/>
        <v>0</v>
      </c>
      <c r="P483">
        <f t="shared" si="151"/>
        <v>0</v>
      </c>
      <c r="Q483">
        <f t="shared" si="160"/>
        <v>0</v>
      </c>
      <c r="R483">
        <f t="shared" si="160"/>
        <v>0</v>
      </c>
      <c r="S483">
        <f t="shared" si="160"/>
        <v>0</v>
      </c>
      <c r="T483">
        <f t="shared" si="160"/>
        <v>0</v>
      </c>
      <c r="U483">
        <f t="shared" si="160"/>
        <v>0</v>
      </c>
      <c r="V483">
        <f t="shared" si="160"/>
        <v>0</v>
      </c>
      <c r="W483">
        <f t="shared" si="160"/>
        <v>0</v>
      </c>
      <c r="X483">
        <f t="shared" si="160"/>
        <v>0</v>
      </c>
      <c r="Y483">
        <f t="shared" si="160"/>
        <v>0</v>
      </c>
      <c r="Z483">
        <f t="shared" si="160"/>
        <v>0</v>
      </c>
      <c r="AA483">
        <f t="shared" si="160"/>
        <v>0</v>
      </c>
      <c r="AB483">
        <f t="shared" si="160"/>
        <v>0</v>
      </c>
      <c r="AC483">
        <f t="shared" si="160"/>
        <v>0</v>
      </c>
      <c r="AD483">
        <f t="shared" si="160"/>
        <v>0</v>
      </c>
      <c r="AE483">
        <f t="shared" si="160"/>
        <v>0</v>
      </c>
      <c r="AF483">
        <f t="shared" si="160"/>
        <v>0</v>
      </c>
      <c r="AG483">
        <f t="shared" si="159"/>
        <v>0</v>
      </c>
      <c r="AH483">
        <f t="shared" si="159"/>
        <v>0</v>
      </c>
      <c r="AI483">
        <f t="shared" si="159"/>
        <v>0</v>
      </c>
      <c r="AJ483">
        <f t="shared" si="159"/>
        <v>0</v>
      </c>
      <c r="AK483">
        <f t="shared" si="159"/>
        <v>0</v>
      </c>
      <c r="AL483">
        <f t="shared" si="159"/>
        <v>0</v>
      </c>
      <c r="AM483">
        <f t="shared" si="159"/>
        <v>0</v>
      </c>
      <c r="AN483">
        <f t="shared" si="159"/>
        <v>0</v>
      </c>
      <c r="AO483">
        <f t="shared" si="159"/>
        <v>0</v>
      </c>
      <c r="AP483">
        <f t="shared" si="159"/>
        <v>1</v>
      </c>
      <c r="AQ483">
        <f t="shared" si="159"/>
        <v>0</v>
      </c>
      <c r="AR483">
        <f t="shared" si="159"/>
        <v>0</v>
      </c>
      <c r="AS483">
        <f t="shared" si="159"/>
        <v>0</v>
      </c>
      <c r="AT483">
        <f t="shared" si="159"/>
        <v>0</v>
      </c>
      <c r="AU483">
        <f t="shared" si="159"/>
        <v>0</v>
      </c>
      <c r="AV483">
        <f t="shared" si="158"/>
        <v>0</v>
      </c>
      <c r="AW483">
        <f t="shared" si="158"/>
        <v>0</v>
      </c>
      <c r="AX483">
        <f t="shared" si="158"/>
        <v>0</v>
      </c>
      <c r="AY483">
        <f t="shared" si="158"/>
        <v>0</v>
      </c>
      <c r="AZ483">
        <f t="shared" si="158"/>
        <v>0</v>
      </c>
    </row>
    <row r="484" spans="1:52" x14ac:dyDescent="0.25">
      <c r="A484" t="s">
        <v>27</v>
      </c>
      <c r="B484" s="3">
        <v>40354</v>
      </c>
      <c r="C484" s="1">
        <v>2903.1536950699506</v>
      </c>
      <c r="D484" s="1">
        <v>170.77374676882062</v>
      </c>
      <c r="E484" s="1">
        <f t="shared" si="149"/>
        <v>1237.1536950699508</v>
      </c>
      <c r="F484" s="1">
        <f t="shared" si="150"/>
        <v>1666</v>
      </c>
      <c r="G484" s="2">
        <v>17</v>
      </c>
      <c r="H484" s="1">
        <v>72.773746768820629</v>
      </c>
      <c r="I484" s="1">
        <v>98</v>
      </c>
      <c r="J484" s="1">
        <f t="shared" si="152"/>
        <v>1869430.9252598202</v>
      </c>
      <c r="K484" s="1">
        <f t="shared" si="153"/>
        <v>944471.92525981751</v>
      </c>
      <c r="N484">
        <f t="shared" si="151"/>
        <v>0</v>
      </c>
      <c r="O484">
        <f t="shared" si="151"/>
        <v>0</v>
      </c>
      <c r="P484">
        <f t="shared" si="151"/>
        <v>0</v>
      </c>
      <c r="Q484">
        <f t="shared" si="160"/>
        <v>0</v>
      </c>
      <c r="R484">
        <f t="shared" si="160"/>
        <v>0</v>
      </c>
      <c r="S484">
        <f t="shared" si="160"/>
        <v>0</v>
      </c>
      <c r="T484">
        <f t="shared" si="160"/>
        <v>0</v>
      </c>
      <c r="U484">
        <f t="shared" si="160"/>
        <v>0</v>
      </c>
      <c r="V484">
        <f t="shared" si="160"/>
        <v>0</v>
      </c>
      <c r="W484">
        <f t="shared" si="160"/>
        <v>0</v>
      </c>
      <c r="X484">
        <f t="shared" si="160"/>
        <v>0</v>
      </c>
      <c r="Y484">
        <f t="shared" si="160"/>
        <v>0</v>
      </c>
      <c r="Z484">
        <f t="shared" si="160"/>
        <v>0</v>
      </c>
      <c r="AA484">
        <f t="shared" si="160"/>
        <v>0</v>
      </c>
      <c r="AB484">
        <f t="shared" si="160"/>
        <v>0</v>
      </c>
      <c r="AC484">
        <f t="shared" si="160"/>
        <v>1</v>
      </c>
      <c r="AD484">
        <f t="shared" si="160"/>
        <v>0</v>
      </c>
      <c r="AE484">
        <f t="shared" si="160"/>
        <v>0</v>
      </c>
      <c r="AF484">
        <f t="shared" si="160"/>
        <v>0</v>
      </c>
      <c r="AG484">
        <f t="shared" si="159"/>
        <v>0</v>
      </c>
      <c r="AH484">
        <f t="shared" si="159"/>
        <v>0</v>
      </c>
      <c r="AI484">
        <f t="shared" si="159"/>
        <v>0</v>
      </c>
      <c r="AJ484">
        <f t="shared" si="159"/>
        <v>0</v>
      </c>
      <c r="AK484">
        <f t="shared" si="159"/>
        <v>0</v>
      </c>
      <c r="AL484">
        <f t="shared" si="159"/>
        <v>0</v>
      </c>
      <c r="AM484">
        <f t="shared" si="159"/>
        <v>0</v>
      </c>
      <c r="AN484">
        <f t="shared" si="159"/>
        <v>0</v>
      </c>
      <c r="AO484">
        <f t="shared" si="159"/>
        <v>0</v>
      </c>
      <c r="AP484">
        <f t="shared" si="159"/>
        <v>0</v>
      </c>
      <c r="AQ484">
        <f t="shared" si="159"/>
        <v>0</v>
      </c>
      <c r="AR484">
        <f t="shared" si="159"/>
        <v>0</v>
      </c>
      <c r="AS484">
        <f t="shared" si="159"/>
        <v>0</v>
      </c>
      <c r="AT484">
        <f t="shared" si="159"/>
        <v>0</v>
      </c>
      <c r="AU484">
        <f t="shared" si="159"/>
        <v>0</v>
      </c>
      <c r="AV484">
        <f t="shared" si="158"/>
        <v>0</v>
      </c>
      <c r="AW484">
        <f t="shared" si="158"/>
        <v>0</v>
      </c>
      <c r="AX484">
        <f t="shared" si="158"/>
        <v>0</v>
      </c>
      <c r="AY484">
        <f t="shared" si="158"/>
        <v>0</v>
      </c>
      <c r="AZ484">
        <f t="shared" si="158"/>
        <v>0</v>
      </c>
    </row>
    <row r="485" spans="1:52" x14ac:dyDescent="0.25">
      <c r="A485" t="s">
        <v>42</v>
      </c>
      <c r="B485" s="3">
        <v>40351</v>
      </c>
      <c r="C485" s="1">
        <v>2630.0389078944636</v>
      </c>
      <c r="D485" s="1">
        <v>93.929960996230847</v>
      </c>
      <c r="E485" s="1">
        <f t="shared" si="149"/>
        <v>1398.0389078944638</v>
      </c>
      <c r="F485" s="1">
        <f t="shared" si="150"/>
        <v>1232</v>
      </c>
      <c r="G485" s="2">
        <v>28</v>
      </c>
      <c r="H485" s="1">
        <v>49.929960996230854</v>
      </c>
      <c r="I485" s="1">
        <v>44</v>
      </c>
      <c r="J485" s="1">
        <f t="shared" si="152"/>
        <v>1872060.9641677146</v>
      </c>
      <c r="K485" s="1">
        <f t="shared" si="153"/>
        <v>945869.96416771202</v>
      </c>
      <c r="N485">
        <f t="shared" si="151"/>
        <v>0</v>
      </c>
      <c r="O485">
        <f t="shared" si="151"/>
        <v>0</v>
      </c>
      <c r="P485">
        <f t="shared" si="151"/>
        <v>0</v>
      </c>
      <c r="Q485">
        <f t="shared" si="160"/>
        <v>0</v>
      </c>
      <c r="R485">
        <f t="shared" si="160"/>
        <v>0</v>
      </c>
      <c r="S485">
        <f t="shared" si="160"/>
        <v>0</v>
      </c>
      <c r="T485">
        <f t="shared" si="160"/>
        <v>0</v>
      </c>
      <c r="U485">
        <f t="shared" si="160"/>
        <v>0</v>
      </c>
      <c r="V485">
        <f t="shared" si="160"/>
        <v>0</v>
      </c>
      <c r="W485">
        <f t="shared" si="160"/>
        <v>0</v>
      </c>
      <c r="X485">
        <f t="shared" si="160"/>
        <v>0</v>
      </c>
      <c r="Y485">
        <f t="shared" si="160"/>
        <v>0</v>
      </c>
      <c r="Z485">
        <f t="shared" si="160"/>
        <v>1</v>
      </c>
      <c r="AA485">
        <f t="shared" si="160"/>
        <v>0</v>
      </c>
      <c r="AB485">
        <f t="shared" si="160"/>
        <v>0</v>
      </c>
      <c r="AC485">
        <f t="shared" si="160"/>
        <v>0</v>
      </c>
      <c r="AD485">
        <f t="shared" si="160"/>
        <v>0</v>
      </c>
      <c r="AE485">
        <f t="shared" si="160"/>
        <v>0</v>
      </c>
      <c r="AF485">
        <f t="shared" si="160"/>
        <v>0</v>
      </c>
      <c r="AG485">
        <f t="shared" si="159"/>
        <v>0</v>
      </c>
      <c r="AH485">
        <f t="shared" si="159"/>
        <v>0</v>
      </c>
      <c r="AI485">
        <f t="shared" si="159"/>
        <v>0</v>
      </c>
      <c r="AJ485">
        <f t="shared" si="159"/>
        <v>0</v>
      </c>
      <c r="AK485">
        <f t="shared" si="159"/>
        <v>0</v>
      </c>
      <c r="AL485">
        <f t="shared" si="159"/>
        <v>0</v>
      </c>
      <c r="AM485">
        <f t="shared" si="159"/>
        <v>0</v>
      </c>
      <c r="AN485">
        <f t="shared" si="159"/>
        <v>0</v>
      </c>
      <c r="AO485">
        <f t="shared" si="159"/>
        <v>0</v>
      </c>
      <c r="AP485">
        <f t="shared" si="159"/>
        <v>0</v>
      </c>
      <c r="AQ485">
        <f t="shared" si="159"/>
        <v>0</v>
      </c>
      <c r="AR485">
        <f t="shared" si="159"/>
        <v>0</v>
      </c>
      <c r="AS485">
        <f t="shared" si="159"/>
        <v>0</v>
      </c>
      <c r="AT485">
        <f t="shared" si="159"/>
        <v>0</v>
      </c>
      <c r="AU485">
        <f t="shared" si="159"/>
        <v>0</v>
      </c>
      <c r="AV485">
        <f t="shared" si="158"/>
        <v>0</v>
      </c>
      <c r="AW485">
        <f t="shared" si="158"/>
        <v>0</v>
      </c>
      <c r="AX485">
        <f t="shared" si="158"/>
        <v>0</v>
      </c>
      <c r="AY485">
        <f t="shared" si="158"/>
        <v>0</v>
      </c>
      <c r="AZ485">
        <f t="shared" si="158"/>
        <v>0</v>
      </c>
    </row>
    <row r="486" spans="1:52" x14ac:dyDescent="0.25">
      <c r="A486" t="s">
        <v>18</v>
      </c>
      <c r="B486" s="3">
        <v>40347</v>
      </c>
      <c r="C486" s="1">
        <v>3378.3484606553116</v>
      </c>
      <c r="D486" s="1">
        <v>135.13393842621247</v>
      </c>
      <c r="E486" s="1">
        <f t="shared" si="149"/>
        <v>1378.3484606553116</v>
      </c>
      <c r="F486" s="1">
        <f t="shared" si="150"/>
        <v>2000</v>
      </c>
      <c r="G486" s="2">
        <v>25</v>
      </c>
      <c r="H486" s="1">
        <v>55.13393842621246</v>
      </c>
      <c r="I486" s="1">
        <v>80</v>
      </c>
      <c r="J486" s="1">
        <f t="shared" si="152"/>
        <v>1875439.31262837</v>
      </c>
      <c r="K486" s="1">
        <f t="shared" si="153"/>
        <v>947248.31262836733</v>
      </c>
      <c r="N486">
        <f t="shared" si="151"/>
        <v>0</v>
      </c>
      <c r="O486">
        <f t="shared" si="151"/>
        <v>0</v>
      </c>
      <c r="P486">
        <f t="shared" si="151"/>
        <v>0</v>
      </c>
      <c r="Q486">
        <f t="shared" si="160"/>
        <v>0</v>
      </c>
      <c r="R486">
        <f t="shared" si="160"/>
        <v>0</v>
      </c>
      <c r="S486">
        <f t="shared" si="160"/>
        <v>0</v>
      </c>
      <c r="T486">
        <f t="shared" si="160"/>
        <v>0</v>
      </c>
      <c r="U486">
        <f t="shared" si="160"/>
        <v>1</v>
      </c>
      <c r="V486">
        <f t="shared" si="160"/>
        <v>0</v>
      </c>
      <c r="W486">
        <f t="shared" si="160"/>
        <v>0</v>
      </c>
      <c r="X486">
        <f t="shared" si="160"/>
        <v>0</v>
      </c>
      <c r="Y486">
        <f t="shared" si="160"/>
        <v>0</v>
      </c>
      <c r="Z486">
        <f t="shared" si="160"/>
        <v>0</v>
      </c>
      <c r="AA486">
        <f t="shared" si="160"/>
        <v>0</v>
      </c>
      <c r="AB486">
        <f t="shared" si="160"/>
        <v>0</v>
      </c>
      <c r="AC486">
        <f t="shared" si="160"/>
        <v>0</v>
      </c>
      <c r="AD486">
        <f t="shared" si="160"/>
        <v>0</v>
      </c>
      <c r="AE486">
        <f t="shared" si="160"/>
        <v>0</v>
      </c>
      <c r="AF486">
        <f t="shared" si="160"/>
        <v>0</v>
      </c>
      <c r="AG486">
        <f t="shared" si="159"/>
        <v>0</v>
      </c>
      <c r="AH486">
        <f t="shared" si="159"/>
        <v>0</v>
      </c>
      <c r="AI486">
        <f t="shared" si="159"/>
        <v>0</v>
      </c>
      <c r="AJ486">
        <f t="shared" si="159"/>
        <v>0</v>
      </c>
      <c r="AK486">
        <f t="shared" si="159"/>
        <v>0</v>
      </c>
      <c r="AL486">
        <f t="shared" si="159"/>
        <v>0</v>
      </c>
      <c r="AM486">
        <f t="shared" si="159"/>
        <v>0</v>
      </c>
      <c r="AN486">
        <f t="shared" si="159"/>
        <v>0</v>
      </c>
      <c r="AO486">
        <f t="shared" si="159"/>
        <v>0</v>
      </c>
      <c r="AP486">
        <f t="shared" si="159"/>
        <v>0</v>
      </c>
      <c r="AQ486">
        <f t="shared" si="159"/>
        <v>0</v>
      </c>
      <c r="AR486">
        <f t="shared" si="159"/>
        <v>0</v>
      </c>
      <c r="AS486">
        <f t="shared" si="159"/>
        <v>0</v>
      </c>
      <c r="AT486">
        <f t="shared" si="159"/>
        <v>0</v>
      </c>
      <c r="AU486">
        <f t="shared" si="159"/>
        <v>0</v>
      </c>
      <c r="AV486">
        <f t="shared" si="158"/>
        <v>0</v>
      </c>
      <c r="AW486">
        <f t="shared" si="158"/>
        <v>0</v>
      </c>
      <c r="AX486">
        <f t="shared" si="158"/>
        <v>0</v>
      </c>
      <c r="AY486">
        <f t="shared" si="158"/>
        <v>0</v>
      </c>
      <c r="AZ486">
        <f t="shared" si="158"/>
        <v>0</v>
      </c>
    </row>
    <row r="487" spans="1:52" x14ac:dyDescent="0.25">
      <c r="A487" t="s">
        <v>11</v>
      </c>
      <c r="B487" s="3">
        <v>40347</v>
      </c>
      <c r="C487" s="1">
        <v>4183.6563792061716</v>
      </c>
      <c r="D487" s="1">
        <v>90.949051721873303</v>
      </c>
      <c r="E487" s="1">
        <f t="shared" si="149"/>
        <v>2481.6563792061716</v>
      </c>
      <c r="F487" s="1">
        <f t="shared" si="150"/>
        <v>1702</v>
      </c>
      <c r="G487" s="2">
        <v>46</v>
      </c>
      <c r="H487" s="1">
        <v>53.949051721873296</v>
      </c>
      <c r="I487" s="1">
        <v>37</v>
      </c>
      <c r="J487" s="1">
        <f t="shared" si="152"/>
        <v>1879622.9690075761</v>
      </c>
      <c r="K487" s="1">
        <f t="shared" si="153"/>
        <v>949729.96900757356</v>
      </c>
      <c r="N487">
        <f t="shared" si="151"/>
        <v>0</v>
      </c>
      <c r="O487">
        <f t="shared" si="151"/>
        <v>0</v>
      </c>
      <c r="P487">
        <f t="shared" si="151"/>
        <v>1</v>
      </c>
      <c r="Q487">
        <f t="shared" si="160"/>
        <v>0</v>
      </c>
      <c r="R487">
        <f t="shared" si="160"/>
        <v>0</v>
      </c>
      <c r="S487">
        <f t="shared" si="160"/>
        <v>0</v>
      </c>
      <c r="T487">
        <f t="shared" si="160"/>
        <v>0</v>
      </c>
      <c r="U487">
        <f t="shared" si="160"/>
        <v>0</v>
      </c>
      <c r="V487">
        <f t="shared" si="160"/>
        <v>0</v>
      </c>
      <c r="W487">
        <f t="shared" si="160"/>
        <v>0</v>
      </c>
      <c r="X487">
        <f t="shared" si="160"/>
        <v>0</v>
      </c>
      <c r="Y487">
        <f t="shared" si="160"/>
        <v>0</v>
      </c>
      <c r="Z487">
        <f t="shared" si="160"/>
        <v>0</v>
      </c>
      <c r="AA487">
        <f t="shared" si="160"/>
        <v>0</v>
      </c>
      <c r="AB487">
        <f t="shared" si="160"/>
        <v>0</v>
      </c>
      <c r="AC487">
        <f t="shared" si="160"/>
        <v>0</v>
      </c>
      <c r="AD487">
        <f t="shared" si="160"/>
        <v>0</v>
      </c>
      <c r="AE487">
        <f t="shared" si="160"/>
        <v>0</v>
      </c>
      <c r="AF487">
        <f t="shared" si="160"/>
        <v>0</v>
      </c>
      <c r="AG487">
        <f t="shared" si="159"/>
        <v>0</v>
      </c>
      <c r="AH487">
        <f t="shared" si="159"/>
        <v>0</v>
      </c>
      <c r="AI487">
        <f t="shared" si="159"/>
        <v>0</v>
      </c>
      <c r="AJ487">
        <f t="shared" si="159"/>
        <v>0</v>
      </c>
      <c r="AK487">
        <f t="shared" si="159"/>
        <v>0</v>
      </c>
      <c r="AL487">
        <f t="shared" si="159"/>
        <v>0</v>
      </c>
      <c r="AM487">
        <f t="shared" si="159"/>
        <v>0</v>
      </c>
      <c r="AN487">
        <f t="shared" si="159"/>
        <v>0</v>
      </c>
      <c r="AO487">
        <f t="shared" si="159"/>
        <v>0</v>
      </c>
      <c r="AP487">
        <f t="shared" si="159"/>
        <v>0</v>
      </c>
      <c r="AQ487">
        <f t="shared" si="159"/>
        <v>0</v>
      </c>
      <c r="AR487">
        <f t="shared" si="159"/>
        <v>0</v>
      </c>
      <c r="AS487">
        <f t="shared" si="159"/>
        <v>0</v>
      </c>
      <c r="AT487">
        <f t="shared" si="159"/>
        <v>0</v>
      </c>
      <c r="AU487">
        <f t="shared" si="159"/>
        <v>0</v>
      </c>
      <c r="AV487">
        <f t="shared" si="158"/>
        <v>0</v>
      </c>
      <c r="AW487">
        <f t="shared" si="158"/>
        <v>0</v>
      </c>
      <c r="AX487">
        <f t="shared" si="158"/>
        <v>0</v>
      </c>
      <c r="AY487">
        <f t="shared" si="158"/>
        <v>0</v>
      </c>
      <c r="AZ487">
        <f t="shared" si="158"/>
        <v>0</v>
      </c>
    </row>
    <row r="488" spans="1:52" x14ac:dyDescent="0.25">
      <c r="A488" t="s">
        <v>29</v>
      </c>
      <c r="B488" s="3">
        <v>40339</v>
      </c>
      <c r="C488" s="1">
        <v>848.0697168269046</v>
      </c>
      <c r="D488" s="1">
        <v>56.537981121793642</v>
      </c>
      <c r="E488" s="1">
        <f t="shared" si="149"/>
        <v>383.06971682690465</v>
      </c>
      <c r="F488" s="1">
        <f t="shared" si="150"/>
        <v>465</v>
      </c>
      <c r="G488" s="2">
        <v>15</v>
      </c>
      <c r="H488" s="1">
        <v>25.537981121793642</v>
      </c>
      <c r="I488" s="1">
        <v>31</v>
      </c>
      <c r="J488" s="1">
        <f t="shared" si="152"/>
        <v>1880471.0387244031</v>
      </c>
      <c r="K488" s="1">
        <f t="shared" si="153"/>
        <v>950113.03872440045</v>
      </c>
      <c r="N488">
        <f t="shared" si="151"/>
        <v>0</v>
      </c>
      <c r="O488">
        <f t="shared" si="151"/>
        <v>0</v>
      </c>
      <c r="P488">
        <f t="shared" si="151"/>
        <v>0</v>
      </c>
      <c r="Q488">
        <f t="shared" si="160"/>
        <v>0</v>
      </c>
      <c r="R488">
        <f t="shared" si="160"/>
        <v>0</v>
      </c>
      <c r="S488">
        <f t="shared" si="160"/>
        <v>0</v>
      </c>
      <c r="T488">
        <f t="shared" si="160"/>
        <v>0</v>
      </c>
      <c r="U488">
        <f t="shared" si="160"/>
        <v>0</v>
      </c>
      <c r="V488">
        <f t="shared" si="160"/>
        <v>0</v>
      </c>
      <c r="W488">
        <f t="shared" si="160"/>
        <v>0</v>
      </c>
      <c r="X488">
        <f t="shared" si="160"/>
        <v>0</v>
      </c>
      <c r="Y488">
        <f t="shared" si="160"/>
        <v>0</v>
      </c>
      <c r="Z488">
        <f t="shared" si="160"/>
        <v>0</v>
      </c>
      <c r="AA488">
        <f t="shared" si="160"/>
        <v>0</v>
      </c>
      <c r="AB488">
        <f t="shared" si="160"/>
        <v>0</v>
      </c>
      <c r="AC488">
        <f t="shared" si="160"/>
        <v>0</v>
      </c>
      <c r="AD488">
        <f t="shared" si="160"/>
        <v>0</v>
      </c>
      <c r="AE488">
        <f t="shared" si="160"/>
        <v>0</v>
      </c>
      <c r="AF488">
        <f t="shared" si="160"/>
        <v>0</v>
      </c>
      <c r="AG488">
        <f t="shared" si="159"/>
        <v>0</v>
      </c>
      <c r="AH488">
        <f t="shared" si="159"/>
        <v>0</v>
      </c>
      <c r="AI488">
        <f t="shared" si="159"/>
        <v>0</v>
      </c>
      <c r="AJ488">
        <f t="shared" si="159"/>
        <v>0</v>
      </c>
      <c r="AK488">
        <f t="shared" si="159"/>
        <v>0</v>
      </c>
      <c r="AL488">
        <f t="shared" si="159"/>
        <v>0</v>
      </c>
      <c r="AM488">
        <f t="shared" si="159"/>
        <v>0</v>
      </c>
      <c r="AN488">
        <f t="shared" si="159"/>
        <v>0</v>
      </c>
      <c r="AO488">
        <f t="shared" si="159"/>
        <v>0</v>
      </c>
      <c r="AP488">
        <f t="shared" si="159"/>
        <v>0</v>
      </c>
      <c r="AQ488">
        <f t="shared" si="159"/>
        <v>0</v>
      </c>
      <c r="AR488">
        <f t="shared" si="159"/>
        <v>0</v>
      </c>
      <c r="AS488">
        <f t="shared" si="159"/>
        <v>1</v>
      </c>
      <c r="AT488">
        <f t="shared" si="159"/>
        <v>0</v>
      </c>
      <c r="AU488">
        <f t="shared" si="159"/>
        <v>0</v>
      </c>
      <c r="AV488">
        <f t="shared" si="158"/>
        <v>0</v>
      </c>
      <c r="AW488">
        <f t="shared" si="158"/>
        <v>0</v>
      </c>
      <c r="AX488">
        <f t="shared" si="158"/>
        <v>0</v>
      </c>
      <c r="AY488">
        <f t="shared" si="158"/>
        <v>0</v>
      </c>
      <c r="AZ488">
        <f t="shared" si="158"/>
        <v>0</v>
      </c>
    </row>
    <row r="489" spans="1:52" x14ac:dyDescent="0.25">
      <c r="A489" t="s">
        <v>30</v>
      </c>
      <c r="B489" s="3">
        <v>40338</v>
      </c>
      <c r="C489" s="1">
        <v>964.86638084696472</v>
      </c>
      <c r="D489" s="1">
        <v>160.81106347449412</v>
      </c>
      <c r="E489" s="1">
        <f t="shared" si="149"/>
        <v>538.86638084696483</v>
      </c>
      <c r="F489" s="1">
        <f t="shared" si="150"/>
        <v>426</v>
      </c>
      <c r="G489" s="2">
        <v>6</v>
      </c>
      <c r="H489" s="1">
        <v>89.811063474494134</v>
      </c>
      <c r="I489" s="1">
        <v>71</v>
      </c>
      <c r="J489" s="1">
        <f t="shared" si="152"/>
        <v>1881435.9051052502</v>
      </c>
      <c r="K489" s="1">
        <f t="shared" si="153"/>
        <v>950651.9051052474</v>
      </c>
      <c r="N489">
        <f t="shared" si="151"/>
        <v>0</v>
      </c>
      <c r="O489">
        <f t="shared" si="151"/>
        <v>0</v>
      </c>
      <c r="P489">
        <f t="shared" si="151"/>
        <v>0</v>
      </c>
      <c r="Q489">
        <f t="shared" si="160"/>
        <v>0</v>
      </c>
      <c r="R489">
        <f t="shared" si="160"/>
        <v>0</v>
      </c>
      <c r="S489">
        <f t="shared" si="160"/>
        <v>0</v>
      </c>
      <c r="T489">
        <f t="shared" si="160"/>
        <v>0</v>
      </c>
      <c r="U489">
        <f t="shared" si="160"/>
        <v>0</v>
      </c>
      <c r="V489">
        <f t="shared" si="160"/>
        <v>0</v>
      </c>
      <c r="W489">
        <f t="shared" si="160"/>
        <v>0</v>
      </c>
      <c r="X489">
        <f t="shared" si="160"/>
        <v>0</v>
      </c>
      <c r="Y489">
        <f t="shared" si="160"/>
        <v>0</v>
      </c>
      <c r="Z489">
        <f t="shared" si="160"/>
        <v>0</v>
      </c>
      <c r="AA489">
        <f t="shared" si="160"/>
        <v>0</v>
      </c>
      <c r="AB489">
        <f t="shared" si="160"/>
        <v>0</v>
      </c>
      <c r="AC489">
        <f t="shared" si="160"/>
        <v>0</v>
      </c>
      <c r="AD489">
        <f t="shared" si="160"/>
        <v>0</v>
      </c>
      <c r="AE489">
        <f t="shared" si="160"/>
        <v>0</v>
      </c>
      <c r="AF489">
        <f t="shared" si="160"/>
        <v>0</v>
      </c>
      <c r="AG489">
        <f t="shared" si="159"/>
        <v>0</v>
      </c>
      <c r="AH489">
        <f t="shared" si="159"/>
        <v>0</v>
      </c>
      <c r="AI489">
        <f t="shared" si="159"/>
        <v>0</v>
      </c>
      <c r="AJ489">
        <f t="shared" si="159"/>
        <v>0</v>
      </c>
      <c r="AK489">
        <f t="shared" si="159"/>
        <v>0</v>
      </c>
      <c r="AL489">
        <f t="shared" si="159"/>
        <v>0</v>
      </c>
      <c r="AM489">
        <f t="shared" si="159"/>
        <v>0</v>
      </c>
      <c r="AN489">
        <f t="shared" si="159"/>
        <v>0</v>
      </c>
      <c r="AO489">
        <f t="shared" si="159"/>
        <v>0</v>
      </c>
      <c r="AP489">
        <f t="shared" si="159"/>
        <v>0</v>
      </c>
      <c r="AQ489">
        <f t="shared" si="159"/>
        <v>0</v>
      </c>
      <c r="AR489">
        <f t="shared" si="159"/>
        <v>0</v>
      </c>
      <c r="AS489">
        <f t="shared" si="159"/>
        <v>0</v>
      </c>
      <c r="AT489">
        <f t="shared" si="159"/>
        <v>0</v>
      </c>
      <c r="AU489">
        <f t="shared" si="159"/>
        <v>0</v>
      </c>
      <c r="AV489">
        <f t="shared" si="158"/>
        <v>1</v>
      </c>
      <c r="AW489">
        <f t="shared" si="158"/>
        <v>0</v>
      </c>
      <c r="AX489">
        <f t="shared" si="158"/>
        <v>0</v>
      </c>
      <c r="AY489">
        <f t="shared" si="158"/>
        <v>0</v>
      </c>
      <c r="AZ489">
        <f t="shared" si="158"/>
        <v>0</v>
      </c>
    </row>
    <row r="490" spans="1:52" x14ac:dyDescent="0.25">
      <c r="A490" t="s">
        <v>49</v>
      </c>
      <c r="B490" s="3">
        <v>40335</v>
      </c>
      <c r="C490" s="1">
        <v>8658.1721704878455</v>
      </c>
      <c r="D490" s="1">
        <v>117.00232662821412</v>
      </c>
      <c r="E490" s="1">
        <f t="shared" si="149"/>
        <v>4366.1721704878446</v>
      </c>
      <c r="F490" s="1">
        <f t="shared" si="150"/>
        <v>4292</v>
      </c>
      <c r="G490" s="2">
        <v>74</v>
      </c>
      <c r="H490" s="1">
        <v>59.002326628214121</v>
      </c>
      <c r="I490" s="1">
        <v>58</v>
      </c>
      <c r="J490" s="1">
        <f t="shared" si="152"/>
        <v>1890094.0772757381</v>
      </c>
      <c r="K490" s="1">
        <f t="shared" si="153"/>
        <v>955018.07727573521</v>
      </c>
      <c r="N490">
        <f t="shared" si="151"/>
        <v>0</v>
      </c>
      <c r="O490">
        <f t="shared" si="151"/>
        <v>0</v>
      </c>
      <c r="P490">
        <f t="shared" si="151"/>
        <v>0</v>
      </c>
      <c r="Q490">
        <f t="shared" si="160"/>
        <v>0</v>
      </c>
      <c r="R490">
        <f t="shared" si="160"/>
        <v>0</v>
      </c>
      <c r="S490">
        <f t="shared" si="160"/>
        <v>0</v>
      </c>
      <c r="T490">
        <f t="shared" si="160"/>
        <v>0</v>
      </c>
      <c r="U490">
        <f t="shared" si="160"/>
        <v>0</v>
      </c>
      <c r="V490">
        <f t="shared" si="160"/>
        <v>0</v>
      </c>
      <c r="W490">
        <f t="shared" si="160"/>
        <v>0</v>
      </c>
      <c r="X490">
        <f t="shared" si="160"/>
        <v>0</v>
      </c>
      <c r="Y490">
        <f t="shared" si="160"/>
        <v>0</v>
      </c>
      <c r="Z490">
        <f t="shared" si="160"/>
        <v>0</v>
      </c>
      <c r="AA490">
        <f t="shared" si="160"/>
        <v>1</v>
      </c>
      <c r="AB490">
        <f t="shared" si="160"/>
        <v>0</v>
      </c>
      <c r="AC490">
        <f t="shared" si="160"/>
        <v>0</v>
      </c>
      <c r="AD490">
        <f t="shared" si="160"/>
        <v>0</v>
      </c>
      <c r="AE490">
        <f t="shared" si="160"/>
        <v>0</v>
      </c>
      <c r="AF490">
        <f t="shared" si="160"/>
        <v>0</v>
      </c>
      <c r="AG490">
        <f t="shared" si="159"/>
        <v>0</v>
      </c>
      <c r="AH490">
        <f t="shared" si="159"/>
        <v>0</v>
      </c>
      <c r="AI490">
        <f t="shared" si="159"/>
        <v>0</v>
      </c>
      <c r="AJ490">
        <f t="shared" si="159"/>
        <v>0</v>
      </c>
      <c r="AK490">
        <f t="shared" si="159"/>
        <v>0</v>
      </c>
      <c r="AL490">
        <f t="shared" si="159"/>
        <v>0</v>
      </c>
      <c r="AM490">
        <f t="shared" si="159"/>
        <v>0</v>
      </c>
      <c r="AN490">
        <f t="shared" si="159"/>
        <v>0</v>
      </c>
      <c r="AO490">
        <f t="shared" si="159"/>
        <v>0</v>
      </c>
      <c r="AP490">
        <f t="shared" si="159"/>
        <v>0</v>
      </c>
      <c r="AQ490">
        <f t="shared" si="159"/>
        <v>0</v>
      </c>
      <c r="AR490">
        <f t="shared" si="159"/>
        <v>0</v>
      </c>
      <c r="AS490">
        <f t="shared" si="159"/>
        <v>0</v>
      </c>
      <c r="AT490">
        <f t="shared" si="159"/>
        <v>0</v>
      </c>
      <c r="AU490">
        <f t="shared" si="159"/>
        <v>0</v>
      </c>
      <c r="AV490">
        <f t="shared" si="158"/>
        <v>0</v>
      </c>
      <c r="AW490">
        <f t="shared" si="158"/>
        <v>0</v>
      </c>
      <c r="AX490">
        <f t="shared" si="158"/>
        <v>0</v>
      </c>
      <c r="AY490">
        <f t="shared" si="158"/>
        <v>0</v>
      </c>
      <c r="AZ490">
        <f t="shared" si="158"/>
        <v>0</v>
      </c>
    </row>
    <row r="491" spans="1:52" x14ac:dyDescent="0.25">
      <c r="A491" t="s">
        <v>13</v>
      </c>
      <c r="B491" s="3">
        <v>40334</v>
      </c>
      <c r="C491" s="1">
        <v>337.21854017724979</v>
      </c>
      <c r="D491" s="1">
        <v>112.40618005908325</v>
      </c>
      <c r="E491" s="1">
        <f t="shared" si="149"/>
        <v>214.21854017724976</v>
      </c>
      <c r="F491" s="1">
        <f t="shared" si="150"/>
        <v>123</v>
      </c>
      <c r="G491" s="2">
        <v>3</v>
      </c>
      <c r="H491" s="1">
        <v>71.406180059083255</v>
      </c>
      <c r="I491" s="1">
        <v>41</v>
      </c>
      <c r="J491" s="1">
        <f t="shared" si="152"/>
        <v>1890431.2958159153</v>
      </c>
      <c r="K491" s="1">
        <f t="shared" si="153"/>
        <v>955232.29581591242</v>
      </c>
      <c r="N491">
        <f t="shared" si="151"/>
        <v>0</v>
      </c>
      <c r="O491">
        <f t="shared" si="151"/>
        <v>0</v>
      </c>
      <c r="P491">
        <f t="shared" si="151"/>
        <v>0</v>
      </c>
      <c r="Q491">
        <f t="shared" si="160"/>
        <v>0</v>
      </c>
      <c r="R491">
        <f t="shared" si="160"/>
        <v>1</v>
      </c>
      <c r="S491">
        <f t="shared" si="160"/>
        <v>0</v>
      </c>
      <c r="T491">
        <f t="shared" si="160"/>
        <v>0</v>
      </c>
      <c r="U491">
        <f t="shared" si="160"/>
        <v>0</v>
      </c>
      <c r="V491">
        <f t="shared" si="160"/>
        <v>0</v>
      </c>
      <c r="W491">
        <f t="shared" si="160"/>
        <v>0</v>
      </c>
      <c r="X491">
        <f t="shared" si="160"/>
        <v>0</v>
      </c>
      <c r="Y491">
        <f t="shared" si="160"/>
        <v>0</v>
      </c>
      <c r="Z491">
        <f t="shared" si="160"/>
        <v>0</v>
      </c>
      <c r="AA491">
        <f t="shared" si="160"/>
        <v>0</v>
      </c>
      <c r="AB491">
        <f t="shared" si="160"/>
        <v>0</v>
      </c>
      <c r="AC491">
        <f t="shared" si="160"/>
        <v>0</v>
      </c>
      <c r="AD491">
        <f t="shared" si="160"/>
        <v>0</v>
      </c>
      <c r="AE491">
        <f t="shared" si="160"/>
        <v>0</v>
      </c>
      <c r="AF491">
        <f t="shared" si="160"/>
        <v>0</v>
      </c>
      <c r="AG491">
        <f t="shared" si="159"/>
        <v>0</v>
      </c>
      <c r="AH491">
        <f t="shared" si="159"/>
        <v>0</v>
      </c>
      <c r="AI491">
        <f t="shared" si="159"/>
        <v>0</v>
      </c>
      <c r="AJ491">
        <f t="shared" si="159"/>
        <v>0</v>
      </c>
      <c r="AK491">
        <f t="shared" si="159"/>
        <v>0</v>
      </c>
      <c r="AL491">
        <f t="shared" si="159"/>
        <v>0</v>
      </c>
      <c r="AM491">
        <f t="shared" si="159"/>
        <v>0</v>
      </c>
      <c r="AN491">
        <f t="shared" si="159"/>
        <v>0</v>
      </c>
      <c r="AO491">
        <f t="shared" si="159"/>
        <v>0</v>
      </c>
      <c r="AP491">
        <f t="shared" si="159"/>
        <v>0</v>
      </c>
      <c r="AQ491">
        <f t="shared" si="159"/>
        <v>0</v>
      </c>
      <c r="AR491">
        <f t="shared" si="159"/>
        <v>0</v>
      </c>
      <c r="AS491">
        <f t="shared" si="159"/>
        <v>0</v>
      </c>
      <c r="AT491">
        <f t="shared" si="159"/>
        <v>0</v>
      </c>
      <c r="AU491">
        <f t="shared" si="159"/>
        <v>0</v>
      </c>
      <c r="AV491">
        <f t="shared" si="158"/>
        <v>0</v>
      </c>
      <c r="AW491">
        <f t="shared" si="158"/>
        <v>0</v>
      </c>
      <c r="AX491">
        <f t="shared" si="158"/>
        <v>0</v>
      </c>
      <c r="AY491">
        <f t="shared" si="158"/>
        <v>0</v>
      </c>
      <c r="AZ491">
        <f t="shared" si="158"/>
        <v>0</v>
      </c>
    </row>
    <row r="492" spans="1:52" x14ac:dyDescent="0.25">
      <c r="A492" t="s">
        <v>17</v>
      </c>
      <c r="B492" s="3">
        <v>40326</v>
      </c>
      <c r="C492" s="1">
        <v>1295.925097787381</v>
      </c>
      <c r="D492" s="1">
        <v>92.566078413384361</v>
      </c>
      <c r="E492" s="1">
        <f t="shared" si="149"/>
        <v>539.92509778738099</v>
      </c>
      <c r="F492" s="1">
        <f t="shared" si="150"/>
        <v>756</v>
      </c>
      <c r="G492" s="2">
        <v>14</v>
      </c>
      <c r="H492" s="1">
        <v>38.566078413384361</v>
      </c>
      <c r="I492" s="1">
        <v>54</v>
      </c>
      <c r="J492" s="1">
        <f t="shared" si="152"/>
        <v>1891727.2209137026</v>
      </c>
      <c r="K492" s="1">
        <f t="shared" si="153"/>
        <v>955772.22091369983</v>
      </c>
      <c r="N492">
        <f t="shared" si="151"/>
        <v>0</v>
      </c>
      <c r="O492">
        <f t="shared" si="151"/>
        <v>0</v>
      </c>
      <c r="P492">
        <f t="shared" si="151"/>
        <v>0</v>
      </c>
      <c r="Q492">
        <f t="shared" si="160"/>
        <v>0</v>
      </c>
      <c r="R492">
        <f t="shared" si="160"/>
        <v>0</v>
      </c>
      <c r="S492">
        <f t="shared" si="160"/>
        <v>0</v>
      </c>
      <c r="T492">
        <f t="shared" si="160"/>
        <v>0</v>
      </c>
      <c r="U492">
        <f t="shared" si="160"/>
        <v>0</v>
      </c>
      <c r="V492">
        <f t="shared" si="160"/>
        <v>0</v>
      </c>
      <c r="W492">
        <f t="shared" si="160"/>
        <v>0</v>
      </c>
      <c r="X492">
        <f t="shared" si="160"/>
        <v>0</v>
      </c>
      <c r="Y492">
        <f t="shared" si="160"/>
        <v>0</v>
      </c>
      <c r="Z492">
        <f t="shared" si="160"/>
        <v>0</v>
      </c>
      <c r="AA492">
        <f t="shared" si="160"/>
        <v>0</v>
      </c>
      <c r="AB492">
        <f t="shared" si="160"/>
        <v>0</v>
      </c>
      <c r="AC492">
        <f t="shared" si="160"/>
        <v>0</v>
      </c>
      <c r="AD492">
        <f t="shared" si="160"/>
        <v>0</v>
      </c>
      <c r="AE492">
        <f t="shared" si="160"/>
        <v>0</v>
      </c>
      <c r="AF492">
        <f t="shared" si="160"/>
        <v>0</v>
      </c>
      <c r="AG492">
        <f t="shared" si="159"/>
        <v>1</v>
      </c>
      <c r="AH492">
        <f t="shared" si="159"/>
        <v>0</v>
      </c>
      <c r="AI492">
        <f t="shared" si="159"/>
        <v>0</v>
      </c>
      <c r="AJ492">
        <f t="shared" si="159"/>
        <v>0</v>
      </c>
      <c r="AK492">
        <f t="shared" si="159"/>
        <v>0</v>
      </c>
      <c r="AL492">
        <f t="shared" si="159"/>
        <v>0</v>
      </c>
      <c r="AM492">
        <f t="shared" si="159"/>
        <v>0</v>
      </c>
      <c r="AN492">
        <f t="shared" si="159"/>
        <v>0</v>
      </c>
      <c r="AO492">
        <f t="shared" si="159"/>
        <v>0</v>
      </c>
      <c r="AP492">
        <f t="shared" si="159"/>
        <v>0</v>
      </c>
      <c r="AQ492">
        <f t="shared" si="159"/>
        <v>0</v>
      </c>
      <c r="AR492">
        <f t="shared" si="159"/>
        <v>0</v>
      </c>
      <c r="AS492">
        <f t="shared" si="159"/>
        <v>0</v>
      </c>
      <c r="AT492">
        <f t="shared" si="159"/>
        <v>0</v>
      </c>
      <c r="AU492">
        <f t="shared" si="159"/>
        <v>0</v>
      </c>
      <c r="AV492">
        <f t="shared" si="158"/>
        <v>0</v>
      </c>
      <c r="AW492">
        <f t="shared" si="158"/>
        <v>0</v>
      </c>
      <c r="AX492">
        <f t="shared" si="158"/>
        <v>0</v>
      </c>
      <c r="AY492">
        <f t="shared" si="158"/>
        <v>0</v>
      </c>
      <c r="AZ492">
        <f t="shared" si="158"/>
        <v>0</v>
      </c>
    </row>
    <row r="493" spans="1:52" x14ac:dyDescent="0.25">
      <c r="A493" t="s">
        <v>15</v>
      </c>
      <c r="B493" s="3">
        <v>40316</v>
      </c>
      <c r="C493" s="1">
        <v>1683.8166036367622</v>
      </c>
      <c r="D493" s="1">
        <v>187.09073373741802</v>
      </c>
      <c r="E493" s="1">
        <f t="shared" si="149"/>
        <v>855.81660363676235</v>
      </c>
      <c r="F493" s="1">
        <f t="shared" si="150"/>
        <v>828</v>
      </c>
      <c r="G493" s="2">
        <v>9</v>
      </c>
      <c r="H493" s="1">
        <v>95.090733737418034</v>
      </c>
      <c r="I493" s="1">
        <v>92</v>
      </c>
      <c r="J493" s="1">
        <f t="shared" si="152"/>
        <v>1893411.0375173395</v>
      </c>
      <c r="K493" s="1">
        <f t="shared" si="153"/>
        <v>956628.03751733655</v>
      </c>
      <c r="N493">
        <f t="shared" si="151"/>
        <v>0</v>
      </c>
      <c r="O493">
        <f t="shared" si="151"/>
        <v>0</v>
      </c>
      <c r="P493">
        <f t="shared" si="151"/>
        <v>0</v>
      </c>
      <c r="Q493">
        <f t="shared" si="160"/>
        <v>0</v>
      </c>
      <c r="R493">
        <f t="shared" si="160"/>
        <v>0</v>
      </c>
      <c r="S493">
        <f t="shared" si="160"/>
        <v>0</v>
      </c>
      <c r="T493">
        <f t="shared" si="160"/>
        <v>0</v>
      </c>
      <c r="U493">
        <f t="shared" si="160"/>
        <v>0</v>
      </c>
      <c r="V493">
        <f t="shared" si="160"/>
        <v>0</v>
      </c>
      <c r="W493">
        <f t="shared" si="160"/>
        <v>0</v>
      </c>
      <c r="X493">
        <f t="shared" si="160"/>
        <v>0</v>
      </c>
      <c r="Y493">
        <f t="shared" si="160"/>
        <v>0</v>
      </c>
      <c r="Z493">
        <f t="shared" si="160"/>
        <v>0</v>
      </c>
      <c r="AA493">
        <f t="shared" si="160"/>
        <v>0</v>
      </c>
      <c r="AB493">
        <f t="shared" si="160"/>
        <v>0</v>
      </c>
      <c r="AC493">
        <f t="shared" si="160"/>
        <v>0</v>
      </c>
      <c r="AD493">
        <f t="shared" si="160"/>
        <v>0</v>
      </c>
      <c r="AE493">
        <f t="shared" si="160"/>
        <v>0</v>
      </c>
      <c r="AF493">
        <f t="shared" si="160"/>
        <v>0</v>
      </c>
      <c r="AG493">
        <f t="shared" si="159"/>
        <v>0</v>
      </c>
      <c r="AH493">
        <f t="shared" si="159"/>
        <v>0</v>
      </c>
      <c r="AI493">
        <f t="shared" si="159"/>
        <v>0</v>
      </c>
      <c r="AJ493">
        <f t="shared" si="159"/>
        <v>0</v>
      </c>
      <c r="AK493">
        <f t="shared" si="159"/>
        <v>0</v>
      </c>
      <c r="AL493">
        <f t="shared" si="159"/>
        <v>0</v>
      </c>
      <c r="AM493">
        <f t="shared" si="159"/>
        <v>0</v>
      </c>
      <c r="AN493">
        <f t="shared" si="159"/>
        <v>0</v>
      </c>
      <c r="AO493">
        <f t="shared" si="159"/>
        <v>0</v>
      </c>
      <c r="AP493">
        <f t="shared" si="159"/>
        <v>0</v>
      </c>
      <c r="AQ493">
        <f t="shared" si="159"/>
        <v>0</v>
      </c>
      <c r="AR493">
        <f t="shared" si="159"/>
        <v>1</v>
      </c>
      <c r="AS493">
        <f t="shared" si="159"/>
        <v>0</v>
      </c>
      <c r="AT493">
        <f t="shared" si="159"/>
        <v>0</v>
      </c>
      <c r="AU493">
        <f t="shared" si="159"/>
        <v>0</v>
      </c>
      <c r="AV493">
        <f t="shared" si="158"/>
        <v>0</v>
      </c>
      <c r="AW493">
        <f t="shared" si="158"/>
        <v>0</v>
      </c>
      <c r="AX493">
        <f t="shared" si="158"/>
        <v>0</v>
      </c>
      <c r="AY493">
        <f t="shared" si="158"/>
        <v>0</v>
      </c>
      <c r="AZ493">
        <f t="shared" si="158"/>
        <v>0</v>
      </c>
    </row>
    <row r="494" spans="1:52" x14ac:dyDescent="0.25">
      <c r="A494" t="s">
        <v>21</v>
      </c>
      <c r="B494" s="3">
        <v>40311</v>
      </c>
      <c r="C494" s="1">
        <v>628.09242336854265</v>
      </c>
      <c r="D494" s="1">
        <v>125.61848467370852</v>
      </c>
      <c r="E494" s="1">
        <f t="shared" si="149"/>
        <v>278.0924233685426</v>
      </c>
      <c r="F494" s="1">
        <f t="shared" si="150"/>
        <v>350</v>
      </c>
      <c r="G494" s="2">
        <v>5</v>
      </c>
      <c r="H494" s="1">
        <v>55.618484673708522</v>
      </c>
      <c r="I494" s="1">
        <v>70</v>
      </c>
      <c r="J494" s="1">
        <f t="shared" si="152"/>
        <v>1894039.1299407079</v>
      </c>
      <c r="K494" s="1">
        <f t="shared" si="153"/>
        <v>956906.12994070514</v>
      </c>
      <c r="N494">
        <f t="shared" si="151"/>
        <v>0</v>
      </c>
      <c r="O494">
        <f t="shared" si="151"/>
        <v>0</v>
      </c>
      <c r="P494">
        <f t="shared" si="151"/>
        <v>0</v>
      </c>
      <c r="Q494">
        <f t="shared" si="160"/>
        <v>0</v>
      </c>
      <c r="R494">
        <f t="shared" si="160"/>
        <v>0</v>
      </c>
      <c r="S494">
        <f t="shared" si="160"/>
        <v>0</v>
      </c>
      <c r="T494">
        <f t="shared" si="160"/>
        <v>1</v>
      </c>
      <c r="U494">
        <f t="shared" si="160"/>
        <v>0</v>
      </c>
      <c r="V494">
        <f t="shared" si="160"/>
        <v>0</v>
      </c>
      <c r="W494">
        <f t="shared" si="160"/>
        <v>0</v>
      </c>
      <c r="X494">
        <f t="shared" si="160"/>
        <v>0</v>
      </c>
      <c r="Y494">
        <f t="shared" si="160"/>
        <v>0</v>
      </c>
      <c r="Z494">
        <f t="shared" si="160"/>
        <v>0</v>
      </c>
      <c r="AA494">
        <f t="shared" si="160"/>
        <v>0</v>
      </c>
      <c r="AB494">
        <f t="shared" si="160"/>
        <v>0</v>
      </c>
      <c r="AC494">
        <f t="shared" si="160"/>
        <v>0</v>
      </c>
      <c r="AD494">
        <f t="shared" si="160"/>
        <v>0</v>
      </c>
      <c r="AE494">
        <f t="shared" si="160"/>
        <v>0</v>
      </c>
      <c r="AF494">
        <f t="shared" si="160"/>
        <v>0</v>
      </c>
      <c r="AG494">
        <f t="shared" si="159"/>
        <v>0</v>
      </c>
      <c r="AH494">
        <f t="shared" si="159"/>
        <v>0</v>
      </c>
      <c r="AI494">
        <f t="shared" si="159"/>
        <v>0</v>
      </c>
      <c r="AJ494">
        <f t="shared" si="159"/>
        <v>0</v>
      </c>
      <c r="AK494">
        <f t="shared" si="159"/>
        <v>0</v>
      </c>
      <c r="AL494">
        <f t="shared" si="159"/>
        <v>0</v>
      </c>
      <c r="AM494">
        <f t="shared" si="159"/>
        <v>0</v>
      </c>
      <c r="AN494">
        <f t="shared" si="159"/>
        <v>0</v>
      </c>
      <c r="AO494">
        <f t="shared" si="159"/>
        <v>0</v>
      </c>
      <c r="AP494">
        <f t="shared" si="159"/>
        <v>0</v>
      </c>
      <c r="AQ494">
        <f t="shared" si="159"/>
        <v>0</v>
      </c>
      <c r="AR494">
        <f t="shared" si="159"/>
        <v>0</v>
      </c>
      <c r="AS494">
        <f t="shared" si="159"/>
        <v>0</v>
      </c>
      <c r="AT494">
        <f t="shared" si="159"/>
        <v>0</v>
      </c>
      <c r="AU494">
        <f t="shared" si="159"/>
        <v>0</v>
      </c>
      <c r="AV494">
        <f t="shared" si="158"/>
        <v>0</v>
      </c>
      <c r="AW494">
        <f t="shared" si="158"/>
        <v>0</v>
      </c>
      <c r="AX494">
        <f t="shared" si="158"/>
        <v>0</v>
      </c>
      <c r="AY494">
        <f t="shared" si="158"/>
        <v>0</v>
      </c>
      <c r="AZ494">
        <f t="shared" si="158"/>
        <v>0</v>
      </c>
    </row>
    <row r="495" spans="1:52" x14ac:dyDescent="0.25">
      <c r="A495" t="s">
        <v>25</v>
      </c>
      <c r="B495" s="3">
        <v>40295</v>
      </c>
      <c r="C495" s="1">
        <v>1585.3966300054008</v>
      </c>
      <c r="D495" s="1">
        <v>75.495077619304794</v>
      </c>
      <c r="E495" s="1">
        <f t="shared" si="149"/>
        <v>808.39663000540065</v>
      </c>
      <c r="F495" s="1">
        <f t="shared" si="150"/>
        <v>777</v>
      </c>
      <c r="G495" s="2">
        <v>21</v>
      </c>
      <c r="H495" s="1">
        <v>38.495077619304794</v>
      </c>
      <c r="I495" s="1">
        <v>37</v>
      </c>
      <c r="J495" s="1">
        <f t="shared" si="152"/>
        <v>1895624.5265707134</v>
      </c>
      <c r="K495" s="1">
        <f t="shared" si="153"/>
        <v>957714.52657071059</v>
      </c>
      <c r="N495">
        <f t="shared" si="151"/>
        <v>0</v>
      </c>
      <c r="O495">
        <f t="shared" si="151"/>
        <v>0</v>
      </c>
      <c r="P495">
        <f t="shared" si="151"/>
        <v>0</v>
      </c>
      <c r="Q495">
        <f t="shared" si="160"/>
        <v>0</v>
      </c>
      <c r="R495">
        <f t="shared" si="160"/>
        <v>0</v>
      </c>
      <c r="S495">
        <f t="shared" si="160"/>
        <v>1</v>
      </c>
      <c r="T495">
        <f t="shared" si="160"/>
        <v>0</v>
      </c>
      <c r="U495">
        <f t="shared" si="160"/>
        <v>0</v>
      </c>
      <c r="V495">
        <f t="shared" si="160"/>
        <v>0</v>
      </c>
      <c r="W495">
        <f t="shared" si="160"/>
        <v>0</v>
      </c>
      <c r="X495">
        <f t="shared" si="160"/>
        <v>0</v>
      </c>
      <c r="Y495">
        <f t="shared" si="160"/>
        <v>0</v>
      </c>
      <c r="Z495">
        <f t="shared" si="160"/>
        <v>0</v>
      </c>
      <c r="AA495">
        <f t="shared" si="160"/>
        <v>0</v>
      </c>
      <c r="AB495">
        <f t="shared" si="160"/>
        <v>0</v>
      </c>
      <c r="AC495">
        <f t="shared" si="160"/>
        <v>0</v>
      </c>
      <c r="AD495">
        <f t="shared" si="160"/>
        <v>0</v>
      </c>
      <c r="AE495">
        <f t="shared" si="160"/>
        <v>0</v>
      </c>
      <c r="AF495">
        <f t="shared" si="160"/>
        <v>0</v>
      </c>
      <c r="AG495">
        <f t="shared" si="159"/>
        <v>0</v>
      </c>
      <c r="AH495">
        <f t="shared" si="159"/>
        <v>0</v>
      </c>
      <c r="AI495">
        <f t="shared" si="159"/>
        <v>0</v>
      </c>
      <c r="AJ495">
        <f t="shared" si="159"/>
        <v>0</v>
      </c>
      <c r="AK495">
        <f t="shared" si="159"/>
        <v>0</v>
      </c>
      <c r="AL495">
        <f t="shared" si="159"/>
        <v>0</v>
      </c>
      <c r="AM495">
        <f t="shared" si="159"/>
        <v>0</v>
      </c>
      <c r="AN495">
        <f t="shared" si="159"/>
        <v>0</v>
      </c>
      <c r="AO495">
        <f t="shared" si="159"/>
        <v>0</v>
      </c>
      <c r="AP495">
        <f t="shared" si="159"/>
        <v>0</v>
      </c>
      <c r="AQ495">
        <f t="shared" si="159"/>
        <v>0</v>
      </c>
      <c r="AR495">
        <f t="shared" si="159"/>
        <v>0</v>
      </c>
      <c r="AS495">
        <f t="shared" si="159"/>
        <v>0</v>
      </c>
      <c r="AT495">
        <f t="shared" si="159"/>
        <v>0</v>
      </c>
      <c r="AU495">
        <f t="shared" si="159"/>
        <v>0</v>
      </c>
      <c r="AV495">
        <f t="shared" si="158"/>
        <v>0</v>
      </c>
      <c r="AW495">
        <f t="shared" si="158"/>
        <v>0</v>
      </c>
      <c r="AX495">
        <f t="shared" si="158"/>
        <v>0</v>
      </c>
      <c r="AY495">
        <f t="shared" si="158"/>
        <v>0</v>
      </c>
      <c r="AZ495">
        <f t="shared" si="158"/>
        <v>0</v>
      </c>
    </row>
    <row r="496" spans="1:52" x14ac:dyDescent="0.25">
      <c r="A496" t="s">
        <v>46</v>
      </c>
      <c r="B496" s="3">
        <v>40257</v>
      </c>
      <c r="C496" s="1">
        <v>5047.5108712241881</v>
      </c>
      <c r="D496" s="1">
        <v>180.26824540086386</v>
      </c>
      <c r="E496" s="1">
        <f t="shared" si="149"/>
        <v>3143.5108712241881</v>
      </c>
      <c r="F496" s="1">
        <f t="shared" si="150"/>
        <v>1904</v>
      </c>
      <c r="G496" s="2">
        <v>28</v>
      </c>
      <c r="H496" s="1">
        <v>112.26824540086386</v>
      </c>
      <c r="I496" s="1">
        <v>68</v>
      </c>
      <c r="J496" s="1">
        <f t="shared" si="152"/>
        <v>1900672.0374419375</v>
      </c>
      <c r="K496" s="1">
        <f t="shared" si="153"/>
        <v>960858.03744193481</v>
      </c>
      <c r="N496">
        <f t="shared" si="151"/>
        <v>0</v>
      </c>
      <c r="O496">
        <f t="shared" si="151"/>
        <v>1</v>
      </c>
      <c r="P496">
        <f t="shared" si="151"/>
        <v>0</v>
      </c>
      <c r="Q496">
        <f t="shared" si="160"/>
        <v>0</v>
      </c>
      <c r="R496">
        <f t="shared" si="160"/>
        <v>0</v>
      </c>
      <c r="S496">
        <f t="shared" si="160"/>
        <v>0</v>
      </c>
      <c r="T496">
        <f t="shared" si="160"/>
        <v>0</v>
      </c>
      <c r="U496">
        <f t="shared" si="160"/>
        <v>0</v>
      </c>
      <c r="V496">
        <f t="shared" si="160"/>
        <v>0</v>
      </c>
      <c r="W496">
        <f t="shared" si="160"/>
        <v>0</v>
      </c>
      <c r="X496">
        <f t="shared" si="160"/>
        <v>0</v>
      </c>
      <c r="Y496">
        <f t="shared" si="160"/>
        <v>0</v>
      </c>
      <c r="Z496">
        <f t="shared" si="160"/>
        <v>0</v>
      </c>
      <c r="AA496">
        <f t="shared" si="160"/>
        <v>0</v>
      </c>
      <c r="AB496">
        <f t="shared" si="160"/>
        <v>0</v>
      </c>
      <c r="AC496">
        <f t="shared" si="160"/>
        <v>0</v>
      </c>
      <c r="AD496">
        <f t="shared" si="160"/>
        <v>0</v>
      </c>
      <c r="AE496">
        <f t="shared" si="160"/>
        <v>0</v>
      </c>
      <c r="AF496">
        <f t="shared" ref="AF496:AU505" si="161">+IF(AF$5=$A496,1,0)</f>
        <v>0</v>
      </c>
      <c r="AG496">
        <f t="shared" si="161"/>
        <v>0</v>
      </c>
      <c r="AH496">
        <f t="shared" si="161"/>
        <v>0</v>
      </c>
      <c r="AI496">
        <f t="shared" si="161"/>
        <v>0</v>
      </c>
      <c r="AJ496">
        <f t="shared" si="161"/>
        <v>0</v>
      </c>
      <c r="AK496">
        <f t="shared" si="161"/>
        <v>0</v>
      </c>
      <c r="AL496">
        <f t="shared" si="161"/>
        <v>0</v>
      </c>
      <c r="AM496">
        <f t="shared" si="161"/>
        <v>0</v>
      </c>
      <c r="AN496">
        <f t="shared" si="161"/>
        <v>0</v>
      </c>
      <c r="AO496">
        <f t="shared" si="161"/>
        <v>0</v>
      </c>
      <c r="AP496">
        <f t="shared" si="161"/>
        <v>0</v>
      </c>
      <c r="AQ496">
        <f t="shared" si="161"/>
        <v>0</v>
      </c>
      <c r="AR496">
        <f t="shared" si="161"/>
        <v>0</v>
      </c>
      <c r="AS496">
        <f t="shared" si="161"/>
        <v>0</v>
      </c>
      <c r="AT496">
        <f t="shared" si="161"/>
        <v>0</v>
      </c>
      <c r="AU496">
        <f t="shared" si="161"/>
        <v>0</v>
      </c>
      <c r="AV496">
        <f t="shared" si="158"/>
        <v>0</v>
      </c>
      <c r="AW496">
        <f t="shared" si="158"/>
        <v>0</v>
      </c>
      <c r="AX496">
        <f t="shared" si="158"/>
        <v>0</v>
      </c>
      <c r="AY496">
        <f t="shared" si="158"/>
        <v>0</v>
      </c>
      <c r="AZ496">
        <f t="shared" si="158"/>
        <v>0</v>
      </c>
    </row>
    <row r="497" spans="1:52" x14ac:dyDescent="0.25">
      <c r="A497" t="s">
        <v>48</v>
      </c>
      <c r="B497" s="3">
        <v>40249</v>
      </c>
      <c r="C497" s="1">
        <v>799.92518184745131</v>
      </c>
      <c r="D497" s="1">
        <v>133.32086364124189</v>
      </c>
      <c r="E497" s="1">
        <f t="shared" si="149"/>
        <v>439.92518184745143</v>
      </c>
      <c r="F497" s="1">
        <f t="shared" si="150"/>
        <v>360</v>
      </c>
      <c r="G497" s="2">
        <v>6</v>
      </c>
      <c r="H497" s="1">
        <v>73.3208636412419</v>
      </c>
      <c r="I497" s="1">
        <v>60</v>
      </c>
      <c r="J497" s="1">
        <f t="shared" si="152"/>
        <v>1901471.962623785</v>
      </c>
      <c r="K497" s="1">
        <f t="shared" si="153"/>
        <v>961297.96262378222</v>
      </c>
      <c r="N497">
        <f t="shared" si="151"/>
        <v>0</v>
      </c>
      <c r="O497">
        <f t="shared" si="151"/>
        <v>0</v>
      </c>
      <c r="P497">
        <f t="shared" si="151"/>
        <v>0</v>
      </c>
      <c r="Q497">
        <f t="shared" ref="Q497:AF505" si="162">+IF(Q$5=$A497,1,0)</f>
        <v>0</v>
      </c>
      <c r="R497">
        <f t="shared" si="162"/>
        <v>0</v>
      </c>
      <c r="S497">
        <f t="shared" si="162"/>
        <v>0</v>
      </c>
      <c r="T497">
        <f t="shared" si="162"/>
        <v>0</v>
      </c>
      <c r="U497">
        <f t="shared" si="162"/>
        <v>0</v>
      </c>
      <c r="V497">
        <f t="shared" si="162"/>
        <v>0</v>
      </c>
      <c r="W497">
        <f t="shared" si="162"/>
        <v>0</v>
      </c>
      <c r="X497">
        <f t="shared" si="162"/>
        <v>0</v>
      </c>
      <c r="Y497">
        <f t="shared" si="162"/>
        <v>0</v>
      </c>
      <c r="Z497">
        <f t="shared" si="162"/>
        <v>0</v>
      </c>
      <c r="AA497">
        <f t="shared" si="162"/>
        <v>0</v>
      </c>
      <c r="AB497">
        <f t="shared" si="162"/>
        <v>0</v>
      </c>
      <c r="AC497">
        <f t="shared" si="162"/>
        <v>0</v>
      </c>
      <c r="AD497">
        <f t="shared" si="162"/>
        <v>0</v>
      </c>
      <c r="AE497">
        <f t="shared" si="162"/>
        <v>0</v>
      </c>
      <c r="AF497">
        <f t="shared" si="162"/>
        <v>0</v>
      </c>
      <c r="AG497">
        <f t="shared" si="161"/>
        <v>0</v>
      </c>
      <c r="AH497">
        <f t="shared" si="161"/>
        <v>0</v>
      </c>
      <c r="AI497">
        <f t="shared" si="161"/>
        <v>1</v>
      </c>
      <c r="AJ497">
        <f t="shared" si="161"/>
        <v>0</v>
      </c>
      <c r="AK497">
        <f t="shared" si="161"/>
        <v>0</v>
      </c>
      <c r="AL497">
        <f t="shared" si="161"/>
        <v>0</v>
      </c>
      <c r="AM497">
        <f t="shared" si="161"/>
        <v>0</v>
      </c>
      <c r="AN497">
        <f t="shared" si="161"/>
        <v>0</v>
      </c>
      <c r="AO497">
        <f t="shared" si="161"/>
        <v>0</v>
      </c>
      <c r="AP497">
        <f t="shared" si="161"/>
        <v>0</v>
      </c>
      <c r="AQ497">
        <f t="shared" si="161"/>
        <v>0</v>
      </c>
      <c r="AR497">
        <f t="shared" si="161"/>
        <v>0</v>
      </c>
      <c r="AS497">
        <f t="shared" si="161"/>
        <v>0</v>
      </c>
      <c r="AT497">
        <f t="shared" si="161"/>
        <v>0</v>
      </c>
      <c r="AU497">
        <f t="shared" si="161"/>
        <v>0</v>
      </c>
      <c r="AV497">
        <f t="shared" si="158"/>
        <v>0</v>
      </c>
      <c r="AW497">
        <f t="shared" si="158"/>
        <v>0</v>
      </c>
      <c r="AX497">
        <f t="shared" si="158"/>
        <v>0</v>
      </c>
      <c r="AY497">
        <f t="shared" si="158"/>
        <v>0</v>
      </c>
      <c r="AZ497">
        <f t="shared" si="158"/>
        <v>0</v>
      </c>
    </row>
    <row r="498" spans="1:52" x14ac:dyDescent="0.25">
      <c r="A498" t="s">
        <v>12</v>
      </c>
      <c r="B498" s="3">
        <v>40228</v>
      </c>
      <c r="C498" s="1">
        <v>19040.104774431122</v>
      </c>
      <c r="D498" s="1">
        <v>112.66334186053919</v>
      </c>
      <c r="E498" s="1">
        <f t="shared" si="149"/>
        <v>7717.1047744311245</v>
      </c>
      <c r="F498" s="1">
        <f t="shared" si="150"/>
        <v>11323</v>
      </c>
      <c r="G498" s="2">
        <v>169</v>
      </c>
      <c r="H498" s="1">
        <v>45.663341860539198</v>
      </c>
      <c r="I498" s="1">
        <v>67</v>
      </c>
      <c r="J498" s="1">
        <f t="shared" si="152"/>
        <v>1920512.0673982161</v>
      </c>
      <c r="K498" s="1">
        <f t="shared" si="153"/>
        <v>969015.06739821332</v>
      </c>
      <c r="N498">
        <f t="shared" si="151"/>
        <v>0</v>
      </c>
      <c r="O498">
        <f t="shared" si="151"/>
        <v>0</v>
      </c>
      <c r="P498">
        <f t="shared" si="151"/>
        <v>0</v>
      </c>
      <c r="Q498">
        <f t="shared" si="162"/>
        <v>0</v>
      </c>
      <c r="R498">
        <f t="shared" si="162"/>
        <v>0</v>
      </c>
      <c r="S498">
        <f t="shared" si="162"/>
        <v>0</v>
      </c>
      <c r="T498">
        <f t="shared" si="162"/>
        <v>0</v>
      </c>
      <c r="U498">
        <f t="shared" si="162"/>
        <v>0</v>
      </c>
      <c r="V498">
        <f t="shared" si="162"/>
        <v>0</v>
      </c>
      <c r="W498">
        <f t="shared" si="162"/>
        <v>0</v>
      </c>
      <c r="X498">
        <f t="shared" si="162"/>
        <v>0</v>
      </c>
      <c r="Y498">
        <f t="shared" si="162"/>
        <v>0</v>
      </c>
      <c r="Z498">
        <f t="shared" si="162"/>
        <v>0</v>
      </c>
      <c r="AA498">
        <f t="shared" si="162"/>
        <v>0</v>
      </c>
      <c r="AB498">
        <f t="shared" si="162"/>
        <v>0</v>
      </c>
      <c r="AC498">
        <f t="shared" si="162"/>
        <v>0</v>
      </c>
      <c r="AD498">
        <f t="shared" si="162"/>
        <v>0</v>
      </c>
      <c r="AE498">
        <f t="shared" si="162"/>
        <v>0</v>
      </c>
      <c r="AF498">
        <f t="shared" si="162"/>
        <v>0</v>
      </c>
      <c r="AG498">
        <f t="shared" si="161"/>
        <v>0</v>
      </c>
      <c r="AH498">
        <f t="shared" si="161"/>
        <v>0</v>
      </c>
      <c r="AI498">
        <f t="shared" si="161"/>
        <v>0</v>
      </c>
      <c r="AJ498">
        <f t="shared" si="161"/>
        <v>0</v>
      </c>
      <c r="AK498">
        <f t="shared" si="161"/>
        <v>1</v>
      </c>
      <c r="AL498">
        <f t="shared" si="161"/>
        <v>0</v>
      </c>
      <c r="AM498">
        <f t="shared" si="161"/>
        <v>0</v>
      </c>
      <c r="AN498">
        <f t="shared" si="161"/>
        <v>0</v>
      </c>
      <c r="AO498">
        <f t="shared" si="161"/>
        <v>0</v>
      </c>
      <c r="AP498">
        <f t="shared" si="161"/>
        <v>0</v>
      </c>
      <c r="AQ498">
        <f t="shared" si="161"/>
        <v>0</v>
      </c>
      <c r="AR498">
        <f t="shared" si="161"/>
        <v>0</v>
      </c>
      <c r="AS498">
        <f t="shared" si="161"/>
        <v>0</v>
      </c>
      <c r="AT498">
        <f t="shared" si="161"/>
        <v>0</v>
      </c>
      <c r="AU498">
        <f t="shared" si="161"/>
        <v>0</v>
      </c>
      <c r="AV498">
        <f t="shared" si="158"/>
        <v>0</v>
      </c>
      <c r="AW498">
        <f t="shared" si="158"/>
        <v>0</v>
      </c>
      <c r="AX498">
        <f t="shared" si="158"/>
        <v>0</v>
      </c>
      <c r="AY498">
        <f t="shared" si="158"/>
        <v>0</v>
      </c>
      <c r="AZ498">
        <f t="shared" si="158"/>
        <v>0</v>
      </c>
    </row>
    <row r="499" spans="1:52" x14ac:dyDescent="0.25">
      <c r="A499" t="s">
        <v>17</v>
      </c>
      <c r="B499" s="3">
        <v>40225</v>
      </c>
      <c r="C499" s="1">
        <v>3325.3489993857329</v>
      </c>
      <c r="D499" s="1">
        <v>97.804382334874504</v>
      </c>
      <c r="E499" s="1">
        <f t="shared" si="149"/>
        <v>2067.3489993857329</v>
      </c>
      <c r="F499" s="1">
        <f t="shared" si="150"/>
        <v>1258</v>
      </c>
      <c r="G499" s="2">
        <v>34</v>
      </c>
      <c r="H499" s="1">
        <v>60.804382334874497</v>
      </c>
      <c r="I499" s="1">
        <v>37</v>
      </c>
      <c r="J499" s="1">
        <f t="shared" si="152"/>
        <v>1923837.4163976018</v>
      </c>
      <c r="K499" s="1">
        <f t="shared" si="153"/>
        <v>971082.41639759904</v>
      </c>
      <c r="N499">
        <f t="shared" si="151"/>
        <v>0</v>
      </c>
      <c r="O499">
        <f t="shared" si="151"/>
        <v>0</v>
      </c>
      <c r="P499">
        <f t="shared" si="151"/>
        <v>0</v>
      </c>
      <c r="Q499">
        <f t="shared" si="162"/>
        <v>0</v>
      </c>
      <c r="R499">
        <f t="shared" si="162"/>
        <v>0</v>
      </c>
      <c r="S499">
        <f t="shared" si="162"/>
        <v>0</v>
      </c>
      <c r="T499">
        <f t="shared" si="162"/>
        <v>0</v>
      </c>
      <c r="U499">
        <f t="shared" si="162"/>
        <v>0</v>
      </c>
      <c r="V499">
        <f t="shared" si="162"/>
        <v>0</v>
      </c>
      <c r="W499">
        <f t="shared" si="162"/>
        <v>0</v>
      </c>
      <c r="X499">
        <f t="shared" si="162"/>
        <v>0</v>
      </c>
      <c r="Y499">
        <f t="shared" si="162"/>
        <v>0</v>
      </c>
      <c r="Z499">
        <f t="shared" si="162"/>
        <v>0</v>
      </c>
      <c r="AA499">
        <f t="shared" si="162"/>
        <v>0</v>
      </c>
      <c r="AB499">
        <f t="shared" si="162"/>
        <v>0</v>
      </c>
      <c r="AC499">
        <f t="shared" si="162"/>
        <v>0</v>
      </c>
      <c r="AD499">
        <f t="shared" si="162"/>
        <v>0</v>
      </c>
      <c r="AE499">
        <f t="shared" si="162"/>
        <v>0</v>
      </c>
      <c r="AF499">
        <f t="shared" si="162"/>
        <v>0</v>
      </c>
      <c r="AG499">
        <f t="shared" si="161"/>
        <v>1</v>
      </c>
      <c r="AH499">
        <f t="shared" si="161"/>
        <v>0</v>
      </c>
      <c r="AI499">
        <f t="shared" si="161"/>
        <v>0</v>
      </c>
      <c r="AJ499">
        <f t="shared" si="161"/>
        <v>0</v>
      </c>
      <c r="AK499">
        <f t="shared" si="161"/>
        <v>0</v>
      </c>
      <c r="AL499">
        <f t="shared" si="161"/>
        <v>0</v>
      </c>
      <c r="AM499">
        <f t="shared" si="161"/>
        <v>0</v>
      </c>
      <c r="AN499">
        <f t="shared" si="161"/>
        <v>0</v>
      </c>
      <c r="AO499">
        <f t="shared" si="161"/>
        <v>0</v>
      </c>
      <c r="AP499">
        <f t="shared" si="161"/>
        <v>0</v>
      </c>
      <c r="AQ499">
        <f t="shared" si="161"/>
        <v>0</v>
      </c>
      <c r="AR499">
        <f t="shared" si="161"/>
        <v>0</v>
      </c>
      <c r="AS499">
        <f t="shared" si="161"/>
        <v>0</v>
      </c>
      <c r="AT499">
        <f t="shared" si="161"/>
        <v>0</v>
      </c>
      <c r="AU499">
        <f t="shared" si="161"/>
        <v>0</v>
      </c>
      <c r="AV499">
        <f t="shared" si="158"/>
        <v>0</v>
      </c>
      <c r="AW499">
        <f t="shared" si="158"/>
        <v>0</v>
      </c>
      <c r="AX499">
        <f t="shared" si="158"/>
        <v>0</v>
      </c>
      <c r="AY499">
        <f t="shared" si="158"/>
        <v>0</v>
      </c>
      <c r="AZ499">
        <f t="shared" si="158"/>
        <v>0</v>
      </c>
    </row>
    <row r="500" spans="1:52" x14ac:dyDescent="0.25">
      <c r="A500" t="s">
        <v>47</v>
      </c>
      <c r="B500" s="3">
        <v>40221</v>
      </c>
      <c r="C500" s="1">
        <v>535.68804192708023</v>
      </c>
      <c r="D500" s="1">
        <v>59.520893547453355</v>
      </c>
      <c r="E500" s="1">
        <f t="shared" si="149"/>
        <v>283.68804192708018</v>
      </c>
      <c r="F500" s="1">
        <f t="shared" si="150"/>
        <v>252</v>
      </c>
      <c r="G500" s="2">
        <v>9</v>
      </c>
      <c r="H500" s="1">
        <v>31.520893547453355</v>
      </c>
      <c r="I500" s="1">
        <v>28</v>
      </c>
      <c r="J500" s="1">
        <f t="shared" si="152"/>
        <v>1924373.1044395289</v>
      </c>
      <c r="K500" s="1">
        <f t="shared" si="153"/>
        <v>971366.1044395261</v>
      </c>
      <c r="N500">
        <f t="shared" si="151"/>
        <v>0</v>
      </c>
      <c r="O500">
        <f t="shared" si="151"/>
        <v>0</v>
      </c>
      <c r="P500">
        <f t="shared" si="151"/>
        <v>0</v>
      </c>
      <c r="Q500">
        <f t="shared" si="162"/>
        <v>0</v>
      </c>
      <c r="R500">
        <f t="shared" si="162"/>
        <v>0</v>
      </c>
      <c r="S500">
        <f t="shared" si="162"/>
        <v>0</v>
      </c>
      <c r="T500">
        <f t="shared" si="162"/>
        <v>0</v>
      </c>
      <c r="U500">
        <f t="shared" si="162"/>
        <v>0</v>
      </c>
      <c r="V500">
        <f t="shared" si="162"/>
        <v>0</v>
      </c>
      <c r="W500">
        <f t="shared" si="162"/>
        <v>0</v>
      </c>
      <c r="X500">
        <f t="shared" si="162"/>
        <v>0</v>
      </c>
      <c r="Y500">
        <f t="shared" si="162"/>
        <v>0</v>
      </c>
      <c r="Z500">
        <f t="shared" si="162"/>
        <v>0</v>
      </c>
      <c r="AA500">
        <f t="shared" si="162"/>
        <v>0</v>
      </c>
      <c r="AB500">
        <f t="shared" si="162"/>
        <v>0</v>
      </c>
      <c r="AC500">
        <f t="shared" si="162"/>
        <v>0</v>
      </c>
      <c r="AD500">
        <f t="shared" si="162"/>
        <v>0</v>
      </c>
      <c r="AE500">
        <f t="shared" si="162"/>
        <v>0</v>
      </c>
      <c r="AF500">
        <f t="shared" si="162"/>
        <v>0</v>
      </c>
      <c r="AG500">
        <f t="shared" si="161"/>
        <v>0</v>
      </c>
      <c r="AH500">
        <f t="shared" si="161"/>
        <v>0</v>
      </c>
      <c r="AI500">
        <f t="shared" si="161"/>
        <v>0</v>
      </c>
      <c r="AJ500">
        <f t="shared" si="161"/>
        <v>0</v>
      </c>
      <c r="AK500">
        <f t="shared" si="161"/>
        <v>0</v>
      </c>
      <c r="AL500">
        <f t="shared" si="161"/>
        <v>0</v>
      </c>
      <c r="AM500">
        <f t="shared" si="161"/>
        <v>0</v>
      </c>
      <c r="AN500">
        <f t="shared" si="161"/>
        <v>0</v>
      </c>
      <c r="AO500">
        <f t="shared" si="161"/>
        <v>0</v>
      </c>
      <c r="AP500">
        <f t="shared" si="161"/>
        <v>0</v>
      </c>
      <c r="AQ500">
        <f t="shared" si="161"/>
        <v>0</v>
      </c>
      <c r="AR500">
        <f t="shared" si="161"/>
        <v>0</v>
      </c>
      <c r="AS500">
        <f t="shared" si="161"/>
        <v>0</v>
      </c>
      <c r="AT500">
        <f t="shared" si="161"/>
        <v>0</v>
      </c>
      <c r="AU500">
        <f t="shared" si="161"/>
        <v>0</v>
      </c>
      <c r="AV500">
        <f t="shared" si="158"/>
        <v>0</v>
      </c>
      <c r="AW500">
        <f t="shared" si="158"/>
        <v>0</v>
      </c>
      <c r="AX500">
        <f t="shared" si="158"/>
        <v>0</v>
      </c>
      <c r="AY500">
        <f t="shared" si="158"/>
        <v>0</v>
      </c>
      <c r="AZ500">
        <f t="shared" si="158"/>
        <v>1</v>
      </c>
    </row>
    <row r="501" spans="1:52" x14ac:dyDescent="0.25">
      <c r="A501" t="s">
        <v>48</v>
      </c>
      <c r="B501" s="3">
        <v>40216</v>
      </c>
      <c r="C501" s="1">
        <v>3700.2418689745678</v>
      </c>
      <c r="D501" s="1">
        <v>205.56899272080932</v>
      </c>
      <c r="E501" s="1">
        <f t="shared" si="149"/>
        <v>1684.241868974568</v>
      </c>
      <c r="F501" s="1">
        <f t="shared" si="150"/>
        <v>2016</v>
      </c>
      <c r="G501" s="2">
        <v>18</v>
      </c>
      <c r="H501" s="1">
        <v>93.568992720809334</v>
      </c>
      <c r="I501" s="1">
        <v>112</v>
      </c>
      <c r="J501" s="1">
        <f t="shared" si="152"/>
        <v>1928073.3463085035</v>
      </c>
      <c r="K501" s="1">
        <f t="shared" si="153"/>
        <v>973050.34630850062</v>
      </c>
      <c r="N501">
        <f t="shared" si="151"/>
        <v>0</v>
      </c>
      <c r="O501">
        <f t="shared" si="151"/>
        <v>0</v>
      </c>
      <c r="P501">
        <f t="shared" si="151"/>
        <v>0</v>
      </c>
      <c r="Q501">
        <f t="shared" si="162"/>
        <v>0</v>
      </c>
      <c r="R501">
        <f t="shared" si="162"/>
        <v>0</v>
      </c>
      <c r="S501">
        <f t="shared" si="162"/>
        <v>0</v>
      </c>
      <c r="T501">
        <f t="shared" si="162"/>
        <v>0</v>
      </c>
      <c r="U501">
        <f t="shared" si="162"/>
        <v>0</v>
      </c>
      <c r="V501">
        <f t="shared" si="162"/>
        <v>0</v>
      </c>
      <c r="W501">
        <f t="shared" si="162"/>
        <v>0</v>
      </c>
      <c r="X501">
        <f t="shared" si="162"/>
        <v>0</v>
      </c>
      <c r="Y501">
        <f t="shared" si="162"/>
        <v>0</v>
      </c>
      <c r="Z501">
        <f t="shared" si="162"/>
        <v>0</v>
      </c>
      <c r="AA501">
        <f t="shared" si="162"/>
        <v>0</v>
      </c>
      <c r="AB501">
        <f t="shared" si="162"/>
        <v>0</v>
      </c>
      <c r="AC501">
        <f t="shared" si="162"/>
        <v>0</v>
      </c>
      <c r="AD501">
        <f t="shared" si="162"/>
        <v>0</v>
      </c>
      <c r="AE501">
        <f t="shared" si="162"/>
        <v>0</v>
      </c>
      <c r="AF501">
        <f t="shared" si="162"/>
        <v>0</v>
      </c>
      <c r="AG501">
        <f t="shared" si="161"/>
        <v>0</v>
      </c>
      <c r="AH501">
        <f t="shared" si="161"/>
        <v>0</v>
      </c>
      <c r="AI501">
        <f t="shared" si="161"/>
        <v>1</v>
      </c>
      <c r="AJ501">
        <f t="shared" si="161"/>
        <v>0</v>
      </c>
      <c r="AK501">
        <f t="shared" si="161"/>
        <v>0</v>
      </c>
      <c r="AL501">
        <f t="shared" si="161"/>
        <v>0</v>
      </c>
      <c r="AM501">
        <f t="shared" si="161"/>
        <v>0</v>
      </c>
      <c r="AN501">
        <f t="shared" si="161"/>
        <v>0</v>
      </c>
      <c r="AO501">
        <f t="shared" si="161"/>
        <v>0</v>
      </c>
      <c r="AP501">
        <f t="shared" si="161"/>
        <v>0</v>
      </c>
      <c r="AQ501">
        <f t="shared" si="161"/>
        <v>0</v>
      </c>
      <c r="AR501">
        <f t="shared" si="161"/>
        <v>0</v>
      </c>
      <c r="AS501">
        <f t="shared" si="161"/>
        <v>0</v>
      </c>
      <c r="AT501">
        <f t="shared" si="161"/>
        <v>0</v>
      </c>
      <c r="AU501">
        <f t="shared" si="161"/>
        <v>0</v>
      </c>
      <c r="AV501">
        <f t="shared" si="158"/>
        <v>0</v>
      </c>
      <c r="AW501">
        <f t="shared" si="158"/>
        <v>0</v>
      </c>
      <c r="AX501">
        <f t="shared" si="158"/>
        <v>0</v>
      </c>
      <c r="AY501">
        <f t="shared" si="158"/>
        <v>0</v>
      </c>
      <c r="AZ501">
        <f t="shared" si="158"/>
        <v>0</v>
      </c>
    </row>
    <row r="502" spans="1:52" x14ac:dyDescent="0.25">
      <c r="A502" t="s">
        <v>15</v>
      </c>
      <c r="B502" s="3">
        <v>40204</v>
      </c>
      <c r="C502" s="1">
        <v>3006.2860367528538</v>
      </c>
      <c r="D502" s="1">
        <v>214.73471691091811</v>
      </c>
      <c r="E502" s="1">
        <f t="shared" si="149"/>
        <v>1424.2860367528538</v>
      </c>
      <c r="F502" s="1">
        <f t="shared" si="150"/>
        <v>1582</v>
      </c>
      <c r="G502" s="2">
        <v>14</v>
      </c>
      <c r="H502" s="1">
        <v>101.73471691091812</v>
      </c>
      <c r="I502" s="1">
        <v>113</v>
      </c>
      <c r="J502" s="1">
        <f t="shared" si="152"/>
        <v>1931079.6323452564</v>
      </c>
      <c r="K502" s="1">
        <f t="shared" si="153"/>
        <v>974474.63234525349</v>
      </c>
      <c r="N502">
        <f t="shared" si="151"/>
        <v>0</v>
      </c>
      <c r="O502">
        <f t="shared" si="151"/>
        <v>0</v>
      </c>
      <c r="P502">
        <f t="shared" si="151"/>
        <v>0</v>
      </c>
      <c r="Q502">
        <f t="shared" si="162"/>
        <v>0</v>
      </c>
      <c r="R502">
        <f t="shared" si="162"/>
        <v>0</v>
      </c>
      <c r="S502">
        <f t="shared" si="162"/>
        <v>0</v>
      </c>
      <c r="T502">
        <f t="shared" si="162"/>
        <v>0</v>
      </c>
      <c r="U502">
        <f t="shared" si="162"/>
        <v>0</v>
      </c>
      <c r="V502">
        <f t="shared" si="162"/>
        <v>0</v>
      </c>
      <c r="W502">
        <f t="shared" si="162"/>
        <v>0</v>
      </c>
      <c r="X502">
        <f t="shared" si="162"/>
        <v>0</v>
      </c>
      <c r="Y502">
        <f t="shared" si="162"/>
        <v>0</v>
      </c>
      <c r="Z502">
        <f t="shared" si="162"/>
        <v>0</v>
      </c>
      <c r="AA502">
        <f t="shared" si="162"/>
        <v>0</v>
      </c>
      <c r="AB502">
        <f t="shared" si="162"/>
        <v>0</v>
      </c>
      <c r="AC502">
        <f t="shared" si="162"/>
        <v>0</v>
      </c>
      <c r="AD502">
        <f t="shared" si="162"/>
        <v>0</v>
      </c>
      <c r="AE502">
        <f t="shared" si="162"/>
        <v>0</v>
      </c>
      <c r="AF502">
        <f t="shared" si="162"/>
        <v>0</v>
      </c>
      <c r="AG502">
        <f t="shared" si="161"/>
        <v>0</v>
      </c>
      <c r="AH502">
        <f t="shared" si="161"/>
        <v>0</v>
      </c>
      <c r="AI502">
        <f t="shared" si="161"/>
        <v>0</v>
      </c>
      <c r="AJ502">
        <f t="shared" si="161"/>
        <v>0</v>
      </c>
      <c r="AK502">
        <f t="shared" si="161"/>
        <v>0</v>
      </c>
      <c r="AL502">
        <f t="shared" si="161"/>
        <v>0</v>
      </c>
      <c r="AM502">
        <f t="shared" si="161"/>
        <v>0</v>
      </c>
      <c r="AN502">
        <f t="shared" si="161"/>
        <v>0</v>
      </c>
      <c r="AO502">
        <f t="shared" si="161"/>
        <v>0</v>
      </c>
      <c r="AP502">
        <f t="shared" si="161"/>
        <v>0</v>
      </c>
      <c r="AQ502">
        <f t="shared" si="161"/>
        <v>0</v>
      </c>
      <c r="AR502">
        <f t="shared" si="161"/>
        <v>1</v>
      </c>
      <c r="AS502">
        <f t="shared" si="161"/>
        <v>0</v>
      </c>
      <c r="AT502">
        <f t="shared" si="161"/>
        <v>0</v>
      </c>
      <c r="AU502">
        <f t="shared" si="161"/>
        <v>0</v>
      </c>
      <c r="AV502">
        <f t="shared" si="158"/>
        <v>0</v>
      </c>
      <c r="AW502">
        <f t="shared" si="158"/>
        <v>0</v>
      </c>
      <c r="AX502">
        <f t="shared" si="158"/>
        <v>0</v>
      </c>
      <c r="AY502">
        <f t="shared" si="158"/>
        <v>0</v>
      </c>
      <c r="AZ502">
        <f t="shared" si="158"/>
        <v>0</v>
      </c>
    </row>
    <row r="503" spans="1:52" x14ac:dyDescent="0.25">
      <c r="A503" t="s">
        <v>31</v>
      </c>
      <c r="B503" s="3">
        <v>40197</v>
      </c>
      <c r="C503" s="1">
        <v>4483.5223940189335</v>
      </c>
      <c r="D503" s="1">
        <v>95.394093489764543</v>
      </c>
      <c r="E503" s="1">
        <f t="shared" si="149"/>
        <v>2791.5223940189335</v>
      </c>
      <c r="F503" s="1">
        <f t="shared" si="150"/>
        <v>1692</v>
      </c>
      <c r="G503" s="2">
        <v>47</v>
      </c>
      <c r="H503" s="1">
        <v>59.394093489764543</v>
      </c>
      <c r="I503" s="1">
        <v>36</v>
      </c>
      <c r="J503" s="1">
        <f t="shared" si="152"/>
        <v>1935563.1547392753</v>
      </c>
      <c r="K503" s="1">
        <f t="shared" si="153"/>
        <v>977266.15473927243</v>
      </c>
      <c r="N503">
        <f t="shared" si="151"/>
        <v>0</v>
      </c>
      <c r="O503">
        <f t="shared" si="151"/>
        <v>0</v>
      </c>
      <c r="P503">
        <f t="shared" si="151"/>
        <v>0</v>
      </c>
      <c r="Q503">
        <f t="shared" si="162"/>
        <v>0</v>
      </c>
      <c r="R503">
        <f t="shared" si="162"/>
        <v>0</v>
      </c>
      <c r="S503">
        <f t="shared" si="162"/>
        <v>0</v>
      </c>
      <c r="T503">
        <f t="shared" si="162"/>
        <v>0</v>
      </c>
      <c r="U503">
        <f t="shared" si="162"/>
        <v>0</v>
      </c>
      <c r="V503">
        <f t="shared" si="162"/>
        <v>0</v>
      </c>
      <c r="W503">
        <f t="shared" si="162"/>
        <v>1</v>
      </c>
      <c r="X503">
        <f t="shared" si="162"/>
        <v>0</v>
      </c>
      <c r="Y503">
        <f t="shared" si="162"/>
        <v>0</v>
      </c>
      <c r="Z503">
        <f t="shared" si="162"/>
        <v>0</v>
      </c>
      <c r="AA503">
        <f t="shared" si="162"/>
        <v>0</v>
      </c>
      <c r="AB503">
        <f t="shared" si="162"/>
        <v>0</v>
      </c>
      <c r="AC503">
        <f t="shared" si="162"/>
        <v>0</v>
      </c>
      <c r="AD503">
        <f t="shared" si="162"/>
        <v>0</v>
      </c>
      <c r="AE503">
        <f t="shared" si="162"/>
        <v>0</v>
      </c>
      <c r="AF503">
        <f t="shared" si="162"/>
        <v>0</v>
      </c>
      <c r="AG503">
        <f t="shared" si="161"/>
        <v>0</v>
      </c>
      <c r="AH503">
        <f t="shared" si="161"/>
        <v>0</v>
      </c>
      <c r="AI503">
        <f t="shared" si="161"/>
        <v>0</v>
      </c>
      <c r="AJ503">
        <f t="shared" si="161"/>
        <v>0</v>
      </c>
      <c r="AK503">
        <f t="shared" si="161"/>
        <v>0</v>
      </c>
      <c r="AL503">
        <f t="shared" si="161"/>
        <v>0</v>
      </c>
      <c r="AM503">
        <f t="shared" si="161"/>
        <v>0</v>
      </c>
      <c r="AN503">
        <f t="shared" si="161"/>
        <v>0</v>
      </c>
      <c r="AO503">
        <f t="shared" si="161"/>
        <v>0</v>
      </c>
      <c r="AP503">
        <f t="shared" si="161"/>
        <v>0</v>
      </c>
      <c r="AQ503">
        <f t="shared" si="161"/>
        <v>0</v>
      </c>
      <c r="AR503">
        <f t="shared" si="161"/>
        <v>0</v>
      </c>
      <c r="AS503">
        <f t="shared" si="161"/>
        <v>0</v>
      </c>
      <c r="AT503">
        <f t="shared" si="161"/>
        <v>0</v>
      </c>
      <c r="AU503">
        <f t="shared" si="161"/>
        <v>0</v>
      </c>
      <c r="AV503">
        <f t="shared" si="158"/>
        <v>0</v>
      </c>
      <c r="AW503">
        <f t="shared" si="158"/>
        <v>0</v>
      </c>
      <c r="AX503">
        <f t="shared" si="158"/>
        <v>0</v>
      </c>
      <c r="AY503">
        <f t="shared" si="158"/>
        <v>0</v>
      </c>
      <c r="AZ503">
        <f t="shared" si="158"/>
        <v>0</v>
      </c>
    </row>
    <row r="504" spans="1:52" x14ac:dyDescent="0.25">
      <c r="A504" t="s">
        <v>13</v>
      </c>
      <c r="B504" s="3">
        <v>40188</v>
      </c>
      <c r="C504" s="1">
        <v>5164.7602452415567</v>
      </c>
      <c r="D504" s="1">
        <v>161.39875766379865</v>
      </c>
      <c r="E504" s="1">
        <f t="shared" si="149"/>
        <v>2316.7602452415567</v>
      </c>
      <c r="F504" s="1">
        <f t="shared" si="150"/>
        <v>2848</v>
      </c>
      <c r="G504" s="2">
        <v>32</v>
      </c>
      <c r="H504" s="1">
        <v>72.398757663798648</v>
      </c>
      <c r="I504" s="1">
        <v>89</v>
      </c>
      <c r="J504" s="1">
        <f t="shared" si="152"/>
        <v>1940727.9149845168</v>
      </c>
      <c r="K504" s="1">
        <f t="shared" si="153"/>
        <v>979582.91498451401</v>
      </c>
      <c r="N504">
        <f t="shared" si="151"/>
        <v>0</v>
      </c>
      <c r="O504">
        <f t="shared" si="151"/>
        <v>0</v>
      </c>
      <c r="P504">
        <f t="shared" si="151"/>
        <v>0</v>
      </c>
      <c r="Q504">
        <f t="shared" si="162"/>
        <v>0</v>
      </c>
      <c r="R504">
        <f t="shared" si="162"/>
        <v>1</v>
      </c>
      <c r="S504">
        <f t="shared" si="162"/>
        <v>0</v>
      </c>
      <c r="T504">
        <f t="shared" si="162"/>
        <v>0</v>
      </c>
      <c r="U504">
        <f t="shared" si="162"/>
        <v>0</v>
      </c>
      <c r="V504">
        <f t="shared" si="162"/>
        <v>0</v>
      </c>
      <c r="W504">
        <f t="shared" si="162"/>
        <v>0</v>
      </c>
      <c r="X504">
        <f t="shared" si="162"/>
        <v>0</v>
      </c>
      <c r="Y504">
        <f t="shared" si="162"/>
        <v>0</v>
      </c>
      <c r="Z504">
        <f t="shared" si="162"/>
        <v>0</v>
      </c>
      <c r="AA504">
        <f t="shared" si="162"/>
        <v>0</v>
      </c>
      <c r="AB504">
        <f t="shared" si="162"/>
        <v>0</v>
      </c>
      <c r="AC504">
        <f t="shared" si="162"/>
        <v>0</v>
      </c>
      <c r="AD504">
        <f t="shared" si="162"/>
        <v>0</v>
      </c>
      <c r="AE504">
        <f t="shared" si="162"/>
        <v>0</v>
      </c>
      <c r="AF504">
        <f t="shared" si="162"/>
        <v>0</v>
      </c>
      <c r="AG504">
        <f t="shared" si="161"/>
        <v>0</v>
      </c>
      <c r="AH504">
        <f t="shared" si="161"/>
        <v>0</v>
      </c>
      <c r="AI504">
        <f t="shared" si="161"/>
        <v>0</v>
      </c>
      <c r="AJ504">
        <f t="shared" si="161"/>
        <v>0</v>
      </c>
      <c r="AK504">
        <f t="shared" si="161"/>
        <v>0</v>
      </c>
      <c r="AL504">
        <f t="shared" si="161"/>
        <v>0</v>
      </c>
      <c r="AM504">
        <f t="shared" si="161"/>
        <v>0</v>
      </c>
      <c r="AN504">
        <f t="shared" si="161"/>
        <v>0</v>
      </c>
      <c r="AO504">
        <f t="shared" si="161"/>
        <v>0</v>
      </c>
      <c r="AP504">
        <f t="shared" si="161"/>
        <v>0</v>
      </c>
      <c r="AQ504">
        <f t="shared" si="161"/>
        <v>0</v>
      </c>
      <c r="AR504">
        <f t="shared" si="161"/>
        <v>0</v>
      </c>
      <c r="AS504">
        <f t="shared" si="161"/>
        <v>0</v>
      </c>
      <c r="AT504">
        <f t="shared" si="161"/>
        <v>0</v>
      </c>
      <c r="AU504">
        <f t="shared" si="161"/>
        <v>0</v>
      </c>
      <c r="AV504">
        <f t="shared" si="158"/>
        <v>0</v>
      </c>
      <c r="AW504">
        <f t="shared" si="158"/>
        <v>0</v>
      </c>
      <c r="AX504">
        <f t="shared" si="158"/>
        <v>0</v>
      </c>
      <c r="AY504">
        <f t="shared" si="158"/>
        <v>0</v>
      </c>
      <c r="AZ504">
        <f t="shared" si="158"/>
        <v>0</v>
      </c>
    </row>
    <row r="505" spans="1:52" x14ac:dyDescent="0.25">
      <c r="A505" t="s">
        <v>49</v>
      </c>
      <c r="B505" s="3">
        <v>40186</v>
      </c>
      <c r="C505" s="1">
        <v>4524.0295816469734</v>
      </c>
      <c r="D505" s="1">
        <v>92.327134319325978</v>
      </c>
      <c r="E505" s="1">
        <f t="shared" si="149"/>
        <v>2123.0295816469725</v>
      </c>
      <c r="F505" s="1">
        <f t="shared" si="150"/>
        <v>2401</v>
      </c>
      <c r="G505" s="2">
        <v>49</v>
      </c>
      <c r="H505" s="1">
        <v>43.327134319325971</v>
      </c>
      <c r="I505" s="1">
        <v>49</v>
      </c>
      <c r="J505" s="1">
        <f t="shared" si="152"/>
        <v>1945251.9445661637</v>
      </c>
      <c r="K505" s="1">
        <f t="shared" si="153"/>
        <v>981705.94456616102</v>
      </c>
      <c r="N505">
        <f t="shared" si="151"/>
        <v>0</v>
      </c>
      <c r="O505">
        <f t="shared" si="151"/>
        <v>0</v>
      </c>
      <c r="P505">
        <f t="shared" si="151"/>
        <v>0</v>
      </c>
      <c r="Q505">
        <f t="shared" si="162"/>
        <v>0</v>
      </c>
      <c r="R505">
        <f t="shared" si="162"/>
        <v>0</v>
      </c>
      <c r="S505">
        <f t="shared" si="162"/>
        <v>0</v>
      </c>
      <c r="T505">
        <f t="shared" si="162"/>
        <v>0</v>
      </c>
      <c r="U505">
        <f t="shared" si="162"/>
        <v>0</v>
      </c>
      <c r="V505">
        <f t="shared" si="162"/>
        <v>0</v>
      </c>
      <c r="W505">
        <f t="shared" si="162"/>
        <v>0</v>
      </c>
      <c r="X505">
        <f t="shared" si="162"/>
        <v>0</v>
      </c>
      <c r="Y505">
        <f t="shared" si="162"/>
        <v>0</v>
      </c>
      <c r="Z505">
        <f t="shared" si="162"/>
        <v>0</v>
      </c>
      <c r="AA505">
        <f t="shared" si="162"/>
        <v>1</v>
      </c>
      <c r="AB505">
        <f t="shared" si="162"/>
        <v>0</v>
      </c>
      <c r="AC505">
        <f t="shared" si="162"/>
        <v>0</v>
      </c>
      <c r="AD505">
        <f t="shared" si="162"/>
        <v>0</v>
      </c>
      <c r="AE505">
        <f t="shared" si="162"/>
        <v>0</v>
      </c>
      <c r="AF505">
        <f t="shared" si="162"/>
        <v>0</v>
      </c>
      <c r="AG505">
        <f t="shared" si="161"/>
        <v>0</v>
      </c>
      <c r="AH505">
        <f t="shared" si="161"/>
        <v>0</v>
      </c>
      <c r="AI505">
        <f t="shared" si="161"/>
        <v>0</v>
      </c>
      <c r="AJ505">
        <f t="shared" si="161"/>
        <v>0</v>
      </c>
      <c r="AK505">
        <f t="shared" si="161"/>
        <v>0</v>
      </c>
      <c r="AL505">
        <f t="shared" si="161"/>
        <v>0</v>
      </c>
      <c r="AM505">
        <f t="shared" si="161"/>
        <v>0</v>
      </c>
      <c r="AN505">
        <f t="shared" si="161"/>
        <v>0</v>
      </c>
      <c r="AO505">
        <f t="shared" si="161"/>
        <v>0</v>
      </c>
      <c r="AP505">
        <f t="shared" si="161"/>
        <v>0</v>
      </c>
      <c r="AQ505">
        <f t="shared" si="161"/>
        <v>0</v>
      </c>
      <c r="AR505">
        <f t="shared" si="161"/>
        <v>0</v>
      </c>
      <c r="AS505">
        <f t="shared" si="161"/>
        <v>0</v>
      </c>
      <c r="AT505">
        <f t="shared" si="161"/>
        <v>0</v>
      </c>
      <c r="AU505">
        <f t="shared" si="161"/>
        <v>0</v>
      </c>
      <c r="AV505">
        <f t="shared" si="158"/>
        <v>0</v>
      </c>
      <c r="AW505">
        <f t="shared" si="158"/>
        <v>0</v>
      </c>
      <c r="AX505">
        <f t="shared" si="158"/>
        <v>0</v>
      </c>
      <c r="AY505">
        <f t="shared" si="158"/>
        <v>0</v>
      </c>
      <c r="AZ505">
        <f t="shared" si="158"/>
        <v>0</v>
      </c>
    </row>
    <row r="506" spans="1:52" x14ac:dyDescent="0.25">
      <c r="B506" s="3"/>
      <c r="C506" s="1"/>
      <c r="D506" s="1"/>
      <c r="E506" s="1"/>
      <c r="F506" s="1"/>
      <c r="G506" s="2"/>
      <c r="H506" s="1"/>
      <c r="I506" s="1"/>
    </row>
    <row r="507" spans="1:52" x14ac:dyDescent="0.25">
      <c r="B507" s="3"/>
      <c r="C507" s="1"/>
      <c r="D507" s="1"/>
      <c r="E507" s="1"/>
      <c r="F507" s="1"/>
      <c r="G507" s="2"/>
      <c r="H507" s="1"/>
      <c r="I507" s="1"/>
    </row>
    <row r="508" spans="1:52" x14ac:dyDescent="0.25">
      <c r="B508" s="3"/>
      <c r="C508" s="1"/>
      <c r="D508" s="1"/>
      <c r="E508" s="1"/>
      <c r="F508" s="1"/>
      <c r="G508" s="2"/>
      <c r="H508" s="1"/>
      <c r="I508" s="1"/>
    </row>
    <row r="509" spans="1:52" x14ac:dyDescent="0.25">
      <c r="B509" s="3"/>
      <c r="C509" s="1"/>
      <c r="D509" s="1"/>
      <c r="E509" s="1"/>
      <c r="F509" s="1"/>
      <c r="G509" s="2"/>
      <c r="H509" s="1"/>
      <c r="I509" s="1"/>
    </row>
    <row r="510" spans="1:52" x14ac:dyDescent="0.25">
      <c r="B510" s="3"/>
      <c r="C510" s="1"/>
      <c r="D510" s="1"/>
      <c r="E510" s="1"/>
      <c r="F510" s="1"/>
      <c r="G510" s="2"/>
      <c r="H510" s="1"/>
      <c r="I510" s="1"/>
    </row>
    <row r="511" spans="1:52" x14ac:dyDescent="0.25">
      <c r="B511" s="3"/>
      <c r="C511" s="1"/>
      <c r="D511" s="1"/>
      <c r="E511" s="1"/>
      <c r="F511" s="1"/>
      <c r="G511" s="2"/>
      <c r="H511" s="1"/>
      <c r="I511" s="1"/>
    </row>
    <row r="512" spans="1:52" x14ac:dyDescent="0.25">
      <c r="B512" s="3"/>
      <c r="C512" s="1"/>
      <c r="D512" s="1"/>
      <c r="E512" s="1"/>
      <c r="F512" s="1"/>
      <c r="G512" s="2"/>
      <c r="H512" s="1"/>
      <c r="I512" s="1"/>
    </row>
    <row r="513" spans="2:9" x14ac:dyDescent="0.25">
      <c r="B513" s="3"/>
      <c r="C513" s="1"/>
      <c r="D513" s="1"/>
      <c r="E513" s="1"/>
      <c r="F513" s="1"/>
      <c r="G513" s="2"/>
      <c r="H513" s="1"/>
      <c r="I513" s="1"/>
    </row>
    <row r="514" spans="2:9" x14ac:dyDescent="0.25">
      <c r="B514" s="3"/>
      <c r="C514" s="1"/>
      <c r="D514" s="1"/>
      <c r="E514" s="1"/>
      <c r="F514" s="1"/>
      <c r="G514" s="2"/>
      <c r="H514" s="1"/>
      <c r="I514" s="1"/>
    </row>
    <row r="515" spans="2:9" x14ac:dyDescent="0.25">
      <c r="B515" s="3"/>
      <c r="C515" s="1"/>
      <c r="D515" s="1"/>
      <c r="E515" s="1"/>
      <c r="F515" s="1"/>
      <c r="G515" s="2"/>
      <c r="H515" s="1"/>
      <c r="I515" s="1"/>
    </row>
    <row r="516" spans="2:9" x14ac:dyDescent="0.25">
      <c r="B516" s="3"/>
      <c r="C516" s="1"/>
      <c r="D516" s="1"/>
      <c r="E516" s="1"/>
      <c r="F516" s="1"/>
      <c r="G516" s="2"/>
      <c r="H516" s="1"/>
      <c r="I516" s="1"/>
    </row>
    <row r="517" spans="2:9" x14ac:dyDescent="0.25">
      <c r="B517" s="3"/>
      <c r="C517" s="1"/>
      <c r="D517" s="1"/>
      <c r="E517" s="1"/>
      <c r="F517" s="1"/>
      <c r="G517" s="2"/>
      <c r="H517" s="1"/>
      <c r="I517" s="1"/>
    </row>
    <row r="518" spans="2:9" x14ac:dyDescent="0.25">
      <c r="B518" s="3"/>
      <c r="C518" s="1"/>
      <c r="D518" s="1"/>
      <c r="E518" s="1"/>
      <c r="F518" s="1"/>
      <c r="G518" s="2"/>
      <c r="H518" s="1"/>
      <c r="I518" s="1"/>
    </row>
    <row r="519" spans="2:9" x14ac:dyDescent="0.25">
      <c r="B519" s="3"/>
      <c r="C519" s="1"/>
      <c r="D519" s="1"/>
      <c r="E519" s="1"/>
      <c r="F519" s="1"/>
      <c r="G519" s="2"/>
      <c r="H519" s="1"/>
      <c r="I519" s="1"/>
    </row>
    <row r="520" spans="2:9" x14ac:dyDescent="0.25">
      <c r="B520" s="3"/>
      <c r="C520" s="1"/>
      <c r="D520" s="1"/>
      <c r="E520" s="1"/>
      <c r="F520" s="1"/>
      <c r="G520" s="2"/>
      <c r="H520" s="1"/>
      <c r="I520" s="1"/>
    </row>
    <row r="521" spans="2:9" x14ac:dyDescent="0.25">
      <c r="B521" s="3"/>
      <c r="C521" s="1"/>
      <c r="D521" s="1"/>
      <c r="E521" s="1"/>
      <c r="F521" s="1"/>
      <c r="G521" s="2"/>
      <c r="H521" s="1"/>
      <c r="I521" s="1"/>
    </row>
    <row r="522" spans="2:9" x14ac:dyDescent="0.25">
      <c r="B522" s="3"/>
      <c r="C522" s="1"/>
      <c r="D522" s="1"/>
      <c r="E522" s="1"/>
      <c r="F522" s="1"/>
      <c r="G522" s="2"/>
      <c r="H522" s="1"/>
      <c r="I522" s="1"/>
    </row>
    <row r="523" spans="2:9" x14ac:dyDescent="0.25">
      <c r="B523" s="3"/>
      <c r="C523" s="1"/>
      <c r="D523" s="1"/>
      <c r="E523" s="1"/>
      <c r="F523" s="1"/>
      <c r="G523" s="2"/>
      <c r="H523" s="1"/>
      <c r="I52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B2E5-1F68-4962-9E24-0A38E2DC574C}">
  <dimension ref="A1:AO519"/>
  <sheetViews>
    <sheetView workbookViewId="0">
      <selection activeCell="B7" sqref="B7"/>
    </sheetView>
  </sheetViews>
  <sheetFormatPr defaultRowHeight="15" x14ac:dyDescent="0.25"/>
  <cols>
    <col min="1" max="1" width="11.140625" bestFit="1" customWidth="1"/>
    <col min="9" max="9" width="12.140625" customWidth="1"/>
    <col min="10" max="14" width="11.5703125" customWidth="1"/>
  </cols>
  <sheetData>
    <row r="1" spans="1:12" s="4" customFormat="1" ht="60" x14ac:dyDescent="0.25">
      <c r="A1" s="4" t="s">
        <v>4</v>
      </c>
      <c r="B1" s="4" t="s">
        <v>51</v>
      </c>
      <c r="C1" s="4" t="s">
        <v>5</v>
      </c>
      <c r="D1" s="4" t="s">
        <v>50</v>
      </c>
      <c r="E1" s="4" t="s">
        <v>7</v>
      </c>
      <c r="F1" s="4" t="s">
        <v>53</v>
      </c>
      <c r="G1" s="4" t="s">
        <v>8</v>
      </c>
      <c r="H1" s="4" t="s">
        <v>9</v>
      </c>
      <c r="I1" s="4" t="s">
        <v>65</v>
      </c>
      <c r="J1" s="4" t="s">
        <v>66</v>
      </c>
      <c r="K1" s="4" t="s">
        <v>67</v>
      </c>
      <c r="L1" s="4" t="s">
        <v>68</v>
      </c>
    </row>
    <row r="2" spans="1:12" x14ac:dyDescent="0.25">
      <c r="A2" s="3">
        <v>44196</v>
      </c>
      <c r="B2" s="1">
        <f t="shared" ref="B2:B65" si="0">+E2*H2</f>
        <v>621</v>
      </c>
      <c r="C2" s="1">
        <v>1564.407037995232</v>
      </c>
      <c r="D2" s="1">
        <f t="shared" ref="D2:D65" si="1">+E2*G2</f>
        <v>943.40703799523214</v>
      </c>
      <c r="E2" s="2">
        <v>9</v>
      </c>
      <c r="F2" s="1">
        <v>173.82300422169246</v>
      </c>
      <c r="G2" s="1">
        <v>104.82300422169246</v>
      </c>
      <c r="H2" s="1">
        <v>69</v>
      </c>
      <c r="I2">
        <f>+LN(B2)</f>
        <v>6.4313310819334788</v>
      </c>
      <c r="J2">
        <f>+LN(H2)</f>
        <v>4.2341065045972597</v>
      </c>
      <c r="K2" s="1">
        <f>+F2-G2</f>
        <v>69</v>
      </c>
      <c r="L2">
        <f>EXP(I2)-EXP(J2)</f>
        <v>552</v>
      </c>
    </row>
    <row r="3" spans="1:12" x14ac:dyDescent="0.25">
      <c r="A3" s="3">
        <v>44190</v>
      </c>
      <c r="B3" s="1">
        <f t="shared" si="0"/>
        <v>3920</v>
      </c>
      <c r="C3" s="1">
        <v>10830.484273708065</v>
      </c>
      <c r="D3" s="1">
        <f t="shared" si="1"/>
        <v>6910.4842737080662</v>
      </c>
      <c r="E3" s="2">
        <v>80</v>
      </c>
      <c r="F3" s="1">
        <v>135.38105342135083</v>
      </c>
      <c r="G3" s="1">
        <v>86.381053421350828</v>
      </c>
      <c r="H3" s="1">
        <v>49</v>
      </c>
      <c r="I3">
        <f t="shared" ref="I3:I66" si="2">+LN(B3)</f>
        <v>8.2738469327845081</v>
      </c>
      <c r="J3">
        <f t="shared" ref="J3:J66" si="3">+LN(H3)</f>
        <v>3.8918202981106265</v>
      </c>
      <c r="K3" s="1">
        <f t="shared" ref="K3:K66" si="4">+F3-G3</f>
        <v>49</v>
      </c>
      <c r="L3">
        <f t="shared" ref="L3:L66" si="5">EXP(I3)-EXP(J3)</f>
        <v>3870.9999999999995</v>
      </c>
    </row>
    <row r="4" spans="1:12" x14ac:dyDescent="0.25">
      <c r="A4" s="3">
        <v>44181</v>
      </c>
      <c r="B4" s="1">
        <f t="shared" si="0"/>
        <v>1080</v>
      </c>
      <c r="C4" s="1">
        <v>2313.6293014759617</v>
      </c>
      <c r="D4" s="1">
        <f t="shared" si="1"/>
        <v>1233.6293014759617</v>
      </c>
      <c r="E4" s="2">
        <v>12</v>
      </c>
      <c r="F4" s="1">
        <v>192.80244178966348</v>
      </c>
      <c r="G4" s="1">
        <v>102.80244178966348</v>
      </c>
      <c r="H4" s="1">
        <v>90</v>
      </c>
      <c r="I4">
        <f t="shared" si="2"/>
        <v>6.9847163201182658</v>
      </c>
      <c r="J4">
        <f t="shared" si="3"/>
        <v>4.499809670330265</v>
      </c>
      <c r="K4" s="1">
        <f t="shared" si="4"/>
        <v>90</v>
      </c>
      <c r="L4">
        <f t="shared" si="5"/>
        <v>990.00000000000045</v>
      </c>
    </row>
    <row r="5" spans="1:12" x14ac:dyDescent="0.25">
      <c r="A5" s="3">
        <v>44163</v>
      </c>
      <c r="B5" s="1">
        <f t="shared" si="0"/>
        <v>1078</v>
      </c>
      <c r="C5" s="1">
        <v>1881.9656178577998</v>
      </c>
      <c r="D5" s="1">
        <f t="shared" si="1"/>
        <v>803.96561785779988</v>
      </c>
      <c r="E5" s="2">
        <v>22</v>
      </c>
      <c r="F5" s="1">
        <v>85.543891720809086</v>
      </c>
      <c r="G5" s="1">
        <v>36.543891720809086</v>
      </c>
      <c r="H5" s="1">
        <v>49</v>
      </c>
      <c r="I5">
        <f t="shared" si="2"/>
        <v>6.9828627514689421</v>
      </c>
      <c r="J5">
        <f t="shared" si="3"/>
        <v>3.8918202981106265</v>
      </c>
      <c r="K5" s="1">
        <f t="shared" si="4"/>
        <v>49</v>
      </c>
      <c r="L5">
        <f t="shared" si="5"/>
        <v>1028.9999999999995</v>
      </c>
    </row>
    <row r="6" spans="1:12" x14ac:dyDescent="0.25">
      <c r="A6" s="3">
        <v>44160</v>
      </c>
      <c r="B6" s="1">
        <f t="shared" si="0"/>
        <v>700</v>
      </c>
      <c r="C6" s="1">
        <v>1572.4451189061003</v>
      </c>
      <c r="D6" s="1">
        <f t="shared" si="1"/>
        <v>872.44511890610033</v>
      </c>
      <c r="E6" s="2">
        <v>14</v>
      </c>
      <c r="F6" s="1">
        <v>112.31750849329288</v>
      </c>
      <c r="G6" s="1">
        <v>62.317508493292877</v>
      </c>
      <c r="H6" s="1">
        <v>50</v>
      </c>
      <c r="I6">
        <f t="shared" si="2"/>
        <v>6.5510803350434044</v>
      </c>
      <c r="J6">
        <f t="shared" si="3"/>
        <v>3.912023005428146</v>
      </c>
      <c r="K6" s="1">
        <f t="shared" si="4"/>
        <v>50</v>
      </c>
      <c r="L6">
        <f t="shared" si="5"/>
        <v>649.99999999999977</v>
      </c>
    </row>
    <row r="7" spans="1:12" x14ac:dyDescent="0.25">
      <c r="A7" s="3">
        <v>44159</v>
      </c>
      <c r="B7" s="1">
        <f t="shared" si="0"/>
        <v>3200</v>
      </c>
      <c r="C7" s="1">
        <v>5581.0923255227844</v>
      </c>
      <c r="D7" s="1">
        <f t="shared" si="1"/>
        <v>2381.092325522784</v>
      </c>
      <c r="E7" s="2">
        <v>40</v>
      </c>
      <c r="F7" s="1">
        <v>139.5273081380696</v>
      </c>
      <c r="G7" s="1">
        <v>59.5273081380696</v>
      </c>
      <c r="H7" s="1">
        <v>80</v>
      </c>
      <c r="I7">
        <f t="shared" si="2"/>
        <v>8.0709060887878188</v>
      </c>
      <c r="J7">
        <f t="shared" si="3"/>
        <v>4.3820266346738812</v>
      </c>
      <c r="K7" s="1">
        <f t="shared" si="4"/>
        <v>80</v>
      </c>
      <c r="L7">
        <f t="shared" si="5"/>
        <v>3120.0000000000027</v>
      </c>
    </row>
    <row r="8" spans="1:12" x14ac:dyDescent="0.25">
      <c r="A8" s="3">
        <v>44152</v>
      </c>
      <c r="B8" s="1">
        <f t="shared" si="0"/>
        <v>819</v>
      </c>
      <c r="C8" s="1">
        <v>1554.6592951170171</v>
      </c>
      <c r="D8" s="1">
        <f t="shared" si="1"/>
        <v>735.65929511701711</v>
      </c>
      <c r="E8" s="2">
        <v>13</v>
      </c>
      <c r="F8" s="1">
        <v>119.58917654746286</v>
      </c>
      <c r="G8" s="1">
        <v>56.589176547462856</v>
      </c>
      <c r="H8" s="1">
        <v>63</v>
      </c>
      <c r="I8">
        <f t="shared" si="2"/>
        <v>6.7080840838530698</v>
      </c>
      <c r="J8">
        <f t="shared" si="3"/>
        <v>4.1431347263915326</v>
      </c>
      <c r="K8" s="1">
        <f t="shared" si="4"/>
        <v>63</v>
      </c>
      <c r="L8">
        <f t="shared" si="5"/>
        <v>756.00000000000023</v>
      </c>
    </row>
    <row r="9" spans="1:12" x14ac:dyDescent="0.25">
      <c r="A9" s="3">
        <v>44144</v>
      </c>
      <c r="B9" s="1">
        <f t="shared" si="0"/>
        <v>800</v>
      </c>
      <c r="C9" s="1">
        <v>2018.6707854889869</v>
      </c>
      <c r="D9" s="1">
        <f t="shared" si="1"/>
        <v>1218.6707854889869</v>
      </c>
      <c r="E9" s="2">
        <v>20</v>
      </c>
      <c r="F9" s="1">
        <v>100.93353927444934</v>
      </c>
      <c r="G9" s="1">
        <v>60.933539274449345</v>
      </c>
      <c r="H9" s="1">
        <v>40</v>
      </c>
      <c r="I9">
        <f t="shared" si="2"/>
        <v>6.6846117276679271</v>
      </c>
      <c r="J9">
        <f t="shared" si="3"/>
        <v>3.6888794541139363</v>
      </c>
      <c r="K9" s="1">
        <f t="shared" si="4"/>
        <v>40</v>
      </c>
      <c r="L9">
        <f t="shared" si="5"/>
        <v>759.99999999999989</v>
      </c>
    </row>
    <row r="10" spans="1:12" x14ac:dyDescent="0.25">
      <c r="A10" s="3">
        <v>44139</v>
      </c>
      <c r="B10" s="1">
        <f t="shared" si="0"/>
        <v>1380</v>
      </c>
      <c r="C10" s="1">
        <v>2652.9646937188641</v>
      </c>
      <c r="D10" s="1">
        <f t="shared" si="1"/>
        <v>1272.9646937188643</v>
      </c>
      <c r="E10" s="2">
        <v>12</v>
      </c>
      <c r="F10" s="1">
        <v>221.08039114323867</v>
      </c>
      <c r="G10" s="1">
        <v>106.08039114323869</v>
      </c>
      <c r="H10" s="1">
        <v>115</v>
      </c>
      <c r="I10">
        <f t="shared" si="2"/>
        <v>7.2298387781512501</v>
      </c>
      <c r="J10">
        <f t="shared" si="3"/>
        <v>4.7449321283632502</v>
      </c>
      <c r="K10" s="1">
        <f t="shared" si="4"/>
        <v>114.99999999999999</v>
      </c>
      <c r="L10">
        <f t="shared" si="5"/>
        <v>1264.9999999999995</v>
      </c>
    </row>
    <row r="11" spans="1:12" x14ac:dyDescent="0.25">
      <c r="A11" s="3">
        <v>44139</v>
      </c>
      <c r="B11" s="1">
        <f t="shared" si="0"/>
        <v>129</v>
      </c>
      <c r="C11" s="1">
        <v>245.94220497104135</v>
      </c>
      <c r="D11" s="1">
        <f t="shared" si="1"/>
        <v>116.94220497104135</v>
      </c>
      <c r="E11" s="2">
        <v>3</v>
      </c>
      <c r="F11" s="1">
        <v>81.980734990347116</v>
      </c>
      <c r="G11" s="1">
        <v>38.980734990347116</v>
      </c>
      <c r="H11" s="1">
        <v>43</v>
      </c>
      <c r="I11">
        <f t="shared" si="2"/>
        <v>4.8598124043616719</v>
      </c>
      <c r="J11">
        <f t="shared" si="3"/>
        <v>3.7612001156935624</v>
      </c>
      <c r="K11" s="1">
        <f t="shared" si="4"/>
        <v>43</v>
      </c>
      <c r="L11">
        <f t="shared" si="5"/>
        <v>85.999999999999972</v>
      </c>
    </row>
    <row r="12" spans="1:12" x14ac:dyDescent="0.25">
      <c r="A12" s="3">
        <v>44130</v>
      </c>
      <c r="B12" s="1">
        <f t="shared" si="0"/>
        <v>240</v>
      </c>
      <c r="C12" s="1">
        <v>650.94089966994284</v>
      </c>
      <c r="D12" s="1">
        <f t="shared" si="1"/>
        <v>410.94089966994289</v>
      </c>
      <c r="E12" s="2">
        <v>5</v>
      </c>
      <c r="F12" s="1">
        <v>130.18817993398858</v>
      </c>
      <c r="G12" s="1">
        <v>82.188179933988579</v>
      </c>
      <c r="H12" s="1">
        <v>48</v>
      </c>
      <c r="I12">
        <f t="shared" si="2"/>
        <v>5.4806389233419912</v>
      </c>
      <c r="J12">
        <f t="shared" si="3"/>
        <v>3.8712010109078911</v>
      </c>
      <c r="K12" s="1">
        <f t="shared" si="4"/>
        <v>48</v>
      </c>
      <c r="L12">
        <f t="shared" si="5"/>
        <v>191.99999999999997</v>
      </c>
    </row>
    <row r="13" spans="1:12" x14ac:dyDescent="0.25">
      <c r="A13" s="3">
        <v>44126</v>
      </c>
      <c r="B13" s="1">
        <f t="shared" si="0"/>
        <v>671</v>
      </c>
      <c r="C13" s="1">
        <v>1302.9937884562232</v>
      </c>
      <c r="D13" s="1">
        <f t="shared" si="1"/>
        <v>631.993788456223</v>
      </c>
      <c r="E13" s="2">
        <v>11</v>
      </c>
      <c r="F13" s="1">
        <v>118.45398076874756</v>
      </c>
      <c r="G13" s="1">
        <v>57.453980768747549</v>
      </c>
      <c r="H13" s="1">
        <v>61</v>
      </c>
      <c r="I13">
        <f t="shared" si="2"/>
        <v>6.508769136971682</v>
      </c>
      <c r="J13">
        <f t="shared" si="3"/>
        <v>4.1108738641733114</v>
      </c>
      <c r="K13" s="1">
        <f t="shared" si="4"/>
        <v>61.000000000000007</v>
      </c>
      <c r="L13">
        <f t="shared" si="5"/>
        <v>610.00000000000011</v>
      </c>
    </row>
    <row r="14" spans="1:12" x14ac:dyDescent="0.25">
      <c r="A14" s="3">
        <v>44126</v>
      </c>
      <c r="B14" s="1">
        <f t="shared" si="0"/>
        <v>3078</v>
      </c>
      <c r="C14" s="1">
        <v>6935.9695605930874</v>
      </c>
      <c r="D14" s="1">
        <f t="shared" si="1"/>
        <v>3857.9695605930874</v>
      </c>
      <c r="E14" s="2">
        <v>57</v>
      </c>
      <c r="F14" s="1">
        <v>121.68367650163312</v>
      </c>
      <c r="G14" s="1">
        <v>67.683676501633116</v>
      </c>
      <c r="H14" s="1">
        <v>54</v>
      </c>
      <c r="I14">
        <f t="shared" si="2"/>
        <v>8.0320353143988239</v>
      </c>
      <c r="J14">
        <f t="shared" si="3"/>
        <v>3.9889840465642745</v>
      </c>
      <c r="K14" s="1">
        <f t="shared" si="4"/>
        <v>54</v>
      </c>
      <c r="L14">
        <f t="shared" si="5"/>
        <v>3023.9999999999982</v>
      </c>
    </row>
    <row r="15" spans="1:12" x14ac:dyDescent="0.25">
      <c r="A15" s="3">
        <v>44125</v>
      </c>
      <c r="B15" s="1">
        <f t="shared" si="0"/>
        <v>846</v>
      </c>
      <c r="C15" s="1">
        <v>1476.2507396312167</v>
      </c>
      <c r="D15" s="1">
        <f t="shared" si="1"/>
        <v>630.25073963121679</v>
      </c>
      <c r="E15" s="2">
        <v>9</v>
      </c>
      <c r="F15" s="1">
        <v>164.02785995902408</v>
      </c>
      <c r="G15" s="1">
        <v>70.027859959024084</v>
      </c>
      <c r="H15" s="1">
        <v>94</v>
      </c>
      <c r="I15">
        <f t="shared" si="2"/>
        <v>6.7405193596062229</v>
      </c>
      <c r="J15">
        <f t="shared" si="3"/>
        <v>4.5432947822700038</v>
      </c>
      <c r="K15" s="1">
        <f t="shared" si="4"/>
        <v>94</v>
      </c>
      <c r="L15">
        <f t="shared" si="5"/>
        <v>751.99999999999977</v>
      </c>
    </row>
    <row r="16" spans="1:12" x14ac:dyDescent="0.25">
      <c r="A16" s="3">
        <v>44114</v>
      </c>
      <c r="B16" s="1">
        <f t="shared" si="0"/>
        <v>1152</v>
      </c>
      <c r="C16" s="1">
        <v>2455.6378398413908</v>
      </c>
      <c r="D16" s="1">
        <f t="shared" si="1"/>
        <v>1303.6378398413908</v>
      </c>
      <c r="E16" s="2">
        <v>36</v>
      </c>
      <c r="F16" s="1">
        <v>68.212162217816413</v>
      </c>
      <c r="G16" s="1">
        <v>36.212162217816413</v>
      </c>
      <c r="H16" s="1">
        <v>32</v>
      </c>
      <c r="I16">
        <f t="shared" si="2"/>
        <v>7.0492548412558369</v>
      </c>
      <c r="J16">
        <f t="shared" si="3"/>
        <v>3.4657359027997265</v>
      </c>
      <c r="K16" s="1">
        <f t="shared" si="4"/>
        <v>32</v>
      </c>
      <c r="L16">
        <f t="shared" si="5"/>
        <v>1120.0000000000005</v>
      </c>
    </row>
    <row r="17" spans="1:41" x14ac:dyDescent="0.25">
      <c r="A17" s="3">
        <v>44110</v>
      </c>
      <c r="B17" s="1">
        <f t="shared" si="0"/>
        <v>312</v>
      </c>
      <c r="C17" s="1">
        <v>711.39008698257203</v>
      </c>
      <c r="D17" s="1">
        <f t="shared" si="1"/>
        <v>399.39008698257203</v>
      </c>
      <c r="E17" s="2">
        <v>13</v>
      </c>
      <c r="F17" s="1">
        <v>54.722314383274771</v>
      </c>
      <c r="G17" s="1">
        <v>30.722314383274771</v>
      </c>
      <c r="H17" s="1">
        <v>24</v>
      </c>
      <c r="I17">
        <f t="shared" si="2"/>
        <v>5.7430031878094825</v>
      </c>
      <c r="J17">
        <f t="shared" si="3"/>
        <v>3.1780538303479458</v>
      </c>
      <c r="K17" s="1">
        <f t="shared" si="4"/>
        <v>24</v>
      </c>
      <c r="L17">
        <f t="shared" si="5"/>
        <v>288.00000000000006</v>
      </c>
    </row>
    <row r="18" spans="1:41" x14ac:dyDescent="0.25">
      <c r="A18" s="3">
        <v>44107</v>
      </c>
      <c r="B18" s="1">
        <f t="shared" si="0"/>
        <v>1680</v>
      </c>
      <c r="C18" s="1">
        <v>3489.7514686045552</v>
      </c>
      <c r="D18" s="1">
        <f t="shared" si="1"/>
        <v>1809.7514686045552</v>
      </c>
      <c r="E18" s="2">
        <v>40</v>
      </c>
      <c r="F18" s="1">
        <v>87.243786715113885</v>
      </c>
      <c r="G18" s="1">
        <v>45.243786715113878</v>
      </c>
      <c r="H18" s="1">
        <v>42</v>
      </c>
      <c r="I18">
        <f t="shared" si="2"/>
        <v>7.4265490723973047</v>
      </c>
      <c r="J18">
        <f t="shared" si="3"/>
        <v>3.7376696182833684</v>
      </c>
      <c r="K18" s="1">
        <f t="shared" si="4"/>
        <v>42.000000000000007</v>
      </c>
      <c r="L18">
        <f t="shared" si="5"/>
        <v>1638</v>
      </c>
    </row>
    <row r="19" spans="1:41" x14ac:dyDescent="0.25">
      <c r="A19" s="3">
        <v>44098</v>
      </c>
      <c r="B19" s="1">
        <f t="shared" si="0"/>
        <v>594</v>
      </c>
      <c r="C19" s="1">
        <v>1154.9985014446413</v>
      </c>
      <c r="D19" s="1">
        <f t="shared" si="1"/>
        <v>560.99850144464142</v>
      </c>
      <c r="E19" s="2">
        <v>9</v>
      </c>
      <c r="F19" s="1">
        <v>128.33316682718237</v>
      </c>
      <c r="G19" s="1">
        <v>62.333166827182374</v>
      </c>
      <c r="H19" s="1">
        <v>66</v>
      </c>
      <c r="I19">
        <f t="shared" si="2"/>
        <v>6.3868793193626452</v>
      </c>
      <c r="J19">
        <f t="shared" si="3"/>
        <v>4.1896547420264252</v>
      </c>
      <c r="K19" s="1">
        <f t="shared" si="4"/>
        <v>66</v>
      </c>
      <c r="L19">
        <f t="shared" si="5"/>
        <v>528.00000000000011</v>
      </c>
    </row>
    <row r="20" spans="1:41" x14ac:dyDescent="0.25">
      <c r="A20" s="3">
        <v>44097</v>
      </c>
      <c r="B20" s="1">
        <f t="shared" si="0"/>
        <v>1320</v>
      </c>
      <c r="C20" s="1">
        <v>2906.9300956130601</v>
      </c>
      <c r="D20" s="1">
        <f t="shared" si="1"/>
        <v>1586.9300956130601</v>
      </c>
      <c r="E20" s="2">
        <v>40</v>
      </c>
      <c r="F20" s="1">
        <v>72.673252390326496</v>
      </c>
      <c r="G20" s="1">
        <v>39.673252390326503</v>
      </c>
      <c r="H20" s="1">
        <v>33</v>
      </c>
      <c r="I20">
        <f t="shared" si="2"/>
        <v>7.1853870155804165</v>
      </c>
      <c r="J20">
        <f t="shared" si="3"/>
        <v>3.4965075614664802</v>
      </c>
      <c r="K20" s="1">
        <f t="shared" si="4"/>
        <v>32.999999999999993</v>
      </c>
      <c r="L20">
        <f t="shared" si="5"/>
        <v>1287</v>
      </c>
    </row>
    <row r="21" spans="1:41" x14ac:dyDescent="0.25">
      <c r="A21" s="3">
        <v>44092</v>
      </c>
      <c r="B21" s="1">
        <f t="shared" si="0"/>
        <v>235</v>
      </c>
      <c r="C21" s="1">
        <v>544.20837094262833</v>
      </c>
      <c r="D21" s="1">
        <f t="shared" si="1"/>
        <v>309.20837094262833</v>
      </c>
      <c r="E21" s="2">
        <v>5</v>
      </c>
      <c r="F21" s="1">
        <v>108.84167418852567</v>
      </c>
      <c r="G21" s="1">
        <v>61.841674188525673</v>
      </c>
      <c r="H21" s="1">
        <v>47</v>
      </c>
      <c r="I21">
        <f t="shared" si="2"/>
        <v>5.4595855141441589</v>
      </c>
      <c r="J21">
        <f t="shared" si="3"/>
        <v>3.8501476017100584</v>
      </c>
      <c r="K21" s="1">
        <f t="shared" si="4"/>
        <v>47</v>
      </c>
      <c r="L21">
        <f t="shared" si="5"/>
        <v>188</v>
      </c>
    </row>
    <row r="22" spans="1:41" x14ac:dyDescent="0.25">
      <c r="A22" s="3">
        <v>44075</v>
      </c>
      <c r="B22" s="1">
        <f t="shared" si="0"/>
        <v>1813</v>
      </c>
      <c r="C22" s="1">
        <v>3951.0826788260824</v>
      </c>
      <c r="D22" s="1">
        <f t="shared" si="1"/>
        <v>2138.0826788260824</v>
      </c>
      <c r="E22" s="2">
        <v>37</v>
      </c>
      <c r="F22" s="1">
        <v>106.78601834665088</v>
      </c>
      <c r="G22" s="1">
        <v>57.786018346650877</v>
      </c>
      <c r="H22" s="1">
        <v>49</v>
      </c>
      <c r="I22">
        <f t="shared" si="2"/>
        <v>7.5027382107548508</v>
      </c>
      <c r="J22">
        <f t="shared" si="3"/>
        <v>3.8918202981106265</v>
      </c>
      <c r="K22" s="1">
        <f t="shared" si="4"/>
        <v>49</v>
      </c>
      <c r="L22">
        <f t="shared" si="5"/>
        <v>1763.9999999999995</v>
      </c>
    </row>
    <row r="23" spans="1:41" x14ac:dyDescent="0.25">
      <c r="A23" s="3">
        <v>44073</v>
      </c>
      <c r="B23" s="1">
        <f t="shared" si="0"/>
        <v>111</v>
      </c>
      <c r="C23" s="1">
        <v>310.91565049488042</v>
      </c>
      <c r="D23" s="1">
        <f t="shared" si="1"/>
        <v>199.91565049488045</v>
      </c>
      <c r="E23" s="2">
        <v>3</v>
      </c>
      <c r="F23" s="1">
        <v>103.63855016496015</v>
      </c>
      <c r="G23" s="1">
        <v>66.638550164960151</v>
      </c>
      <c r="H23" s="1">
        <v>37</v>
      </c>
      <c r="I23">
        <f t="shared" si="2"/>
        <v>4.7095302013123339</v>
      </c>
      <c r="J23">
        <f t="shared" si="3"/>
        <v>3.6109179126442243</v>
      </c>
      <c r="K23" s="1">
        <f t="shared" si="4"/>
        <v>37</v>
      </c>
      <c r="L23">
        <f t="shared" si="5"/>
        <v>73.999999999999972</v>
      </c>
      <c r="AO23">
        <v>9</v>
      </c>
    </row>
    <row r="24" spans="1:41" x14ac:dyDescent="0.25">
      <c r="A24" s="3">
        <v>44063</v>
      </c>
      <c r="B24" s="1">
        <f t="shared" si="0"/>
        <v>648</v>
      </c>
      <c r="C24" s="1">
        <v>1445.2493671282691</v>
      </c>
      <c r="D24" s="1">
        <f t="shared" si="1"/>
        <v>797.24936712826889</v>
      </c>
      <c r="E24" s="2">
        <v>18</v>
      </c>
      <c r="F24" s="1">
        <v>80.291631507126056</v>
      </c>
      <c r="G24" s="1">
        <v>44.291631507126048</v>
      </c>
      <c r="H24" s="1">
        <v>36</v>
      </c>
      <c r="I24">
        <f t="shared" si="2"/>
        <v>6.4738906963522744</v>
      </c>
      <c r="J24">
        <f t="shared" si="3"/>
        <v>3.5835189384561099</v>
      </c>
      <c r="K24" s="1">
        <f t="shared" si="4"/>
        <v>36.000000000000007</v>
      </c>
      <c r="L24">
        <f t="shared" si="5"/>
        <v>611.99999999999989</v>
      </c>
    </row>
    <row r="25" spans="1:41" x14ac:dyDescent="0.25">
      <c r="A25" s="3">
        <v>44057</v>
      </c>
      <c r="B25" s="1">
        <f t="shared" si="0"/>
        <v>624</v>
      </c>
      <c r="C25" s="1">
        <v>1244.599770314348</v>
      </c>
      <c r="D25" s="1">
        <f t="shared" si="1"/>
        <v>620.59977031434801</v>
      </c>
      <c r="E25" s="2">
        <v>12</v>
      </c>
      <c r="F25" s="1">
        <v>103.71664752619566</v>
      </c>
      <c r="G25" s="1">
        <v>51.716647526195665</v>
      </c>
      <c r="H25" s="1">
        <v>52</v>
      </c>
      <c r="I25">
        <f t="shared" si="2"/>
        <v>6.4361503683694279</v>
      </c>
      <c r="J25">
        <f t="shared" si="3"/>
        <v>3.9512437185814275</v>
      </c>
      <c r="K25" s="1">
        <f t="shared" si="4"/>
        <v>51.999999999999993</v>
      </c>
      <c r="L25">
        <f t="shared" si="5"/>
        <v>572.00000000000011</v>
      </c>
    </row>
    <row r="26" spans="1:41" x14ac:dyDescent="0.25">
      <c r="A26" s="3">
        <v>44053</v>
      </c>
      <c r="B26" s="1">
        <f t="shared" si="0"/>
        <v>1300</v>
      </c>
      <c r="C26" s="1">
        <v>2588.6296693978238</v>
      </c>
      <c r="D26" s="1">
        <f t="shared" si="1"/>
        <v>1288.6296693978234</v>
      </c>
      <c r="E26" s="2">
        <v>26</v>
      </c>
      <c r="F26" s="1">
        <v>99.562679592223986</v>
      </c>
      <c r="G26" s="1">
        <v>49.562679592223979</v>
      </c>
      <c r="H26" s="1">
        <v>50</v>
      </c>
      <c r="I26">
        <f t="shared" si="2"/>
        <v>7.1701195434496281</v>
      </c>
      <c r="J26">
        <f t="shared" si="3"/>
        <v>3.912023005428146</v>
      </c>
      <c r="K26" s="1">
        <f t="shared" si="4"/>
        <v>50.000000000000007</v>
      </c>
      <c r="L26">
        <f t="shared" si="5"/>
        <v>1250</v>
      </c>
    </row>
    <row r="27" spans="1:41" x14ac:dyDescent="0.25">
      <c r="A27" s="3">
        <v>44047</v>
      </c>
      <c r="B27" s="1">
        <f t="shared" si="0"/>
        <v>532</v>
      </c>
      <c r="C27" s="1">
        <v>1199.5466961887139</v>
      </c>
      <c r="D27" s="1">
        <f t="shared" si="1"/>
        <v>667.5466961887139</v>
      </c>
      <c r="E27" s="2">
        <v>19</v>
      </c>
      <c r="F27" s="1">
        <v>63.134036641511258</v>
      </c>
      <c r="G27" s="1">
        <v>35.134036641511258</v>
      </c>
      <c r="H27" s="1">
        <v>28</v>
      </c>
      <c r="I27">
        <f t="shared" si="2"/>
        <v>6.2766434893416445</v>
      </c>
      <c r="J27">
        <f t="shared" si="3"/>
        <v>3.3322045101752038</v>
      </c>
      <c r="K27" s="1">
        <f t="shared" si="4"/>
        <v>28</v>
      </c>
      <c r="L27">
        <f t="shared" si="5"/>
        <v>504.00000000000011</v>
      </c>
    </row>
    <row r="28" spans="1:41" x14ac:dyDescent="0.25">
      <c r="A28" s="3">
        <v>44047</v>
      </c>
      <c r="B28" s="1">
        <f t="shared" si="0"/>
        <v>731</v>
      </c>
      <c r="C28" s="1">
        <v>1913.0348643206573</v>
      </c>
      <c r="D28" s="1">
        <f t="shared" si="1"/>
        <v>1182.0348643206573</v>
      </c>
      <c r="E28" s="2">
        <v>17</v>
      </c>
      <c r="F28" s="1">
        <v>112.5314626070975</v>
      </c>
      <c r="G28" s="1">
        <v>69.531462607097495</v>
      </c>
      <c r="H28" s="1">
        <v>43</v>
      </c>
      <c r="I28">
        <f t="shared" si="2"/>
        <v>6.5944134597497781</v>
      </c>
      <c r="J28">
        <f t="shared" si="3"/>
        <v>3.7612001156935624</v>
      </c>
      <c r="K28" s="1">
        <f t="shared" si="4"/>
        <v>43</v>
      </c>
      <c r="L28">
        <f t="shared" si="5"/>
        <v>687.99999999999966</v>
      </c>
    </row>
    <row r="29" spans="1:41" x14ac:dyDescent="0.25">
      <c r="A29" s="3">
        <v>44040</v>
      </c>
      <c r="B29" s="1">
        <f t="shared" si="0"/>
        <v>1410</v>
      </c>
      <c r="C29" s="1">
        <v>2653.9361438102806</v>
      </c>
      <c r="D29" s="1">
        <f t="shared" si="1"/>
        <v>1243.9361438102806</v>
      </c>
      <c r="E29" s="2">
        <v>15</v>
      </c>
      <c r="F29" s="1">
        <v>176.9290762540187</v>
      </c>
      <c r="G29" s="1">
        <v>82.92907625401871</v>
      </c>
      <c r="H29" s="1">
        <v>94</v>
      </c>
      <c r="I29">
        <f t="shared" si="2"/>
        <v>7.2513449833722143</v>
      </c>
      <c r="J29">
        <f t="shared" si="3"/>
        <v>4.5432947822700038</v>
      </c>
      <c r="K29" s="1">
        <f t="shared" si="4"/>
        <v>93.999999999999986</v>
      </c>
      <c r="L29">
        <f t="shared" si="5"/>
        <v>1316.0000000000005</v>
      </c>
    </row>
    <row r="30" spans="1:41" x14ac:dyDescent="0.25">
      <c r="A30" s="3">
        <v>44040</v>
      </c>
      <c r="B30" s="1">
        <f t="shared" si="0"/>
        <v>8112</v>
      </c>
      <c r="C30" s="1">
        <v>17660.714657337128</v>
      </c>
      <c r="D30" s="1">
        <f t="shared" si="1"/>
        <v>9548.7146573371283</v>
      </c>
      <c r="E30" s="2">
        <v>169</v>
      </c>
      <c r="F30" s="1">
        <v>104.50127016175816</v>
      </c>
      <c r="G30" s="1">
        <v>56.501270161758157</v>
      </c>
      <c r="H30" s="1">
        <v>48</v>
      </c>
      <c r="I30">
        <f t="shared" si="2"/>
        <v>9.0010997258309651</v>
      </c>
      <c r="J30">
        <f t="shared" si="3"/>
        <v>3.8712010109078911</v>
      </c>
      <c r="K30" s="1">
        <f t="shared" si="4"/>
        <v>48</v>
      </c>
      <c r="L30">
        <f t="shared" si="5"/>
        <v>8064.0000000000055</v>
      </c>
    </row>
    <row r="31" spans="1:41" x14ac:dyDescent="0.25">
      <c r="A31" s="3">
        <v>44032</v>
      </c>
      <c r="B31" s="1">
        <f t="shared" si="0"/>
        <v>4074</v>
      </c>
      <c r="C31" s="1">
        <v>8013.1626361673489</v>
      </c>
      <c r="D31" s="1">
        <f t="shared" si="1"/>
        <v>3939.1626361673493</v>
      </c>
      <c r="E31" s="2">
        <v>97</v>
      </c>
      <c r="F31" s="1">
        <v>82.609924084199477</v>
      </c>
      <c r="G31" s="1">
        <v>40.609924084199477</v>
      </c>
      <c r="H31" s="1">
        <v>42</v>
      </c>
      <c r="I31">
        <f t="shared" si="2"/>
        <v>8.3123805967867508</v>
      </c>
      <c r="J31">
        <f t="shared" si="3"/>
        <v>3.7376696182833684</v>
      </c>
      <c r="K31" s="1">
        <f t="shared" si="4"/>
        <v>42</v>
      </c>
      <c r="L31">
        <f t="shared" si="5"/>
        <v>4031.9999999999986</v>
      </c>
    </row>
    <row r="32" spans="1:41" x14ac:dyDescent="0.25">
      <c r="A32" s="3">
        <v>44027</v>
      </c>
      <c r="B32" s="1">
        <f t="shared" si="0"/>
        <v>1280</v>
      </c>
      <c r="C32" s="1">
        <v>3341.5941748718797</v>
      </c>
      <c r="D32" s="1">
        <f t="shared" si="1"/>
        <v>2061.5941748718792</v>
      </c>
      <c r="E32" s="2">
        <v>20</v>
      </c>
      <c r="F32" s="1">
        <v>167.07970874359398</v>
      </c>
      <c r="G32" s="1">
        <v>103.07970874359397</v>
      </c>
      <c r="H32" s="1">
        <v>64</v>
      </c>
      <c r="I32">
        <f t="shared" si="2"/>
        <v>7.1546153569136628</v>
      </c>
      <c r="J32">
        <f t="shared" si="3"/>
        <v>4.1588830833596715</v>
      </c>
      <c r="K32" s="1">
        <f t="shared" si="4"/>
        <v>64.000000000000014</v>
      </c>
      <c r="L32">
        <f t="shared" si="5"/>
        <v>1216</v>
      </c>
    </row>
    <row r="33" spans="1:12" x14ac:dyDescent="0.25">
      <c r="A33" s="3">
        <v>44019</v>
      </c>
      <c r="B33" s="1">
        <f t="shared" si="0"/>
        <v>2150</v>
      </c>
      <c r="C33" s="1">
        <v>3886.4900564452028</v>
      </c>
      <c r="D33" s="1">
        <f t="shared" si="1"/>
        <v>1736.4900564452032</v>
      </c>
      <c r="E33" s="2">
        <v>25</v>
      </c>
      <c r="F33" s="1">
        <v>155.45960225780811</v>
      </c>
      <c r="G33" s="1">
        <v>69.459602257808129</v>
      </c>
      <c r="H33" s="1">
        <v>86</v>
      </c>
      <c r="I33">
        <f t="shared" si="2"/>
        <v>7.6732231211217083</v>
      </c>
      <c r="J33">
        <f t="shared" si="3"/>
        <v>4.4543472962535073</v>
      </c>
      <c r="K33" s="1">
        <f t="shared" si="4"/>
        <v>85.999999999999986</v>
      </c>
      <c r="L33">
        <f t="shared" si="5"/>
        <v>2063.9999999999995</v>
      </c>
    </row>
    <row r="34" spans="1:12" x14ac:dyDescent="0.25">
      <c r="A34" s="3">
        <v>44018</v>
      </c>
      <c r="B34" s="1">
        <f t="shared" si="0"/>
        <v>270</v>
      </c>
      <c r="C34" s="1">
        <v>640.82245502530009</v>
      </c>
      <c r="D34" s="1">
        <f t="shared" si="1"/>
        <v>370.82245502530014</v>
      </c>
      <c r="E34" s="2">
        <v>10</v>
      </c>
      <c r="F34" s="1">
        <v>64.082245502530014</v>
      </c>
      <c r="G34" s="1">
        <v>37.082245502530014</v>
      </c>
      <c r="H34" s="1">
        <v>27</v>
      </c>
      <c r="I34">
        <f t="shared" si="2"/>
        <v>5.598421958998375</v>
      </c>
      <c r="J34">
        <f t="shared" si="3"/>
        <v>3.2958368660043291</v>
      </c>
      <c r="K34" s="1">
        <f t="shared" si="4"/>
        <v>27</v>
      </c>
      <c r="L34">
        <f t="shared" si="5"/>
        <v>243.00000000000006</v>
      </c>
    </row>
    <row r="35" spans="1:12" x14ac:dyDescent="0.25">
      <c r="A35" s="3">
        <v>44014</v>
      </c>
      <c r="B35" s="1">
        <f t="shared" si="0"/>
        <v>40</v>
      </c>
      <c r="C35" s="1">
        <v>67.276980287112735</v>
      </c>
      <c r="D35" s="1">
        <f t="shared" si="1"/>
        <v>27.276980287112735</v>
      </c>
      <c r="E35" s="2">
        <v>1</v>
      </c>
      <c r="F35" s="1">
        <v>67.276980287112735</v>
      </c>
      <c r="G35" s="1">
        <v>27.276980287112735</v>
      </c>
      <c r="H35" s="1">
        <v>40</v>
      </c>
      <c r="I35">
        <f t="shared" si="2"/>
        <v>3.6888794541139363</v>
      </c>
      <c r="J35">
        <f t="shared" si="3"/>
        <v>3.6888794541139363</v>
      </c>
      <c r="K35" s="1">
        <f t="shared" si="4"/>
        <v>40</v>
      </c>
      <c r="L35">
        <f t="shared" si="5"/>
        <v>0</v>
      </c>
    </row>
    <row r="36" spans="1:12" x14ac:dyDescent="0.25">
      <c r="A36" s="3">
        <v>44010</v>
      </c>
      <c r="B36" s="1">
        <f t="shared" si="0"/>
        <v>585</v>
      </c>
      <c r="C36" s="1">
        <v>1425.817332512536</v>
      </c>
      <c r="D36" s="1">
        <f t="shared" si="1"/>
        <v>840.81733251253615</v>
      </c>
      <c r="E36" s="2">
        <v>13</v>
      </c>
      <c r="F36" s="1">
        <v>109.67825634711816</v>
      </c>
      <c r="G36" s="1">
        <v>64.678256347118165</v>
      </c>
      <c r="H36" s="1">
        <v>45</v>
      </c>
      <c r="I36">
        <f t="shared" si="2"/>
        <v>6.3716118472318568</v>
      </c>
      <c r="J36">
        <f t="shared" si="3"/>
        <v>3.8066624897703196</v>
      </c>
      <c r="K36" s="1">
        <f t="shared" si="4"/>
        <v>45</v>
      </c>
      <c r="L36">
        <f t="shared" si="5"/>
        <v>540.00000000000023</v>
      </c>
    </row>
    <row r="37" spans="1:12" x14ac:dyDescent="0.25">
      <c r="A37" s="3">
        <v>43998</v>
      </c>
      <c r="B37" s="1">
        <f t="shared" si="0"/>
        <v>606</v>
      </c>
      <c r="C37" s="1">
        <v>1115.9977374340422</v>
      </c>
      <c r="D37" s="1">
        <f t="shared" si="1"/>
        <v>509.99773743404222</v>
      </c>
      <c r="E37" s="2">
        <v>6</v>
      </c>
      <c r="F37" s="1">
        <v>185.9996229056737</v>
      </c>
      <c r="G37" s="1">
        <v>84.999622905673704</v>
      </c>
      <c r="H37" s="1">
        <v>101</v>
      </c>
      <c r="I37">
        <f t="shared" si="2"/>
        <v>6.4068799860693142</v>
      </c>
      <c r="J37">
        <f t="shared" si="3"/>
        <v>4.6151205168412597</v>
      </c>
      <c r="K37" s="1">
        <f t="shared" si="4"/>
        <v>101</v>
      </c>
      <c r="L37">
        <f t="shared" si="5"/>
        <v>504.99999999999989</v>
      </c>
    </row>
    <row r="38" spans="1:12" x14ac:dyDescent="0.25">
      <c r="A38" s="3">
        <v>43983</v>
      </c>
      <c r="B38" s="1">
        <f t="shared" si="0"/>
        <v>570</v>
      </c>
      <c r="C38" s="1">
        <v>1281.8884245408519</v>
      </c>
      <c r="D38" s="1">
        <f t="shared" si="1"/>
        <v>711.88842454085193</v>
      </c>
      <c r="E38" s="2">
        <v>19</v>
      </c>
      <c r="F38" s="1">
        <v>67.467811817939577</v>
      </c>
      <c r="G38" s="1">
        <v>37.467811817939577</v>
      </c>
      <c r="H38" s="1">
        <v>30</v>
      </c>
      <c r="I38">
        <f t="shared" si="2"/>
        <v>6.3456363608285962</v>
      </c>
      <c r="J38">
        <f t="shared" si="3"/>
        <v>3.4011973816621555</v>
      </c>
      <c r="K38" s="1">
        <f t="shared" si="4"/>
        <v>30</v>
      </c>
      <c r="L38">
        <f t="shared" si="5"/>
        <v>540.00000000000023</v>
      </c>
    </row>
    <row r="39" spans="1:12" x14ac:dyDescent="0.25">
      <c r="A39" s="3">
        <v>43978</v>
      </c>
      <c r="B39" s="1">
        <f t="shared" si="0"/>
        <v>1586</v>
      </c>
      <c r="C39" s="1">
        <v>2729.8777102530426</v>
      </c>
      <c r="D39" s="1">
        <f t="shared" si="1"/>
        <v>1143.8777102530426</v>
      </c>
      <c r="E39" s="2">
        <v>13</v>
      </c>
      <c r="F39" s="1">
        <v>209.9905930963879</v>
      </c>
      <c r="G39" s="1">
        <v>87.990593096387883</v>
      </c>
      <c r="H39" s="1">
        <v>122</v>
      </c>
      <c r="I39">
        <f t="shared" si="2"/>
        <v>7.368970402194793</v>
      </c>
      <c r="J39">
        <f t="shared" si="3"/>
        <v>4.8040210447332568</v>
      </c>
      <c r="K39" s="1">
        <f t="shared" si="4"/>
        <v>122.00000000000001</v>
      </c>
      <c r="L39">
        <f t="shared" si="5"/>
        <v>1463.9999999999995</v>
      </c>
    </row>
    <row r="40" spans="1:12" x14ac:dyDescent="0.25">
      <c r="A40" s="3">
        <v>43977</v>
      </c>
      <c r="B40" s="1">
        <f t="shared" si="0"/>
        <v>7866</v>
      </c>
      <c r="C40" s="1">
        <v>14368.867018885629</v>
      </c>
      <c r="D40" s="1">
        <f t="shared" si="1"/>
        <v>6502.8670188856277</v>
      </c>
      <c r="E40" s="2">
        <v>138</v>
      </c>
      <c r="F40" s="1">
        <v>104.12222477453354</v>
      </c>
      <c r="G40" s="1">
        <v>47.122224774533535</v>
      </c>
      <c r="H40" s="1">
        <v>57</v>
      </c>
      <c r="I40">
        <f t="shared" si="2"/>
        <v>8.9703049529917553</v>
      </c>
      <c r="J40">
        <f t="shared" si="3"/>
        <v>4.0430512678345503</v>
      </c>
      <c r="K40" s="1">
        <f t="shared" si="4"/>
        <v>57</v>
      </c>
      <c r="L40">
        <f t="shared" si="5"/>
        <v>7809.0000000000036</v>
      </c>
    </row>
    <row r="41" spans="1:12" x14ac:dyDescent="0.25">
      <c r="A41" s="3">
        <v>43959</v>
      </c>
      <c r="B41" s="1">
        <f t="shared" si="0"/>
        <v>725</v>
      </c>
      <c r="C41" s="1">
        <v>2049.7136956396153</v>
      </c>
      <c r="D41" s="1">
        <f t="shared" si="1"/>
        <v>1324.7136956396153</v>
      </c>
      <c r="E41" s="2">
        <v>29</v>
      </c>
      <c r="F41" s="1">
        <v>70.679782608262599</v>
      </c>
      <c r="G41" s="1">
        <v>45.679782608262592</v>
      </c>
      <c r="H41" s="1">
        <v>25</v>
      </c>
      <c r="I41">
        <f t="shared" si="2"/>
        <v>6.5861716548546747</v>
      </c>
      <c r="J41">
        <f t="shared" si="3"/>
        <v>3.2188758248682006</v>
      </c>
      <c r="K41" s="1">
        <f t="shared" si="4"/>
        <v>25.000000000000007</v>
      </c>
      <c r="L41">
        <f t="shared" si="5"/>
        <v>700</v>
      </c>
    </row>
    <row r="42" spans="1:12" x14ac:dyDescent="0.25">
      <c r="A42" s="3">
        <v>43958</v>
      </c>
      <c r="B42" s="1">
        <f t="shared" si="0"/>
        <v>6230</v>
      </c>
      <c r="C42" s="1">
        <v>12091.262715702564</v>
      </c>
      <c r="D42" s="1">
        <f t="shared" si="1"/>
        <v>5861.2627157025636</v>
      </c>
      <c r="E42" s="2">
        <v>70</v>
      </c>
      <c r="F42" s="1">
        <v>172.73232451003662</v>
      </c>
      <c r="G42" s="1">
        <v>83.732324510036619</v>
      </c>
      <c r="H42" s="1">
        <v>89</v>
      </c>
      <c r="I42">
        <f t="shared" si="2"/>
        <v>8.7371316117814981</v>
      </c>
      <c r="J42">
        <f t="shared" si="3"/>
        <v>4.4886363697321396</v>
      </c>
      <c r="K42" s="1">
        <f t="shared" si="4"/>
        <v>89</v>
      </c>
      <c r="L42">
        <f t="shared" si="5"/>
        <v>6140.9999999999955</v>
      </c>
    </row>
    <row r="43" spans="1:12" x14ac:dyDescent="0.25">
      <c r="A43" s="3">
        <v>43957</v>
      </c>
      <c r="B43" s="1">
        <f t="shared" si="0"/>
        <v>1482</v>
      </c>
      <c r="C43" s="1">
        <v>3705.2320970096976</v>
      </c>
      <c r="D43" s="1">
        <f t="shared" si="1"/>
        <v>2223.232097009698</v>
      </c>
      <c r="E43" s="2">
        <v>57</v>
      </c>
      <c r="F43" s="1">
        <v>65.004071877363117</v>
      </c>
      <c r="G43" s="1">
        <v>39.004071877363124</v>
      </c>
      <c r="H43" s="1">
        <v>26</v>
      </c>
      <c r="I43">
        <f t="shared" si="2"/>
        <v>7.301147805856032</v>
      </c>
      <c r="J43">
        <f t="shared" si="3"/>
        <v>3.2580965380214821</v>
      </c>
      <c r="K43" s="1">
        <f t="shared" si="4"/>
        <v>25.999999999999993</v>
      </c>
      <c r="L43">
        <f t="shared" si="5"/>
        <v>1455.9999999999995</v>
      </c>
    </row>
    <row r="44" spans="1:12" x14ac:dyDescent="0.25">
      <c r="A44" s="3">
        <v>43952</v>
      </c>
      <c r="B44" s="1">
        <f t="shared" si="0"/>
        <v>2032</v>
      </c>
      <c r="C44" s="1">
        <v>3477.6965034467839</v>
      </c>
      <c r="D44" s="1">
        <f t="shared" si="1"/>
        <v>1445.6965034467842</v>
      </c>
      <c r="E44" s="2">
        <v>16</v>
      </c>
      <c r="F44" s="1">
        <v>217.356031465424</v>
      </c>
      <c r="G44" s="1">
        <v>90.35603146542401</v>
      </c>
      <c r="H44" s="1">
        <v>127</v>
      </c>
      <c r="I44">
        <f t="shared" si="2"/>
        <v>7.6167758086983728</v>
      </c>
      <c r="J44">
        <f t="shared" si="3"/>
        <v>4.8441870864585912</v>
      </c>
      <c r="K44" s="1">
        <f t="shared" si="4"/>
        <v>126.99999999999999</v>
      </c>
      <c r="L44">
        <f t="shared" si="5"/>
        <v>1905.0000000000005</v>
      </c>
    </row>
    <row r="45" spans="1:12" x14ac:dyDescent="0.25">
      <c r="A45" s="3">
        <v>43951</v>
      </c>
      <c r="B45" s="1">
        <f t="shared" si="0"/>
        <v>1881</v>
      </c>
      <c r="C45" s="1">
        <v>3783.5765732582181</v>
      </c>
      <c r="D45" s="1">
        <f t="shared" si="1"/>
        <v>1902.5765732582181</v>
      </c>
      <c r="E45" s="2">
        <v>19</v>
      </c>
      <c r="F45" s="1">
        <v>199.13560911885358</v>
      </c>
      <c r="G45" s="1">
        <v>100.13560911885358</v>
      </c>
      <c r="H45" s="1">
        <v>99</v>
      </c>
      <c r="I45">
        <f t="shared" si="2"/>
        <v>7.5395588293010301</v>
      </c>
      <c r="J45">
        <f t="shared" si="3"/>
        <v>4.5951198501345898</v>
      </c>
      <c r="K45" s="1">
        <f t="shared" si="4"/>
        <v>99</v>
      </c>
      <c r="L45">
        <f t="shared" si="5"/>
        <v>1781.9999999999993</v>
      </c>
    </row>
    <row r="46" spans="1:12" x14ac:dyDescent="0.25">
      <c r="A46" s="3">
        <v>43951</v>
      </c>
      <c r="B46" s="1">
        <f t="shared" si="0"/>
        <v>7375</v>
      </c>
      <c r="C46" s="1">
        <v>12544.533461631529</v>
      </c>
      <c r="D46" s="1">
        <f t="shared" si="1"/>
        <v>5169.5334616315276</v>
      </c>
      <c r="E46" s="2">
        <v>59</v>
      </c>
      <c r="F46" s="1">
        <v>212.6192112140937</v>
      </c>
      <c r="G46" s="1">
        <v>87.619211214093696</v>
      </c>
      <c r="H46" s="1">
        <v>125</v>
      </c>
      <c r="I46">
        <f t="shared" si="2"/>
        <v>8.9058511812080212</v>
      </c>
      <c r="J46">
        <f t="shared" si="3"/>
        <v>4.8283137373023015</v>
      </c>
      <c r="K46" s="1">
        <f t="shared" si="4"/>
        <v>125</v>
      </c>
      <c r="L46">
        <f t="shared" si="5"/>
        <v>7250.0000000000045</v>
      </c>
    </row>
    <row r="47" spans="1:12" x14ac:dyDescent="0.25">
      <c r="A47" s="3">
        <v>43929</v>
      </c>
      <c r="B47" s="1">
        <f t="shared" si="0"/>
        <v>1914</v>
      </c>
      <c r="C47" s="1">
        <v>3965.8397738484996</v>
      </c>
      <c r="D47" s="1">
        <f t="shared" si="1"/>
        <v>2051.8397738484996</v>
      </c>
      <c r="E47" s="2">
        <v>33</v>
      </c>
      <c r="F47" s="1">
        <v>120.17696284389393</v>
      </c>
      <c r="G47" s="1">
        <v>62.176962843893925</v>
      </c>
      <c r="H47" s="1">
        <v>58</v>
      </c>
      <c r="I47">
        <f t="shared" si="2"/>
        <v>7.5569505720128998</v>
      </c>
      <c r="J47">
        <f t="shared" si="3"/>
        <v>4.0604430105464191</v>
      </c>
      <c r="K47" s="1">
        <f t="shared" si="4"/>
        <v>58.000000000000007</v>
      </c>
      <c r="L47">
        <f t="shared" si="5"/>
        <v>1856.0000000000005</v>
      </c>
    </row>
    <row r="48" spans="1:12" x14ac:dyDescent="0.25">
      <c r="A48" s="3">
        <v>43921</v>
      </c>
      <c r="B48" s="1">
        <f t="shared" si="0"/>
        <v>1287</v>
      </c>
      <c r="C48" s="1">
        <v>2556.1909525132673</v>
      </c>
      <c r="D48" s="1">
        <f t="shared" si="1"/>
        <v>1269.1909525132673</v>
      </c>
      <c r="E48" s="2">
        <v>33</v>
      </c>
      <c r="F48" s="1">
        <v>77.460331894341437</v>
      </c>
      <c r="G48" s="1">
        <v>38.460331894341437</v>
      </c>
      <c r="H48" s="1">
        <v>39</v>
      </c>
      <c r="I48">
        <f t="shared" si="2"/>
        <v>7.160069207596127</v>
      </c>
      <c r="J48">
        <f t="shared" si="3"/>
        <v>3.6635616461296463</v>
      </c>
      <c r="K48" s="1">
        <f t="shared" si="4"/>
        <v>39</v>
      </c>
      <c r="L48">
        <f t="shared" si="5"/>
        <v>1248.0000000000005</v>
      </c>
    </row>
    <row r="49" spans="1:12" x14ac:dyDescent="0.25">
      <c r="A49" s="3">
        <v>43921</v>
      </c>
      <c r="B49" s="1">
        <f t="shared" si="0"/>
        <v>2848</v>
      </c>
      <c r="C49" s="1">
        <v>7698.319721367141</v>
      </c>
      <c r="D49" s="1">
        <f t="shared" si="1"/>
        <v>4850.319721367141</v>
      </c>
      <c r="E49" s="2">
        <v>32</v>
      </c>
      <c r="F49" s="1">
        <v>240.57249129272316</v>
      </c>
      <c r="G49" s="1">
        <v>151.57249129272316</v>
      </c>
      <c r="H49" s="1">
        <v>89</v>
      </c>
      <c r="I49">
        <f t="shared" si="2"/>
        <v>7.9543722725318666</v>
      </c>
      <c r="J49">
        <f t="shared" si="3"/>
        <v>4.4886363697321396</v>
      </c>
      <c r="K49" s="1">
        <f t="shared" si="4"/>
        <v>89</v>
      </c>
      <c r="L49">
        <f t="shared" si="5"/>
        <v>2759.0000000000009</v>
      </c>
    </row>
    <row r="50" spans="1:12" x14ac:dyDescent="0.25">
      <c r="A50" s="3">
        <v>43914</v>
      </c>
      <c r="B50" s="1">
        <f t="shared" si="0"/>
        <v>2704</v>
      </c>
      <c r="C50" s="1">
        <v>5038.0325671094843</v>
      </c>
      <c r="D50" s="1">
        <f t="shared" si="1"/>
        <v>2334.0325671094843</v>
      </c>
      <c r="E50" s="2">
        <v>104</v>
      </c>
      <c r="F50" s="1">
        <v>48.442620837591193</v>
      </c>
      <c r="G50" s="1">
        <v>22.442620837591193</v>
      </c>
      <c r="H50" s="1">
        <v>26</v>
      </c>
      <c r="I50">
        <f t="shared" si="2"/>
        <v>7.9024874371628551</v>
      </c>
      <c r="J50">
        <f t="shared" si="3"/>
        <v>3.2580965380214821</v>
      </c>
      <c r="K50" s="1">
        <f t="shared" si="4"/>
        <v>26</v>
      </c>
      <c r="L50">
        <f t="shared" si="5"/>
        <v>2678.0000000000009</v>
      </c>
    </row>
    <row r="51" spans="1:12" x14ac:dyDescent="0.25">
      <c r="A51" s="3">
        <v>43911</v>
      </c>
      <c r="B51" s="1">
        <f t="shared" si="0"/>
        <v>59</v>
      </c>
      <c r="C51" s="1">
        <v>148.42228232490095</v>
      </c>
      <c r="D51" s="1">
        <f t="shared" si="1"/>
        <v>89.422282324900962</v>
      </c>
      <c r="E51" s="2">
        <v>1</v>
      </c>
      <c r="F51" s="1">
        <v>148.42228232490095</v>
      </c>
      <c r="G51" s="1">
        <v>89.422282324900962</v>
      </c>
      <c r="H51" s="1">
        <v>59</v>
      </c>
      <c r="I51">
        <f t="shared" si="2"/>
        <v>4.0775374439057197</v>
      </c>
      <c r="J51">
        <f t="shared" si="3"/>
        <v>4.0775374439057197</v>
      </c>
      <c r="K51" s="1">
        <f t="shared" si="4"/>
        <v>58.999999999999986</v>
      </c>
      <c r="L51">
        <f t="shared" si="5"/>
        <v>0</v>
      </c>
    </row>
    <row r="52" spans="1:12" x14ac:dyDescent="0.25">
      <c r="A52" s="3">
        <v>43902</v>
      </c>
      <c r="B52" s="1">
        <f t="shared" si="0"/>
        <v>180</v>
      </c>
      <c r="C52" s="1">
        <v>409.31037777159486</v>
      </c>
      <c r="D52" s="1">
        <f t="shared" si="1"/>
        <v>229.31037777159486</v>
      </c>
      <c r="E52" s="2">
        <v>10</v>
      </c>
      <c r="F52" s="1">
        <v>40.931037777159489</v>
      </c>
      <c r="G52" s="1">
        <v>22.931037777159485</v>
      </c>
      <c r="H52" s="1">
        <v>18</v>
      </c>
      <c r="I52">
        <f t="shared" si="2"/>
        <v>5.1929568508902104</v>
      </c>
      <c r="J52">
        <f t="shared" si="3"/>
        <v>2.8903717578961645</v>
      </c>
      <c r="K52" s="1">
        <f t="shared" si="4"/>
        <v>18.000000000000004</v>
      </c>
      <c r="L52">
        <f t="shared" si="5"/>
        <v>162</v>
      </c>
    </row>
    <row r="53" spans="1:12" x14ac:dyDescent="0.25">
      <c r="A53" s="3">
        <v>43895</v>
      </c>
      <c r="B53" s="1">
        <f t="shared" si="0"/>
        <v>117</v>
      </c>
      <c r="C53" s="1">
        <v>345.60279479222953</v>
      </c>
      <c r="D53" s="1">
        <f t="shared" si="1"/>
        <v>228.60279479222956</v>
      </c>
      <c r="E53" s="2">
        <v>13</v>
      </c>
      <c r="F53" s="1">
        <v>26.584830368633042</v>
      </c>
      <c r="G53" s="1">
        <v>17.584830368633042</v>
      </c>
      <c r="H53" s="1">
        <v>9</v>
      </c>
      <c r="I53">
        <f t="shared" si="2"/>
        <v>4.7621739347977563</v>
      </c>
      <c r="J53">
        <f t="shared" si="3"/>
        <v>2.1972245773362196</v>
      </c>
      <c r="K53" s="1">
        <f t="shared" si="4"/>
        <v>9</v>
      </c>
      <c r="L53">
        <f t="shared" si="5"/>
        <v>108.00000000000003</v>
      </c>
    </row>
    <row r="54" spans="1:12" x14ac:dyDescent="0.25">
      <c r="A54" s="3">
        <v>43893</v>
      </c>
      <c r="B54" s="1">
        <f t="shared" si="0"/>
        <v>23500</v>
      </c>
      <c r="C54" s="1">
        <v>40778.394586111419</v>
      </c>
      <c r="D54" s="1">
        <f t="shared" si="1"/>
        <v>17278.394586111419</v>
      </c>
      <c r="E54" s="2">
        <v>250</v>
      </c>
      <c r="F54" s="1">
        <v>163.11357834444567</v>
      </c>
      <c r="G54" s="1">
        <v>69.113578344445671</v>
      </c>
      <c r="H54" s="1">
        <v>94</v>
      </c>
      <c r="I54">
        <f t="shared" si="2"/>
        <v>10.064755700132251</v>
      </c>
      <c r="J54">
        <f t="shared" si="3"/>
        <v>4.5432947822700038</v>
      </c>
      <c r="K54" s="1">
        <f t="shared" si="4"/>
        <v>94</v>
      </c>
      <c r="L54">
        <f t="shared" si="5"/>
        <v>23406.000000000011</v>
      </c>
    </row>
    <row r="55" spans="1:12" x14ac:dyDescent="0.25">
      <c r="A55" s="3">
        <v>43892</v>
      </c>
      <c r="B55" s="1">
        <f t="shared" si="0"/>
        <v>1334</v>
      </c>
      <c r="C55" s="1">
        <v>2648.402206841231</v>
      </c>
      <c r="D55" s="1">
        <f t="shared" si="1"/>
        <v>1314.4022068412312</v>
      </c>
      <c r="E55" s="2">
        <v>23</v>
      </c>
      <c r="F55" s="1">
        <v>115.14792203657527</v>
      </c>
      <c r="G55" s="1">
        <v>57.147922036575274</v>
      </c>
      <c r="H55" s="1">
        <v>58</v>
      </c>
      <c r="I55">
        <f t="shared" si="2"/>
        <v>7.1959372264755688</v>
      </c>
      <c r="J55">
        <f t="shared" si="3"/>
        <v>4.0604430105464191</v>
      </c>
      <c r="K55" s="1">
        <f t="shared" si="4"/>
        <v>57.999999999999993</v>
      </c>
      <c r="L55">
        <f t="shared" si="5"/>
        <v>1275.9999999999995</v>
      </c>
    </row>
    <row r="56" spans="1:12" x14ac:dyDescent="0.25">
      <c r="A56" s="3">
        <v>43885</v>
      </c>
      <c r="B56" s="1">
        <f t="shared" si="0"/>
        <v>1794</v>
      </c>
      <c r="C56" s="1">
        <v>3587.8882062967368</v>
      </c>
      <c r="D56" s="1">
        <f t="shared" si="1"/>
        <v>1793.8882062967364</v>
      </c>
      <c r="E56" s="2">
        <v>26</v>
      </c>
      <c r="F56" s="1">
        <v>137.99570024218218</v>
      </c>
      <c r="G56" s="1">
        <v>68.995700242182167</v>
      </c>
      <c r="H56" s="1">
        <v>69</v>
      </c>
      <c r="I56">
        <f t="shared" si="2"/>
        <v>7.4922030426187414</v>
      </c>
      <c r="J56">
        <f t="shared" si="3"/>
        <v>4.2341065045972597</v>
      </c>
      <c r="K56" s="1">
        <f t="shared" si="4"/>
        <v>69.000000000000014</v>
      </c>
      <c r="L56">
        <f t="shared" si="5"/>
        <v>1725</v>
      </c>
    </row>
    <row r="57" spans="1:12" x14ac:dyDescent="0.25">
      <c r="A57" s="3">
        <v>43877</v>
      </c>
      <c r="B57" s="1">
        <f t="shared" si="0"/>
        <v>120</v>
      </c>
      <c r="C57" s="1">
        <v>339.4761387111115</v>
      </c>
      <c r="D57" s="1">
        <f t="shared" si="1"/>
        <v>219.4761387111115</v>
      </c>
      <c r="E57" s="2">
        <v>10</v>
      </c>
      <c r="F57" s="1">
        <v>33.947613871111152</v>
      </c>
      <c r="G57" s="1">
        <v>21.947613871111152</v>
      </c>
      <c r="H57" s="1">
        <v>12</v>
      </c>
      <c r="I57">
        <f t="shared" si="2"/>
        <v>4.7874917427820458</v>
      </c>
      <c r="J57">
        <f t="shared" si="3"/>
        <v>2.4849066497880004</v>
      </c>
      <c r="K57" s="1">
        <f t="shared" si="4"/>
        <v>12</v>
      </c>
      <c r="L57">
        <f t="shared" si="5"/>
        <v>107.99999999999997</v>
      </c>
    </row>
    <row r="58" spans="1:12" x14ac:dyDescent="0.25">
      <c r="A58" s="3">
        <v>43874</v>
      </c>
      <c r="B58" s="1">
        <f t="shared" si="0"/>
        <v>560</v>
      </c>
      <c r="C58" s="1">
        <v>1511.1074924847967</v>
      </c>
      <c r="D58" s="1">
        <f t="shared" si="1"/>
        <v>951.10749248479658</v>
      </c>
      <c r="E58" s="2">
        <v>28</v>
      </c>
      <c r="F58" s="1">
        <v>53.968124731599879</v>
      </c>
      <c r="G58" s="1">
        <v>33.968124731599879</v>
      </c>
      <c r="H58" s="1">
        <v>20</v>
      </c>
      <c r="I58">
        <f t="shared" si="2"/>
        <v>6.3279367837291947</v>
      </c>
      <c r="J58">
        <f t="shared" si="3"/>
        <v>2.9957322735539909</v>
      </c>
      <c r="K58" s="1">
        <f t="shared" si="4"/>
        <v>20</v>
      </c>
      <c r="L58">
        <f t="shared" si="5"/>
        <v>539.99999999999989</v>
      </c>
    </row>
    <row r="59" spans="1:12" x14ac:dyDescent="0.25">
      <c r="A59" s="3">
        <v>43868</v>
      </c>
      <c r="B59" s="1">
        <f t="shared" si="0"/>
        <v>444</v>
      </c>
      <c r="C59" s="1">
        <v>1149.9483740454452</v>
      </c>
      <c r="D59" s="1">
        <f t="shared" si="1"/>
        <v>705.94837404544523</v>
      </c>
      <c r="E59" s="2">
        <v>12</v>
      </c>
      <c r="F59" s="1">
        <v>95.829031170453774</v>
      </c>
      <c r="G59" s="1">
        <v>58.829031170453774</v>
      </c>
      <c r="H59" s="1">
        <v>37</v>
      </c>
      <c r="I59">
        <f t="shared" si="2"/>
        <v>6.0958245624322247</v>
      </c>
      <c r="J59">
        <f t="shared" si="3"/>
        <v>3.6109179126442243</v>
      </c>
      <c r="K59" s="1">
        <f t="shared" si="4"/>
        <v>37</v>
      </c>
      <c r="L59">
        <f t="shared" si="5"/>
        <v>407</v>
      </c>
    </row>
    <row r="60" spans="1:12" x14ac:dyDescent="0.25">
      <c r="A60" s="3">
        <v>43867</v>
      </c>
      <c r="B60" s="1">
        <f t="shared" si="0"/>
        <v>780</v>
      </c>
      <c r="C60" s="1">
        <v>1349.277276540362</v>
      </c>
      <c r="D60" s="1">
        <f t="shared" si="1"/>
        <v>569.27727654036221</v>
      </c>
      <c r="E60" s="2">
        <v>13</v>
      </c>
      <c r="F60" s="1">
        <v>103.79055973387401</v>
      </c>
      <c r="G60" s="1">
        <v>43.790559733874012</v>
      </c>
      <c r="H60" s="1">
        <v>60</v>
      </c>
      <c r="I60">
        <f t="shared" si="2"/>
        <v>6.6592939196836376</v>
      </c>
      <c r="J60">
        <f t="shared" si="3"/>
        <v>4.0943445622221004</v>
      </c>
      <c r="K60" s="1">
        <f t="shared" si="4"/>
        <v>59.999999999999993</v>
      </c>
      <c r="L60">
        <f t="shared" si="5"/>
        <v>720.00000000000011</v>
      </c>
    </row>
    <row r="61" spans="1:12" x14ac:dyDescent="0.25">
      <c r="A61" s="3">
        <v>43865</v>
      </c>
      <c r="B61" s="1">
        <f t="shared" si="0"/>
        <v>1700</v>
      </c>
      <c r="C61" s="1">
        <v>4942.1346800228612</v>
      </c>
      <c r="D61" s="1">
        <f t="shared" si="1"/>
        <v>3242.1346800228612</v>
      </c>
      <c r="E61" s="2">
        <v>50</v>
      </c>
      <c r="F61" s="1">
        <v>98.842693600457224</v>
      </c>
      <c r="G61" s="1">
        <v>64.842693600457224</v>
      </c>
      <c r="H61" s="1">
        <v>34</v>
      </c>
      <c r="I61">
        <f t="shared" si="2"/>
        <v>7.4383835300443071</v>
      </c>
      <c r="J61">
        <f t="shared" si="3"/>
        <v>3.5263605246161616</v>
      </c>
      <c r="K61" s="1">
        <f t="shared" si="4"/>
        <v>34</v>
      </c>
      <c r="L61">
        <f t="shared" si="5"/>
        <v>1665.9999999999993</v>
      </c>
    </row>
    <row r="62" spans="1:12" x14ac:dyDescent="0.25">
      <c r="A62" s="3">
        <v>43859</v>
      </c>
      <c r="B62" s="1">
        <f t="shared" si="0"/>
        <v>784</v>
      </c>
      <c r="C62" s="1">
        <v>1523.6648389046331</v>
      </c>
      <c r="D62" s="1">
        <f t="shared" si="1"/>
        <v>739.66483890463314</v>
      </c>
      <c r="E62" s="2">
        <v>8</v>
      </c>
      <c r="F62" s="1">
        <v>190.45810486307914</v>
      </c>
      <c r="G62" s="1">
        <v>92.458104863079143</v>
      </c>
      <c r="H62" s="1">
        <v>98</v>
      </c>
      <c r="I62">
        <f t="shared" si="2"/>
        <v>6.6644090203504076</v>
      </c>
      <c r="J62">
        <f t="shared" si="3"/>
        <v>4.5849674786705723</v>
      </c>
      <c r="K62" s="1">
        <f t="shared" si="4"/>
        <v>98</v>
      </c>
      <c r="L62">
        <f t="shared" si="5"/>
        <v>685.99999999999977</v>
      </c>
    </row>
    <row r="63" spans="1:12" x14ac:dyDescent="0.25">
      <c r="A63" s="3">
        <v>43859</v>
      </c>
      <c r="B63" s="1">
        <f t="shared" si="0"/>
        <v>6083</v>
      </c>
      <c r="C63" s="1">
        <v>10651.565968190027</v>
      </c>
      <c r="D63" s="1">
        <f t="shared" si="1"/>
        <v>4568.5659681900279</v>
      </c>
      <c r="E63" s="2">
        <v>77</v>
      </c>
      <c r="F63" s="1">
        <v>138.33202556090944</v>
      </c>
      <c r="G63" s="1">
        <v>59.33202556090945</v>
      </c>
      <c r="H63" s="1">
        <v>79</v>
      </c>
      <c r="I63">
        <f t="shared" si="2"/>
        <v>8.7132532743207047</v>
      </c>
      <c r="J63">
        <f t="shared" si="3"/>
        <v>4.3694478524670215</v>
      </c>
      <c r="K63" s="1">
        <f t="shared" si="4"/>
        <v>79</v>
      </c>
      <c r="L63">
        <f t="shared" si="5"/>
        <v>6003.9999999999964</v>
      </c>
    </row>
    <row r="64" spans="1:12" x14ac:dyDescent="0.25">
      <c r="A64" s="3">
        <v>43849</v>
      </c>
      <c r="B64" s="1">
        <f t="shared" si="0"/>
        <v>1428</v>
      </c>
      <c r="C64" s="1">
        <v>4025.4957237476124</v>
      </c>
      <c r="D64" s="1">
        <f t="shared" si="1"/>
        <v>2597.4957237476124</v>
      </c>
      <c r="E64" s="2">
        <v>34</v>
      </c>
      <c r="F64" s="1">
        <v>118.39693305140037</v>
      </c>
      <c r="G64" s="1">
        <v>76.396933051400367</v>
      </c>
      <c r="H64" s="1">
        <v>42</v>
      </c>
      <c r="I64">
        <f t="shared" si="2"/>
        <v>7.2640301428995295</v>
      </c>
      <c r="J64">
        <f t="shared" si="3"/>
        <v>3.7376696182833684</v>
      </c>
      <c r="K64" s="1">
        <f t="shared" si="4"/>
        <v>42</v>
      </c>
      <c r="L64">
        <f t="shared" si="5"/>
        <v>1385.9999999999998</v>
      </c>
    </row>
    <row r="65" spans="1:12" x14ac:dyDescent="0.25">
      <c r="A65" s="3">
        <v>43845</v>
      </c>
      <c r="B65" s="1">
        <f t="shared" si="0"/>
        <v>1260</v>
      </c>
      <c r="C65" s="1">
        <v>2152.883115525522</v>
      </c>
      <c r="D65" s="1">
        <f t="shared" si="1"/>
        <v>892.88311552552182</v>
      </c>
      <c r="E65" s="2">
        <v>12</v>
      </c>
      <c r="F65" s="1">
        <v>179.4069262937935</v>
      </c>
      <c r="G65" s="1">
        <v>74.406926293793489</v>
      </c>
      <c r="H65" s="1">
        <v>105</v>
      </c>
      <c r="I65">
        <f t="shared" si="2"/>
        <v>7.1388669999455239</v>
      </c>
      <c r="J65">
        <f t="shared" si="3"/>
        <v>4.6539603501575231</v>
      </c>
      <c r="K65" s="1">
        <f t="shared" si="4"/>
        <v>105.00000000000001</v>
      </c>
      <c r="L65">
        <f t="shared" si="5"/>
        <v>1155.0000000000002</v>
      </c>
    </row>
    <row r="66" spans="1:12" x14ac:dyDescent="0.25">
      <c r="A66" s="3">
        <v>43840</v>
      </c>
      <c r="B66" s="1">
        <f t="shared" ref="B66:B129" si="6">+E66*H66</f>
        <v>80</v>
      </c>
      <c r="C66" s="1">
        <v>228.44562516672124</v>
      </c>
      <c r="D66" s="1">
        <f t="shared" ref="D66:D129" si="7">+E66*G66</f>
        <v>148.44562516672124</v>
      </c>
      <c r="E66" s="2">
        <v>4</v>
      </c>
      <c r="F66" s="1">
        <v>57.111406291680311</v>
      </c>
      <c r="G66" s="1">
        <v>37.111406291680311</v>
      </c>
      <c r="H66" s="1">
        <v>20</v>
      </c>
      <c r="I66">
        <f t="shared" si="2"/>
        <v>4.3820266346738812</v>
      </c>
      <c r="J66">
        <f t="shared" si="3"/>
        <v>2.9957322735539909</v>
      </c>
      <c r="K66" s="1">
        <f t="shared" si="4"/>
        <v>20</v>
      </c>
      <c r="L66">
        <f t="shared" si="5"/>
        <v>59.999999999999972</v>
      </c>
    </row>
    <row r="67" spans="1:12" x14ac:dyDescent="0.25">
      <c r="A67" s="3">
        <v>43839</v>
      </c>
      <c r="B67" s="1">
        <f t="shared" si="6"/>
        <v>1073</v>
      </c>
      <c r="C67" s="1">
        <v>2662.8484006213589</v>
      </c>
      <c r="D67" s="1">
        <f t="shared" si="7"/>
        <v>1589.8484006213591</v>
      </c>
      <c r="E67" s="2">
        <v>29</v>
      </c>
      <c r="F67" s="1">
        <v>91.82235864211583</v>
      </c>
      <c r="G67" s="1">
        <v>54.82235864211583</v>
      </c>
      <c r="H67" s="1">
        <v>37</v>
      </c>
      <c r="I67">
        <f t="shared" ref="I67:I130" si="8">+LN(B67)</f>
        <v>6.9782137426306985</v>
      </c>
      <c r="J67">
        <f t="shared" ref="J67:J130" si="9">+LN(H67)</f>
        <v>3.6109179126442243</v>
      </c>
      <c r="K67" s="1">
        <f t="shared" ref="K67:K130" si="10">+F67-G67</f>
        <v>37</v>
      </c>
      <c r="L67">
        <f t="shared" ref="L67:L130" si="11">EXP(I67)-EXP(J67)</f>
        <v>1036</v>
      </c>
    </row>
    <row r="68" spans="1:12" x14ac:dyDescent="0.25">
      <c r="A68" s="3">
        <v>43835</v>
      </c>
      <c r="B68" s="1">
        <f t="shared" si="6"/>
        <v>670</v>
      </c>
      <c r="C68" s="1">
        <v>1284.1485061504968</v>
      </c>
      <c r="D68" s="1">
        <f t="shared" si="7"/>
        <v>614.14850615049681</v>
      </c>
      <c r="E68" s="2">
        <v>10</v>
      </c>
      <c r="F68" s="1">
        <v>128.41485061504969</v>
      </c>
      <c r="G68" s="1">
        <v>61.414850615049687</v>
      </c>
      <c r="H68" s="1">
        <v>67</v>
      </c>
      <c r="I68">
        <f t="shared" si="8"/>
        <v>6.5072777123850116</v>
      </c>
      <c r="J68">
        <f t="shared" si="9"/>
        <v>4.2046926193909657</v>
      </c>
      <c r="K68" s="1">
        <f t="shared" si="10"/>
        <v>67</v>
      </c>
      <c r="L68">
        <f t="shared" si="11"/>
        <v>602.99999999999989</v>
      </c>
    </row>
    <row r="69" spans="1:12" x14ac:dyDescent="0.25">
      <c r="A69" s="3">
        <v>43830</v>
      </c>
      <c r="B69" s="1">
        <f t="shared" si="6"/>
        <v>2747</v>
      </c>
      <c r="C69" s="1">
        <v>5927.4676444662664</v>
      </c>
      <c r="D69" s="1">
        <f t="shared" si="7"/>
        <v>3180.4676444662659</v>
      </c>
      <c r="E69" s="2">
        <v>41</v>
      </c>
      <c r="F69" s="1">
        <v>144.57238157234795</v>
      </c>
      <c r="G69" s="1">
        <v>77.57238157234795</v>
      </c>
      <c r="H69" s="1">
        <v>67</v>
      </c>
      <c r="I69">
        <f t="shared" si="8"/>
        <v>7.9182646860952737</v>
      </c>
      <c r="J69">
        <f t="shared" si="9"/>
        <v>4.2046926193909657</v>
      </c>
      <c r="K69" s="1">
        <f t="shared" si="10"/>
        <v>67</v>
      </c>
      <c r="L69">
        <f t="shared" si="11"/>
        <v>2679.9999999999995</v>
      </c>
    </row>
    <row r="70" spans="1:12" x14ac:dyDescent="0.25">
      <c r="A70" s="3">
        <v>43809</v>
      </c>
      <c r="B70" s="1">
        <f t="shared" si="6"/>
        <v>3780</v>
      </c>
      <c r="C70" s="1">
        <v>7412.7421929311422</v>
      </c>
      <c r="D70" s="1">
        <f t="shared" si="7"/>
        <v>3632.7421929311413</v>
      </c>
      <c r="E70" s="2">
        <v>42</v>
      </c>
      <c r="F70" s="1">
        <v>176.49386173645576</v>
      </c>
      <c r="G70" s="1">
        <v>86.493861736455742</v>
      </c>
      <c r="H70" s="1">
        <v>90</v>
      </c>
      <c r="I70">
        <f t="shared" si="8"/>
        <v>8.237479288613633</v>
      </c>
      <c r="J70">
        <f t="shared" si="9"/>
        <v>4.499809670330265</v>
      </c>
      <c r="K70" s="1">
        <f t="shared" si="10"/>
        <v>90.000000000000014</v>
      </c>
      <c r="L70">
        <f t="shared" si="11"/>
        <v>3689.9999999999986</v>
      </c>
    </row>
    <row r="71" spans="1:12" x14ac:dyDescent="0.25">
      <c r="A71" s="3">
        <v>43809</v>
      </c>
      <c r="B71" s="1">
        <f t="shared" si="6"/>
        <v>3290</v>
      </c>
      <c r="C71" s="1">
        <v>6144.2860188286268</v>
      </c>
      <c r="D71" s="1">
        <f t="shared" si="7"/>
        <v>2854.2860188286268</v>
      </c>
      <c r="E71" s="2">
        <v>47</v>
      </c>
      <c r="F71" s="1">
        <v>130.7294897623112</v>
      </c>
      <c r="G71" s="1">
        <v>60.729489762311211</v>
      </c>
      <c r="H71" s="1">
        <v>70</v>
      </c>
      <c r="I71">
        <f t="shared" si="8"/>
        <v>8.0986428437594178</v>
      </c>
      <c r="J71">
        <f t="shared" si="9"/>
        <v>4.2484952420493594</v>
      </c>
      <c r="K71" s="1">
        <f t="shared" si="10"/>
        <v>70</v>
      </c>
      <c r="L71">
        <f t="shared" si="11"/>
        <v>3220.0000000000009</v>
      </c>
    </row>
    <row r="72" spans="1:12" x14ac:dyDescent="0.25">
      <c r="A72" s="3">
        <v>43805</v>
      </c>
      <c r="B72" s="1">
        <f t="shared" si="6"/>
        <v>396</v>
      </c>
      <c r="C72" s="1">
        <v>669.2251267216584</v>
      </c>
      <c r="D72" s="1">
        <f t="shared" si="7"/>
        <v>273.22512672165846</v>
      </c>
      <c r="E72" s="2">
        <v>9</v>
      </c>
      <c r="F72" s="1">
        <v>74.358347413517606</v>
      </c>
      <c r="G72" s="1">
        <v>30.358347413517606</v>
      </c>
      <c r="H72" s="1">
        <v>44</v>
      </c>
      <c r="I72">
        <f t="shared" si="8"/>
        <v>5.9814142112544806</v>
      </c>
      <c r="J72">
        <f t="shared" si="9"/>
        <v>3.784189633918261</v>
      </c>
      <c r="K72" s="1">
        <f t="shared" si="10"/>
        <v>44</v>
      </c>
      <c r="L72">
        <f t="shared" si="11"/>
        <v>352</v>
      </c>
    </row>
    <row r="73" spans="1:12" x14ac:dyDescent="0.25">
      <c r="A73" s="3">
        <v>43800</v>
      </c>
      <c r="B73" s="1">
        <f t="shared" si="6"/>
        <v>6519</v>
      </c>
      <c r="C73" s="1">
        <v>11338.617086275133</v>
      </c>
      <c r="D73" s="1">
        <f t="shared" si="7"/>
        <v>4819.6170862751342</v>
      </c>
      <c r="E73" s="2">
        <v>53</v>
      </c>
      <c r="F73" s="1">
        <v>213.93617143915347</v>
      </c>
      <c r="G73" s="1">
        <v>90.936171439153469</v>
      </c>
      <c r="H73" s="1">
        <v>123</v>
      </c>
      <c r="I73">
        <f t="shared" si="8"/>
        <v>8.7824762689245386</v>
      </c>
      <c r="J73">
        <f t="shared" si="9"/>
        <v>4.8121843553724171</v>
      </c>
      <c r="K73" s="1">
        <f t="shared" si="10"/>
        <v>123</v>
      </c>
      <c r="L73">
        <f t="shared" si="11"/>
        <v>6395.9999999999955</v>
      </c>
    </row>
    <row r="74" spans="1:12" x14ac:dyDescent="0.25">
      <c r="A74" s="3">
        <v>43795</v>
      </c>
      <c r="B74" s="1">
        <f t="shared" si="6"/>
        <v>9398</v>
      </c>
      <c r="C74" s="1">
        <v>16488.562551013834</v>
      </c>
      <c r="D74" s="1">
        <f t="shared" si="7"/>
        <v>7090.5625510138334</v>
      </c>
      <c r="E74" s="2">
        <v>74</v>
      </c>
      <c r="F74" s="1">
        <v>222.81841285153828</v>
      </c>
      <c r="G74" s="1">
        <v>95.818412851538284</v>
      </c>
      <c r="H74" s="1">
        <v>127</v>
      </c>
      <c r="I74">
        <f t="shared" si="8"/>
        <v>9.1482521796627605</v>
      </c>
      <c r="J74">
        <f t="shared" si="9"/>
        <v>4.8441870864585912</v>
      </c>
      <c r="K74" s="1">
        <f t="shared" si="10"/>
        <v>127</v>
      </c>
      <c r="L74">
        <f t="shared" si="11"/>
        <v>9270.9999999999945</v>
      </c>
    </row>
    <row r="75" spans="1:12" x14ac:dyDescent="0.25">
      <c r="A75" s="3">
        <v>43778</v>
      </c>
      <c r="B75" s="1">
        <f t="shared" si="6"/>
        <v>232</v>
      </c>
      <c r="C75" s="1">
        <v>672.70777424220068</v>
      </c>
      <c r="D75" s="1">
        <f t="shared" si="7"/>
        <v>440.70777424220074</v>
      </c>
      <c r="E75" s="2">
        <v>4</v>
      </c>
      <c r="F75" s="1">
        <v>168.17694356055017</v>
      </c>
      <c r="G75" s="1">
        <v>110.17694356055019</v>
      </c>
      <c r="H75" s="1">
        <v>58</v>
      </c>
      <c r="I75">
        <f t="shared" si="8"/>
        <v>5.4467373716663099</v>
      </c>
      <c r="J75">
        <f t="shared" si="9"/>
        <v>4.0604430105464191</v>
      </c>
      <c r="K75" s="1">
        <f t="shared" si="10"/>
        <v>57.999999999999986</v>
      </c>
      <c r="L75">
        <f t="shared" si="11"/>
        <v>174</v>
      </c>
    </row>
    <row r="76" spans="1:12" x14ac:dyDescent="0.25">
      <c r="A76" s="3">
        <v>43772</v>
      </c>
      <c r="B76" s="1">
        <f t="shared" si="6"/>
        <v>923</v>
      </c>
      <c r="C76" s="1">
        <v>2156.6295785401176</v>
      </c>
      <c r="D76" s="1">
        <f t="shared" si="7"/>
        <v>1233.6295785401173</v>
      </c>
      <c r="E76" s="2">
        <v>13</v>
      </c>
      <c r="F76" s="1">
        <v>165.89458296462442</v>
      </c>
      <c r="G76" s="1">
        <v>94.894582964624405</v>
      </c>
      <c r="H76" s="1">
        <v>71</v>
      </c>
      <c r="I76">
        <f t="shared" si="8"/>
        <v>6.8276292345028518</v>
      </c>
      <c r="J76">
        <f t="shared" si="9"/>
        <v>4.2626798770413155</v>
      </c>
      <c r="K76" s="1">
        <f t="shared" si="10"/>
        <v>71.000000000000014</v>
      </c>
      <c r="L76">
        <f t="shared" si="11"/>
        <v>851.99999999999966</v>
      </c>
    </row>
    <row r="77" spans="1:12" x14ac:dyDescent="0.25">
      <c r="A77" s="3">
        <v>43769</v>
      </c>
      <c r="B77" s="1">
        <f t="shared" si="6"/>
        <v>2300</v>
      </c>
      <c r="C77" s="1">
        <v>6493.7021186141874</v>
      </c>
      <c r="D77" s="1">
        <f t="shared" si="7"/>
        <v>4193.7021186141874</v>
      </c>
      <c r="E77" s="2">
        <v>50</v>
      </c>
      <c r="F77" s="1">
        <v>129.87404237228375</v>
      </c>
      <c r="G77" s="1">
        <v>83.874042372283753</v>
      </c>
      <c r="H77" s="1">
        <v>46</v>
      </c>
      <c r="I77">
        <f t="shared" si="8"/>
        <v>7.7406644019172415</v>
      </c>
      <c r="J77">
        <f t="shared" si="9"/>
        <v>3.8286413964890951</v>
      </c>
      <c r="K77" s="1">
        <f t="shared" si="10"/>
        <v>46</v>
      </c>
      <c r="L77">
        <f t="shared" si="11"/>
        <v>2254.0000000000009</v>
      </c>
    </row>
    <row r="78" spans="1:12" x14ac:dyDescent="0.25">
      <c r="A78" s="3">
        <v>43767</v>
      </c>
      <c r="B78" s="1">
        <f t="shared" si="6"/>
        <v>1110</v>
      </c>
      <c r="C78" s="1">
        <v>2441.9790265776096</v>
      </c>
      <c r="D78" s="1">
        <f t="shared" si="7"/>
        <v>1331.9790265776098</v>
      </c>
      <c r="E78" s="2">
        <v>30</v>
      </c>
      <c r="F78" s="1">
        <v>81.399300885920326</v>
      </c>
      <c r="G78" s="1">
        <v>44.399300885920326</v>
      </c>
      <c r="H78" s="1">
        <v>37</v>
      </c>
      <c r="I78">
        <f t="shared" si="8"/>
        <v>7.0121152943063798</v>
      </c>
      <c r="J78">
        <f t="shared" si="9"/>
        <v>3.6109179126442243</v>
      </c>
      <c r="K78" s="1">
        <f t="shared" si="10"/>
        <v>37</v>
      </c>
      <c r="L78">
        <f t="shared" si="11"/>
        <v>1073</v>
      </c>
    </row>
    <row r="79" spans="1:12" x14ac:dyDescent="0.25">
      <c r="A79" s="3">
        <v>43754</v>
      </c>
      <c r="B79" s="1">
        <f t="shared" si="6"/>
        <v>1156</v>
      </c>
      <c r="C79" s="1">
        <v>2371.5315376163821</v>
      </c>
      <c r="D79" s="1">
        <f t="shared" si="7"/>
        <v>1215.5315376163824</v>
      </c>
      <c r="E79" s="2">
        <v>17</v>
      </c>
      <c r="F79" s="1">
        <v>139.50185515390484</v>
      </c>
      <c r="G79" s="1">
        <v>71.501855153904842</v>
      </c>
      <c r="H79" s="1">
        <v>68</v>
      </c>
      <c r="I79">
        <f t="shared" si="8"/>
        <v>7.0527210492323231</v>
      </c>
      <c r="J79">
        <f t="shared" si="9"/>
        <v>4.219507705176107</v>
      </c>
      <c r="K79" s="1">
        <f t="shared" si="10"/>
        <v>68</v>
      </c>
      <c r="L79">
        <f t="shared" si="11"/>
        <v>1088.0000000000005</v>
      </c>
    </row>
    <row r="80" spans="1:12" x14ac:dyDescent="0.25">
      <c r="A80" s="3">
        <v>43745</v>
      </c>
      <c r="B80" s="1">
        <f t="shared" si="6"/>
        <v>2646</v>
      </c>
      <c r="C80" s="1">
        <v>4965.4466596933989</v>
      </c>
      <c r="D80" s="1">
        <f t="shared" si="7"/>
        <v>2319.4466596933989</v>
      </c>
      <c r="E80" s="2">
        <v>21</v>
      </c>
      <c r="F80" s="1">
        <v>236.44984093778089</v>
      </c>
      <c r="G80" s="1">
        <v>110.44984093778091</v>
      </c>
      <c r="H80" s="1">
        <v>126</v>
      </c>
      <c r="I80">
        <f t="shared" si="8"/>
        <v>7.8808043446749014</v>
      </c>
      <c r="J80">
        <f t="shared" si="9"/>
        <v>4.836281906951478</v>
      </c>
      <c r="K80" s="1">
        <f t="shared" si="10"/>
        <v>125.99999999999999</v>
      </c>
      <c r="L80">
        <f t="shared" si="11"/>
        <v>2520.0000000000014</v>
      </c>
    </row>
    <row r="81" spans="1:12" x14ac:dyDescent="0.25">
      <c r="A81" s="3">
        <v>43739</v>
      </c>
      <c r="B81" s="1">
        <f t="shared" si="6"/>
        <v>1368</v>
      </c>
      <c r="C81" s="1">
        <v>3517.5705064492572</v>
      </c>
      <c r="D81" s="1">
        <f t="shared" si="7"/>
        <v>2149.5705064492568</v>
      </c>
      <c r="E81" s="2">
        <v>24</v>
      </c>
      <c r="F81" s="1">
        <v>146.56543776871905</v>
      </c>
      <c r="G81" s="1">
        <v>89.565437768719036</v>
      </c>
      <c r="H81" s="1">
        <v>57</v>
      </c>
      <c r="I81">
        <f t="shared" si="8"/>
        <v>7.2211050981824956</v>
      </c>
      <c r="J81">
        <f t="shared" si="9"/>
        <v>4.0430512678345503</v>
      </c>
      <c r="K81" s="1">
        <f t="shared" si="10"/>
        <v>57.000000000000014</v>
      </c>
      <c r="L81">
        <f t="shared" si="11"/>
        <v>1310.9999999999998</v>
      </c>
    </row>
    <row r="82" spans="1:12" x14ac:dyDescent="0.25">
      <c r="A82" s="3">
        <v>43735</v>
      </c>
      <c r="B82" s="1">
        <f t="shared" si="6"/>
        <v>1144</v>
      </c>
      <c r="C82" s="1">
        <v>2286.4925467420835</v>
      </c>
      <c r="D82" s="1">
        <f t="shared" si="7"/>
        <v>1142.4925467420837</v>
      </c>
      <c r="E82" s="2">
        <v>11</v>
      </c>
      <c r="F82" s="1">
        <v>207.86295879473488</v>
      </c>
      <c r="G82" s="1">
        <v>103.86295879473489</v>
      </c>
      <c r="H82" s="1">
        <v>104</v>
      </c>
      <c r="I82">
        <f t="shared" si="8"/>
        <v>7.0422861719397432</v>
      </c>
      <c r="J82">
        <f t="shared" si="9"/>
        <v>4.6443908991413725</v>
      </c>
      <c r="K82" s="1">
        <f t="shared" si="10"/>
        <v>103.99999999999999</v>
      </c>
      <c r="L82">
        <f t="shared" si="11"/>
        <v>1040</v>
      </c>
    </row>
    <row r="83" spans="1:12" x14ac:dyDescent="0.25">
      <c r="A83" s="3">
        <v>43734</v>
      </c>
      <c r="B83" s="1">
        <f t="shared" si="6"/>
        <v>208</v>
      </c>
      <c r="C83" s="1">
        <v>383.53254678173693</v>
      </c>
      <c r="D83" s="1">
        <f t="shared" si="7"/>
        <v>175.53254678173693</v>
      </c>
      <c r="E83" s="2">
        <v>4</v>
      </c>
      <c r="F83" s="1">
        <v>95.883136695434231</v>
      </c>
      <c r="G83" s="1">
        <v>43.883136695434231</v>
      </c>
      <c r="H83" s="1">
        <v>52</v>
      </c>
      <c r="I83">
        <f t="shared" si="8"/>
        <v>5.3375380797013179</v>
      </c>
      <c r="J83">
        <f t="shared" si="9"/>
        <v>3.9512437185814275</v>
      </c>
      <c r="K83" s="1">
        <f t="shared" si="10"/>
        <v>52</v>
      </c>
      <c r="L83">
        <f t="shared" si="11"/>
        <v>155.99999999999997</v>
      </c>
    </row>
    <row r="84" spans="1:12" x14ac:dyDescent="0.25">
      <c r="A84" s="3">
        <v>43731</v>
      </c>
      <c r="B84" s="1">
        <f t="shared" si="6"/>
        <v>35002</v>
      </c>
      <c r="C84" s="1">
        <v>63613.49461122472</v>
      </c>
      <c r="D84" s="1">
        <f t="shared" si="7"/>
        <v>28611.494611224723</v>
      </c>
      <c r="E84" s="2">
        <v>814</v>
      </c>
      <c r="F84" s="1">
        <v>78.149256279145845</v>
      </c>
      <c r="G84" s="1">
        <v>35.149256279145852</v>
      </c>
      <c r="H84" s="1">
        <v>43</v>
      </c>
      <c r="I84">
        <f t="shared" si="8"/>
        <v>10.463160481696102</v>
      </c>
      <c r="J84">
        <f t="shared" si="9"/>
        <v>3.7612001156935624</v>
      </c>
      <c r="K84" s="1">
        <f t="shared" si="10"/>
        <v>42.999999999999993</v>
      </c>
      <c r="L84">
        <f t="shared" si="11"/>
        <v>34958.999999999971</v>
      </c>
    </row>
    <row r="85" spans="1:12" x14ac:dyDescent="0.25">
      <c r="A85" s="3">
        <v>43730</v>
      </c>
      <c r="B85" s="1">
        <f t="shared" si="6"/>
        <v>3808</v>
      </c>
      <c r="C85" s="1">
        <v>6622.5526727896731</v>
      </c>
      <c r="D85" s="1">
        <f t="shared" si="7"/>
        <v>2814.5526727896727</v>
      </c>
      <c r="E85" s="2">
        <v>34</v>
      </c>
      <c r="F85" s="1">
        <v>194.78096096440214</v>
      </c>
      <c r="G85" s="1">
        <v>82.780960964402141</v>
      </c>
      <c r="H85" s="1">
        <v>112</v>
      </c>
      <c r="I85">
        <f t="shared" si="8"/>
        <v>8.2448593959112557</v>
      </c>
      <c r="J85">
        <f t="shared" si="9"/>
        <v>4.7184988712950942</v>
      </c>
      <c r="K85" s="1">
        <f t="shared" si="10"/>
        <v>112</v>
      </c>
      <c r="L85">
        <f t="shared" si="11"/>
        <v>3695.9999999999991</v>
      </c>
    </row>
    <row r="86" spans="1:12" x14ac:dyDescent="0.25">
      <c r="A86" s="3">
        <v>43717</v>
      </c>
      <c r="B86" s="1">
        <f t="shared" si="6"/>
        <v>1596</v>
      </c>
      <c r="C86" s="1">
        <v>4146.8824297572364</v>
      </c>
      <c r="D86" s="1">
        <f t="shared" si="7"/>
        <v>2550.8824297572364</v>
      </c>
      <c r="E86" s="2">
        <v>28</v>
      </c>
      <c r="F86" s="1">
        <v>148.10294391990129</v>
      </c>
      <c r="G86" s="1">
        <v>91.102943919901307</v>
      </c>
      <c r="H86" s="1">
        <v>57</v>
      </c>
      <c r="I86">
        <f t="shared" si="8"/>
        <v>7.3752557780097545</v>
      </c>
      <c r="J86">
        <f t="shared" si="9"/>
        <v>4.0430512678345503</v>
      </c>
      <c r="K86" s="1">
        <f t="shared" si="10"/>
        <v>56.999999999999986</v>
      </c>
      <c r="L86">
        <f t="shared" si="11"/>
        <v>1539.0000000000007</v>
      </c>
    </row>
    <row r="87" spans="1:12" x14ac:dyDescent="0.25">
      <c r="A87" s="3">
        <v>43714</v>
      </c>
      <c r="B87" s="1">
        <f t="shared" si="6"/>
        <v>228</v>
      </c>
      <c r="C87" s="1">
        <v>475.03080785226382</v>
      </c>
      <c r="D87" s="1">
        <f t="shared" si="7"/>
        <v>247.03080785226385</v>
      </c>
      <c r="E87" s="2">
        <v>4</v>
      </c>
      <c r="F87" s="1">
        <v>118.75770196306595</v>
      </c>
      <c r="G87" s="1">
        <v>61.757701963065962</v>
      </c>
      <c r="H87" s="1">
        <v>57</v>
      </c>
      <c r="I87">
        <f t="shared" si="8"/>
        <v>5.4293456289544411</v>
      </c>
      <c r="J87">
        <f t="shared" si="9"/>
        <v>4.0430512678345503</v>
      </c>
      <c r="K87" s="1">
        <f t="shared" si="10"/>
        <v>56.999999999999993</v>
      </c>
      <c r="L87">
        <f t="shared" si="11"/>
        <v>171.00000000000006</v>
      </c>
    </row>
    <row r="88" spans="1:12" x14ac:dyDescent="0.25">
      <c r="A88" s="3">
        <v>43712</v>
      </c>
      <c r="B88" s="1">
        <f t="shared" si="6"/>
        <v>378</v>
      </c>
      <c r="C88" s="1">
        <v>879.72177538792766</v>
      </c>
      <c r="D88" s="1">
        <f t="shared" si="7"/>
        <v>501.72177538792772</v>
      </c>
      <c r="E88" s="2">
        <v>9</v>
      </c>
      <c r="F88" s="1">
        <v>97.746863931991967</v>
      </c>
      <c r="G88" s="1">
        <v>55.746863931991967</v>
      </c>
      <c r="H88" s="1">
        <v>42</v>
      </c>
      <c r="I88">
        <f t="shared" si="8"/>
        <v>5.934894195619588</v>
      </c>
      <c r="J88">
        <f t="shared" si="9"/>
        <v>3.7376696182833684</v>
      </c>
      <c r="K88" s="1">
        <f t="shared" si="10"/>
        <v>42</v>
      </c>
      <c r="L88">
        <f t="shared" si="11"/>
        <v>336.00000000000011</v>
      </c>
    </row>
    <row r="89" spans="1:12" x14ac:dyDescent="0.25">
      <c r="A89" s="3">
        <v>43678</v>
      </c>
      <c r="B89" s="1">
        <f t="shared" si="6"/>
        <v>176</v>
      </c>
      <c r="C89" s="1">
        <v>313.89895318498077</v>
      </c>
      <c r="D89" s="1">
        <f t="shared" si="7"/>
        <v>137.89895318498074</v>
      </c>
      <c r="E89" s="2">
        <v>4</v>
      </c>
      <c r="F89" s="1">
        <v>78.474738296245192</v>
      </c>
      <c r="G89" s="1">
        <v>34.474738296245185</v>
      </c>
      <c r="H89" s="1">
        <v>44</v>
      </c>
      <c r="I89">
        <f t="shared" si="8"/>
        <v>5.1704839950381514</v>
      </c>
      <c r="J89">
        <f t="shared" si="9"/>
        <v>3.784189633918261</v>
      </c>
      <c r="K89" s="1">
        <f t="shared" si="10"/>
        <v>44.000000000000007</v>
      </c>
      <c r="L89">
        <f t="shared" si="11"/>
        <v>131.99999999999991</v>
      </c>
    </row>
    <row r="90" spans="1:12" x14ac:dyDescent="0.25">
      <c r="A90" s="3">
        <v>43662</v>
      </c>
      <c r="B90" s="1">
        <f t="shared" si="6"/>
        <v>590</v>
      </c>
      <c r="C90" s="1">
        <v>1056.8216422404171</v>
      </c>
      <c r="D90" s="1">
        <f t="shared" si="7"/>
        <v>466.82164224041696</v>
      </c>
      <c r="E90" s="2">
        <v>10</v>
      </c>
      <c r="F90" s="1">
        <v>105.6821642240417</v>
      </c>
      <c r="G90" s="1">
        <v>46.682164224041699</v>
      </c>
      <c r="H90" s="1">
        <v>59</v>
      </c>
      <c r="I90">
        <f t="shared" si="8"/>
        <v>6.3801225368997647</v>
      </c>
      <c r="J90">
        <f t="shared" si="9"/>
        <v>4.0775374439057197</v>
      </c>
      <c r="K90" s="1">
        <f t="shared" si="10"/>
        <v>59</v>
      </c>
      <c r="L90">
        <f t="shared" si="11"/>
        <v>530.99999999999977</v>
      </c>
    </row>
    <row r="91" spans="1:12" x14ac:dyDescent="0.25">
      <c r="A91" s="3">
        <v>43655</v>
      </c>
      <c r="B91" s="1">
        <f t="shared" si="6"/>
        <v>4818</v>
      </c>
      <c r="C91" s="1">
        <v>8467.7346029795426</v>
      </c>
      <c r="D91" s="1">
        <f t="shared" si="7"/>
        <v>3649.7346029795431</v>
      </c>
      <c r="E91" s="2">
        <v>73</v>
      </c>
      <c r="F91" s="1">
        <v>115.9963644243773</v>
      </c>
      <c r="G91" s="1">
        <v>49.996364424377305</v>
      </c>
      <c r="H91" s="1">
        <v>66</v>
      </c>
      <c r="I91">
        <f t="shared" si="8"/>
        <v>8.4801141831748161</v>
      </c>
      <c r="J91">
        <f t="shared" si="9"/>
        <v>4.1896547420264252</v>
      </c>
      <c r="K91" s="1">
        <f t="shared" si="10"/>
        <v>66</v>
      </c>
      <c r="L91">
        <f t="shared" si="11"/>
        <v>4751.9999999999973</v>
      </c>
    </row>
    <row r="92" spans="1:12" x14ac:dyDescent="0.25">
      <c r="A92" s="3">
        <v>43653</v>
      </c>
      <c r="B92" s="1">
        <f t="shared" si="6"/>
        <v>237</v>
      </c>
      <c r="C92" s="1">
        <v>469.61715803202941</v>
      </c>
      <c r="D92" s="1">
        <f t="shared" si="7"/>
        <v>232.61715803202941</v>
      </c>
      <c r="E92" s="2">
        <v>3</v>
      </c>
      <c r="F92" s="1">
        <v>156.53905267734314</v>
      </c>
      <c r="G92" s="1">
        <v>77.539052677343136</v>
      </c>
      <c r="H92" s="1">
        <v>79</v>
      </c>
      <c r="I92">
        <f t="shared" si="8"/>
        <v>5.4680601411351315</v>
      </c>
      <c r="J92">
        <f t="shared" si="9"/>
        <v>4.3694478524670215</v>
      </c>
      <c r="K92" s="1">
        <f t="shared" si="10"/>
        <v>79</v>
      </c>
      <c r="L92">
        <f t="shared" si="11"/>
        <v>158.00000000000009</v>
      </c>
    </row>
    <row r="93" spans="1:12" x14ac:dyDescent="0.25">
      <c r="A93" s="3">
        <v>43650</v>
      </c>
      <c r="B93" s="1">
        <f t="shared" si="6"/>
        <v>287</v>
      </c>
      <c r="C93" s="1">
        <v>568.69068459811206</v>
      </c>
      <c r="D93" s="1">
        <f t="shared" si="7"/>
        <v>281.69068459811211</v>
      </c>
      <c r="E93" s="2">
        <v>7</v>
      </c>
      <c r="F93" s="1">
        <v>81.241526371158869</v>
      </c>
      <c r="G93" s="1">
        <v>40.241526371158876</v>
      </c>
      <c r="H93" s="1">
        <v>41</v>
      </c>
      <c r="I93">
        <f t="shared" si="8"/>
        <v>5.6594822157596214</v>
      </c>
      <c r="J93">
        <f t="shared" si="9"/>
        <v>3.713572066704308</v>
      </c>
      <c r="K93" s="1">
        <f t="shared" si="10"/>
        <v>40.999999999999993</v>
      </c>
      <c r="L93">
        <f t="shared" si="11"/>
        <v>246.00000000000006</v>
      </c>
    </row>
    <row r="94" spans="1:12" x14ac:dyDescent="0.25">
      <c r="A94" s="3">
        <v>43629</v>
      </c>
      <c r="B94" s="1">
        <f t="shared" si="6"/>
        <v>333</v>
      </c>
      <c r="C94" s="1">
        <v>667.43215316018927</v>
      </c>
      <c r="D94" s="1">
        <f t="shared" si="7"/>
        <v>334.43215316018922</v>
      </c>
      <c r="E94" s="2">
        <v>9</v>
      </c>
      <c r="F94" s="1">
        <v>74.159128128909913</v>
      </c>
      <c r="G94" s="1">
        <v>37.159128128909913</v>
      </c>
      <c r="H94" s="1">
        <v>37</v>
      </c>
      <c r="I94">
        <f t="shared" si="8"/>
        <v>5.8081424899804439</v>
      </c>
      <c r="J94">
        <f t="shared" si="9"/>
        <v>3.6109179126442243</v>
      </c>
      <c r="K94" s="1">
        <f t="shared" si="10"/>
        <v>37</v>
      </c>
      <c r="L94">
        <f t="shared" si="11"/>
        <v>296</v>
      </c>
    </row>
    <row r="95" spans="1:12" x14ac:dyDescent="0.25">
      <c r="A95" s="3">
        <v>43620</v>
      </c>
      <c r="B95" s="1">
        <f t="shared" si="6"/>
        <v>768</v>
      </c>
      <c r="C95" s="1">
        <v>1684.1198470002232</v>
      </c>
      <c r="D95" s="1">
        <f t="shared" si="7"/>
        <v>916.11984700022322</v>
      </c>
      <c r="E95" s="2">
        <v>16</v>
      </c>
      <c r="F95" s="1">
        <v>105.25749043751395</v>
      </c>
      <c r="G95" s="1">
        <v>57.257490437513951</v>
      </c>
      <c r="H95" s="1">
        <v>48</v>
      </c>
      <c r="I95">
        <f t="shared" si="8"/>
        <v>6.6437897331476723</v>
      </c>
      <c r="J95">
        <f t="shared" si="9"/>
        <v>3.8712010109078911</v>
      </c>
      <c r="K95" s="1">
        <f t="shared" si="10"/>
        <v>48</v>
      </c>
      <c r="L95">
        <f t="shared" si="11"/>
        <v>720.00000000000011</v>
      </c>
    </row>
    <row r="96" spans="1:12" x14ac:dyDescent="0.25">
      <c r="A96" s="3">
        <v>43616</v>
      </c>
      <c r="B96" s="1">
        <f t="shared" si="6"/>
        <v>1739</v>
      </c>
      <c r="C96" s="1">
        <v>4407.5414197857708</v>
      </c>
      <c r="D96" s="1">
        <f t="shared" si="7"/>
        <v>2668.5414197857708</v>
      </c>
      <c r="E96" s="2">
        <v>37</v>
      </c>
      <c r="F96" s="1">
        <v>119.1227410752911</v>
      </c>
      <c r="G96" s="1">
        <v>72.122741075291103</v>
      </c>
      <c r="H96" s="1">
        <v>47</v>
      </c>
      <c r="I96">
        <f t="shared" si="8"/>
        <v>7.4610655143542832</v>
      </c>
      <c r="J96">
        <f t="shared" si="9"/>
        <v>3.8501476017100584</v>
      </c>
      <c r="K96" s="1">
        <f t="shared" si="10"/>
        <v>47</v>
      </c>
      <c r="L96">
        <f t="shared" si="11"/>
        <v>1692.0000000000002</v>
      </c>
    </row>
    <row r="97" spans="1:12" x14ac:dyDescent="0.25">
      <c r="A97" s="3">
        <v>43609</v>
      </c>
      <c r="B97" s="1">
        <f t="shared" si="6"/>
        <v>3570</v>
      </c>
      <c r="C97" s="1">
        <v>6260.9032444982422</v>
      </c>
      <c r="D97" s="1">
        <f t="shared" si="7"/>
        <v>2690.9032444982427</v>
      </c>
      <c r="E97" s="2">
        <v>34</v>
      </c>
      <c r="F97" s="1">
        <v>184.14421307347772</v>
      </c>
      <c r="G97" s="1">
        <v>79.144213073477729</v>
      </c>
      <c r="H97" s="1">
        <v>105</v>
      </c>
      <c r="I97">
        <f t="shared" si="8"/>
        <v>8.1803208747736846</v>
      </c>
      <c r="J97">
        <f t="shared" si="9"/>
        <v>4.6539603501575231</v>
      </c>
      <c r="K97" s="1">
        <f t="shared" si="10"/>
        <v>104.99999999999999</v>
      </c>
      <c r="L97">
        <f t="shared" si="11"/>
        <v>3464.9999999999995</v>
      </c>
    </row>
    <row r="98" spans="1:12" x14ac:dyDescent="0.25">
      <c r="A98" s="3">
        <v>43608</v>
      </c>
      <c r="B98" s="1">
        <f t="shared" si="6"/>
        <v>2223</v>
      </c>
      <c r="C98" s="1">
        <v>4444.9323414051196</v>
      </c>
      <c r="D98" s="1">
        <f t="shared" si="7"/>
        <v>2221.9323414051196</v>
      </c>
      <c r="E98" s="2">
        <v>39</v>
      </c>
      <c r="F98" s="1">
        <v>113.97262413859281</v>
      </c>
      <c r="G98" s="1">
        <v>56.972624138592813</v>
      </c>
      <c r="H98" s="1">
        <v>57</v>
      </c>
      <c r="I98">
        <f t="shared" si="8"/>
        <v>7.7066129139641966</v>
      </c>
      <c r="J98">
        <f t="shared" si="9"/>
        <v>4.0430512678345503</v>
      </c>
      <c r="K98" s="1">
        <f t="shared" si="10"/>
        <v>56.999999999999993</v>
      </c>
      <c r="L98">
        <f t="shared" si="11"/>
        <v>2166</v>
      </c>
    </row>
    <row r="99" spans="1:12" x14ac:dyDescent="0.25">
      <c r="A99" s="3">
        <v>43592</v>
      </c>
      <c r="B99" s="1">
        <f t="shared" si="6"/>
        <v>336</v>
      </c>
      <c r="C99" s="1">
        <v>694.57219823768196</v>
      </c>
      <c r="D99" s="1">
        <f t="shared" si="7"/>
        <v>358.57219823768207</v>
      </c>
      <c r="E99" s="2">
        <v>6</v>
      </c>
      <c r="F99" s="1">
        <v>115.76203303961367</v>
      </c>
      <c r="G99" s="1">
        <v>59.762033039613677</v>
      </c>
      <c r="H99" s="1">
        <v>56</v>
      </c>
      <c r="I99">
        <f t="shared" si="8"/>
        <v>5.8171111599632042</v>
      </c>
      <c r="J99">
        <f t="shared" si="9"/>
        <v>4.0253516907351496</v>
      </c>
      <c r="K99" s="1">
        <f t="shared" si="10"/>
        <v>55.999999999999993</v>
      </c>
      <c r="L99">
        <f t="shared" si="11"/>
        <v>280</v>
      </c>
    </row>
    <row r="100" spans="1:12" x14ac:dyDescent="0.25">
      <c r="A100" s="3">
        <v>43586</v>
      </c>
      <c r="B100" s="1">
        <f t="shared" si="6"/>
        <v>144</v>
      </c>
      <c r="C100" s="1">
        <v>281.78268842497494</v>
      </c>
      <c r="D100" s="1">
        <f t="shared" si="7"/>
        <v>137.78268842497494</v>
      </c>
      <c r="E100" s="2">
        <v>4</v>
      </c>
      <c r="F100" s="1">
        <v>70.445672106243734</v>
      </c>
      <c r="G100" s="1">
        <v>34.445672106243734</v>
      </c>
      <c r="H100" s="1">
        <v>36</v>
      </c>
      <c r="I100">
        <f t="shared" si="8"/>
        <v>4.9698132995760007</v>
      </c>
      <c r="J100">
        <f t="shared" si="9"/>
        <v>3.5835189384561099</v>
      </c>
      <c r="K100" s="1">
        <f t="shared" si="10"/>
        <v>36</v>
      </c>
      <c r="L100">
        <f t="shared" si="11"/>
        <v>108</v>
      </c>
    </row>
    <row r="101" spans="1:12" x14ac:dyDescent="0.25">
      <c r="A101" s="3">
        <v>43580</v>
      </c>
      <c r="B101" s="1">
        <f t="shared" si="6"/>
        <v>980</v>
      </c>
      <c r="C101" s="1">
        <v>2034.2611545552995</v>
      </c>
      <c r="D101" s="1">
        <f t="shared" si="7"/>
        <v>1054.2611545552993</v>
      </c>
      <c r="E101" s="2">
        <v>20</v>
      </c>
      <c r="F101" s="1">
        <v>101.71305772776498</v>
      </c>
      <c r="G101" s="1">
        <v>52.713057727764969</v>
      </c>
      <c r="H101" s="1">
        <v>49</v>
      </c>
      <c r="I101">
        <f t="shared" si="8"/>
        <v>6.8875525716646173</v>
      </c>
      <c r="J101">
        <f t="shared" si="9"/>
        <v>3.8918202981106265</v>
      </c>
      <c r="K101" s="1">
        <f t="shared" si="10"/>
        <v>49.000000000000007</v>
      </c>
      <c r="L101">
        <f t="shared" si="11"/>
        <v>930.99999999999977</v>
      </c>
    </row>
    <row r="102" spans="1:12" x14ac:dyDescent="0.25">
      <c r="A102" s="3">
        <v>43576</v>
      </c>
      <c r="B102" s="1">
        <f t="shared" si="6"/>
        <v>18</v>
      </c>
      <c r="C102" s="1">
        <v>43.415516358062575</v>
      </c>
      <c r="D102" s="1">
        <f t="shared" si="7"/>
        <v>25.415516358062572</v>
      </c>
      <c r="E102" s="2">
        <v>2</v>
      </c>
      <c r="F102" s="1">
        <v>21.707758179031288</v>
      </c>
      <c r="G102" s="1">
        <v>12.707758179031286</v>
      </c>
      <c r="H102" s="1">
        <v>9</v>
      </c>
      <c r="I102">
        <f t="shared" si="8"/>
        <v>2.8903717578961645</v>
      </c>
      <c r="J102">
        <f t="shared" si="9"/>
        <v>2.1972245773362196</v>
      </c>
      <c r="K102" s="1">
        <f t="shared" si="10"/>
        <v>9.0000000000000018</v>
      </c>
      <c r="L102">
        <f t="shared" si="11"/>
        <v>8.9999999999999947</v>
      </c>
    </row>
    <row r="103" spans="1:12" x14ac:dyDescent="0.25">
      <c r="A103" s="3">
        <v>43575</v>
      </c>
      <c r="B103" s="1">
        <f t="shared" si="6"/>
        <v>1080</v>
      </c>
      <c r="C103" s="1">
        <v>2016.2122593586353</v>
      </c>
      <c r="D103" s="1">
        <f t="shared" si="7"/>
        <v>936.21225935863549</v>
      </c>
      <c r="E103" s="2">
        <v>15</v>
      </c>
      <c r="F103" s="1">
        <v>134.41415062390902</v>
      </c>
      <c r="G103" s="1">
        <v>62.41415062390903</v>
      </c>
      <c r="H103" s="1">
        <v>72</v>
      </c>
      <c r="I103">
        <f t="shared" si="8"/>
        <v>6.9847163201182658</v>
      </c>
      <c r="J103">
        <f t="shared" si="9"/>
        <v>4.2766661190160553</v>
      </c>
      <c r="K103" s="1">
        <f t="shared" si="10"/>
        <v>72</v>
      </c>
      <c r="L103">
        <f t="shared" si="11"/>
        <v>1008.0000000000005</v>
      </c>
    </row>
    <row r="104" spans="1:12" x14ac:dyDescent="0.25">
      <c r="A104" s="3">
        <v>43561</v>
      </c>
      <c r="B104" s="1">
        <f t="shared" si="6"/>
        <v>3600</v>
      </c>
      <c r="C104" s="1">
        <v>6879.6406864616565</v>
      </c>
      <c r="D104" s="1">
        <f t="shared" si="7"/>
        <v>3279.640686461657</v>
      </c>
      <c r="E104" s="2">
        <v>36</v>
      </c>
      <c r="F104" s="1">
        <v>191.10113017949047</v>
      </c>
      <c r="G104" s="1">
        <v>91.101130179490468</v>
      </c>
      <c r="H104" s="1">
        <v>100</v>
      </c>
      <c r="I104">
        <f t="shared" si="8"/>
        <v>8.1886891244442008</v>
      </c>
      <c r="J104">
        <f t="shared" si="9"/>
        <v>4.6051701859880918</v>
      </c>
      <c r="K104" s="1">
        <f t="shared" si="10"/>
        <v>100</v>
      </c>
      <c r="L104">
        <f t="shared" si="11"/>
        <v>3499.9999999999982</v>
      </c>
    </row>
    <row r="105" spans="1:12" x14ac:dyDescent="0.25">
      <c r="A105" s="3">
        <v>43538</v>
      </c>
      <c r="B105" s="1">
        <f t="shared" si="6"/>
        <v>2623</v>
      </c>
      <c r="C105" s="1">
        <v>4921.5575570962437</v>
      </c>
      <c r="D105" s="1">
        <f t="shared" si="7"/>
        <v>2298.5575570962437</v>
      </c>
      <c r="E105" s="2">
        <v>43</v>
      </c>
      <c r="F105" s="1">
        <v>114.45482690921497</v>
      </c>
      <c r="G105" s="1">
        <v>53.454826909214972</v>
      </c>
      <c r="H105" s="1">
        <v>61</v>
      </c>
      <c r="I105">
        <f t="shared" si="8"/>
        <v>7.8720739798668733</v>
      </c>
      <c r="J105">
        <f t="shared" si="9"/>
        <v>4.1108738641733114</v>
      </c>
      <c r="K105" s="1">
        <f t="shared" si="10"/>
        <v>61</v>
      </c>
      <c r="L105">
        <f t="shared" si="11"/>
        <v>2561.9999999999991</v>
      </c>
    </row>
    <row r="106" spans="1:12" x14ac:dyDescent="0.25">
      <c r="A106" s="3">
        <v>43538</v>
      </c>
      <c r="B106" s="1">
        <f t="shared" si="6"/>
        <v>2376</v>
      </c>
      <c r="C106" s="1">
        <v>4547.0463544049644</v>
      </c>
      <c r="D106" s="1">
        <f t="shared" si="7"/>
        <v>2171.0463544049649</v>
      </c>
      <c r="E106" s="2">
        <v>33</v>
      </c>
      <c r="F106" s="1">
        <v>137.7892834668171</v>
      </c>
      <c r="G106" s="1">
        <v>65.78928346681711</v>
      </c>
      <c r="H106" s="1">
        <v>72</v>
      </c>
      <c r="I106">
        <f t="shared" si="8"/>
        <v>7.773173680482536</v>
      </c>
      <c r="J106">
        <f t="shared" si="9"/>
        <v>4.2766661190160553</v>
      </c>
      <c r="K106" s="1">
        <f t="shared" si="10"/>
        <v>71.999999999999986</v>
      </c>
      <c r="L106">
        <f t="shared" si="11"/>
        <v>2304.0000000000009</v>
      </c>
    </row>
    <row r="107" spans="1:12" x14ac:dyDescent="0.25">
      <c r="A107" s="3">
        <v>43537</v>
      </c>
      <c r="B107" s="1">
        <f t="shared" si="6"/>
        <v>429</v>
      </c>
      <c r="C107" s="1">
        <v>783.24629021113537</v>
      </c>
      <c r="D107" s="1">
        <f t="shared" si="7"/>
        <v>354.24629021113532</v>
      </c>
      <c r="E107" s="2">
        <v>11</v>
      </c>
      <c r="F107" s="1">
        <v>71.204208201012307</v>
      </c>
      <c r="G107" s="1">
        <v>32.2042082010123</v>
      </c>
      <c r="H107" s="1">
        <v>39</v>
      </c>
      <c r="I107">
        <f t="shared" si="8"/>
        <v>6.061456918928017</v>
      </c>
      <c r="J107">
        <f t="shared" si="9"/>
        <v>3.6635616461296463</v>
      </c>
      <c r="K107" s="1">
        <f t="shared" si="10"/>
        <v>39.000000000000007</v>
      </c>
      <c r="L107">
        <f t="shared" si="11"/>
        <v>390</v>
      </c>
    </row>
    <row r="108" spans="1:12" x14ac:dyDescent="0.25">
      <c r="A108" s="3">
        <v>43533</v>
      </c>
      <c r="B108" s="1">
        <f t="shared" si="6"/>
        <v>158</v>
      </c>
      <c r="C108" s="1">
        <v>286.21210976344196</v>
      </c>
      <c r="D108" s="1">
        <f t="shared" si="7"/>
        <v>128.21210976344193</v>
      </c>
      <c r="E108" s="2">
        <v>2</v>
      </c>
      <c r="F108" s="1">
        <v>143.10605488172098</v>
      </c>
      <c r="G108" s="1">
        <v>64.106054881720965</v>
      </c>
      <c r="H108" s="1">
        <v>79</v>
      </c>
      <c r="I108">
        <f t="shared" si="8"/>
        <v>5.0625950330269669</v>
      </c>
      <c r="J108">
        <f t="shared" si="9"/>
        <v>4.3694478524670215</v>
      </c>
      <c r="K108" s="1">
        <f t="shared" si="10"/>
        <v>79.000000000000014</v>
      </c>
      <c r="L108">
        <f t="shared" si="11"/>
        <v>79.000000000000028</v>
      </c>
    </row>
    <row r="109" spans="1:12" x14ac:dyDescent="0.25">
      <c r="A109" s="3">
        <v>43532</v>
      </c>
      <c r="B109" s="1">
        <f t="shared" si="6"/>
        <v>165</v>
      </c>
      <c r="C109" s="1">
        <v>364.11883049612743</v>
      </c>
      <c r="D109" s="1">
        <f t="shared" si="7"/>
        <v>199.1188304961274</v>
      </c>
      <c r="E109" s="2">
        <v>5</v>
      </c>
      <c r="F109" s="1">
        <v>72.82376609922548</v>
      </c>
      <c r="G109" s="1">
        <v>39.82376609922548</v>
      </c>
      <c r="H109" s="1">
        <v>33</v>
      </c>
      <c r="I109">
        <f t="shared" si="8"/>
        <v>5.1059454739005803</v>
      </c>
      <c r="J109">
        <f t="shared" si="9"/>
        <v>3.4965075614664802</v>
      </c>
      <c r="K109" s="1">
        <f t="shared" si="10"/>
        <v>33</v>
      </c>
      <c r="L109">
        <f t="shared" si="11"/>
        <v>131.99999999999994</v>
      </c>
    </row>
    <row r="110" spans="1:12" x14ac:dyDescent="0.25">
      <c r="A110" s="3">
        <v>43526</v>
      </c>
      <c r="B110" s="1">
        <f t="shared" si="6"/>
        <v>722</v>
      </c>
      <c r="C110" s="1">
        <v>2058.3453627646468</v>
      </c>
      <c r="D110" s="1">
        <f t="shared" si="7"/>
        <v>1336.345362764647</v>
      </c>
      <c r="E110" s="2">
        <v>19</v>
      </c>
      <c r="F110" s="1">
        <v>108.33396646129721</v>
      </c>
      <c r="G110" s="1">
        <v>70.333966461297209</v>
      </c>
      <c r="H110" s="1">
        <v>38</v>
      </c>
      <c r="I110">
        <f t="shared" si="8"/>
        <v>6.5820251388928259</v>
      </c>
      <c r="J110">
        <f t="shared" si="9"/>
        <v>3.6375861597263857</v>
      </c>
      <c r="K110" s="1">
        <f t="shared" si="10"/>
        <v>38</v>
      </c>
      <c r="L110">
        <f t="shared" si="11"/>
        <v>683.99999999999977</v>
      </c>
    </row>
    <row r="111" spans="1:12" x14ac:dyDescent="0.25">
      <c r="A111" s="3">
        <v>43525</v>
      </c>
      <c r="B111" s="1">
        <f t="shared" si="6"/>
        <v>602</v>
      </c>
      <c r="C111" s="1">
        <v>1318.4273211861464</v>
      </c>
      <c r="D111" s="1">
        <f t="shared" si="7"/>
        <v>716.4273211861464</v>
      </c>
      <c r="E111" s="2">
        <v>14</v>
      </c>
      <c r="F111" s="1">
        <v>94.173380084724741</v>
      </c>
      <c r="G111" s="1">
        <v>51.173380084724741</v>
      </c>
      <c r="H111" s="1">
        <v>43</v>
      </c>
      <c r="I111">
        <f t="shared" si="8"/>
        <v>6.4002574453088208</v>
      </c>
      <c r="J111">
        <f t="shared" si="9"/>
        <v>3.7612001156935624</v>
      </c>
      <c r="K111" s="1">
        <f t="shared" si="10"/>
        <v>43</v>
      </c>
      <c r="L111">
        <f t="shared" si="11"/>
        <v>558.99999999999989</v>
      </c>
    </row>
    <row r="112" spans="1:12" x14ac:dyDescent="0.25">
      <c r="A112" s="3">
        <v>43517</v>
      </c>
      <c r="B112" s="1">
        <f t="shared" si="6"/>
        <v>1892</v>
      </c>
      <c r="C112" s="1">
        <v>3323.208542475415</v>
      </c>
      <c r="D112" s="1">
        <f t="shared" si="7"/>
        <v>1431.2085424754146</v>
      </c>
      <c r="E112" s="2">
        <v>22</v>
      </c>
      <c r="F112" s="1">
        <v>151.05493374888249</v>
      </c>
      <c r="G112" s="1">
        <v>65.054933748882476</v>
      </c>
      <c r="H112" s="1">
        <v>86</v>
      </c>
      <c r="I112">
        <f t="shared" si="8"/>
        <v>7.5453897496118234</v>
      </c>
      <c r="J112">
        <f t="shared" si="9"/>
        <v>4.4543472962535073</v>
      </c>
      <c r="K112" s="1">
        <f t="shared" si="10"/>
        <v>86.000000000000014</v>
      </c>
      <c r="L112">
        <f t="shared" si="11"/>
        <v>1805.9999999999995</v>
      </c>
    </row>
    <row r="113" spans="1:12" x14ac:dyDescent="0.25">
      <c r="A113" s="3">
        <v>43501</v>
      </c>
      <c r="B113" s="1">
        <f t="shared" si="6"/>
        <v>270</v>
      </c>
      <c r="C113" s="1">
        <v>725.0894329109575</v>
      </c>
      <c r="D113" s="1">
        <f t="shared" si="7"/>
        <v>455.0894329109575</v>
      </c>
      <c r="E113" s="2">
        <v>5</v>
      </c>
      <c r="F113" s="1">
        <v>145.01788658219149</v>
      </c>
      <c r="G113" s="1">
        <v>91.017886582191494</v>
      </c>
      <c r="H113" s="1">
        <v>54</v>
      </c>
      <c r="I113">
        <f t="shared" si="8"/>
        <v>5.598421958998375</v>
      </c>
      <c r="J113">
        <f t="shared" si="9"/>
        <v>3.9889840465642745</v>
      </c>
      <c r="K113" s="1">
        <f t="shared" si="10"/>
        <v>54</v>
      </c>
      <c r="L113">
        <f t="shared" si="11"/>
        <v>216.00000000000006</v>
      </c>
    </row>
    <row r="114" spans="1:12" x14ac:dyDescent="0.25">
      <c r="A114" s="3">
        <v>43499</v>
      </c>
      <c r="B114" s="1">
        <f t="shared" si="6"/>
        <v>480</v>
      </c>
      <c r="C114" s="1">
        <v>1300.5940643500865</v>
      </c>
      <c r="D114" s="1">
        <f t="shared" si="7"/>
        <v>820.59406435008646</v>
      </c>
      <c r="E114" s="2">
        <v>12</v>
      </c>
      <c r="F114" s="1">
        <v>108.38283869584053</v>
      </c>
      <c r="G114" s="1">
        <v>68.382838695840533</v>
      </c>
      <c r="H114" s="1">
        <v>40</v>
      </c>
      <c r="I114">
        <f t="shared" si="8"/>
        <v>6.1737861039019366</v>
      </c>
      <c r="J114">
        <f t="shared" si="9"/>
        <v>3.6888794541139363</v>
      </c>
      <c r="K114" s="1">
        <f t="shared" si="10"/>
        <v>40</v>
      </c>
      <c r="L114">
        <f t="shared" si="11"/>
        <v>440</v>
      </c>
    </row>
    <row r="115" spans="1:12" x14ac:dyDescent="0.25">
      <c r="A115" s="3">
        <v>43498</v>
      </c>
      <c r="B115" s="1">
        <f t="shared" si="6"/>
        <v>840</v>
      </c>
      <c r="C115" s="1">
        <v>2462.0207728639889</v>
      </c>
      <c r="D115" s="1">
        <f t="shared" si="7"/>
        <v>1622.0207728639894</v>
      </c>
      <c r="E115" s="2">
        <v>28</v>
      </c>
      <c r="F115" s="1">
        <v>87.92931331657104</v>
      </c>
      <c r="G115" s="1">
        <v>57.929313316571047</v>
      </c>
      <c r="H115" s="1">
        <v>30</v>
      </c>
      <c r="I115">
        <f t="shared" si="8"/>
        <v>6.7334018918373593</v>
      </c>
      <c r="J115">
        <f t="shared" si="9"/>
        <v>3.4011973816621555</v>
      </c>
      <c r="K115" s="1">
        <f t="shared" si="10"/>
        <v>29.999999999999993</v>
      </c>
      <c r="L115">
        <f t="shared" si="11"/>
        <v>810</v>
      </c>
    </row>
    <row r="116" spans="1:12" x14ac:dyDescent="0.25">
      <c r="A116" s="3">
        <v>43466</v>
      </c>
      <c r="B116" s="1">
        <f t="shared" si="6"/>
        <v>1863</v>
      </c>
      <c r="C116" s="1">
        <v>3426.3612612443781</v>
      </c>
      <c r="D116" s="1">
        <f t="shared" si="7"/>
        <v>1563.3612612443781</v>
      </c>
      <c r="E116" s="2">
        <v>23</v>
      </c>
      <c r="F116" s="1">
        <v>148.97222874975557</v>
      </c>
      <c r="G116" s="1">
        <v>67.972228749755573</v>
      </c>
      <c r="H116" s="1">
        <v>81</v>
      </c>
      <c r="I116">
        <f t="shared" si="8"/>
        <v>7.5299433706015888</v>
      </c>
      <c r="J116">
        <f t="shared" si="9"/>
        <v>4.3944491546724391</v>
      </c>
      <c r="K116" s="1">
        <f t="shared" si="10"/>
        <v>81</v>
      </c>
      <c r="L116">
        <f t="shared" si="11"/>
        <v>1782.0000000000007</v>
      </c>
    </row>
    <row r="117" spans="1:12" x14ac:dyDescent="0.25">
      <c r="A117" s="3">
        <v>43463</v>
      </c>
      <c r="B117" s="1">
        <f t="shared" si="6"/>
        <v>420</v>
      </c>
      <c r="C117" s="1">
        <v>700.71371921657953</v>
      </c>
      <c r="D117" s="1">
        <f t="shared" si="7"/>
        <v>280.71371921657959</v>
      </c>
      <c r="E117" s="2">
        <v>6</v>
      </c>
      <c r="F117" s="1">
        <v>116.78561986942992</v>
      </c>
      <c r="G117" s="1">
        <v>46.785619869429929</v>
      </c>
      <c r="H117" s="1">
        <v>70</v>
      </c>
      <c r="I117">
        <f t="shared" si="8"/>
        <v>6.0402547112774139</v>
      </c>
      <c r="J117">
        <f t="shared" si="9"/>
        <v>4.2484952420493594</v>
      </c>
      <c r="K117" s="1">
        <f t="shared" si="10"/>
        <v>70</v>
      </c>
      <c r="L117">
        <f t="shared" si="11"/>
        <v>349.99999999999989</v>
      </c>
    </row>
    <row r="118" spans="1:12" x14ac:dyDescent="0.25">
      <c r="A118" s="3">
        <v>43434</v>
      </c>
      <c r="B118" s="1">
        <f t="shared" si="6"/>
        <v>2016</v>
      </c>
      <c r="C118" s="1">
        <v>5257.3957015789138</v>
      </c>
      <c r="D118" s="1">
        <f t="shared" si="7"/>
        <v>3241.3957015789133</v>
      </c>
      <c r="E118" s="2">
        <v>72</v>
      </c>
      <c r="F118" s="1">
        <v>73.01938474415158</v>
      </c>
      <c r="G118" s="1">
        <v>45.019384744151573</v>
      </c>
      <c r="H118" s="1">
        <v>28</v>
      </c>
      <c r="I118">
        <f t="shared" si="8"/>
        <v>7.6088706291912596</v>
      </c>
      <c r="J118">
        <f t="shared" si="9"/>
        <v>3.3322045101752038</v>
      </c>
      <c r="K118" s="1">
        <f t="shared" si="10"/>
        <v>28.000000000000007</v>
      </c>
      <c r="L118">
        <f t="shared" si="11"/>
        <v>1988.0000000000007</v>
      </c>
    </row>
    <row r="119" spans="1:12" x14ac:dyDescent="0.25">
      <c r="A119" s="3">
        <v>43422</v>
      </c>
      <c r="B119" s="1">
        <f t="shared" si="6"/>
        <v>145</v>
      </c>
      <c r="C119" s="1">
        <v>392.5409800399384</v>
      </c>
      <c r="D119" s="1">
        <f t="shared" si="7"/>
        <v>247.5409800399384</v>
      </c>
      <c r="E119" s="2">
        <v>5</v>
      </c>
      <c r="F119" s="1">
        <v>78.508196007987678</v>
      </c>
      <c r="G119" s="1">
        <v>49.508196007987678</v>
      </c>
      <c r="H119" s="1">
        <v>29</v>
      </c>
      <c r="I119">
        <f t="shared" si="8"/>
        <v>4.9767337424205742</v>
      </c>
      <c r="J119">
        <f t="shared" si="9"/>
        <v>3.3672958299864741</v>
      </c>
      <c r="K119" s="1">
        <f t="shared" si="10"/>
        <v>29</v>
      </c>
      <c r="L119">
        <f t="shared" si="11"/>
        <v>115.99999999999997</v>
      </c>
    </row>
    <row r="120" spans="1:12" x14ac:dyDescent="0.25">
      <c r="A120" s="3">
        <v>43420</v>
      </c>
      <c r="B120" s="1">
        <f t="shared" si="6"/>
        <v>1120</v>
      </c>
      <c r="C120" s="1">
        <v>1874.6169731935945</v>
      </c>
      <c r="D120" s="1">
        <f t="shared" si="7"/>
        <v>754.6169731935945</v>
      </c>
      <c r="E120" s="2">
        <v>20</v>
      </c>
      <c r="F120" s="1">
        <v>93.730848659679722</v>
      </c>
      <c r="G120" s="1">
        <v>37.730848659679722</v>
      </c>
      <c r="H120" s="1">
        <v>56</v>
      </c>
      <c r="I120">
        <f t="shared" si="8"/>
        <v>7.0210839642891401</v>
      </c>
      <c r="J120">
        <f t="shared" si="9"/>
        <v>4.0253516907351496</v>
      </c>
      <c r="K120" s="1">
        <f t="shared" si="10"/>
        <v>56</v>
      </c>
      <c r="L120">
        <f t="shared" si="11"/>
        <v>1063.9999999999998</v>
      </c>
    </row>
    <row r="121" spans="1:12" x14ac:dyDescent="0.25">
      <c r="A121" s="3">
        <v>43419</v>
      </c>
      <c r="B121" s="1">
        <f t="shared" si="6"/>
        <v>864</v>
      </c>
      <c r="C121" s="1">
        <v>1577.5780766739947</v>
      </c>
      <c r="D121" s="1">
        <f t="shared" si="7"/>
        <v>713.57807667399459</v>
      </c>
      <c r="E121" s="2">
        <v>24</v>
      </c>
      <c r="F121" s="1">
        <v>65.732419861416446</v>
      </c>
      <c r="G121" s="1">
        <v>29.732419861416442</v>
      </c>
      <c r="H121" s="1">
        <v>36</v>
      </c>
      <c r="I121">
        <f t="shared" si="8"/>
        <v>6.7615727688040552</v>
      </c>
      <c r="J121">
        <f t="shared" si="9"/>
        <v>3.5835189384561099</v>
      </c>
      <c r="K121" s="1">
        <f t="shared" si="10"/>
        <v>36</v>
      </c>
      <c r="L121">
        <f t="shared" si="11"/>
        <v>827.99999999999966</v>
      </c>
    </row>
    <row r="122" spans="1:12" x14ac:dyDescent="0.25">
      <c r="A122" s="3">
        <v>43417</v>
      </c>
      <c r="B122" s="1">
        <f t="shared" si="6"/>
        <v>3283</v>
      </c>
      <c r="C122" s="1">
        <v>5512.3920845569683</v>
      </c>
      <c r="D122" s="1">
        <f t="shared" si="7"/>
        <v>2229.3920845569678</v>
      </c>
      <c r="E122" s="2">
        <v>49</v>
      </c>
      <c r="F122" s="1">
        <v>112.49779764401976</v>
      </c>
      <c r="G122" s="1">
        <v>45.497797644019755</v>
      </c>
      <c r="H122" s="1">
        <v>67</v>
      </c>
      <c r="I122">
        <f t="shared" si="8"/>
        <v>8.0965129175015935</v>
      </c>
      <c r="J122">
        <f t="shared" si="9"/>
        <v>4.2046926193909657</v>
      </c>
      <c r="K122" s="1">
        <f t="shared" si="10"/>
        <v>67</v>
      </c>
      <c r="L122">
        <f t="shared" si="11"/>
        <v>3216.0000000000027</v>
      </c>
    </row>
    <row r="123" spans="1:12" x14ac:dyDescent="0.25">
      <c r="A123" s="3">
        <v>43388</v>
      </c>
      <c r="B123" s="1">
        <f t="shared" si="6"/>
        <v>3710</v>
      </c>
      <c r="C123" s="1">
        <v>7775.4113915813705</v>
      </c>
      <c r="D123" s="1">
        <f t="shared" si="7"/>
        <v>4065.41139158137</v>
      </c>
      <c r="E123" s="2">
        <v>106</v>
      </c>
      <c r="F123" s="1">
        <v>73.352937656428026</v>
      </c>
      <c r="G123" s="1">
        <v>38.352937656428018</v>
      </c>
      <c r="H123" s="1">
        <v>35</v>
      </c>
      <c r="I123">
        <f t="shared" si="8"/>
        <v>8.2187871556014809</v>
      </c>
      <c r="J123">
        <f t="shared" si="9"/>
        <v>3.5553480614894135</v>
      </c>
      <c r="K123" s="1">
        <f t="shared" si="10"/>
        <v>35.000000000000007</v>
      </c>
      <c r="L123">
        <f t="shared" si="11"/>
        <v>3675</v>
      </c>
    </row>
    <row r="124" spans="1:12" x14ac:dyDescent="0.25">
      <c r="A124" s="3">
        <v>43382</v>
      </c>
      <c r="B124" s="1">
        <f t="shared" si="6"/>
        <v>285</v>
      </c>
      <c r="C124" s="1">
        <v>596.95161546955455</v>
      </c>
      <c r="D124" s="1">
        <f t="shared" si="7"/>
        <v>311.9516154695545</v>
      </c>
      <c r="E124" s="2">
        <v>15</v>
      </c>
      <c r="F124" s="1">
        <v>39.796774364636967</v>
      </c>
      <c r="G124" s="1">
        <v>20.796774364636967</v>
      </c>
      <c r="H124" s="1">
        <v>19</v>
      </c>
      <c r="I124">
        <f t="shared" si="8"/>
        <v>5.6524891802686508</v>
      </c>
      <c r="J124">
        <f t="shared" si="9"/>
        <v>2.9444389791664403</v>
      </c>
      <c r="K124" s="1">
        <f t="shared" si="10"/>
        <v>19</v>
      </c>
      <c r="L124">
        <f t="shared" si="11"/>
        <v>266.00000000000006</v>
      </c>
    </row>
    <row r="125" spans="1:12" x14ac:dyDescent="0.25">
      <c r="A125" s="3">
        <v>43379</v>
      </c>
      <c r="B125" s="1">
        <f t="shared" si="6"/>
        <v>1695</v>
      </c>
      <c r="C125" s="1">
        <v>2942.4128507480459</v>
      </c>
      <c r="D125" s="1">
        <f t="shared" si="7"/>
        <v>1247.4128507480459</v>
      </c>
      <c r="E125" s="2">
        <v>15</v>
      </c>
      <c r="F125" s="1">
        <v>196.16085671653639</v>
      </c>
      <c r="G125" s="1">
        <v>83.160856716536401</v>
      </c>
      <c r="H125" s="1">
        <v>113</v>
      </c>
      <c r="I125">
        <f t="shared" si="8"/>
        <v>7.4354380198145504</v>
      </c>
      <c r="J125">
        <f t="shared" si="9"/>
        <v>4.7273878187123408</v>
      </c>
      <c r="K125" s="1">
        <f t="shared" si="10"/>
        <v>112.99999999999999</v>
      </c>
      <c r="L125">
        <f t="shared" si="11"/>
        <v>1581.9999999999998</v>
      </c>
    </row>
    <row r="126" spans="1:12" x14ac:dyDescent="0.25">
      <c r="A126" s="3">
        <v>43369</v>
      </c>
      <c r="B126" s="1">
        <f t="shared" si="6"/>
        <v>368</v>
      </c>
      <c r="C126" s="1">
        <v>825.28718633097947</v>
      </c>
      <c r="D126" s="1">
        <f t="shared" si="7"/>
        <v>457.28718633097941</v>
      </c>
      <c r="E126" s="2">
        <v>16</v>
      </c>
      <c r="F126" s="1">
        <v>51.580449145686217</v>
      </c>
      <c r="G126" s="1">
        <v>28.580449145686213</v>
      </c>
      <c r="H126" s="1">
        <v>23</v>
      </c>
      <c r="I126">
        <f t="shared" si="8"/>
        <v>5.9080829381689313</v>
      </c>
      <c r="J126">
        <f t="shared" si="9"/>
        <v>3.1354942159291497</v>
      </c>
      <c r="K126" s="1">
        <f t="shared" si="10"/>
        <v>23.000000000000004</v>
      </c>
      <c r="L126">
        <f t="shared" si="11"/>
        <v>345.00000000000011</v>
      </c>
    </row>
    <row r="127" spans="1:12" x14ac:dyDescent="0.25">
      <c r="A127" s="3">
        <v>43315</v>
      </c>
      <c r="B127" s="1">
        <f t="shared" si="6"/>
        <v>1083</v>
      </c>
      <c r="C127" s="1">
        <v>2746.4988104642903</v>
      </c>
      <c r="D127" s="1">
        <f t="shared" si="7"/>
        <v>1663.4988104642903</v>
      </c>
      <c r="E127" s="2">
        <v>19</v>
      </c>
      <c r="F127" s="1">
        <v>144.55256897180476</v>
      </c>
      <c r="G127" s="1">
        <v>87.552568971804746</v>
      </c>
      <c r="H127" s="1">
        <v>57</v>
      </c>
      <c r="I127">
        <f t="shared" si="8"/>
        <v>6.9874902470009905</v>
      </c>
      <c r="J127">
        <f t="shared" si="9"/>
        <v>4.0430512678345503</v>
      </c>
      <c r="K127" s="1">
        <f t="shared" si="10"/>
        <v>57.000000000000014</v>
      </c>
      <c r="L127">
        <f t="shared" si="11"/>
        <v>1026</v>
      </c>
    </row>
    <row r="128" spans="1:12" x14ac:dyDescent="0.25">
      <c r="A128" s="3">
        <v>43309</v>
      </c>
      <c r="B128" s="1">
        <f t="shared" si="6"/>
        <v>1134</v>
      </c>
      <c r="C128" s="1">
        <v>2884.3385247034385</v>
      </c>
      <c r="D128" s="1">
        <f t="shared" si="7"/>
        <v>1750.3385247034387</v>
      </c>
      <c r="E128" s="2">
        <v>27</v>
      </c>
      <c r="F128" s="1">
        <v>106.82735276679402</v>
      </c>
      <c r="G128" s="1">
        <v>64.827352766794021</v>
      </c>
      <c r="H128" s="1">
        <v>42</v>
      </c>
      <c r="I128">
        <f t="shared" si="8"/>
        <v>7.0335064842876971</v>
      </c>
      <c r="J128">
        <f t="shared" si="9"/>
        <v>3.7376696182833684</v>
      </c>
      <c r="K128" s="1">
        <f t="shared" si="10"/>
        <v>42</v>
      </c>
      <c r="L128">
        <f t="shared" si="11"/>
        <v>1091.9999999999998</v>
      </c>
    </row>
    <row r="129" spans="1:12" x14ac:dyDescent="0.25">
      <c r="A129" s="3">
        <v>43308</v>
      </c>
      <c r="B129" s="1">
        <f t="shared" si="6"/>
        <v>1020</v>
      </c>
      <c r="C129" s="1">
        <v>2814.1654899540249</v>
      </c>
      <c r="D129" s="1">
        <f t="shared" si="7"/>
        <v>1794.1654899540249</v>
      </c>
      <c r="E129" s="2">
        <v>30</v>
      </c>
      <c r="F129" s="1">
        <v>93.805516331800831</v>
      </c>
      <c r="G129" s="1">
        <v>59.805516331800831</v>
      </c>
      <c r="H129" s="1">
        <v>34</v>
      </c>
      <c r="I129">
        <f t="shared" si="8"/>
        <v>6.9275579062783166</v>
      </c>
      <c r="J129">
        <f t="shared" si="9"/>
        <v>3.5263605246161616</v>
      </c>
      <c r="K129" s="1">
        <f t="shared" si="10"/>
        <v>34</v>
      </c>
      <c r="L129">
        <f t="shared" si="11"/>
        <v>985.99999999999977</v>
      </c>
    </row>
    <row r="130" spans="1:12" x14ac:dyDescent="0.25">
      <c r="A130" s="3">
        <v>43302</v>
      </c>
      <c r="B130" s="1">
        <f t="shared" ref="B130:B193" si="12">+E130*H130</f>
        <v>2009</v>
      </c>
      <c r="C130" s="1">
        <v>4750.2478058214983</v>
      </c>
      <c r="D130" s="1">
        <f t="shared" ref="D130:D193" si="13">+E130*G130</f>
        <v>2741.2478058214979</v>
      </c>
      <c r="E130" s="2">
        <v>41</v>
      </c>
      <c r="F130" s="1">
        <v>115.85970258101214</v>
      </c>
      <c r="G130" s="1">
        <v>66.859702581012144</v>
      </c>
      <c r="H130" s="1">
        <v>49</v>
      </c>
      <c r="I130">
        <f t="shared" si="8"/>
        <v>7.6053923648149349</v>
      </c>
      <c r="J130">
        <f t="shared" si="9"/>
        <v>3.8918202981106265</v>
      </c>
      <c r="K130" s="1">
        <f t="shared" si="10"/>
        <v>49</v>
      </c>
      <c r="L130">
        <f t="shared" si="11"/>
        <v>1960.0000000000009</v>
      </c>
    </row>
    <row r="131" spans="1:12" x14ac:dyDescent="0.25">
      <c r="A131" s="3">
        <v>43297</v>
      </c>
      <c r="B131" s="1">
        <f t="shared" si="12"/>
        <v>8064</v>
      </c>
      <c r="C131" s="1">
        <v>22115.504774785724</v>
      </c>
      <c r="D131" s="1">
        <f t="shared" si="13"/>
        <v>14051.504774785726</v>
      </c>
      <c r="E131" s="2">
        <v>144</v>
      </c>
      <c r="F131" s="1">
        <v>153.57989426934532</v>
      </c>
      <c r="G131" s="1">
        <v>97.579894269345317</v>
      </c>
      <c r="H131" s="1">
        <v>56</v>
      </c>
      <c r="I131">
        <f t="shared" ref="I131:I194" si="14">+LN(B131)</f>
        <v>8.9951649903111495</v>
      </c>
      <c r="J131">
        <f t="shared" ref="J131:J194" si="15">+LN(H131)</f>
        <v>4.0253516907351496</v>
      </c>
      <c r="K131" s="1">
        <f t="shared" ref="K131:K194" si="16">+F131-G131</f>
        <v>56</v>
      </c>
      <c r="L131">
        <f t="shared" ref="L131:L194" si="17">EXP(I131)-EXP(J131)</f>
        <v>8007.9999999999973</v>
      </c>
    </row>
    <row r="132" spans="1:12" x14ac:dyDescent="0.25">
      <c r="A132" s="3">
        <v>43281</v>
      </c>
      <c r="B132" s="1">
        <f t="shared" si="12"/>
        <v>140</v>
      </c>
      <c r="C132" s="1">
        <v>259.02571836581632</v>
      </c>
      <c r="D132" s="1">
        <f t="shared" si="13"/>
        <v>119.02571836581633</v>
      </c>
      <c r="E132" s="2">
        <v>2</v>
      </c>
      <c r="F132" s="1">
        <v>129.51285918290816</v>
      </c>
      <c r="G132" s="1">
        <v>59.512859182908166</v>
      </c>
      <c r="H132" s="1">
        <v>70</v>
      </c>
      <c r="I132">
        <f t="shared" si="14"/>
        <v>4.9416424226093039</v>
      </c>
      <c r="J132">
        <f t="shared" si="15"/>
        <v>4.2484952420493594</v>
      </c>
      <c r="K132" s="1">
        <f t="shared" si="16"/>
        <v>70</v>
      </c>
      <c r="L132">
        <f t="shared" si="17"/>
        <v>69.999999999999915</v>
      </c>
    </row>
    <row r="133" spans="1:12" x14ac:dyDescent="0.25">
      <c r="A133" s="3">
        <v>43279</v>
      </c>
      <c r="B133" s="1">
        <f t="shared" si="12"/>
        <v>1246</v>
      </c>
      <c r="C133" s="1">
        <v>2753.0073997998525</v>
      </c>
      <c r="D133" s="1">
        <f t="shared" si="13"/>
        <v>1507.0073997998525</v>
      </c>
      <c r="E133" s="2">
        <v>14</v>
      </c>
      <c r="F133" s="1">
        <v>196.64338569998947</v>
      </c>
      <c r="G133" s="1">
        <v>107.64338569998947</v>
      </c>
      <c r="H133" s="1">
        <v>89</v>
      </c>
      <c r="I133">
        <f t="shared" si="14"/>
        <v>7.1276936993473985</v>
      </c>
      <c r="J133">
        <f t="shared" si="15"/>
        <v>4.4886363697321396</v>
      </c>
      <c r="K133" s="1">
        <f t="shared" si="16"/>
        <v>89</v>
      </c>
      <c r="L133">
        <f t="shared" si="17"/>
        <v>1157</v>
      </c>
    </row>
    <row r="134" spans="1:12" x14ac:dyDescent="0.25">
      <c r="A134" s="3">
        <v>43262</v>
      </c>
      <c r="B134" s="1">
        <f t="shared" si="12"/>
        <v>1600</v>
      </c>
      <c r="C134" s="1">
        <v>3833.0908229322672</v>
      </c>
      <c r="D134" s="1">
        <f t="shared" si="13"/>
        <v>2233.0908229322672</v>
      </c>
      <c r="E134" s="2">
        <v>40</v>
      </c>
      <c r="F134" s="1">
        <v>95.827270573306677</v>
      </c>
      <c r="G134" s="1">
        <v>55.827270573306677</v>
      </c>
      <c r="H134" s="1">
        <v>40</v>
      </c>
      <c r="I134">
        <f t="shared" si="14"/>
        <v>7.3777589082278725</v>
      </c>
      <c r="J134">
        <f t="shared" si="15"/>
        <v>3.6888794541139363</v>
      </c>
      <c r="K134" s="1">
        <f t="shared" si="16"/>
        <v>40</v>
      </c>
      <c r="L134">
        <f t="shared" si="17"/>
        <v>1559.9999999999998</v>
      </c>
    </row>
    <row r="135" spans="1:12" x14ac:dyDescent="0.25">
      <c r="A135" s="3">
        <v>43252</v>
      </c>
      <c r="B135" s="1">
        <f t="shared" si="12"/>
        <v>854</v>
      </c>
      <c r="C135" s="1">
        <v>1634.1862208005614</v>
      </c>
      <c r="D135" s="1">
        <f t="shared" si="13"/>
        <v>780.18622080056116</v>
      </c>
      <c r="E135" s="2">
        <v>14</v>
      </c>
      <c r="F135" s="1">
        <v>116.72758720004009</v>
      </c>
      <c r="G135" s="1">
        <v>55.727587200040084</v>
      </c>
      <c r="H135" s="1">
        <v>61</v>
      </c>
      <c r="I135">
        <f t="shared" si="14"/>
        <v>6.7499311937885702</v>
      </c>
      <c r="J135">
        <f t="shared" si="15"/>
        <v>4.1108738641733114</v>
      </c>
      <c r="K135" s="1">
        <f t="shared" si="16"/>
        <v>61.000000000000007</v>
      </c>
      <c r="L135">
        <f t="shared" si="17"/>
        <v>793.00000000000034</v>
      </c>
    </row>
    <row r="136" spans="1:12" x14ac:dyDescent="0.25">
      <c r="A136" s="3">
        <v>43233</v>
      </c>
      <c r="B136" s="1">
        <f t="shared" si="12"/>
        <v>3500</v>
      </c>
      <c r="C136" s="1">
        <v>7351.4824416208494</v>
      </c>
      <c r="D136" s="1">
        <f t="shared" si="13"/>
        <v>3851.4824416208498</v>
      </c>
      <c r="E136" s="2">
        <v>50</v>
      </c>
      <c r="F136" s="1">
        <v>147.029648832417</v>
      </c>
      <c r="G136" s="1">
        <v>77.029648832416996</v>
      </c>
      <c r="H136" s="1">
        <v>70</v>
      </c>
      <c r="I136">
        <f t="shared" si="14"/>
        <v>8.1605182474775049</v>
      </c>
      <c r="J136">
        <f t="shared" si="15"/>
        <v>4.2484952420493594</v>
      </c>
      <c r="K136" s="1">
        <f t="shared" si="16"/>
        <v>70</v>
      </c>
      <c r="L136">
        <f t="shared" si="17"/>
        <v>3429.9999999999995</v>
      </c>
    </row>
    <row r="137" spans="1:12" x14ac:dyDescent="0.25">
      <c r="A137" s="3">
        <v>43233</v>
      </c>
      <c r="B137" s="1">
        <f t="shared" si="12"/>
        <v>629</v>
      </c>
      <c r="C137" s="1">
        <v>1073.162996821387</v>
      </c>
      <c r="D137" s="1">
        <f t="shared" si="13"/>
        <v>444.16299682138697</v>
      </c>
      <c r="E137" s="2">
        <v>17</v>
      </c>
      <c r="F137" s="1">
        <v>63.127235107140407</v>
      </c>
      <c r="G137" s="1">
        <v>26.127235107140411</v>
      </c>
      <c r="H137" s="1">
        <v>37</v>
      </c>
      <c r="I137">
        <f t="shared" si="14"/>
        <v>6.444131256700441</v>
      </c>
      <c r="J137">
        <f t="shared" si="15"/>
        <v>3.6109179126442243</v>
      </c>
      <c r="K137" s="1">
        <f t="shared" si="16"/>
        <v>37</v>
      </c>
      <c r="L137">
        <f t="shared" si="17"/>
        <v>592.00000000000023</v>
      </c>
    </row>
    <row r="138" spans="1:12" x14ac:dyDescent="0.25">
      <c r="A138" s="3">
        <v>43220</v>
      </c>
      <c r="B138" s="1">
        <f t="shared" si="12"/>
        <v>3726</v>
      </c>
      <c r="C138" s="1">
        <v>6465.0474129829954</v>
      </c>
      <c r="D138" s="1">
        <f t="shared" si="13"/>
        <v>2739.0474129829954</v>
      </c>
      <c r="E138" s="2">
        <v>69</v>
      </c>
      <c r="F138" s="1">
        <v>93.696339318594141</v>
      </c>
      <c r="G138" s="1">
        <v>39.696339318594134</v>
      </c>
      <c r="H138" s="1">
        <v>54</v>
      </c>
      <c r="I138">
        <f t="shared" si="14"/>
        <v>8.2230905511615333</v>
      </c>
      <c r="J138">
        <f t="shared" si="15"/>
        <v>3.9889840465642745</v>
      </c>
      <c r="K138" s="1">
        <f t="shared" si="16"/>
        <v>54.000000000000007</v>
      </c>
      <c r="L138">
        <f t="shared" si="17"/>
        <v>3671.9999999999982</v>
      </c>
    </row>
    <row r="139" spans="1:12" x14ac:dyDescent="0.25">
      <c r="A139" s="3">
        <v>43219</v>
      </c>
      <c r="B139" s="1">
        <f t="shared" si="12"/>
        <v>1989</v>
      </c>
      <c r="C139" s="1">
        <v>3876.0739985129139</v>
      </c>
      <c r="D139" s="1">
        <f t="shared" si="13"/>
        <v>1887.0739985129137</v>
      </c>
      <c r="E139" s="2">
        <v>51</v>
      </c>
      <c r="F139" s="1">
        <v>76.001450951233608</v>
      </c>
      <c r="G139" s="1">
        <v>37.001450951233601</v>
      </c>
      <c r="H139" s="1">
        <v>39</v>
      </c>
      <c r="I139">
        <f t="shared" si="14"/>
        <v>7.5953872788539725</v>
      </c>
      <c r="J139">
        <f t="shared" si="15"/>
        <v>3.6635616461296463</v>
      </c>
      <c r="K139" s="1">
        <f t="shared" si="16"/>
        <v>39.000000000000007</v>
      </c>
      <c r="L139">
        <f t="shared" si="17"/>
        <v>1950.0000000000005</v>
      </c>
    </row>
    <row r="140" spans="1:12" x14ac:dyDescent="0.25">
      <c r="A140" s="3">
        <v>43208</v>
      </c>
      <c r="B140" s="1">
        <f t="shared" si="12"/>
        <v>435</v>
      </c>
      <c r="C140" s="1">
        <v>1019.420725502142</v>
      </c>
      <c r="D140" s="1">
        <f t="shared" si="13"/>
        <v>584.42072550214198</v>
      </c>
      <c r="E140" s="2">
        <v>29</v>
      </c>
      <c r="F140" s="1">
        <v>35.152438810418687</v>
      </c>
      <c r="G140" s="1">
        <v>20.15243881041869</v>
      </c>
      <c r="H140" s="1">
        <v>15</v>
      </c>
      <c r="I140">
        <f t="shared" si="14"/>
        <v>6.0753460310886842</v>
      </c>
      <c r="J140">
        <f t="shared" si="15"/>
        <v>2.7080502011022101</v>
      </c>
      <c r="K140" s="1">
        <f t="shared" si="16"/>
        <v>14.999999999999996</v>
      </c>
      <c r="L140">
        <f t="shared" si="17"/>
        <v>420.00000000000006</v>
      </c>
    </row>
    <row r="141" spans="1:12" x14ac:dyDescent="0.25">
      <c r="A141" s="3">
        <v>43205</v>
      </c>
      <c r="B141" s="1">
        <f t="shared" si="12"/>
        <v>1122</v>
      </c>
      <c r="C141" s="1">
        <v>1967.0181764401029</v>
      </c>
      <c r="D141" s="1">
        <f t="shared" si="13"/>
        <v>845.01817644010293</v>
      </c>
      <c r="E141" s="2">
        <v>22</v>
      </c>
      <c r="F141" s="1">
        <v>89.409917110913767</v>
      </c>
      <c r="G141" s="1">
        <v>38.409917110913767</v>
      </c>
      <c r="H141" s="1">
        <v>51</v>
      </c>
      <c r="I141">
        <f t="shared" si="14"/>
        <v>7.0228680860826413</v>
      </c>
      <c r="J141">
        <f t="shared" si="15"/>
        <v>3.9318256327243257</v>
      </c>
      <c r="K141" s="1">
        <f t="shared" si="16"/>
        <v>51</v>
      </c>
      <c r="L141">
        <f t="shared" si="17"/>
        <v>1070.9999999999998</v>
      </c>
    </row>
    <row r="142" spans="1:12" x14ac:dyDescent="0.25">
      <c r="A142" s="3">
        <v>43185</v>
      </c>
      <c r="B142" s="1">
        <f t="shared" si="12"/>
        <v>2150</v>
      </c>
      <c r="C142" s="1">
        <v>4760.9758926075783</v>
      </c>
      <c r="D142" s="1">
        <f t="shared" si="13"/>
        <v>2610.9758926075779</v>
      </c>
      <c r="E142" s="2">
        <v>50</v>
      </c>
      <c r="F142" s="1">
        <v>95.219517852151569</v>
      </c>
      <c r="G142" s="1">
        <v>52.219517852151561</v>
      </c>
      <c r="H142" s="1">
        <v>43</v>
      </c>
      <c r="I142">
        <f t="shared" si="14"/>
        <v>7.6732231211217083</v>
      </c>
      <c r="J142">
        <f t="shared" si="15"/>
        <v>3.7612001156935624</v>
      </c>
      <c r="K142" s="1">
        <f t="shared" si="16"/>
        <v>43.000000000000007</v>
      </c>
      <c r="L142">
        <f t="shared" si="17"/>
        <v>2106.9999999999995</v>
      </c>
    </row>
    <row r="143" spans="1:12" x14ac:dyDescent="0.25">
      <c r="A143" s="3">
        <v>43177</v>
      </c>
      <c r="B143" s="1">
        <f t="shared" si="12"/>
        <v>520</v>
      </c>
      <c r="C143" s="1">
        <v>873.80047125785586</v>
      </c>
      <c r="D143" s="1">
        <f t="shared" si="13"/>
        <v>353.80047125785592</v>
      </c>
      <c r="E143" s="2">
        <v>4</v>
      </c>
      <c r="F143" s="1">
        <v>218.45011781446397</v>
      </c>
      <c r="G143" s="1">
        <v>88.450117814463979</v>
      </c>
      <c r="H143" s="1">
        <v>130</v>
      </c>
      <c r="I143">
        <f t="shared" si="14"/>
        <v>6.253828811575473</v>
      </c>
      <c r="J143">
        <f t="shared" si="15"/>
        <v>4.8675344504555822</v>
      </c>
      <c r="K143" s="1">
        <f t="shared" si="16"/>
        <v>130</v>
      </c>
      <c r="L143">
        <f t="shared" si="17"/>
        <v>390</v>
      </c>
    </row>
    <row r="144" spans="1:12" x14ac:dyDescent="0.25">
      <c r="A144" s="3">
        <v>43174</v>
      </c>
      <c r="B144" s="1">
        <f t="shared" si="12"/>
        <v>180</v>
      </c>
      <c r="C144" s="1">
        <v>310.52477364548162</v>
      </c>
      <c r="D144" s="1">
        <f t="shared" si="13"/>
        <v>130.52477364548162</v>
      </c>
      <c r="E144" s="2">
        <v>4</v>
      </c>
      <c r="F144" s="1">
        <v>77.631193411370404</v>
      </c>
      <c r="G144" s="1">
        <v>32.631193411370404</v>
      </c>
      <c r="H144" s="1">
        <v>45</v>
      </c>
      <c r="I144">
        <f t="shared" si="14"/>
        <v>5.1929568508902104</v>
      </c>
      <c r="J144">
        <f t="shared" si="15"/>
        <v>3.8066624897703196</v>
      </c>
      <c r="K144" s="1">
        <f t="shared" si="16"/>
        <v>45</v>
      </c>
      <c r="L144">
        <f t="shared" si="17"/>
        <v>135</v>
      </c>
    </row>
    <row r="145" spans="1:12" x14ac:dyDescent="0.25">
      <c r="A145" s="3">
        <v>43166</v>
      </c>
      <c r="B145" s="1">
        <f t="shared" si="12"/>
        <v>290</v>
      </c>
      <c r="C145" s="1">
        <v>506.52455944013673</v>
      </c>
      <c r="D145" s="1">
        <f t="shared" si="13"/>
        <v>216.52455944013673</v>
      </c>
      <c r="E145" s="2">
        <v>5</v>
      </c>
      <c r="F145" s="1">
        <v>101.30491188802735</v>
      </c>
      <c r="G145" s="1">
        <v>43.304911888027348</v>
      </c>
      <c r="H145" s="1">
        <v>58</v>
      </c>
      <c r="I145">
        <f t="shared" si="14"/>
        <v>5.6698809229805196</v>
      </c>
      <c r="J145">
        <f t="shared" si="15"/>
        <v>4.0604430105464191</v>
      </c>
      <c r="K145" s="1">
        <f t="shared" si="16"/>
        <v>58</v>
      </c>
      <c r="L145">
        <f t="shared" si="17"/>
        <v>231.99999999999994</v>
      </c>
    </row>
    <row r="146" spans="1:12" x14ac:dyDescent="0.25">
      <c r="A146" s="3">
        <v>43161</v>
      </c>
      <c r="B146" s="1">
        <f t="shared" si="12"/>
        <v>448</v>
      </c>
      <c r="C146" s="1">
        <v>808.77758520966279</v>
      </c>
      <c r="D146" s="1">
        <f t="shared" si="13"/>
        <v>360.77758520966285</v>
      </c>
      <c r="E146" s="2">
        <v>7</v>
      </c>
      <c r="F146" s="1">
        <v>115.53965502995183</v>
      </c>
      <c r="G146" s="1">
        <v>51.539655029951838</v>
      </c>
      <c r="H146" s="1">
        <v>64</v>
      </c>
      <c r="I146">
        <f t="shared" si="14"/>
        <v>6.1047932324149849</v>
      </c>
      <c r="J146">
        <f t="shared" si="15"/>
        <v>4.1588830833596715</v>
      </c>
      <c r="K146" s="1">
        <f t="shared" si="16"/>
        <v>63.999999999999993</v>
      </c>
      <c r="L146">
        <f t="shared" si="17"/>
        <v>383.99999999999989</v>
      </c>
    </row>
    <row r="147" spans="1:12" x14ac:dyDescent="0.25">
      <c r="A147" s="3">
        <v>43160</v>
      </c>
      <c r="B147" s="1">
        <f t="shared" si="12"/>
        <v>1926</v>
      </c>
      <c r="C147" s="1">
        <v>3465.7147289993686</v>
      </c>
      <c r="D147" s="1">
        <f t="shared" si="13"/>
        <v>1539.7147289993686</v>
      </c>
      <c r="E147" s="2">
        <v>18</v>
      </c>
      <c r="F147" s="1">
        <v>192.53970716663159</v>
      </c>
      <c r="G147" s="1">
        <v>85.539707166631587</v>
      </c>
      <c r="H147" s="1">
        <v>107</v>
      </c>
      <c r="I147">
        <f t="shared" si="14"/>
        <v>7.5632005923580712</v>
      </c>
      <c r="J147">
        <f t="shared" si="15"/>
        <v>4.6728288344619058</v>
      </c>
      <c r="K147" s="1">
        <f t="shared" si="16"/>
        <v>107</v>
      </c>
      <c r="L147">
        <f t="shared" si="17"/>
        <v>1819.0000000000007</v>
      </c>
    </row>
    <row r="148" spans="1:12" x14ac:dyDescent="0.25">
      <c r="A148" s="3">
        <v>43158</v>
      </c>
      <c r="B148" s="1">
        <f t="shared" si="12"/>
        <v>720</v>
      </c>
      <c r="C148" s="1">
        <v>1473.1296069700884</v>
      </c>
      <c r="D148" s="1">
        <f t="shared" si="13"/>
        <v>753.12960697008839</v>
      </c>
      <c r="E148" s="2">
        <v>12</v>
      </c>
      <c r="F148" s="1">
        <v>122.76080058084069</v>
      </c>
      <c r="G148" s="1">
        <v>62.760800580840694</v>
      </c>
      <c r="H148" s="1">
        <v>60</v>
      </c>
      <c r="I148">
        <f t="shared" si="14"/>
        <v>6.5792512120101012</v>
      </c>
      <c r="J148">
        <f t="shared" si="15"/>
        <v>4.0943445622221004</v>
      </c>
      <c r="K148" s="1">
        <f t="shared" si="16"/>
        <v>60</v>
      </c>
      <c r="L148">
        <f t="shared" si="17"/>
        <v>660.00000000000011</v>
      </c>
    </row>
    <row r="149" spans="1:12" x14ac:dyDescent="0.25">
      <c r="A149" s="3">
        <v>43147</v>
      </c>
      <c r="B149" s="1">
        <f t="shared" si="12"/>
        <v>5824</v>
      </c>
      <c r="C149" s="1">
        <v>11839.86370584257</v>
      </c>
      <c r="D149" s="1">
        <f t="shared" si="13"/>
        <v>6015.8637058425702</v>
      </c>
      <c r="E149" s="2">
        <v>112</v>
      </c>
      <c r="F149" s="1">
        <v>105.71306880216581</v>
      </c>
      <c r="G149" s="1">
        <v>53.713068802165807</v>
      </c>
      <c r="H149" s="1">
        <v>52</v>
      </c>
      <c r="I149">
        <f t="shared" si="14"/>
        <v>8.6697425898765221</v>
      </c>
      <c r="J149">
        <f t="shared" si="15"/>
        <v>3.9512437185814275</v>
      </c>
      <c r="K149" s="1">
        <f t="shared" si="16"/>
        <v>52</v>
      </c>
      <c r="L149">
        <f t="shared" si="17"/>
        <v>5772.0000000000018</v>
      </c>
    </row>
    <row r="150" spans="1:12" x14ac:dyDescent="0.25">
      <c r="A150" s="3">
        <v>43130</v>
      </c>
      <c r="B150" s="1">
        <f t="shared" si="12"/>
        <v>1995</v>
      </c>
      <c r="C150" s="1">
        <v>3867.6585419562316</v>
      </c>
      <c r="D150" s="1">
        <f t="shared" si="13"/>
        <v>1872.6585419562321</v>
      </c>
      <c r="E150" s="2">
        <v>57</v>
      </c>
      <c r="F150" s="1">
        <v>67.853658630811083</v>
      </c>
      <c r="G150" s="1">
        <v>32.85365863081109</v>
      </c>
      <c r="H150" s="1">
        <v>35</v>
      </c>
      <c r="I150">
        <f t="shared" si="14"/>
        <v>7.5983993293239642</v>
      </c>
      <c r="J150">
        <f t="shared" si="15"/>
        <v>3.5553480614894135</v>
      </c>
      <c r="K150" s="1">
        <f t="shared" si="16"/>
        <v>34.999999999999993</v>
      </c>
      <c r="L150">
        <f t="shared" si="17"/>
        <v>1960.0000000000007</v>
      </c>
    </row>
    <row r="151" spans="1:12" x14ac:dyDescent="0.25">
      <c r="A151" s="3">
        <v>43130</v>
      </c>
      <c r="B151" s="1">
        <f t="shared" si="12"/>
        <v>756</v>
      </c>
      <c r="C151" s="1">
        <v>1310.7658480416037</v>
      </c>
      <c r="D151" s="1">
        <f t="shared" si="13"/>
        <v>554.7658480416037</v>
      </c>
      <c r="E151" s="2">
        <v>4</v>
      </c>
      <c r="F151" s="1">
        <v>327.69146201040093</v>
      </c>
      <c r="G151" s="1">
        <v>138.69146201040093</v>
      </c>
      <c r="H151" s="1">
        <v>189</v>
      </c>
      <c r="I151">
        <f t="shared" si="14"/>
        <v>6.6280413761795334</v>
      </c>
      <c r="J151">
        <f t="shared" si="15"/>
        <v>5.2417470150596426</v>
      </c>
      <c r="K151" s="1">
        <f t="shared" si="16"/>
        <v>189</v>
      </c>
      <c r="L151">
        <f t="shared" si="17"/>
        <v>567.00000000000023</v>
      </c>
    </row>
    <row r="152" spans="1:12" x14ac:dyDescent="0.25">
      <c r="A152" s="3">
        <v>43129</v>
      </c>
      <c r="B152" s="1">
        <f t="shared" si="12"/>
        <v>2205</v>
      </c>
      <c r="C152" s="1">
        <v>4821.5925266114655</v>
      </c>
      <c r="D152" s="1">
        <f t="shared" si="13"/>
        <v>2616.592526611465</v>
      </c>
      <c r="E152" s="2">
        <v>63</v>
      </c>
      <c r="F152" s="1">
        <v>76.533214708118493</v>
      </c>
      <c r="G152" s="1">
        <v>41.533214708118493</v>
      </c>
      <c r="H152" s="1">
        <v>35</v>
      </c>
      <c r="I152">
        <f t="shared" si="14"/>
        <v>7.6984827878809465</v>
      </c>
      <c r="J152">
        <f t="shared" si="15"/>
        <v>3.5553480614894135</v>
      </c>
      <c r="K152" s="1">
        <f t="shared" si="16"/>
        <v>35</v>
      </c>
      <c r="L152">
        <f t="shared" si="17"/>
        <v>2170.0000000000005</v>
      </c>
    </row>
    <row r="153" spans="1:12" x14ac:dyDescent="0.25">
      <c r="A153" s="3">
        <v>43120</v>
      </c>
      <c r="B153" s="1">
        <f t="shared" si="12"/>
        <v>9640</v>
      </c>
      <c r="C153" s="1">
        <v>25477.307176838989</v>
      </c>
      <c r="D153" s="1">
        <f t="shared" si="13"/>
        <v>15837.307176838991</v>
      </c>
      <c r="E153" s="2">
        <v>241</v>
      </c>
      <c r="F153" s="1">
        <v>105.714967538751</v>
      </c>
      <c r="G153" s="1">
        <v>65.714967538750997</v>
      </c>
      <c r="H153" s="1">
        <v>40</v>
      </c>
      <c r="I153">
        <f t="shared" si="14"/>
        <v>9.1736763876045906</v>
      </c>
      <c r="J153">
        <f t="shared" si="15"/>
        <v>3.6888794541139363</v>
      </c>
      <c r="K153" s="1">
        <f t="shared" si="16"/>
        <v>40</v>
      </c>
      <c r="L153">
        <f t="shared" si="17"/>
        <v>9599.9999999999927</v>
      </c>
    </row>
    <row r="154" spans="1:12" x14ac:dyDescent="0.25">
      <c r="A154" s="3">
        <v>43113</v>
      </c>
      <c r="B154" s="1">
        <f t="shared" si="12"/>
        <v>377</v>
      </c>
      <c r="C154" s="1">
        <v>979.10156736937495</v>
      </c>
      <c r="D154" s="1">
        <f t="shared" si="13"/>
        <v>602.10156736937483</v>
      </c>
      <c r="E154" s="2">
        <v>13</v>
      </c>
      <c r="F154" s="1">
        <v>75.315505182259614</v>
      </c>
      <c r="G154" s="1">
        <v>46.315505182259606</v>
      </c>
      <c r="H154" s="1">
        <v>29</v>
      </c>
      <c r="I154">
        <f t="shared" si="14"/>
        <v>5.9322451874480109</v>
      </c>
      <c r="J154">
        <f t="shared" si="15"/>
        <v>3.3672958299864741</v>
      </c>
      <c r="K154" s="1">
        <f t="shared" si="16"/>
        <v>29.000000000000007</v>
      </c>
      <c r="L154">
        <f t="shared" si="17"/>
        <v>348.00000000000006</v>
      </c>
    </row>
    <row r="155" spans="1:12" x14ac:dyDescent="0.25">
      <c r="A155" s="3">
        <v>43105</v>
      </c>
      <c r="B155" s="1">
        <f t="shared" si="12"/>
        <v>1036</v>
      </c>
      <c r="C155" s="1">
        <v>2745.8765185528346</v>
      </c>
      <c r="D155" s="1">
        <f t="shared" si="13"/>
        <v>1709.8765185528346</v>
      </c>
      <c r="E155" s="2">
        <v>28</v>
      </c>
      <c r="F155" s="1">
        <v>98.067018519744096</v>
      </c>
      <c r="G155" s="1">
        <v>61.067018519744096</v>
      </c>
      <c r="H155" s="1">
        <v>37</v>
      </c>
      <c r="I155">
        <f t="shared" si="14"/>
        <v>6.9431224228194282</v>
      </c>
      <c r="J155">
        <f t="shared" si="15"/>
        <v>3.6109179126442243</v>
      </c>
      <c r="K155" s="1">
        <f t="shared" si="16"/>
        <v>37</v>
      </c>
      <c r="L155">
        <f t="shared" si="17"/>
        <v>998.99999999999977</v>
      </c>
    </row>
    <row r="156" spans="1:12" x14ac:dyDescent="0.25">
      <c r="A156" s="3">
        <v>43101</v>
      </c>
      <c r="B156" s="1">
        <f t="shared" si="12"/>
        <v>440</v>
      </c>
      <c r="C156" s="1">
        <v>966.51978069120753</v>
      </c>
      <c r="D156" s="1">
        <f t="shared" si="13"/>
        <v>526.51978069120742</v>
      </c>
      <c r="E156" s="2">
        <v>11</v>
      </c>
      <c r="F156" s="1">
        <v>87.865434608291594</v>
      </c>
      <c r="G156" s="1">
        <v>47.865434608291586</v>
      </c>
      <c r="H156" s="1">
        <v>40</v>
      </c>
      <c r="I156">
        <f t="shared" si="14"/>
        <v>6.0867747269123065</v>
      </c>
      <c r="J156">
        <f t="shared" si="15"/>
        <v>3.6888794541139363</v>
      </c>
      <c r="K156" s="1">
        <f t="shared" si="16"/>
        <v>40.000000000000007</v>
      </c>
      <c r="L156">
        <f t="shared" si="17"/>
        <v>399.99999999999983</v>
      </c>
    </row>
    <row r="157" spans="1:12" x14ac:dyDescent="0.25">
      <c r="A157" s="3">
        <v>43092</v>
      </c>
      <c r="B157" s="1">
        <f t="shared" si="12"/>
        <v>434</v>
      </c>
      <c r="C157" s="1">
        <v>1188.3477426038623</v>
      </c>
      <c r="D157" s="1">
        <f t="shared" si="13"/>
        <v>754.34774260386234</v>
      </c>
      <c r="E157" s="2">
        <v>14</v>
      </c>
      <c r="F157" s="1">
        <v>84.881981614561596</v>
      </c>
      <c r="G157" s="1">
        <v>53.881981614561596</v>
      </c>
      <c r="H157" s="1">
        <v>31</v>
      </c>
      <c r="I157">
        <f t="shared" si="14"/>
        <v>6.0730445341004051</v>
      </c>
      <c r="J157">
        <f t="shared" si="15"/>
        <v>3.4339872044851463</v>
      </c>
      <c r="K157" s="1">
        <f t="shared" si="16"/>
        <v>31</v>
      </c>
      <c r="L157">
        <f t="shared" si="17"/>
        <v>403.00000000000011</v>
      </c>
    </row>
    <row r="158" spans="1:12" x14ac:dyDescent="0.25">
      <c r="A158" s="3">
        <v>43070</v>
      </c>
      <c r="B158" s="1">
        <f t="shared" si="12"/>
        <v>198</v>
      </c>
      <c r="C158" s="1">
        <v>431.81127863149942</v>
      </c>
      <c r="D158" s="1">
        <f t="shared" si="13"/>
        <v>233.81127863149942</v>
      </c>
      <c r="E158" s="2">
        <v>2</v>
      </c>
      <c r="F158" s="1">
        <v>215.90563931574971</v>
      </c>
      <c r="G158" s="1">
        <v>116.90563931574971</v>
      </c>
      <c r="H158" s="1">
        <v>99</v>
      </c>
      <c r="I158">
        <f t="shared" si="14"/>
        <v>5.2882670306945352</v>
      </c>
      <c r="J158">
        <f t="shared" si="15"/>
        <v>4.5951198501345898</v>
      </c>
      <c r="K158" s="1">
        <f t="shared" si="16"/>
        <v>99</v>
      </c>
      <c r="L158">
        <f t="shared" si="17"/>
        <v>99.000000000000014</v>
      </c>
    </row>
    <row r="159" spans="1:12" x14ac:dyDescent="0.25">
      <c r="A159" s="3">
        <v>43068</v>
      </c>
      <c r="B159" s="1">
        <f t="shared" si="12"/>
        <v>600</v>
      </c>
      <c r="C159" s="1">
        <v>1202.2844480722106</v>
      </c>
      <c r="D159" s="1">
        <f t="shared" si="13"/>
        <v>602.28444807221069</v>
      </c>
      <c r="E159" s="2">
        <v>12</v>
      </c>
      <c r="F159" s="1">
        <v>100.19037067268422</v>
      </c>
      <c r="G159" s="1">
        <v>50.190370672684224</v>
      </c>
      <c r="H159" s="1">
        <v>50</v>
      </c>
      <c r="I159">
        <f t="shared" si="14"/>
        <v>6.3969296552161463</v>
      </c>
      <c r="J159">
        <f t="shared" si="15"/>
        <v>3.912023005428146</v>
      </c>
      <c r="K159" s="1">
        <f t="shared" si="16"/>
        <v>50</v>
      </c>
      <c r="L159">
        <f t="shared" si="17"/>
        <v>550</v>
      </c>
    </row>
    <row r="160" spans="1:12" x14ac:dyDescent="0.25">
      <c r="A160" s="3">
        <v>43065</v>
      </c>
      <c r="B160" s="1">
        <f t="shared" si="12"/>
        <v>155</v>
      </c>
      <c r="C160" s="1">
        <v>422.31963628779653</v>
      </c>
      <c r="D160" s="1">
        <f t="shared" si="13"/>
        <v>267.31963628779653</v>
      </c>
      <c r="E160" s="2">
        <v>5</v>
      </c>
      <c r="F160" s="1">
        <v>84.463927257559305</v>
      </c>
      <c r="G160" s="1">
        <v>53.463927257559305</v>
      </c>
      <c r="H160" s="1">
        <v>31</v>
      </c>
      <c r="I160">
        <f t="shared" si="14"/>
        <v>5.0434251169192468</v>
      </c>
      <c r="J160">
        <f t="shared" si="15"/>
        <v>3.4339872044851463</v>
      </c>
      <c r="K160" s="1">
        <f t="shared" si="16"/>
        <v>31</v>
      </c>
      <c r="L160">
        <f t="shared" si="17"/>
        <v>124.00000000000003</v>
      </c>
    </row>
    <row r="161" spans="1:12" x14ac:dyDescent="0.25">
      <c r="A161" s="3">
        <v>43041</v>
      </c>
      <c r="B161" s="1">
        <f t="shared" si="12"/>
        <v>161</v>
      </c>
      <c r="C161" s="1">
        <v>358.5108401146112</v>
      </c>
      <c r="D161" s="1">
        <f t="shared" si="13"/>
        <v>197.5108401146112</v>
      </c>
      <c r="E161" s="2">
        <v>7</v>
      </c>
      <c r="F161" s="1">
        <v>51.215834302087316</v>
      </c>
      <c r="G161" s="1">
        <v>28.215834302087313</v>
      </c>
      <c r="H161" s="1">
        <v>23</v>
      </c>
      <c r="I161">
        <f t="shared" si="14"/>
        <v>5.0814043649844631</v>
      </c>
      <c r="J161">
        <f t="shared" si="15"/>
        <v>3.1354942159291497</v>
      </c>
      <c r="K161" s="1">
        <f t="shared" si="16"/>
        <v>23.000000000000004</v>
      </c>
      <c r="L161">
        <f t="shared" si="17"/>
        <v>138.00000000000003</v>
      </c>
    </row>
    <row r="162" spans="1:12" x14ac:dyDescent="0.25">
      <c r="A162" s="3">
        <v>43041</v>
      </c>
      <c r="B162" s="1">
        <f t="shared" si="12"/>
        <v>657</v>
      </c>
      <c r="C162" s="1">
        <v>1860.3549452933262</v>
      </c>
      <c r="D162" s="1">
        <f t="shared" si="13"/>
        <v>1203.3549452933262</v>
      </c>
      <c r="E162" s="2">
        <v>9</v>
      </c>
      <c r="F162" s="1">
        <v>206.70610503259181</v>
      </c>
      <c r="G162" s="1">
        <v>133.70610503259181</v>
      </c>
      <c r="H162" s="1">
        <v>73</v>
      </c>
      <c r="I162">
        <f t="shared" si="14"/>
        <v>6.4876840184846101</v>
      </c>
      <c r="J162">
        <f t="shared" si="15"/>
        <v>4.290459441148391</v>
      </c>
      <c r="K162" s="1">
        <f t="shared" si="16"/>
        <v>73</v>
      </c>
      <c r="L162">
        <f t="shared" si="17"/>
        <v>583.99999999999966</v>
      </c>
    </row>
    <row r="163" spans="1:12" x14ac:dyDescent="0.25">
      <c r="A163" s="3">
        <v>43026</v>
      </c>
      <c r="B163" s="1">
        <f t="shared" si="12"/>
        <v>975</v>
      </c>
      <c r="C163" s="1">
        <v>1798.42054531753</v>
      </c>
      <c r="D163" s="1">
        <f t="shared" si="13"/>
        <v>823.42054531753001</v>
      </c>
      <c r="E163" s="2">
        <v>15</v>
      </c>
      <c r="F163" s="1">
        <v>119.89470302116867</v>
      </c>
      <c r="G163" s="1">
        <v>54.894703021168667</v>
      </c>
      <c r="H163" s="1">
        <v>65</v>
      </c>
      <c r="I163">
        <f t="shared" si="14"/>
        <v>6.8824374709978473</v>
      </c>
      <c r="J163">
        <f t="shared" si="15"/>
        <v>4.1743872698956368</v>
      </c>
      <c r="K163" s="1">
        <f t="shared" si="16"/>
        <v>65</v>
      </c>
      <c r="L163">
        <f t="shared" si="17"/>
        <v>910.00000000000011</v>
      </c>
    </row>
    <row r="164" spans="1:12" x14ac:dyDescent="0.25">
      <c r="A164" s="3">
        <v>43020</v>
      </c>
      <c r="B164" s="1">
        <f t="shared" si="12"/>
        <v>100</v>
      </c>
      <c r="C164" s="1">
        <v>289.56841207814108</v>
      </c>
      <c r="D164" s="1">
        <f t="shared" si="13"/>
        <v>189.56841207814108</v>
      </c>
      <c r="E164" s="2">
        <v>5</v>
      </c>
      <c r="F164" s="1">
        <v>57.913682415628216</v>
      </c>
      <c r="G164" s="1">
        <v>37.913682415628216</v>
      </c>
      <c r="H164" s="1">
        <v>20</v>
      </c>
      <c r="I164">
        <f t="shared" si="14"/>
        <v>4.6051701859880918</v>
      </c>
      <c r="J164">
        <f t="shared" si="15"/>
        <v>2.9957322735539909</v>
      </c>
      <c r="K164" s="1">
        <f t="shared" si="16"/>
        <v>20</v>
      </c>
      <c r="L164">
        <f t="shared" si="17"/>
        <v>80.000000000000043</v>
      </c>
    </row>
    <row r="165" spans="1:12" x14ac:dyDescent="0.25">
      <c r="A165" s="3">
        <v>43020</v>
      </c>
      <c r="B165" s="1">
        <f t="shared" si="12"/>
        <v>650</v>
      </c>
      <c r="C165" s="1">
        <v>1527.1190597880798</v>
      </c>
      <c r="D165" s="1">
        <f t="shared" si="13"/>
        <v>877.11905978807988</v>
      </c>
      <c r="E165" s="2">
        <v>13</v>
      </c>
      <c r="F165" s="1">
        <v>117.47069690677537</v>
      </c>
      <c r="G165" s="1">
        <v>67.470696906775373</v>
      </c>
      <c r="H165" s="1">
        <v>50</v>
      </c>
      <c r="I165">
        <f t="shared" si="14"/>
        <v>6.4769723628896827</v>
      </c>
      <c r="J165">
        <f t="shared" si="15"/>
        <v>3.912023005428146</v>
      </c>
      <c r="K165" s="1">
        <f t="shared" si="16"/>
        <v>50</v>
      </c>
      <c r="L165">
        <f t="shared" si="17"/>
        <v>599.99999999999989</v>
      </c>
    </row>
    <row r="166" spans="1:12" x14ac:dyDescent="0.25">
      <c r="A166" s="3">
        <v>43012</v>
      </c>
      <c r="B166" s="1">
        <f t="shared" si="12"/>
        <v>576</v>
      </c>
      <c r="C166" s="1">
        <v>1635.7920266463836</v>
      </c>
      <c r="D166" s="1">
        <f t="shared" si="13"/>
        <v>1059.7920266463839</v>
      </c>
      <c r="E166" s="2">
        <v>18</v>
      </c>
      <c r="F166" s="1">
        <v>90.87733481368798</v>
      </c>
      <c r="G166" s="1">
        <v>58.877334813687987</v>
      </c>
      <c r="H166" s="1">
        <v>32</v>
      </c>
      <c r="I166">
        <f t="shared" si="14"/>
        <v>6.3561076606958915</v>
      </c>
      <c r="J166">
        <f t="shared" si="15"/>
        <v>3.4657359027997265</v>
      </c>
      <c r="K166" s="1">
        <f t="shared" si="16"/>
        <v>31.999999999999993</v>
      </c>
      <c r="L166">
        <f t="shared" si="17"/>
        <v>544.00000000000011</v>
      </c>
    </row>
    <row r="167" spans="1:12" x14ac:dyDescent="0.25">
      <c r="A167" s="3">
        <v>43008</v>
      </c>
      <c r="B167" s="1">
        <f t="shared" si="12"/>
        <v>588</v>
      </c>
      <c r="C167" s="1">
        <v>989.3713685888689</v>
      </c>
      <c r="D167" s="1">
        <f t="shared" si="13"/>
        <v>401.37136858886879</v>
      </c>
      <c r="E167" s="2">
        <v>21</v>
      </c>
      <c r="F167" s="1">
        <v>47.112922313755661</v>
      </c>
      <c r="G167" s="1">
        <v>19.112922313755657</v>
      </c>
      <c r="H167" s="1">
        <v>28</v>
      </c>
      <c r="I167">
        <f t="shared" si="14"/>
        <v>6.3767269478986268</v>
      </c>
      <c r="J167">
        <f t="shared" si="15"/>
        <v>3.3322045101752038</v>
      </c>
      <c r="K167" s="1">
        <f t="shared" si="16"/>
        <v>28.000000000000004</v>
      </c>
      <c r="L167">
        <f t="shared" si="17"/>
        <v>559.99999999999989</v>
      </c>
    </row>
    <row r="168" spans="1:12" x14ac:dyDescent="0.25">
      <c r="A168" s="3">
        <v>42991</v>
      </c>
      <c r="B168" s="1">
        <f t="shared" si="12"/>
        <v>1240</v>
      </c>
      <c r="C168" s="1">
        <v>2868.1466123142663</v>
      </c>
      <c r="D168" s="1">
        <f t="shared" si="13"/>
        <v>1628.1466123142661</v>
      </c>
      <c r="E168" s="2">
        <v>20</v>
      </c>
      <c r="F168" s="1">
        <v>143.40733061571331</v>
      </c>
      <c r="G168" s="1">
        <v>81.407330615713306</v>
      </c>
      <c r="H168" s="1">
        <v>62</v>
      </c>
      <c r="I168">
        <f t="shared" si="14"/>
        <v>7.122866658599083</v>
      </c>
      <c r="J168">
        <f t="shared" si="15"/>
        <v>4.1271343850450917</v>
      </c>
      <c r="K168" s="1">
        <f t="shared" si="16"/>
        <v>62</v>
      </c>
      <c r="L168">
        <f t="shared" si="17"/>
        <v>1178.0000000000005</v>
      </c>
    </row>
    <row r="169" spans="1:12" x14ac:dyDescent="0.25">
      <c r="A169" s="3">
        <v>42988</v>
      </c>
      <c r="B169" s="1">
        <f t="shared" si="12"/>
        <v>1080</v>
      </c>
      <c r="C169" s="1">
        <v>1845.3760131126269</v>
      </c>
      <c r="D169" s="1">
        <f t="shared" si="13"/>
        <v>765.37601311262677</v>
      </c>
      <c r="E169" s="2">
        <v>12</v>
      </c>
      <c r="F169" s="1">
        <v>153.78133442605224</v>
      </c>
      <c r="G169" s="1">
        <v>63.781334426052233</v>
      </c>
      <c r="H169" s="1">
        <v>90</v>
      </c>
      <c r="I169">
        <f t="shared" si="14"/>
        <v>6.9847163201182658</v>
      </c>
      <c r="J169">
        <f t="shared" si="15"/>
        <v>4.499809670330265</v>
      </c>
      <c r="K169" s="1">
        <f t="shared" si="16"/>
        <v>90</v>
      </c>
      <c r="L169">
        <f t="shared" si="17"/>
        <v>990.00000000000045</v>
      </c>
    </row>
    <row r="170" spans="1:12" x14ac:dyDescent="0.25">
      <c r="A170" s="3">
        <v>42984</v>
      </c>
      <c r="B170" s="1">
        <f t="shared" si="12"/>
        <v>2800</v>
      </c>
      <c r="C170" s="1">
        <v>5440.3274404616941</v>
      </c>
      <c r="D170" s="1">
        <f t="shared" si="13"/>
        <v>2640.3274404616946</v>
      </c>
      <c r="E170" s="2">
        <v>56</v>
      </c>
      <c r="F170" s="1">
        <v>97.148704293958829</v>
      </c>
      <c r="G170" s="1">
        <v>47.148704293958829</v>
      </c>
      <c r="H170" s="1">
        <v>50</v>
      </c>
      <c r="I170">
        <f t="shared" si="14"/>
        <v>7.9373746961632952</v>
      </c>
      <c r="J170">
        <f t="shared" si="15"/>
        <v>3.912023005428146</v>
      </c>
      <c r="K170" s="1">
        <f t="shared" si="16"/>
        <v>50</v>
      </c>
      <c r="L170">
        <f t="shared" si="17"/>
        <v>2749.9999999999995</v>
      </c>
    </row>
    <row r="171" spans="1:12" x14ac:dyDescent="0.25">
      <c r="A171" s="3">
        <v>42977</v>
      </c>
      <c r="B171" s="1">
        <f t="shared" si="12"/>
        <v>4650</v>
      </c>
      <c r="C171" s="1">
        <v>8119.5054826808191</v>
      </c>
      <c r="D171" s="1">
        <f t="shared" si="13"/>
        <v>3469.5054826808187</v>
      </c>
      <c r="E171" s="2">
        <v>31</v>
      </c>
      <c r="F171" s="1">
        <v>261.91953169938125</v>
      </c>
      <c r="G171" s="1">
        <v>111.91953169938125</v>
      </c>
      <c r="H171" s="1">
        <v>150</v>
      </c>
      <c r="I171">
        <f t="shared" si="14"/>
        <v>8.4446224985814027</v>
      </c>
      <c r="J171">
        <f t="shared" si="15"/>
        <v>5.0106352940962555</v>
      </c>
      <c r="K171" s="1">
        <f t="shared" si="16"/>
        <v>150</v>
      </c>
      <c r="L171">
        <f t="shared" si="17"/>
        <v>4500.0000000000036</v>
      </c>
    </row>
    <row r="172" spans="1:12" x14ac:dyDescent="0.25">
      <c r="A172" s="3">
        <v>42961</v>
      </c>
      <c r="B172" s="1">
        <f t="shared" si="12"/>
        <v>1404</v>
      </c>
      <c r="C172" s="1">
        <v>2423.190643401223</v>
      </c>
      <c r="D172" s="1">
        <f t="shared" si="13"/>
        <v>1019.1906434012233</v>
      </c>
      <c r="E172" s="2">
        <v>18</v>
      </c>
      <c r="F172" s="1">
        <v>134.62170241117906</v>
      </c>
      <c r="G172" s="1">
        <v>56.621702411179072</v>
      </c>
      <c r="H172" s="1">
        <v>78</v>
      </c>
      <c r="I172">
        <f t="shared" si="14"/>
        <v>7.2470805845857562</v>
      </c>
      <c r="J172">
        <f t="shared" si="15"/>
        <v>4.3567088266895917</v>
      </c>
      <c r="K172" s="1">
        <f t="shared" si="16"/>
        <v>77.999999999999986</v>
      </c>
      <c r="L172">
        <f t="shared" si="17"/>
        <v>1325.9999999999998</v>
      </c>
    </row>
    <row r="173" spans="1:12" x14ac:dyDescent="0.25">
      <c r="A173" s="3">
        <v>42951</v>
      </c>
      <c r="B173" s="1">
        <f t="shared" si="12"/>
        <v>1716</v>
      </c>
      <c r="C173" s="1">
        <v>2901.0457929713875</v>
      </c>
      <c r="D173" s="1">
        <f t="shared" si="13"/>
        <v>1185.0457929713873</v>
      </c>
      <c r="E173" s="2">
        <v>13</v>
      </c>
      <c r="F173" s="1">
        <v>223.15736869010672</v>
      </c>
      <c r="G173" s="1">
        <v>91.157368690106722</v>
      </c>
      <c r="H173" s="1">
        <v>132</v>
      </c>
      <c r="I173">
        <f t="shared" si="14"/>
        <v>7.4477512800479078</v>
      </c>
      <c r="J173">
        <f t="shared" si="15"/>
        <v>4.8828019225863706</v>
      </c>
      <c r="K173" s="1">
        <f t="shared" si="16"/>
        <v>132</v>
      </c>
      <c r="L173">
        <f t="shared" si="17"/>
        <v>1584.0000000000002</v>
      </c>
    </row>
    <row r="174" spans="1:12" x14ac:dyDescent="0.25">
      <c r="A174" s="3">
        <v>42949</v>
      </c>
      <c r="B174" s="1">
        <f t="shared" si="12"/>
        <v>10149</v>
      </c>
      <c r="C174" s="1">
        <v>18840.841067063695</v>
      </c>
      <c r="D174" s="1">
        <f t="shared" si="13"/>
        <v>8691.8410670636931</v>
      </c>
      <c r="E174" s="2">
        <v>199</v>
      </c>
      <c r="F174" s="1">
        <v>94.677593301827613</v>
      </c>
      <c r="G174" s="1">
        <v>43.677593301827606</v>
      </c>
      <c r="H174" s="1">
        <v>51</v>
      </c>
      <c r="I174">
        <f t="shared" si="14"/>
        <v>9.2251304574488184</v>
      </c>
      <c r="J174">
        <f t="shared" si="15"/>
        <v>3.9318256327243257</v>
      </c>
      <c r="K174" s="1">
        <f t="shared" si="16"/>
        <v>51.000000000000007</v>
      </c>
      <c r="L174">
        <f t="shared" si="17"/>
        <v>10098.000000000002</v>
      </c>
    </row>
    <row r="175" spans="1:12" x14ac:dyDescent="0.25">
      <c r="A175" s="3">
        <v>42937</v>
      </c>
      <c r="B175" s="1">
        <f t="shared" si="12"/>
        <v>371</v>
      </c>
      <c r="C175" s="1">
        <v>798.03788830279143</v>
      </c>
      <c r="D175" s="1">
        <f t="shared" si="13"/>
        <v>427.03788830279143</v>
      </c>
      <c r="E175" s="2">
        <v>7</v>
      </c>
      <c r="F175" s="1">
        <v>114.00541261468449</v>
      </c>
      <c r="G175" s="1">
        <v>61.005412614684488</v>
      </c>
      <c r="H175" s="1">
        <v>53</v>
      </c>
      <c r="I175">
        <f t="shared" si="14"/>
        <v>5.916202062607435</v>
      </c>
      <c r="J175">
        <f t="shared" si="15"/>
        <v>3.970291913552122</v>
      </c>
      <c r="K175" s="1">
        <f t="shared" si="16"/>
        <v>53</v>
      </c>
      <c r="L175">
        <f t="shared" si="17"/>
        <v>317.99999999999994</v>
      </c>
    </row>
    <row r="176" spans="1:12" x14ac:dyDescent="0.25">
      <c r="A176" s="3">
        <v>42919</v>
      </c>
      <c r="B176" s="1">
        <f t="shared" si="12"/>
        <v>2736</v>
      </c>
      <c r="C176" s="1">
        <v>6037.753451149938</v>
      </c>
      <c r="D176" s="1">
        <f t="shared" si="13"/>
        <v>3301.753451149938</v>
      </c>
      <c r="E176" s="2">
        <v>48</v>
      </c>
      <c r="F176" s="1">
        <v>125.78653023229037</v>
      </c>
      <c r="G176" s="1">
        <v>68.786530232290374</v>
      </c>
      <c r="H176" s="1">
        <v>57</v>
      </c>
      <c r="I176">
        <f t="shared" si="14"/>
        <v>7.914252278742441</v>
      </c>
      <c r="J176">
        <f t="shared" si="15"/>
        <v>4.0430512678345503</v>
      </c>
      <c r="K176" s="1">
        <f t="shared" si="16"/>
        <v>57</v>
      </c>
      <c r="L176">
        <f t="shared" si="17"/>
        <v>2678.9999999999995</v>
      </c>
    </row>
    <row r="177" spans="1:12" x14ac:dyDescent="0.25">
      <c r="A177" s="3">
        <v>42918</v>
      </c>
      <c r="B177" s="1">
        <f t="shared" si="12"/>
        <v>630</v>
      </c>
      <c r="C177" s="1">
        <v>1549.0976529277016</v>
      </c>
      <c r="D177" s="1">
        <f t="shared" si="13"/>
        <v>919.09765292770157</v>
      </c>
      <c r="E177" s="2">
        <v>14</v>
      </c>
      <c r="F177" s="1">
        <v>110.64983235197869</v>
      </c>
      <c r="G177" s="1">
        <v>65.649832351978688</v>
      </c>
      <c r="H177" s="1">
        <v>45</v>
      </c>
      <c r="I177">
        <f t="shared" si="14"/>
        <v>6.4457198193855785</v>
      </c>
      <c r="J177">
        <f t="shared" si="15"/>
        <v>3.8066624897703196</v>
      </c>
      <c r="K177" s="1">
        <f t="shared" si="16"/>
        <v>45</v>
      </c>
      <c r="L177">
        <f t="shared" si="17"/>
        <v>585.00000000000011</v>
      </c>
    </row>
    <row r="178" spans="1:12" x14ac:dyDescent="0.25">
      <c r="A178" s="3">
        <v>42913</v>
      </c>
      <c r="B178" s="1">
        <f t="shared" si="12"/>
        <v>1533</v>
      </c>
      <c r="C178" s="1">
        <v>2620.4472330269018</v>
      </c>
      <c r="D178" s="1">
        <f t="shared" si="13"/>
        <v>1087.4472330269018</v>
      </c>
      <c r="E178" s="2">
        <v>21</v>
      </c>
      <c r="F178" s="1">
        <v>124.78320157270961</v>
      </c>
      <c r="G178" s="1">
        <v>51.783201572709615</v>
      </c>
      <c r="H178" s="1">
        <v>73</v>
      </c>
      <c r="I178">
        <f t="shared" si="14"/>
        <v>7.3349818788718144</v>
      </c>
      <c r="J178">
        <f t="shared" si="15"/>
        <v>4.290459441148391</v>
      </c>
      <c r="K178" s="1">
        <f t="shared" si="16"/>
        <v>73</v>
      </c>
      <c r="L178">
        <f t="shared" si="17"/>
        <v>1460.0000000000005</v>
      </c>
    </row>
    <row r="179" spans="1:12" x14ac:dyDescent="0.25">
      <c r="A179" s="3">
        <v>42912</v>
      </c>
      <c r="B179" s="1">
        <f t="shared" si="12"/>
        <v>4800</v>
      </c>
      <c r="C179" s="1">
        <v>12637.808043010031</v>
      </c>
      <c r="D179" s="1">
        <f t="shared" si="13"/>
        <v>7837.808043010029</v>
      </c>
      <c r="E179" s="2">
        <v>96</v>
      </c>
      <c r="F179" s="1">
        <v>131.64383378135449</v>
      </c>
      <c r="G179" s="1">
        <v>81.643833781354473</v>
      </c>
      <c r="H179" s="1">
        <v>50</v>
      </c>
      <c r="I179">
        <f t="shared" si="14"/>
        <v>8.4763711968959825</v>
      </c>
      <c r="J179">
        <f t="shared" si="15"/>
        <v>3.912023005428146</v>
      </c>
      <c r="K179" s="1">
        <f t="shared" si="16"/>
        <v>50.000000000000014</v>
      </c>
      <c r="L179">
        <f t="shared" si="17"/>
        <v>4750.0000000000009</v>
      </c>
    </row>
    <row r="180" spans="1:12" x14ac:dyDescent="0.25">
      <c r="A180" s="3">
        <v>42892</v>
      </c>
      <c r="B180" s="1">
        <f t="shared" si="12"/>
        <v>396</v>
      </c>
      <c r="C180" s="1">
        <v>982.20268738348364</v>
      </c>
      <c r="D180" s="1">
        <f t="shared" si="13"/>
        <v>586.20268738348364</v>
      </c>
      <c r="E180" s="2">
        <v>11</v>
      </c>
      <c r="F180" s="1">
        <v>89.291153398498508</v>
      </c>
      <c r="G180" s="1">
        <v>53.291153398498508</v>
      </c>
      <c r="H180" s="1">
        <v>36</v>
      </c>
      <c r="I180">
        <f t="shared" si="14"/>
        <v>5.9814142112544806</v>
      </c>
      <c r="J180">
        <f t="shared" si="15"/>
        <v>3.5835189384561099</v>
      </c>
      <c r="K180" s="1">
        <f t="shared" si="16"/>
        <v>36</v>
      </c>
      <c r="L180">
        <f t="shared" si="17"/>
        <v>360</v>
      </c>
    </row>
    <row r="181" spans="1:12" x14ac:dyDescent="0.25">
      <c r="A181" s="3">
        <v>42888</v>
      </c>
      <c r="B181" s="1">
        <f t="shared" si="12"/>
        <v>1785</v>
      </c>
      <c r="C181" s="1">
        <v>4445.1735525561853</v>
      </c>
      <c r="D181" s="1">
        <f t="shared" si="13"/>
        <v>2660.1735525561853</v>
      </c>
      <c r="E181" s="2">
        <v>51</v>
      </c>
      <c r="F181" s="1">
        <v>87.160265736395786</v>
      </c>
      <c r="G181" s="1">
        <v>52.160265736395793</v>
      </c>
      <c r="H181" s="1">
        <v>35</v>
      </c>
      <c r="I181">
        <f t="shared" si="14"/>
        <v>7.4871736942137392</v>
      </c>
      <c r="J181">
        <f t="shared" si="15"/>
        <v>3.5553480614894135</v>
      </c>
      <c r="K181" s="1">
        <f t="shared" si="16"/>
        <v>34.999999999999993</v>
      </c>
      <c r="L181">
        <f t="shared" si="17"/>
        <v>1749.9999999999995</v>
      </c>
    </row>
    <row r="182" spans="1:12" x14ac:dyDescent="0.25">
      <c r="A182" s="3">
        <v>42887</v>
      </c>
      <c r="B182" s="1">
        <f t="shared" si="12"/>
        <v>3645</v>
      </c>
      <c r="C182" s="1">
        <v>6669.147323824739</v>
      </c>
      <c r="D182" s="1">
        <f t="shared" si="13"/>
        <v>3024.1473238247395</v>
      </c>
      <c r="E182" s="2">
        <v>81</v>
      </c>
      <c r="F182" s="1">
        <v>82.335152145984438</v>
      </c>
      <c r="G182" s="1">
        <v>37.335152145984438</v>
      </c>
      <c r="H182" s="1">
        <v>45</v>
      </c>
      <c r="I182">
        <f t="shared" si="14"/>
        <v>8.2011116444427579</v>
      </c>
      <c r="J182">
        <f t="shared" si="15"/>
        <v>3.8066624897703196</v>
      </c>
      <c r="K182" s="1">
        <f t="shared" si="16"/>
        <v>45</v>
      </c>
      <c r="L182">
        <f t="shared" si="17"/>
        <v>3599.9999999999977</v>
      </c>
    </row>
    <row r="183" spans="1:12" x14ac:dyDescent="0.25">
      <c r="A183" s="3">
        <v>42874</v>
      </c>
      <c r="B183" s="1">
        <f t="shared" si="12"/>
        <v>988</v>
      </c>
      <c r="C183" s="1">
        <v>2360.778611844602</v>
      </c>
      <c r="D183" s="1">
        <f t="shared" si="13"/>
        <v>1372.7786118446024</v>
      </c>
      <c r="E183" s="2">
        <v>26</v>
      </c>
      <c r="F183" s="1">
        <v>90.799177378638547</v>
      </c>
      <c r="G183" s="1">
        <v>52.799177378638554</v>
      </c>
      <c r="H183" s="1">
        <v>38</v>
      </c>
      <c r="I183">
        <f t="shared" si="14"/>
        <v>6.8956826977478682</v>
      </c>
      <c r="J183">
        <f t="shared" si="15"/>
        <v>3.6375861597263857</v>
      </c>
      <c r="K183" s="1">
        <f t="shared" si="16"/>
        <v>37.999999999999993</v>
      </c>
      <c r="L183">
        <f t="shared" si="17"/>
        <v>950.00000000000045</v>
      </c>
    </row>
    <row r="184" spans="1:12" x14ac:dyDescent="0.25">
      <c r="A184" s="3">
        <v>42869</v>
      </c>
      <c r="B184" s="1">
        <f t="shared" si="12"/>
        <v>784</v>
      </c>
      <c r="C184" s="1">
        <v>1514.9028517219742</v>
      </c>
      <c r="D184" s="1">
        <f t="shared" si="13"/>
        <v>730.90285172197423</v>
      </c>
      <c r="E184" s="2">
        <v>16</v>
      </c>
      <c r="F184" s="1">
        <v>94.681428232623389</v>
      </c>
      <c r="G184" s="1">
        <v>45.681428232623389</v>
      </c>
      <c r="H184" s="1">
        <v>49</v>
      </c>
      <c r="I184">
        <f t="shared" si="14"/>
        <v>6.6644090203504076</v>
      </c>
      <c r="J184">
        <f t="shared" si="15"/>
        <v>3.8918202981106265</v>
      </c>
      <c r="K184" s="1">
        <f t="shared" si="16"/>
        <v>49</v>
      </c>
      <c r="L184">
        <f t="shared" si="17"/>
        <v>734.99999999999977</v>
      </c>
    </row>
    <row r="185" spans="1:12" x14ac:dyDescent="0.25">
      <c r="A185" s="3">
        <v>42866</v>
      </c>
      <c r="B185" s="1">
        <f t="shared" si="12"/>
        <v>1150</v>
      </c>
      <c r="C185" s="1">
        <v>2596.475708350551</v>
      </c>
      <c r="D185" s="1">
        <f t="shared" si="13"/>
        <v>1446.4757083505508</v>
      </c>
      <c r="E185" s="2">
        <v>25</v>
      </c>
      <c r="F185" s="1">
        <v>103.85902833402204</v>
      </c>
      <c r="G185" s="1">
        <v>57.859028334022035</v>
      </c>
      <c r="H185" s="1">
        <v>46</v>
      </c>
      <c r="I185">
        <f t="shared" si="14"/>
        <v>7.0475172213572961</v>
      </c>
      <c r="J185">
        <f t="shared" si="15"/>
        <v>3.8286413964890951</v>
      </c>
      <c r="K185" s="1">
        <f t="shared" si="16"/>
        <v>46.000000000000007</v>
      </c>
      <c r="L185">
        <f t="shared" si="17"/>
        <v>1104.0000000000005</v>
      </c>
    </row>
    <row r="186" spans="1:12" x14ac:dyDescent="0.25">
      <c r="A186" s="3">
        <v>42856</v>
      </c>
      <c r="B186" s="1">
        <f t="shared" si="12"/>
        <v>99</v>
      </c>
      <c r="C186" s="1">
        <v>209.76800721511574</v>
      </c>
      <c r="D186" s="1">
        <f t="shared" si="13"/>
        <v>110.76800721511573</v>
      </c>
      <c r="E186" s="2">
        <v>3</v>
      </c>
      <c r="F186" s="1">
        <v>69.922669071705243</v>
      </c>
      <c r="G186" s="1">
        <v>36.922669071705243</v>
      </c>
      <c r="H186" s="1">
        <v>33</v>
      </c>
      <c r="I186">
        <f t="shared" si="14"/>
        <v>4.5951198501345898</v>
      </c>
      <c r="J186">
        <f t="shared" si="15"/>
        <v>3.4965075614664802</v>
      </c>
      <c r="K186" s="1">
        <f t="shared" si="16"/>
        <v>33</v>
      </c>
      <c r="L186">
        <f t="shared" si="17"/>
        <v>65.999999999999986</v>
      </c>
    </row>
    <row r="187" spans="1:12" x14ac:dyDescent="0.25">
      <c r="A187" s="3">
        <v>42837</v>
      </c>
      <c r="B187" s="1">
        <f t="shared" si="12"/>
        <v>1958</v>
      </c>
      <c r="C187" s="1">
        <v>3516.0738020989584</v>
      </c>
      <c r="D187" s="1">
        <f t="shared" si="13"/>
        <v>1558.0738020989586</v>
      </c>
      <c r="E187" s="2">
        <v>22</v>
      </c>
      <c r="F187" s="1">
        <v>159.82153645904356</v>
      </c>
      <c r="G187" s="1">
        <v>70.821536459043571</v>
      </c>
      <c r="H187" s="1">
        <v>89</v>
      </c>
      <c r="I187">
        <f t="shared" si="14"/>
        <v>7.5796788230904557</v>
      </c>
      <c r="J187">
        <f t="shared" si="15"/>
        <v>4.4886363697321396</v>
      </c>
      <c r="K187" s="1">
        <f t="shared" si="16"/>
        <v>88.999999999999986</v>
      </c>
      <c r="L187">
        <f t="shared" si="17"/>
        <v>1869</v>
      </c>
    </row>
    <row r="188" spans="1:12" x14ac:dyDescent="0.25">
      <c r="A188" s="3">
        <v>42822</v>
      </c>
      <c r="B188" s="1">
        <f t="shared" si="12"/>
        <v>1328</v>
      </c>
      <c r="C188" s="1">
        <v>3123.3379875602322</v>
      </c>
      <c r="D188" s="1">
        <f t="shared" si="13"/>
        <v>1795.3379875602325</v>
      </c>
      <c r="E188" s="2">
        <v>16</v>
      </c>
      <c r="F188" s="1">
        <v>195.20862422251452</v>
      </c>
      <c r="G188" s="1">
        <v>112.20862422251453</v>
      </c>
      <c r="H188" s="1">
        <v>83</v>
      </c>
      <c r="I188">
        <f t="shared" si="14"/>
        <v>7.191429330036379</v>
      </c>
      <c r="J188">
        <f t="shared" si="15"/>
        <v>4.4188406077965983</v>
      </c>
      <c r="K188" s="1">
        <f t="shared" si="16"/>
        <v>82.999999999999986</v>
      </c>
      <c r="L188">
        <f t="shared" si="17"/>
        <v>1244.9999999999998</v>
      </c>
    </row>
    <row r="189" spans="1:12" x14ac:dyDescent="0.25">
      <c r="A189" s="3">
        <v>42819</v>
      </c>
      <c r="B189" s="1">
        <f t="shared" si="12"/>
        <v>207</v>
      </c>
      <c r="C189" s="1">
        <v>401.55061191131273</v>
      </c>
      <c r="D189" s="1">
        <f t="shared" si="13"/>
        <v>194.55061191131267</v>
      </c>
      <c r="E189" s="2">
        <v>3</v>
      </c>
      <c r="F189" s="1">
        <v>133.85020397043758</v>
      </c>
      <c r="G189" s="1">
        <v>64.850203970437562</v>
      </c>
      <c r="H189" s="1">
        <v>69</v>
      </c>
      <c r="I189">
        <f t="shared" si="14"/>
        <v>5.3327187932653688</v>
      </c>
      <c r="J189">
        <f t="shared" si="15"/>
        <v>4.2341065045972597</v>
      </c>
      <c r="K189" s="1">
        <f t="shared" si="16"/>
        <v>69.000000000000014</v>
      </c>
      <c r="L189">
        <f t="shared" si="17"/>
        <v>137.99999999999994</v>
      </c>
    </row>
    <row r="190" spans="1:12" x14ac:dyDescent="0.25">
      <c r="A190" s="3">
        <v>42813</v>
      </c>
      <c r="B190" s="1">
        <f t="shared" si="12"/>
        <v>290</v>
      </c>
      <c r="C190" s="1">
        <v>537.21591532425168</v>
      </c>
      <c r="D190" s="1">
        <f t="shared" si="13"/>
        <v>247.21591532425168</v>
      </c>
      <c r="E190" s="2">
        <v>5</v>
      </c>
      <c r="F190" s="1">
        <v>107.44318306485033</v>
      </c>
      <c r="G190" s="1">
        <v>49.443183064850338</v>
      </c>
      <c r="H190" s="1">
        <v>58</v>
      </c>
      <c r="I190">
        <f t="shared" si="14"/>
        <v>5.6698809229805196</v>
      </c>
      <c r="J190">
        <f t="shared" si="15"/>
        <v>4.0604430105464191</v>
      </c>
      <c r="K190" s="1">
        <f t="shared" si="16"/>
        <v>57.999999999999993</v>
      </c>
      <c r="L190">
        <f t="shared" si="17"/>
        <v>231.99999999999994</v>
      </c>
    </row>
    <row r="191" spans="1:12" x14ac:dyDescent="0.25">
      <c r="A191" s="3">
        <v>42799</v>
      </c>
      <c r="B191" s="1">
        <f t="shared" si="12"/>
        <v>132</v>
      </c>
      <c r="C191" s="1">
        <v>373.05779136047227</v>
      </c>
      <c r="D191" s="1">
        <f t="shared" si="13"/>
        <v>241.05779136047221</v>
      </c>
      <c r="E191" s="2">
        <v>11</v>
      </c>
      <c r="F191" s="1">
        <v>33.91434466913384</v>
      </c>
      <c r="G191" s="1">
        <v>21.914344669133836</v>
      </c>
      <c r="H191" s="1">
        <v>12</v>
      </c>
      <c r="I191">
        <f t="shared" si="14"/>
        <v>4.8828019225863706</v>
      </c>
      <c r="J191">
        <f t="shared" si="15"/>
        <v>2.4849066497880004</v>
      </c>
      <c r="K191" s="1">
        <f t="shared" si="16"/>
        <v>12.000000000000004</v>
      </c>
      <c r="L191">
        <f t="shared" si="17"/>
        <v>119.99999999999997</v>
      </c>
    </row>
    <row r="192" spans="1:12" x14ac:dyDescent="0.25">
      <c r="A192" s="3">
        <v>42797</v>
      </c>
      <c r="B192" s="1">
        <f t="shared" si="12"/>
        <v>196</v>
      </c>
      <c r="C192" s="1">
        <v>543.52748308029368</v>
      </c>
      <c r="D192" s="1">
        <f t="shared" si="13"/>
        <v>347.52748308029373</v>
      </c>
      <c r="E192" s="2">
        <v>4</v>
      </c>
      <c r="F192" s="1">
        <v>135.88187077007342</v>
      </c>
      <c r="G192" s="1">
        <v>86.881870770073434</v>
      </c>
      <c r="H192" s="1">
        <v>49</v>
      </c>
      <c r="I192">
        <f t="shared" si="14"/>
        <v>5.2781146592305168</v>
      </c>
      <c r="J192">
        <f t="shared" si="15"/>
        <v>3.8918202981106265</v>
      </c>
      <c r="K192" s="1">
        <f t="shared" si="16"/>
        <v>48.999999999999986</v>
      </c>
      <c r="L192">
        <f t="shared" si="17"/>
        <v>146.99999999999991</v>
      </c>
    </row>
    <row r="193" spans="1:12" x14ac:dyDescent="0.25">
      <c r="A193" s="3">
        <v>42796</v>
      </c>
      <c r="B193" s="1">
        <f t="shared" si="12"/>
        <v>2688</v>
      </c>
      <c r="C193" s="1">
        <v>4551.4976662263216</v>
      </c>
      <c r="D193" s="1">
        <f t="shared" si="13"/>
        <v>1863.4976662263216</v>
      </c>
      <c r="E193" s="2">
        <v>56</v>
      </c>
      <c r="F193" s="1">
        <v>81.276744039755741</v>
      </c>
      <c r="G193" s="1">
        <v>33.276744039755741</v>
      </c>
      <c r="H193" s="1">
        <v>48</v>
      </c>
      <c r="I193">
        <f t="shared" si="14"/>
        <v>7.8965527016430404</v>
      </c>
      <c r="J193">
        <f t="shared" si="15"/>
        <v>3.8712010109078911</v>
      </c>
      <c r="K193" s="1">
        <f t="shared" si="16"/>
        <v>48</v>
      </c>
      <c r="L193">
        <f t="shared" si="17"/>
        <v>2640.0000000000005</v>
      </c>
    </row>
    <row r="194" spans="1:12" x14ac:dyDescent="0.25">
      <c r="A194" s="3">
        <v>42792</v>
      </c>
      <c r="B194" s="1">
        <f t="shared" ref="B194:B257" si="18">+E194*H194</f>
        <v>405</v>
      </c>
      <c r="C194" s="1">
        <v>697.36663507256571</v>
      </c>
      <c r="D194" s="1">
        <f t="shared" ref="D194:D257" si="19">+E194*G194</f>
        <v>292.36663507256571</v>
      </c>
      <c r="E194" s="2">
        <v>5</v>
      </c>
      <c r="F194" s="1">
        <v>139.47332701451313</v>
      </c>
      <c r="G194" s="1">
        <v>58.473327014513146</v>
      </c>
      <c r="H194" s="1">
        <v>81</v>
      </c>
      <c r="I194">
        <f t="shared" si="14"/>
        <v>6.0038870671065387</v>
      </c>
      <c r="J194">
        <f t="shared" si="15"/>
        <v>4.3944491546724391</v>
      </c>
      <c r="K194" s="1">
        <f t="shared" si="16"/>
        <v>80.999999999999986</v>
      </c>
      <c r="L194">
        <f t="shared" si="17"/>
        <v>323.99999999999977</v>
      </c>
    </row>
    <row r="195" spans="1:12" x14ac:dyDescent="0.25">
      <c r="A195" s="3">
        <v>42787</v>
      </c>
      <c r="B195" s="1">
        <f t="shared" si="18"/>
        <v>288</v>
      </c>
      <c r="C195" s="1">
        <v>577.18834648151847</v>
      </c>
      <c r="D195" s="1">
        <f t="shared" si="19"/>
        <v>289.18834648151841</v>
      </c>
      <c r="E195" s="2">
        <v>8</v>
      </c>
      <c r="F195" s="1">
        <v>72.148543310189808</v>
      </c>
      <c r="G195" s="1">
        <v>36.148543310189801</v>
      </c>
      <c r="H195" s="1">
        <v>36</v>
      </c>
      <c r="I195">
        <f t="shared" ref="I195:I258" si="20">+LN(B195)</f>
        <v>5.6629604801359461</v>
      </c>
      <c r="J195">
        <f t="shared" ref="J195:J258" si="21">+LN(H195)</f>
        <v>3.5835189384561099</v>
      </c>
      <c r="K195" s="1">
        <f t="shared" ref="K195:K258" si="22">+F195-G195</f>
        <v>36.000000000000007</v>
      </c>
      <c r="L195">
        <f t="shared" ref="L195:L258" si="23">EXP(I195)-EXP(J195)</f>
        <v>252.00000000000006</v>
      </c>
    </row>
    <row r="196" spans="1:12" x14ac:dyDescent="0.25">
      <c r="A196" s="3">
        <v>42759</v>
      </c>
      <c r="B196" s="1">
        <f t="shared" si="18"/>
        <v>987</v>
      </c>
      <c r="C196" s="1">
        <v>1986.2683565057853</v>
      </c>
      <c r="D196" s="1">
        <f t="shared" si="19"/>
        <v>999.26835650578528</v>
      </c>
      <c r="E196" s="2">
        <v>21</v>
      </c>
      <c r="F196" s="1">
        <v>94.584207452656443</v>
      </c>
      <c r="G196" s="1">
        <v>47.584207452656443</v>
      </c>
      <c r="H196" s="1">
        <v>47</v>
      </c>
      <c r="I196">
        <f t="shared" si="20"/>
        <v>6.8946700394334819</v>
      </c>
      <c r="J196">
        <f t="shared" si="21"/>
        <v>3.8501476017100584</v>
      </c>
      <c r="K196" s="1">
        <f t="shared" si="22"/>
        <v>47</v>
      </c>
      <c r="L196">
        <f t="shared" si="23"/>
        <v>940.00000000000034</v>
      </c>
    </row>
    <row r="197" spans="1:12" x14ac:dyDescent="0.25">
      <c r="A197" s="3">
        <v>42756</v>
      </c>
      <c r="B197" s="1">
        <f t="shared" si="18"/>
        <v>3828</v>
      </c>
      <c r="C197" s="1">
        <v>6452.5148059645198</v>
      </c>
      <c r="D197" s="1">
        <f t="shared" si="19"/>
        <v>2624.5148059645203</v>
      </c>
      <c r="E197" s="2">
        <v>33</v>
      </c>
      <c r="F197" s="1">
        <v>195.53075169589454</v>
      </c>
      <c r="G197" s="1">
        <v>79.530751695894551</v>
      </c>
      <c r="H197" s="1">
        <v>116</v>
      </c>
      <c r="I197">
        <f t="shared" si="20"/>
        <v>8.2500977525728452</v>
      </c>
      <c r="J197">
        <f t="shared" si="21"/>
        <v>4.7535901911063645</v>
      </c>
      <c r="K197" s="1">
        <f t="shared" si="22"/>
        <v>115.99999999999999</v>
      </c>
      <c r="L197">
        <f t="shared" si="23"/>
        <v>3712.0000000000009</v>
      </c>
    </row>
    <row r="198" spans="1:12" x14ac:dyDescent="0.25">
      <c r="A198" s="3">
        <v>42739</v>
      </c>
      <c r="B198" s="1">
        <f t="shared" si="18"/>
        <v>162</v>
      </c>
      <c r="C198" s="1">
        <v>385.8886620659556</v>
      </c>
      <c r="D198" s="1">
        <f t="shared" si="19"/>
        <v>223.88866206595554</v>
      </c>
      <c r="E198" s="2">
        <v>3</v>
      </c>
      <c r="F198" s="1">
        <v>128.6295540219852</v>
      </c>
      <c r="G198" s="1">
        <v>74.629554021985186</v>
      </c>
      <c r="H198" s="1">
        <v>54</v>
      </c>
      <c r="I198">
        <f t="shared" si="20"/>
        <v>5.0875963352323836</v>
      </c>
      <c r="J198">
        <f t="shared" si="21"/>
        <v>3.9889840465642745</v>
      </c>
      <c r="K198" s="1">
        <f t="shared" si="22"/>
        <v>54.000000000000014</v>
      </c>
      <c r="L198">
        <f t="shared" si="23"/>
        <v>107.99999999999994</v>
      </c>
    </row>
    <row r="199" spans="1:12" x14ac:dyDescent="0.25">
      <c r="A199" s="3">
        <v>42730</v>
      </c>
      <c r="B199" s="1">
        <f t="shared" si="18"/>
        <v>1404</v>
      </c>
      <c r="C199" s="1">
        <v>2801.7906325157751</v>
      </c>
      <c r="D199" s="1">
        <f t="shared" si="19"/>
        <v>1397.7906325157751</v>
      </c>
      <c r="E199" s="2">
        <v>18</v>
      </c>
      <c r="F199" s="1">
        <v>155.65503513976529</v>
      </c>
      <c r="G199" s="1">
        <v>77.655035139765289</v>
      </c>
      <c r="H199" s="1">
        <v>78</v>
      </c>
      <c r="I199">
        <f t="shared" si="20"/>
        <v>7.2470805845857562</v>
      </c>
      <c r="J199">
        <f t="shared" si="21"/>
        <v>4.3567088266895917</v>
      </c>
      <c r="K199" s="1">
        <f t="shared" si="22"/>
        <v>78</v>
      </c>
      <c r="L199">
        <f t="shared" si="23"/>
        <v>1325.9999999999998</v>
      </c>
    </row>
    <row r="200" spans="1:12" x14ac:dyDescent="0.25">
      <c r="A200" s="3">
        <v>42727</v>
      </c>
      <c r="B200" s="1">
        <f t="shared" si="18"/>
        <v>924</v>
      </c>
      <c r="C200" s="1">
        <v>2429.7204621728283</v>
      </c>
      <c r="D200" s="1">
        <f t="shared" si="19"/>
        <v>1505.7204621728283</v>
      </c>
      <c r="E200" s="2">
        <v>21</v>
      </c>
      <c r="F200" s="1">
        <v>115.70097438918231</v>
      </c>
      <c r="G200" s="1">
        <v>71.700974389182306</v>
      </c>
      <c r="H200" s="1">
        <v>44</v>
      </c>
      <c r="I200">
        <f t="shared" si="20"/>
        <v>6.828712071641684</v>
      </c>
      <c r="J200">
        <f t="shared" si="21"/>
        <v>3.784189633918261</v>
      </c>
      <c r="K200" s="1">
        <f t="shared" si="22"/>
        <v>44</v>
      </c>
      <c r="L200">
        <f t="shared" si="23"/>
        <v>879.99999999999989</v>
      </c>
    </row>
    <row r="201" spans="1:12" x14ac:dyDescent="0.25">
      <c r="A201" s="3">
        <v>42726</v>
      </c>
      <c r="B201" s="1">
        <f t="shared" si="18"/>
        <v>780</v>
      </c>
      <c r="C201" s="1">
        <v>1630.8223086724397</v>
      </c>
      <c r="D201" s="1">
        <f t="shared" si="19"/>
        <v>850.82230867243982</v>
      </c>
      <c r="E201" s="2">
        <v>26</v>
      </c>
      <c r="F201" s="1">
        <v>62.723934948939991</v>
      </c>
      <c r="G201" s="1">
        <v>32.723934948939991</v>
      </c>
      <c r="H201" s="1">
        <v>30</v>
      </c>
      <c r="I201">
        <f t="shared" si="20"/>
        <v>6.6592939196836376</v>
      </c>
      <c r="J201">
        <f t="shared" si="21"/>
        <v>3.4011973816621555</v>
      </c>
      <c r="K201" s="1">
        <f t="shared" si="22"/>
        <v>30</v>
      </c>
      <c r="L201">
        <f t="shared" si="23"/>
        <v>750.00000000000011</v>
      </c>
    </row>
    <row r="202" spans="1:12" x14ac:dyDescent="0.25">
      <c r="A202" s="3">
        <v>42711</v>
      </c>
      <c r="B202" s="1">
        <f t="shared" si="18"/>
        <v>1460</v>
      </c>
      <c r="C202" s="1">
        <v>4198.6643653517376</v>
      </c>
      <c r="D202" s="1">
        <f t="shared" si="19"/>
        <v>2738.6643653517381</v>
      </c>
      <c r="E202" s="2">
        <v>73</v>
      </c>
      <c r="F202" s="1">
        <v>57.515950210297781</v>
      </c>
      <c r="G202" s="1">
        <v>37.515950210297781</v>
      </c>
      <c r="H202" s="1">
        <v>20</v>
      </c>
      <c r="I202">
        <f t="shared" si="20"/>
        <v>7.2861917147023822</v>
      </c>
      <c r="J202">
        <f t="shared" si="21"/>
        <v>2.9957322735539909</v>
      </c>
      <c r="K202" s="1">
        <f t="shared" si="22"/>
        <v>20</v>
      </c>
      <c r="L202">
        <f t="shared" si="23"/>
        <v>1440.0000000000002</v>
      </c>
    </row>
    <row r="203" spans="1:12" x14ac:dyDescent="0.25">
      <c r="A203" s="3">
        <v>42685</v>
      </c>
      <c r="B203" s="1">
        <f t="shared" si="18"/>
        <v>369</v>
      </c>
      <c r="C203" s="1">
        <v>728.00133857768969</v>
      </c>
      <c r="D203" s="1">
        <f t="shared" si="19"/>
        <v>359.00133857768981</v>
      </c>
      <c r="E203" s="2">
        <v>9</v>
      </c>
      <c r="F203" s="1">
        <v>80.889037619743306</v>
      </c>
      <c r="G203" s="1">
        <v>39.889037619743313</v>
      </c>
      <c r="H203" s="1">
        <v>41</v>
      </c>
      <c r="I203">
        <f t="shared" si="20"/>
        <v>5.9107966440405271</v>
      </c>
      <c r="J203">
        <f t="shared" si="21"/>
        <v>3.713572066704308</v>
      </c>
      <c r="K203" s="1">
        <f t="shared" si="22"/>
        <v>40.999999999999993</v>
      </c>
      <c r="L203">
        <f t="shared" si="23"/>
        <v>327.99999999999994</v>
      </c>
    </row>
    <row r="204" spans="1:12" x14ac:dyDescent="0.25">
      <c r="A204" s="3">
        <v>42672</v>
      </c>
      <c r="B204" s="1">
        <f t="shared" si="18"/>
        <v>475</v>
      </c>
      <c r="C204" s="1">
        <v>900.66600519512895</v>
      </c>
      <c r="D204" s="1">
        <f t="shared" si="19"/>
        <v>425.66600519512889</v>
      </c>
      <c r="E204" s="2">
        <v>25</v>
      </c>
      <c r="F204" s="1">
        <v>36.026640207805158</v>
      </c>
      <c r="G204" s="1">
        <v>17.026640207805155</v>
      </c>
      <c r="H204" s="1">
        <v>19</v>
      </c>
      <c r="I204">
        <f t="shared" si="20"/>
        <v>6.1633148040346413</v>
      </c>
      <c r="J204">
        <f t="shared" si="21"/>
        <v>2.9444389791664403</v>
      </c>
      <c r="K204" s="1">
        <f t="shared" si="22"/>
        <v>19.000000000000004</v>
      </c>
      <c r="L204">
        <f t="shared" si="23"/>
        <v>456.00000000000006</v>
      </c>
    </row>
    <row r="205" spans="1:12" x14ac:dyDescent="0.25">
      <c r="A205" s="3">
        <v>42653</v>
      </c>
      <c r="B205" s="1">
        <f t="shared" si="18"/>
        <v>522</v>
      </c>
      <c r="C205" s="1">
        <v>1008.7822271839731</v>
      </c>
      <c r="D205" s="1">
        <f t="shared" si="19"/>
        <v>486.78222718397296</v>
      </c>
      <c r="E205" s="2">
        <v>9</v>
      </c>
      <c r="F205" s="1">
        <v>112.08691413155256</v>
      </c>
      <c r="G205" s="1">
        <v>54.086914131552554</v>
      </c>
      <c r="H205" s="1">
        <v>58</v>
      </c>
      <c r="I205">
        <f t="shared" si="20"/>
        <v>6.2576675878826391</v>
      </c>
      <c r="J205">
        <f t="shared" si="21"/>
        <v>4.0604430105464191</v>
      </c>
      <c r="K205" s="1">
        <f t="shared" si="22"/>
        <v>58.000000000000007</v>
      </c>
      <c r="L205">
        <f t="shared" si="23"/>
        <v>464.00000000000023</v>
      </c>
    </row>
    <row r="206" spans="1:12" x14ac:dyDescent="0.25">
      <c r="A206" s="3">
        <v>42650</v>
      </c>
      <c r="B206" s="1">
        <f t="shared" si="18"/>
        <v>624</v>
      </c>
      <c r="C206" s="1">
        <v>1199.9097973571811</v>
      </c>
      <c r="D206" s="1">
        <f t="shared" si="19"/>
        <v>575.90979735718111</v>
      </c>
      <c r="E206" s="2">
        <v>12</v>
      </c>
      <c r="F206" s="1">
        <v>99.99248311309843</v>
      </c>
      <c r="G206" s="1">
        <v>47.99248311309843</v>
      </c>
      <c r="H206" s="1">
        <v>52</v>
      </c>
      <c r="I206">
        <f t="shared" si="20"/>
        <v>6.4361503683694279</v>
      </c>
      <c r="J206">
        <f t="shared" si="21"/>
        <v>3.9512437185814275</v>
      </c>
      <c r="K206" s="1">
        <f t="shared" si="22"/>
        <v>52</v>
      </c>
      <c r="L206">
        <f t="shared" si="23"/>
        <v>572.00000000000011</v>
      </c>
    </row>
    <row r="207" spans="1:12" x14ac:dyDescent="0.25">
      <c r="A207" s="3">
        <v>42646</v>
      </c>
      <c r="B207" s="1">
        <f t="shared" si="18"/>
        <v>1209</v>
      </c>
      <c r="C207" s="1">
        <v>2918.5735732345879</v>
      </c>
      <c r="D207" s="1">
        <f t="shared" si="19"/>
        <v>1709.5735732345879</v>
      </c>
      <c r="E207" s="2">
        <v>39</v>
      </c>
      <c r="F207" s="1">
        <v>74.83521982652789</v>
      </c>
      <c r="G207" s="1">
        <v>43.835219826527897</v>
      </c>
      <c r="H207" s="1">
        <v>31</v>
      </c>
      <c r="I207">
        <f t="shared" si="20"/>
        <v>7.0975488506147926</v>
      </c>
      <c r="J207">
        <f t="shared" si="21"/>
        <v>3.4339872044851463</v>
      </c>
      <c r="K207" s="1">
        <f t="shared" si="22"/>
        <v>30.999999999999993</v>
      </c>
      <c r="L207">
        <f t="shared" si="23"/>
        <v>1177.9999999999998</v>
      </c>
    </row>
    <row r="208" spans="1:12" x14ac:dyDescent="0.25">
      <c r="A208" s="3">
        <v>42638</v>
      </c>
      <c r="B208" s="1">
        <f t="shared" si="18"/>
        <v>651</v>
      </c>
      <c r="C208" s="1">
        <v>1189.9805742082863</v>
      </c>
      <c r="D208" s="1">
        <f t="shared" si="19"/>
        <v>538.98057420828638</v>
      </c>
      <c r="E208" s="2">
        <v>7</v>
      </c>
      <c r="F208" s="1">
        <v>169.99722488689804</v>
      </c>
      <c r="G208" s="1">
        <v>76.997224886898053</v>
      </c>
      <c r="H208" s="1">
        <v>93</v>
      </c>
      <c r="I208">
        <f t="shared" si="20"/>
        <v>6.4785096422085688</v>
      </c>
      <c r="J208">
        <f t="shared" si="21"/>
        <v>4.5325994931532563</v>
      </c>
      <c r="K208" s="1">
        <f t="shared" si="22"/>
        <v>92.999999999999986</v>
      </c>
      <c r="L208">
        <f t="shared" si="23"/>
        <v>557.99999999999977</v>
      </c>
    </row>
    <row r="209" spans="1:12" x14ac:dyDescent="0.25">
      <c r="A209" s="3">
        <v>42629</v>
      </c>
      <c r="B209" s="1">
        <f t="shared" si="18"/>
        <v>1755</v>
      </c>
      <c r="C209" s="1">
        <v>3142.3281442306816</v>
      </c>
      <c r="D209" s="1">
        <f t="shared" si="19"/>
        <v>1387.3281442306813</v>
      </c>
      <c r="E209" s="2">
        <v>27</v>
      </c>
      <c r="F209" s="1">
        <v>116.38252386039561</v>
      </c>
      <c r="G209" s="1">
        <v>51.382523860395608</v>
      </c>
      <c r="H209" s="1">
        <v>65</v>
      </c>
      <c r="I209">
        <f t="shared" si="20"/>
        <v>7.4702241358999659</v>
      </c>
      <c r="J209">
        <f t="shared" si="21"/>
        <v>4.1743872698956368</v>
      </c>
      <c r="K209" s="1">
        <f t="shared" si="22"/>
        <v>65</v>
      </c>
      <c r="L209">
        <f t="shared" si="23"/>
        <v>1689.9999999999995</v>
      </c>
    </row>
    <row r="210" spans="1:12" x14ac:dyDescent="0.25">
      <c r="A210" s="3">
        <v>42628</v>
      </c>
      <c r="B210" s="1">
        <f t="shared" si="18"/>
        <v>1188</v>
      </c>
      <c r="C210" s="1">
        <v>2188.2777767192911</v>
      </c>
      <c r="D210" s="1">
        <f t="shared" si="19"/>
        <v>1000.2777767192912</v>
      </c>
      <c r="E210" s="2">
        <v>33</v>
      </c>
      <c r="F210" s="1">
        <v>66.311447779372457</v>
      </c>
      <c r="G210" s="1">
        <v>30.311447779372461</v>
      </c>
      <c r="H210" s="1">
        <v>36</v>
      </c>
      <c r="I210">
        <f t="shared" si="20"/>
        <v>7.0800264999225906</v>
      </c>
      <c r="J210">
        <f t="shared" si="21"/>
        <v>3.5835189384561099</v>
      </c>
      <c r="K210" s="1">
        <f t="shared" si="22"/>
        <v>36</v>
      </c>
      <c r="L210">
        <f t="shared" si="23"/>
        <v>1152.0000000000005</v>
      </c>
    </row>
    <row r="211" spans="1:12" x14ac:dyDescent="0.25">
      <c r="A211" s="3">
        <v>42624</v>
      </c>
      <c r="B211" s="1">
        <f t="shared" si="18"/>
        <v>231</v>
      </c>
      <c r="C211" s="1">
        <v>566.84727024897745</v>
      </c>
      <c r="D211" s="1">
        <f t="shared" si="19"/>
        <v>335.8472702489774</v>
      </c>
      <c r="E211" s="2">
        <v>11</v>
      </c>
      <c r="F211" s="1">
        <v>51.531570022634313</v>
      </c>
      <c r="G211" s="1">
        <v>30.531570022634309</v>
      </c>
      <c r="H211" s="1">
        <v>21</v>
      </c>
      <c r="I211">
        <f t="shared" si="20"/>
        <v>5.4424177105217932</v>
      </c>
      <c r="J211">
        <f t="shared" si="21"/>
        <v>3.044522437723423</v>
      </c>
      <c r="K211" s="1">
        <f t="shared" si="22"/>
        <v>21.000000000000004</v>
      </c>
      <c r="L211">
        <f t="shared" si="23"/>
        <v>209.99999999999994</v>
      </c>
    </row>
    <row r="212" spans="1:12" x14ac:dyDescent="0.25">
      <c r="A212" s="3">
        <v>42618</v>
      </c>
      <c r="B212" s="1">
        <f t="shared" si="18"/>
        <v>1860</v>
      </c>
      <c r="C212" s="1">
        <v>4018.6029453383303</v>
      </c>
      <c r="D212" s="1">
        <f t="shared" si="19"/>
        <v>2158.6029453383303</v>
      </c>
      <c r="E212" s="2">
        <v>15</v>
      </c>
      <c r="F212" s="1">
        <v>267.90686302255534</v>
      </c>
      <c r="G212" s="1">
        <v>143.90686302255534</v>
      </c>
      <c r="H212" s="1">
        <v>124</v>
      </c>
      <c r="I212">
        <f t="shared" si="20"/>
        <v>7.5283317667072467</v>
      </c>
      <c r="J212">
        <f t="shared" si="21"/>
        <v>4.8202815656050371</v>
      </c>
      <c r="K212" s="1">
        <f t="shared" si="22"/>
        <v>124</v>
      </c>
      <c r="L212">
        <f t="shared" si="23"/>
        <v>1735.9999999999995</v>
      </c>
    </row>
    <row r="213" spans="1:12" x14ac:dyDescent="0.25">
      <c r="A213" s="3">
        <v>42618</v>
      </c>
      <c r="B213" s="1">
        <f t="shared" si="18"/>
        <v>776</v>
      </c>
      <c r="C213" s="1">
        <v>1463.5118502400246</v>
      </c>
      <c r="D213" s="1">
        <f t="shared" si="19"/>
        <v>687.51185024002473</v>
      </c>
      <c r="E213" s="2">
        <v>8</v>
      </c>
      <c r="F213" s="1">
        <v>182.93898128000308</v>
      </c>
      <c r="G213" s="1">
        <v>85.938981280003091</v>
      </c>
      <c r="H213" s="1">
        <v>97</v>
      </c>
      <c r="I213">
        <f t="shared" si="20"/>
        <v>6.654152520183219</v>
      </c>
      <c r="J213">
        <f t="shared" si="21"/>
        <v>4.5747109785033828</v>
      </c>
      <c r="K213" s="1">
        <f t="shared" si="22"/>
        <v>96.999999999999986</v>
      </c>
      <c r="L213">
        <f t="shared" si="23"/>
        <v>679.00000000000023</v>
      </c>
    </row>
    <row r="214" spans="1:12" x14ac:dyDescent="0.25">
      <c r="A214" s="3">
        <v>42608</v>
      </c>
      <c r="B214" s="1">
        <f t="shared" si="18"/>
        <v>1320</v>
      </c>
      <c r="C214" s="1">
        <v>2305.6543926010745</v>
      </c>
      <c r="D214" s="1">
        <f t="shared" si="19"/>
        <v>985.65439260107473</v>
      </c>
      <c r="E214" s="2">
        <v>12</v>
      </c>
      <c r="F214" s="1">
        <v>192.13786605008954</v>
      </c>
      <c r="G214" s="1">
        <v>82.137866050089556</v>
      </c>
      <c r="H214" s="1">
        <v>110</v>
      </c>
      <c r="I214">
        <f t="shared" si="20"/>
        <v>7.1853870155804165</v>
      </c>
      <c r="J214">
        <f t="shared" si="21"/>
        <v>4.7004803657924166</v>
      </c>
      <c r="K214" s="1">
        <f t="shared" si="22"/>
        <v>109.99999999999999</v>
      </c>
      <c r="L214">
        <f t="shared" si="23"/>
        <v>1210</v>
      </c>
    </row>
    <row r="215" spans="1:12" x14ac:dyDescent="0.25">
      <c r="A215" s="3">
        <v>42587</v>
      </c>
      <c r="B215" s="1">
        <f t="shared" si="18"/>
        <v>264</v>
      </c>
      <c r="C215" s="1">
        <v>627.12169776250403</v>
      </c>
      <c r="D215" s="1">
        <f t="shared" si="19"/>
        <v>363.12169776250403</v>
      </c>
      <c r="E215" s="2">
        <v>11</v>
      </c>
      <c r="F215" s="1">
        <v>57.011063432954913</v>
      </c>
      <c r="G215" s="1">
        <v>33.011063432954913</v>
      </c>
      <c r="H215" s="1">
        <v>24</v>
      </c>
      <c r="I215">
        <f t="shared" si="20"/>
        <v>5.575949103146316</v>
      </c>
      <c r="J215">
        <f t="shared" si="21"/>
        <v>3.1780538303479458</v>
      </c>
      <c r="K215" s="1">
        <f t="shared" si="22"/>
        <v>24</v>
      </c>
      <c r="L215">
        <f t="shared" si="23"/>
        <v>239.99999999999994</v>
      </c>
    </row>
    <row r="216" spans="1:12" x14ac:dyDescent="0.25">
      <c r="A216" s="3">
        <v>42568</v>
      </c>
      <c r="B216" s="1">
        <f t="shared" si="18"/>
        <v>8774</v>
      </c>
      <c r="C216" s="1">
        <v>17001.022723463269</v>
      </c>
      <c r="D216" s="1">
        <f t="shared" si="19"/>
        <v>8227.0227234632694</v>
      </c>
      <c r="E216" s="2">
        <v>107</v>
      </c>
      <c r="F216" s="1">
        <v>158.88806283610532</v>
      </c>
      <c r="G216" s="1">
        <v>76.88806283610532</v>
      </c>
      <c r="H216" s="1">
        <v>82</v>
      </c>
      <c r="I216">
        <f t="shared" si="20"/>
        <v>9.0795480817261591</v>
      </c>
      <c r="J216">
        <f t="shared" si="21"/>
        <v>4.4067192472642533</v>
      </c>
      <c r="K216" s="1">
        <f t="shared" si="22"/>
        <v>82</v>
      </c>
      <c r="L216">
        <f t="shared" si="23"/>
        <v>8691.9999999999982</v>
      </c>
    </row>
    <row r="217" spans="1:12" x14ac:dyDescent="0.25">
      <c r="A217" s="3">
        <v>42546</v>
      </c>
      <c r="B217" s="1">
        <f t="shared" si="18"/>
        <v>132</v>
      </c>
      <c r="C217" s="1">
        <v>293.25382240453382</v>
      </c>
      <c r="D217" s="1">
        <f t="shared" si="19"/>
        <v>161.25382240453382</v>
      </c>
      <c r="E217" s="2">
        <v>6</v>
      </c>
      <c r="F217" s="1">
        <v>48.875637067422304</v>
      </c>
      <c r="G217" s="1">
        <v>26.875637067422304</v>
      </c>
      <c r="H217" s="1">
        <v>22</v>
      </c>
      <c r="I217">
        <f t="shared" si="20"/>
        <v>4.8828019225863706</v>
      </c>
      <c r="J217">
        <f t="shared" si="21"/>
        <v>3.0910424533583161</v>
      </c>
      <c r="K217" s="1">
        <f t="shared" si="22"/>
        <v>22</v>
      </c>
      <c r="L217">
        <f t="shared" si="23"/>
        <v>109.99999999999997</v>
      </c>
    </row>
    <row r="218" spans="1:12" x14ac:dyDescent="0.25">
      <c r="A218" s="3">
        <v>42541</v>
      </c>
      <c r="B218" s="1">
        <f t="shared" si="18"/>
        <v>2016</v>
      </c>
      <c r="C218" s="1">
        <v>3400.5150547906651</v>
      </c>
      <c r="D218" s="1">
        <f t="shared" si="19"/>
        <v>1384.5150547906649</v>
      </c>
      <c r="E218" s="2">
        <v>12</v>
      </c>
      <c r="F218" s="1">
        <v>283.37625456588876</v>
      </c>
      <c r="G218" s="1">
        <v>115.37625456588874</v>
      </c>
      <c r="H218" s="1">
        <v>168</v>
      </c>
      <c r="I218">
        <f t="shared" si="20"/>
        <v>7.6088706291912596</v>
      </c>
      <c r="J218">
        <f t="shared" si="21"/>
        <v>5.1239639794032588</v>
      </c>
      <c r="K218" s="1">
        <f t="shared" si="22"/>
        <v>168</v>
      </c>
      <c r="L218">
        <f t="shared" si="23"/>
        <v>1848.0000000000007</v>
      </c>
    </row>
    <row r="219" spans="1:12" x14ac:dyDescent="0.25">
      <c r="A219" s="3">
        <v>42533</v>
      </c>
      <c r="B219" s="1">
        <f t="shared" si="18"/>
        <v>650</v>
      </c>
      <c r="C219" s="1">
        <v>1421.129033740699</v>
      </c>
      <c r="D219" s="1">
        <f t="shared" si="19"/>
        <v>771.12903374069901</v>
      </c>
      <c r="E219" s="2">
        <v>10</v>
      </c>
      <c r="F219" s="1">
        <v>142.1129033740699</v>
      </c>
      <c r="G219" s="1">
        <v>77.112903374069901</v>
      </c>
      <c r="H219" s="1">
        <v>65</v>
      </c>
      <c r="I219">
        <f t="shared" si="20"/>
        <v>6.4769723628896827</v>
      </c>
      <c r="J219">
        <f t="shared" si="21"/>
        <v>4.1743872698956368</v>
      </c>
      <c r="K219" s="1">
        <f t="shared" si="22"/>
        <v>65</v>
      </c>
      <c r="L219">
        <f t="shared" si="23"/>
        <v>584.99999999999989</v>
      </c>
    </row>
    <row r="220" spans="1:12" x14ac:dyDescent="0.25">
      <c r="A220" s="3">
        <v>42524</v>
      </c>
      <c r="B220" s="1">
        <f t="shared" si="18"/>
        <v>5612</v>
      </c>
      <c r="C220" s="1">
        <v>11737.851254765186</v>
      </c>
      <c r="D220" s="1">
        <f t="shared" si="19"/>
        <v>6125.8512547651862</v>
      </c>
      <c r="E220" s="2">
        <v>61</v>
      </c>
      <c r="F220" s="1">
        <v>192.42379106172436</v>
      </c>
      <c r="G220" s="1">
        <v>100.42379106172436</v>
      </c>
      <c r="H220" s="1">
        <v>92</v>
      </c>
      <c r="I220">
        <f t="shared" si="20"/>
        <v>8.6326624412223509</v>
      </c>
      <c r="J220">
        <f t="shared" si="21"/>
        <v>4.5217885770490405</v>
      </c>
      <c r="K220" s="1">
        <f t="shared" si="22"/>
        <v>92</v>
      </c>
      <c r="L220">
        <f t="shared" si="23"/>
        <v>5519.9999999999964</v>
      </c>
    </row>
    <row r="221" spans="1:12" x14ac:dyDescent="0.25">
      <c r="A221" s="3">
        <v>42504</v>
      </c>
      <c r="B221" s="1">
        <f t="shared" si="18"/>
        <v>2112</v>
      </c>
      <c r="C221" s="1">
        <v>3875.652927028023</v>
      </c>
      <c r="D221" s="1">
        <f t="shared" si="19"/>
        <v>1763.652927028023</v>
      </c>
      <c r="E221" s="2">
        <v>24</v>
      </c>
      <c r="F221" s="1">
        <v>161.48553862616762</v>
      </c>
      <c r="G221" s="1">
        <v>73.485538626167624</v>
      </c>
      <c r="H221" s="1">
        <v>88</v>
      </c>
      <c r="I221">
        <f t="shared" si="20"/>
        <v>7.6553906448261522</v>
      </c>
      <c r="J221">
        <f t="shared" si="21"/>
        <v>4.4773368144782069</v>
      </c>
      <c r="K221" s="1">
        <f t="shared" si="22"/>
        <v>88</v>
      </c>
      <c r="L221">
        <f t="shared" si="23"/>
        <v>2024</v>
      </c>
    </row>
    <row r="222" spans="1:12" x14ac:dyDescent="0.25">
      <c r="A222" s="3">
        <v>42495</v>
      </c>
      <c r="B222" s="1">
        <f t="shared" si="18"/>
        <v>558</v>
      </c>
      <c r="C222" s="1">
        <v>1263.1492139565148</v>
      </c>
      <c r="D222" s="1">
        <f t="shared" si="19"/>
        <v>705.14921395651481</v>
      </c>
      <c r="E222" s="2">
        <v>9</v>
      </c>
      <c r="F222" s="1">
        <v>140.34991266183499</v>
      </c>
      <c r="G222" s="1">
        <v>78.349912661834978</v>
      </c>
      <c r="H222" s="1">
        <v>62</v>
      </c>
      <c r="I222">
        <f t="shared" si="20"/>
        <v>6.3243589623813108</v>
      </c>
      <c r="J222">
        <f t="shared" si="21"/>
        <v>4.1271343850450917</v>
      </c>
      <c r="K222" s="1">
        <f t="shared" si="22"/>
        <v>62.000000000000014</v>
      </c>
      <c r="L222">
        <f t="shared" si="23"/>
        <v>495.99999999999989</v>
      </c>
    </row>
    <row r="223" spans="1:12" x14ac:dyDescent="0.25">
      <c r="A223" s="3">
        <v>42490</v>
      </c>
      <c r="B223" s="1">
        <f t="shared" si="18"/>
        <v>212</v>
      </c>
      <c r="C223" s="1">
        <v>440.50997324580885</v>
      </c>
      <c r="D223" s="1">
        <f t="shared" si="19"/>
        <v>228.50997324580882</v>
      </c>
      <c r="E223" s="2">
        <v>4</v>
      </c>
      <c r="F223" s="1">
        <v>110.12749331145221</v>
      </c>
      <c r="G223" s="1">
        <v>57.127493311452206</v>
      </c>
      <c r="H223" s="1">
        <v>53</v>
      </c>
      <c r="I223">
        <f t="shared" si="20"/>
        <v>5.3565862746720123</v>
      </c>
      <c r="J223">
        <f t="shared" si="21"/>
        <v>3.970291913552122</v>
      </c>
      <c r="K223" s="1">
        <f t="shared" si="22"/>
        <v>53.000000000000007</v>
      </c>
      <c r="L223">
        <f t="shared" si="23"/>
        <v>158.99999999999997</v>
      </c>
    </row>
    <row r="224" spans="1:12" x14ac:dyDescent="0.25">
      <c r="A224" s="3">
        <v>42485</v>
      </c>
      <c r="B224" s="1">
        <f t="shared" si="18"/>
        <v>429</v>
      </c>
      <c r="C224" s="1">
        <v>800.21152821062867</v>
      </c>
      <c r="D224" s="1">
        <f t="shared" si="19"/>
        <v>371.21152821062867</v>
      </c>
      <c r="E224" s="2">
        <v>11</v>
      </c>
      <c r="F224" s="1">
        <v>72.746502564602608</v>
      </c>
      <c r="G224" s="1">
        <v>33.746502564602608</v>
      </c>
      <c r="H224" s="1">
        <v>39</v>
      </c>
      <c r="I224">
        <f t="shared" si="20"/>
        <v>6.061456918928017</v>
      </c>
      <c r="J224">
        <f t="shared" si="21"/>
        <v>3.6635616461296463</v>
      </c>
      <c r="K224" s="1">
        <f t="shared" si="22"/>
        <v>39</v>
      </c>
      <c r="L224">
        <f t="shared" si="23"/>
        <v>390</v>
      </c>
    </row>
    <row r="225" spans="1:12" x14ac:dyDescent="0.25">
      <c r="A225" s="3">
        <v>42475</v>
      </c>
      <c r="B225" s="1">
        <f t="shared" si="18"/>
        <v>1458</v>
      </c>
      <c r="C225" s="1">
        <v>3086.5180512953807</v>
      </c>
      <c r="D225" s="1">
        <f t="shared" si="19"/>
        <v>1628.5180512953807</v>
      </c>
      <c r="E225" s="2">
        <v>27</v>
      </c>
      <c r="F225" s="1">
        <v>114.3154833813104</v>
      </c>
      <c r="G225" s="1">
        <v>60.315483381310401</v>
      </c>
      <c r="H225" s="1">
        <v>54</v>
      </c>
      <c r="I225">
        <f t="shared" si="20"/>
        <v>7.2848209125686036</v>
      </c>
      <c r="J225">
        <f t="shared" si="21"/>
        <v>3.9889840465642745</v>
      </c>
      <c r="K225" s="1">
        <f t="shared" si="22"/>
        <v>54</v>
      </c>
      <c r="L225">
        <f t="shared" si="23"/>
        <v>1404.0000000000002</v>
      </c>
    </row>
    <row r="226" spans="1:12" x14ac:dyDescent="0.25">
      <c r="A226" s="3">
        <v>42470</v>
      </c>
      <c r="B226" s="1">
        <f t="shared" si="18"/>
        <v>68</v>
      </c>
      <c r="C226" s="1">
        <v>201.37098711286376</v>
      </c>
      <c r="D226" s="1">
        <f t="shared" si="19"/>
        <v>133.37098711286376</v>
      </c>
      <c r="E226" s="2">
        <v>2</v>
      </c>
      <c r="F226" s="1">
        <v>100.68549355643188</v>
      </c>
      <c r="G226" s="1">
        <v>66.685493556431879</v>
      </c>
      <c r="H226" s="1">
        <v>34</v>
      </c>
      <c r="I226">
        <f t="shared" si="20"/>
        <v>4.219507705176107</v>
      </c>
      <c r="J226">
        <f t="shared" si="21"/>
        <v>3.5263605246161616</v>
      </c>
      <c r="K226" s="1">
        <f t="shared" si="22"/>
        <v>34</v>
      </c>
      <c r="L226">
        <f t="shared" si="23"/>
        <v>34.000000000000007</v>
      </c>
    </row>
    <row r="227" spans="1:12" x14ac:dyDescent="0.25">
      <c r="A227" s="3">
        <v>42468</v>
      </c>
      <c r="B227" s="1">
        <f t="shared" si="18"/>
        <v>1170</v>
      </c>
      <c r="C227" s="1">
        <v>2228.4137301545011</v>
      </c>
      <c r="D227" s="1">
        <f t="shared" si="19"/>
        <v>1058.4137301545011</v>
      </c>
      <c r="E227" s="2">
        <v>30</v>
      </c>
      <c r="F227" s="1">
        <v>74.280457671816706</v>
      </c>
      <c r="G227" s="1">
        <v>35.280457671816706</v>
      </c>
      <c r="H227" s="1">
        <v>39</v>
      </c>
      <c r="I227">
        <f t="shared" si="20"/>
        <v>7.0647590277918022</v>
      </c>
      <c r="J227">
        <f t="shared" si="21"/>
        <v>3.6635616461296463</v>
      </c>
      <c r="K227" s="1">
        <f t="shared" si="22"/>
        <v>39</v>
      </c>
      <c r="L227">
        <f t="shared" si="23"/>
        <v>1131.0000000000005</v>
      </c>
    </row>
    <row r="228" spans="1:12" x14ac:dyDescent="0.25">
      <c r="A228" s="3">
        <v>42456</v>
      </c>
      <c r="B228" s="1">
        <f t="shared" si="18"/>
        <v>1026</v>
      </c>
      <c r="C228" s="1">
        <v>1980.1400547703802</v>
      </c>
      <c r="D228" s="1">
        <f t="shared" si="19"/>
        <v>954.14005477038017</v>
      </c>
      <c r="E228" s="2">
        <v>19</v>
      </c>
      <c r="F228" s="1">
        <v>104.2178976194937</v>
      </c>
      <c r="G228" s="1">
        <v>50.217897619493691</v>
      </c>
      <c r="H228" s="1">
        <v>54</v>
      </c>
      <c r="I228">
        <f t="shared" si="20"/>
        <v>6.9334230257307148</v>
      </c>
      <c r="J228">
        <f t="shared" si="21"/>
        <v>3.9889840465642745</v>
      </c>
      <c r="K228" s="1">
        <f t="shared" si="22"/>
        <v>54.000000000000007</v>
      </c>
      <c r="L228">
        <f t="shared" si="23"/>
        <v>972</v>
      </c>
    </row>
    <row r="229" spans="1:12" x14ac:dyDescent="0.25">
      <c r="A229" s="3">
        <v>42452</v>
      </c>
      <c r="B229" s="1">
        <f t="shared" si="18"/>
        <v>837</v>
      </c>
      <c r="C229" s="1">
        <v>1497.0252383870259</v>
      </c>
      <c r="D229" s="1">
        <f t="shared" si="19"/>
        <v>660.02523838702575</v>
      </c>
      <c r="E229" s="2">
        <v>31</v>
      </c>
      <c r="F229" s="1">
        <v>48.291136722162122</v>
      </c>
      <c r="G229" s="1">
        <v>21.291136722162122</v>
      </c>
      <c r="H229" s="1">
        <v>27</v>
      </c>
      <c r="I229">
        <f t="shared" si="20"/>
        <v>6.7298240704894754</v>
      </c>
      <c r="J229">
        <f t="shared" si="21"/>
        <v>3.2958368660043291</v>
      </c>
      <c r="K229" s="1">
        <f t="shared" si="22"/>
        <v>27</v>
      </c>
      <c r="L229">
        <f t="shared" si="23"/>
        <v>810.00000000000011</v>
      </c>
    </row>
    <row r="230" spans="1:12" x14ac:dyDescent="0.25">
      <c r="A230" s="3">
        <v>42448</v>
      </c>
      <c r="B230" s="1">
        <f t="shared" si="18"/>
        <v>297</v>
      </c>
      <c r="C230" s="1">
        <v>658.1554520823845</v>
      </c>
      <c r="D230" s="1">
        <f t="shared" si="19"/>
        <v>361.15545208238456</v>
      </c>
      <c r="E230" s="2">
        <v>9</v>
      </c>
      <c r="F230" s="1">
        <v>73.128383564709395</v>
      </c>
      <c r="G230" s="1">
        <v>40.128383564709395</v>
      </c>
      <c r="H230" s="1">
        <v>33</v>
      </c>
      <c r="I230">
        <f t="shared" si="20"/>
        <v>5.6937321388026998</v>
      </c>
      <c r="J230">
        <f t="shared" si="21"/>
        <v>3.4965075614664802</v>
      </c>
      <c r="K230" s="1">
        <f t="shared" si="22"/>
        <v>33</v>
      </c>
      <c r="L230">
        <f t="shared" si="23"/>
        <v>264.00000000000006</v>
      </c>
    </row>
    <row r="231" spans="1:12" x14ac:dyDescent="0.25">
      <c r="A231" s="3">
        <v>42433</v>
      </c>
      <c r="B231" s="1">
        <f t="shared" si="18"/>
        <v>14328</v>
      </c>
      <c r="C231" s="1">
        <v>41926.891291215135</v>
      </c>
      <c r="D231" s="1">
        <f t="shared" si="19"/>
        <v>27598.891291215135</v>
      </c>
      <c r="E231" s="2">
        <v>199</v>
      </c>
      <c r="F231" s="1">
        <v>210.68789593575445</v>
      </c>
      <c r="G231" s="1">
        <v>138.68789593575445</v>
      </c>
      <c r="H231" s="1">
        <v>72</v>
      </c>
      <c r="I231">
        <f t="shared" si="20"/>
        <v>9.5699709437405485</v>
      </c>
      <c r="J231">
        <f t="shared" si="21"/>
        <v>4.2766661190160553</v>
      </c>
      <c r="K231" s="1">
        <f t="shared" si="22"/>
        <v>72</v>
      </c>
      <c r="L231">
        <f t="shared" si="23"/>
        <v>14256.000000000011</v>
      </c>
    </row>
    <row r="232" spans="1:12" x14ac:dyDescent="0.25">
      <c r="A232" s="3">
        <v>42430</v>
      </c>
      <c r="B232" s="1">
        <f t="shared" si="18"/>
        <v>3550</v>
      </c>
      <c r="C232" s="1">
        <v>9329.5152286761841</v>
      </c>
      <c r="D232" s="1">
        <f t="shared" si="19"/>
        <v>5779.5152286761822</v>
      </c>
      <c r="E232" s="2">
        <v>71</v>
      </c>
      <c r="F232" s="1">
        <v>131.40162293910117</v>
      </c>
      <c r="G232" s="1">
        <v>81.401622939101159</v>
      </c>
      <c r="H232" s="1">
        <v>50</v>
      </c>
      <c r="I232">
        <f t="shared" si="20"/>
        <v>8.174702882469461</v>
      </c>
      <c r="J232">
        <f t="shared" si="21"/>
        <v>3.912023005428146</v>
      </c>
      <c r="K232" s="1">
        <f t="shared" si="22"/>
        <v>50.000000000000014</v>
      </c>
      <c r="L232">
        <f t="shared" si="23"/>
        <v>3499.9999999999982</v>
      </c>
    </row>
    <row r="233" spans="1:12" x14ac:dyDescent="0.25">
      <c r="A233" s="3">
        <v>42428</v>
      </c>
      <c r="B233" s="1">
        <f t="shared" si="18"/>
        <v>3136</v>
      </c>
      <c r="C233" s="1">
        <v>6505.183733594461</v>
      </c>
      <c r="D233" s="1">
        <f t="shared" si="19"/>
        <v>3369.183733594461</v>
      </c>
      <c r="E233" s="2">
        <v>64</v>
      </c>
      <c r="F233" s="1">
        <v>101.64349583741345</v>
      </c>
      <c r="G233" s="1">
        <v>52.643495837413454</v>
      </c>
      <c r="H233" s="1">
        <v>49</v>
      </c>
      <c r="I233">
        <f t="shared" si="20"/>
        <v>8.0507033814702993</v>
      </c>
      <c r="J233">
        <f t="shared" si="21"/>
        <v>3.8918202981106265</v>
      </c>
      <c r="K233" s="1">
        <f t="shared" si="22"/>
        <v>49</v>
      </c>
      <c r="L233">
        <f t="shared" si="23"/>
        <v>3087.0000000000027</v>
      </c>
    </row>
    <row r="234" spans="1:12" x14ac:dyDescent="0.25">
      <c r="A234" s="3">
        <v>42389</v>
      </c>
      <c r="B234" s="1">
        <f t="shared" si="18"/>
        <v>2752</v>
      </c>
      <c r="C234" s="1">
        <v>4660.137887728135</v>
      </c>
      <c r="D234" s="1">
        <f t="shared" si="19"/>
        <v>1908.1378877281345</v>
      </c>
      <c r="E234" s="2">
        <v>32</v>
      </c>
      <c r="F234" s="1">
        <v>145.62930899150422</v>
      </c>
      <c r="G234" s="1">
        <v>59.629308991504203</v>
      </c>
      <c r="H234" s="1">
        <v>86</v>
      </c>
      <c r="I234">
        <f t="shared" si="20"/>
        <v>7.9200831990532343</v>
      </c>
      <c r="J234">
        <f t="shared" si="21"/>
        <v>4.4543472962535073</v>
      </c>
      <c r="K234" s="1">
        <f t="shared" si="22"/>
        <v>86.000000000000014</v>
      </c>
      <c r="L234">
        <f t="shared" si="23"/>
        <v>2666</v>
      </c>
    </row>
    <row r="235" spans="1:12" x14ac:dyDescent="0.25">
      <c r="A235" s="3">
        <v>42389</v>
      </c>
      <c r="B235" s="1">
        <f t="shared" si="18"/>
        <v>1224</v>
      </c>
      <c r="C235" s="1">
        <v>3296.731394362324</v>
      </c>
      <c r="D235" s="1">
        <f t="shared" si="19"/>
        <v>2072.731394362324</v>
      </c>
      <c r="E235" s="2">
        <v>36</v>
      </c>
      <c r="F235" s="1">
        <v>91.575872065620104</v>
      </c>
      <c r="G235" s="1">
        <v>57.575872065620104</v>
      </c>
      <c r="H235" s="1">
        <v>34</v>
      </c>
      <c r="I235">
        <f t="shared" si="20"/>
        <v>7.1098794630722715</v>
      </c>
      <c r="J235">
        <f t="shared" si="21"/>
        <v>3.5263605246161616</v>
      </c>
      <c r="K235" s="1">
        <f t="shared" si="22"/>
        <v>34</v>
      </c>
      <c r="L235">
        <f t="shared" si="23"/>
        <v>1190</v>
      </c>
    </row>
    <row r="236" spans="1:12" x14ac:dyDescent="0.25">
      <c r="A236" s="3">
        <v>42388</v>
      </c>
      <c r="B236" s="1">
        <f t="shared" si="18"/>
        <v>364</v>
      </c>
      <c r="C236" s="1">
        <v>836.21782522092258</v>
      </c>
      <c r="D236" s="1">
        <f t="shared" si="19"/>
        <v>472.21782522092263</v>
      </c>
      <c r="E236" s="2">
        <v>4</v>
      </c>
      <c r="F236" s="1">
        <v>209.05445630523064</v>
      </c>
      <c r="G236" s="1">
        <v>118.05445630523066</v>
      </c>
      <c r="H236" s="1">
        <v>91</v>
      </c>
      <c r="I236">
        <f t="shared" si="20"/>
        <v>5.8971538676367405</v>
      </c>
      <c r="J236">
        <f t="shared" si="21"/>
        <v>4.5108595065168497</v>
      </c>
      <c r="K236" s="1">
        <f t="shared" si="22"/>
        <v>90.999999999999986</v>
      </c>
      <c r="L236">
        <f t="shared" si="23"/>
        <v>273</v>
      </c>
    </row>
    <row r="237" spans="1:12" x14ac:dyDescent="0.25">
      <c r="A237" s="3">
        <v>42368</v>
      </c>
      <c r="B237" s="1">
        <f t="shared" si="18"/>
        <v>657</v>
      </c>
      <c r="C237" s="1">
        <v>1381.2921200943022</v>
      </c>
      <c r="D237" s="1">
        <f t="shared" si="19"/>
        <v>724.29212009430216</v>
      </c>
      <c r="E237" s="2">
        <v>9</v>
      </c>
      <c r="F237" s="1">
        <v>153.47690223270024</v>
      </c>
      <c r="G237" s="1">
        <v>80.47690223270024</v>
      </c>
      <c r="H237" s="1">
        <v>73</v>
      </c>
      <c r="I237">
        <f t="shared" si="20"/>
        <v>6.4876840184846101</v>
      </c>
      <c r="J237">
        <f t="shared" si="21"/>
        <v>4.290459441148391</v>
      </c>
      <c r="K237" s="1">
        <f t="shared" si="22"/>
        <v>73</v>
      </c>
      <c r="L237">
        <f t="shared" si="23"/>
        <v>583.99999999999966</v>
      </c>
    </row>
    <row r="238" spans="1:12" x14ac:dyDescent="0.25">
      <c r="A238" s="3">
        <v>42364</v>
      </c>
      <c r="B238" s="1">
        <f t="shared" si="18"/>
        <v>344</v>
      </c>
      <c r="C238" s="1">
        <v>792.84143914675724</v>
      </c>
      <c r="D238" s="1">
        <f t="shared" si="19"/>
        <v>448.84143914675724</v>
      </c>
      <c r="E238" s="2">
        <v>8</v>
      </c>
      <c r="F238" s="1">
        <v>99.105179893344655</v>
      </c>
      <c r="G238" s="1">
        <v>56.105179893344655</v>
      </c>
      <c r="H238" s="1">
        <v>43</v>
      </c>
      <c r="I238">
        <f t="shared" si="20"/>
        <v>5.8406416573733981</v>
      </c>
      <c r="J238">
        <f t="shared" si="21"/>
        <v>3.7612001156935624</v>
      </c>
      <c r="K238" s="1">
        <f t="shared" si="22"/>
        <v>43</v>
      </c>
      <c r="L238">
        <f t="shared" si="23"/>
        <v>300.99999999999994</v>
      </c>
    </row>
    <row r="239" spans="1:12" x14ac:dyDescent="0.25">
      <c r="A239" s="3">
        <v>42363</v>
      </c>
      <c r="B239" s="1">
        <f t="shared" si="18"/>
        <v>253</v>
      </c>
      <c r="C239" s="1">
        <v>562.93107180971901</v>
      </c>
      <c r="D239" s="1">
        <f t="shared" si="19"/>
        <v>309.93107180971901</v>
      </c>
      <c r="E239" s="2">
        <v>11</v>
      </c>
      <c r="F239" s="1">
        <v>51.175551982701734</v>
      </c>
      <c r="G239" s="1">
        <v>28.17555198270173</v>
      </c>
      <c r="H239" s="1">
        <v>23</v>
      </c>
      <c r="I239">
        <f t="shared" si="20"/>
        <v>5.5333894887275203</v>
      </c>
      <c r="J239">
        <f t="shared" si="21"/>
        <v>3.1354942159291497</v>
      </c>
      <c r="K239" s="1">
        <f t="shared" si="22"/>
        <v>23.000000000000004</v>
      </c>
      <c r="L239">
        <f t="shared" si="23"/>
        <v>230.00000000000003</v>
      </c>
    </row>
    <row r="240" spans="1:12" x14ac:dyDescent="0.25">
      <c r="A240" s="3">
        <v>42360</v>
      </c>
      <c r="B240" s="1">
        <f t="shared" si="18"/>
        <v>837</v>
      </c>
      <c r="C240" s="1">
        <v>2492.5742575549307</v>
      </c>
      <c r="D240" s="1">
        <f t="shared" si="19"/>
        <v>1655.5742575549305</v>
      </c>
      <c r="E240" s="2">
        <v>27</v>
      </c>
      <c r="F240" s="1">
        <v>92.317565094627057</v>
      </c>
      <c r="G240" s="1">
        <v>61.317565094627057</v>
      </c>
      <c r="H240" s="1">
        <v>31</v>
      </c>
      <c r="I240">
        <f t="shared" si="20"/>
        <v>6.7298240704894754</v>
      </c>
      <c r="J240">
        <f t="shared" si="21"/>
        <v>3.4339872044851463</v>
      </c>
      <c r="K240" s="1">
        <f t="shared" si="22"/>
        <v>31</v>
      </c>
      <c r="L240">
        <f t="shared" si="23"/>
        <v>806.00000000000011</v>
      </c>
    </row>
    <row r="241" spans="1:12" x14ac:dyDescent="0.25">
      <c r="A241" s="3">
        <v>42357</v>
      </c>
      <c r="B241" s="1">
        <f t="shared" si="18"/>
        <v>1680</v>
      </c>
      <c r="C241" s="1">
        <v>3591.62655441164</v>
      </c>
      <c r="D241" s="1">
        <f t="shared" si="19"/>
        <v>1911.62655441164</v>
      </c>
      <c r="E241" s="2">
        <v>28</v>
      </c>
      <c r="F241" s="1">
        <v>128.27237694327286</v>
      </c>
      <c r="G241" s="1">
        <v>68.27237694327286</v>
      </c>
      <c r="H241" s="1">
        <v>60</v>
      </c>
      <c r="I241">
        <f t="shared" si="20"/>
        <v>7.4265490723973047</v>
      </c>
      <c r="J241">
        <f t="shared" si="21"/>
        <v>4.0943445622221004</v>
      </c>
      <c r="K241" s="1">
        <f t="shared" si="22"/>
        <v>60</v>
      </c>
      <c r="L241">
        <f t="shared" si="23"/>
        <v>1620</v>
      </c>
    </row>
    <row r="242" spans="1:12" x14ac:dyDescent="0.25">
      <c r="A242" s="3">
        <v>42330</v>
      </c>
      <c r="B242" s="1">
        <f t="shared" si="18"/>
        <v>3094</v>
      </c>
      <c r="C242" s="1">
        <v>5471.2013823504203</v>
      </c>
      <c r="D242" s="1">
        <f t="shared" si="19"/>
        <v>2377.2013823504199</v>
      </c>
      <c r="E242" s="2">
        <v>26</v>
      </c>
      <c r="F242" s="1">
        <v>210.43082239809308</v>
      </c>
      <c r="G242" s="1">
        <v>91.430822398093071</v>
      </c>
      <c r="H242" s="1">
        <v>119</v>
      </c>
      <c r="I242">
        <f t="shared" si="20"/>
        <v>8.0372200311330122</v>
      </c>
      <c r="J242">
        <f t="shared" si="21"/>
        <v>4.7791234931115296</v>
      </c>
      <c r="K242" s="1">
        <f t="shared" si="22"/>
        <v>119.00000000000001</v>
      </c>
      <c r="L242">
        <f t="shared" si="23"/>
        <v>2975.0000000000023</v>
      </c>
    </row>
    <row r="243" spans="1:12" x14ac:dyDescent="0.25">
      <c r="A243" s="3">
        <v>42323</v>
      </c>
      <c r="B243" s="1">
        <f t="shared" si="18"/>
        <v>1681</v>
      </c>
      <c r="C243" s="1">
        <v>3626.6833177027465</v>
      </c>
      <c r="D243" s="1">
        <f t="shared" si="19"/>
        <v>1945.683317702747</v>
      </c>
      <c r="E243" s="2">
        <v>41</v>
      </c>
      <c r="F243" s="1">
        <v>88.455690675676749</v>
      </c>
      <c r="G243" s="1">
        <v>47.455690675676756</v>
      </c>
      <c r="H243" s="1">
        <v>41</v>
      </c>
      <c r="I243">
        <f t="shared" si="20"/>
        <v>7.4271441334086159</v>
      </c>
      <c r="J243">
        <f t="shared" si="21"/>
        <v>3.713572066704308</v>
      </c>
      <c r="K243" s="1">
        <f t="shared" si="22"/>
        <v>40.999999999999993</v>
      </c>
      <c r="L243">
        <f t="shared" si="23"/>
        <v>1640.0000000000005</v>
      </c>
    </row>
    <row r="244" spans="1:12" x14ac:dyDescent="0.25">
      <c r="A244" s="3">
        <v>42312</v>
      </c>
      <c r="B244" s="1">
        <f t="shared" si="18"/>
        <v>840</v>
      </c>
      <c r="C244" s="1">
        <v>2066.5974512829557</v>
      </c>
      <c r="D244" s="1">
        <f t="shared" si="19"/>
        <v>1226.5974512829557</v>
      </c>
      <c r="E244" s="2">
        <v>35</v>
      </c>
      <c r="F244" s="1">
        <v>59.045641465227305</v>
      </c>
      <c r="G244" s="1">
        <v>35.045641465227305</v>
      </c>
      <c r="H244" s="1">
        <v>24</v>
      </c>
      <c r="I244">
        <f t="shared" si="20"/>
        <v>6.7334018918373593</v>
      </c>
      <c r="J244">
        <f t="shared" si="21"/>
        <v>3.1780538303479458</v>
      </c>
      <c r="K244" s="1">
        <f t="shared" si="22"/>
        <v>24</v>
      </c>
      <c r="L244">
        <f t="shared" si="23"/>
        <v>816</v>
      </c>
    </row>
    <row r="245" spans="1:12" x14ac:dyDescent="0.25">
      <c r="A245" s="3">
        <v>42308</v>
      </c>
      <c r="B245" s="1">
        <f t="shared" si="18"/>
        <v>276</v>
      </c>
      <c r="C245" s="1">
        <v>480.57119793924835</v>
      </c>
      <c r="D245" s="1">
        <f t="shared" si="19"/>
        <v>204.57119793924838</v>
      </c>
      <c r="E245" s="2">
        <v>6</v>
      </c>
      <c r="F245" s="1">
        <v>80.095199656541396</v>
      </c>
      <c r="G245" s="1">
        <v>34.095199656541396</v>
      </c>
      <c r="H245" s="1">
        <v>46</v>
      </c>
      <c r="I245">
        <f t="shared" si="20"/>
        <v>5.6204008657171496</v>
      </c>
      <c r="J245">
        <f t="shared" si="21"/>
        <v>3.8286413964890951</v>
      </c>
      <c r="K245" s="1">
        <f t="shared" si="22"/>
        <v>46</v>
      </c>
      <c r="L245">
        <f t="shared" si="23"/>
        <v>229.99999999999989</v>
      </c>
    </row>
    <row r="246" spans="1:12" x14ac:dyDescent="0.25">
      <c r="A246" s="3">
        <v>42305</v>
      </c>
      <c r="B246" s="1">
        <f t="shared" si="18"/>
        <v>272</v>
      </c>
      <c r="C246" s="1">
        <v>488.28784377662942</v>
      </c>
      <c r="D246" s="1">
        <f t="shared" si="19"/>
        <v>216.28784377662939</v>
      </c>
      <c r="E246" s="2">
        <v>4</v>
      </c>
      <c r="F246" s="1">
        <v>122.07196094415735</v>
      </c>
      <c r="G246" s="1">
        <v>54.071960944157347</v>
      </c>
      <c r="H246" s="1">
        <v>68</v>
      </c>
      <c r="I246">
        <f t="shared" si="20"/>
        <v>5.6058020662959978</v>
      </c>
      <c r="J246">
        <f t="shared" si="21"/>
        <v>4.219507705176107</v>
      </c>
      <c r="K246" s="1">
        <f t="shared" si="22"/>
        <v>68</v>
      </c>
      <c r="L246">
        <f t="shared" si="23"/>
        <v>204.00000000000011</v>
      </c>
    </row>
    <row r="247" spans="1:12" x14ac:dyDescent="0.25">
      <c r="A247" s="3">
        <v>42295</v>
      </c>
      <c r="B247" s="1">
        <f t="shared" si="18"/>
        <v>1350</v>
      </c>
      <c r="C247" s="1">
        <v>2606.9536289765115</v>
      </c>
      <c r="D247" s="1">
        <f t="shared" si="19"/>
        <v>1256.9536289765115</v>
      </c>
      <c r="E247" s="2">
        <v>27</v>
      </c>
      <c r="F247" s="1">
        <v>96.553838110241173</v>
      </c>
      <c r="G247" s="1">
        <v>46.553838110241166</v>
      </c>
      <c r="H247" s="1">
        <v>50</v>
      </c>
      <c r="I247">
        <f t="shared" si="20"/>
        <v>7.2078598714324755</v>
      </c>
      <c r="J247">
        <f t="shared" si="21"/>
        <v>3.912023005428146</v>
      </c>
      <c r="K247" s="1">
        <f t="shared" si="22"/>
        <v>50.000000000000007</v>
      </c>
      <c r="L247">
        <f t="shared" si="23"/>
        <v>1300.0000000000005</v>
      </c>
    </row>
    <row r="248" spans="1:12" x14ac:dyDescent="0.25">
      <c r="A248" s="3">
        <v>42274</v>
      </c>
      <c r="B248" s="1">
        <f t="shared" si="18"/>
        <v>960</v>
      </c>
      <c r="C248" s="1">
        <v>1908.2362208878801</v>
      </c>
      <c r="D248" s="1">
        <f t="shared" si="19"/>
        <v>948.23622088788022</v>
      </c>
      <c r="E248" s="2">
        <v>15</v>
      </c>
      <c r="F248" s="1">
        <v>127.21574805919201</v>
      </c>
      <c r="G248" s="1">
        <v>63.215748059192016</v>
      </c>
      <c r="H248" s="1">
        <v>64</v>
      </c>
      <c r="I248">
        <f t="shared" si="20"/>
        <v>6.866933284461882</v>
      </c>
      <c r="J248">
        <f t="shared" si="21"/>
        <v>4.1588830833596715</v>
      </c>
      <c r="K248" s="1">
        <f t="shared" si="22"/>
        <v>63.999999999999993</v>
      </c>
      <c r="L248">
        <f t="shared" si="23"/>
        <v>896.00000000000011</v>
      </c>
    </row>
    <row r="249" spans="1:12" x14ac:dyDescent="0.25">
      <c r="A249" s="3">
        <v>42271</v>
      </c>
      <c r="B249" s="1">
        <f t="shared" si="18"/>
        <v>658</v>
      </c>
      <c r="C249" s="1">
        <v>1112.2629134590973</v>
      </c>
      <c r="D249" s="1">
        <f t="shared" si="19"/>
        <v>454.26291345909732</v>
      </c>
      <c r="E249" s="2">
        <v>7</v>
      </c>
      <c r="F249" s="1">
        <v>158.89470192272819</v>
      </c>
      <c r="G249" s="1">
        <v>64.894701922728188</v>
      </c>
      <c r="H249" s="1">
        <v>94</v>
      </c>
      <c r="I249">
        <f t="shared" si="20"/>
        <v>6.4892049313253173</v>
      </c>
      <c r="J249">
        <f t="shared" si="21"/>
        <v>4.5432947822700038</v>
      </c>
      <c r="K249" s="1">
        <f t="shared" si="22"/>
        <v>94</v>
      </c>
      <c r="L249">
        <f t="shared" si="23"/>
        <v>564</v>
      </c>
    </row>
    <row r="250" spans="1:12" x14ac:dyDescent="0.25">
      <c r="A250" s="3">
        <v>42269</v>
      </c>
      <c r="B250" s="1">
        <f t="shared" si="18"/>
        <v>792</v>
      </c>
      <c r="C250" s="1">
        <v>1673.4531230390953</v>
      </c>
      <c r="D250" s="1">
        <f t="shared" si="19"/>
        <v>881.45312303909532</v>
      </c>
      <c r="E250" s="2">
        <v>9</v>
      </c>
      <c r="F250" s="1">
        <v>185.93923589323282</v>
      </c>
      <c r="G250" s="1">
        <v>97.939235893232819</v>
      </c>
      <c r="H250" s="1">
        <v>88</v>
      </c>
      <c r="I250">
        <f t="shared" si="20"/>
        <v>6.674561391814426</v>
      </c>
      <c r="J250">
        <f t="shared" si="21"/>
        <v>4.4773368144782069</v>
      </c>
      <c r="K250" s="1">
        <f t="shared" si="22"/>
        <v>88</v>
      </c>
      <c r="L250">
        <f t="shared" si="23"/>
        <v>704.00000000000011</v>
      </c>
    </row>
    <row r="251" spans="1:12" x14ac:dyDescent="0.25">
      <c r="A251" s="3">
        <v>42268</v>
      </c>
      <c r="B251" s="1">
        <f t="shared" si="18"/>
        <v>390</v>
      </c>
      <c r="C251" s="1">
        <v>1146.78142200196</v>
      </c>
      <c r="D251" s="1">
        <f t="shared" si="19"/>
        <v>756.7814220019601</v>
      </c>
      <c r="E251" s="2">
        <v>10</v>
      </c>
      <c r="F251" s="1">
        <v>114.67814220019601</v>
      </c>
      <c r="G251" s="1">
        <v>75.678142200196007</v>
      </c>
      <c r="H251" s="1">
        <v>39</v>
      </c>
      <c r="I251">
        <f t="shared" si="20"/>
        <v>5.9661467391236922</v>
      </c>
      <c r="J251">
        <f t="shared" si="21"/>
        <v>3.6635616461296463</v>
      </c>
      <c r="K251" s="1">
        <f t="shared" si="22"/>
        <v>39</v>
      </c>
      <c r="L251">
        <f t="shared" si="23"/>
        <v>351.00000000000006</v>
      </c>
    </row>
    <row r="252" spans="1:12" x14ac:dyDescent="0.25">
      <c r="A252" s="3">
        <v>42256</v>
      </c>
      <c r="B252" s="1">
        <f t="shared" si="18"/>
        <v>240</v>
      </c>
      <c r="C252" s="1">
        <v>534.39258490342422</v>
      </c>
      <c r="D252" s="1">
        <f t="shared" si="19"/>
        <v>294.39258490342417</v>
      </c>
      <c r="E252" s="2">
        <v>16</v>
      </c>
      <c r="F252" s="1">
        <v>33.399536556464014</v>
      </c>
      <c r="G252" s="1">
        <v>18.39953655646401</v>
      </c>
      <c r="H252" s="1">
        <v>15</v>
      </c>
      <c r="I252">
        <f t="shared" si="20"/>
        <v>5.4806389233419912</v>
      </c>
      <c r="J252">
        <f t="shared" si="21"/>
        <v>2.7080502011022101</v>
      </c>
      <c r="K252" s="1">
        <f t="shared" si="22"/>
        <v>15.000000000000004</v>
      </c>
      <c r="L252">
        <f t="shared" si="23"/>
        <v>224.99999999999997</v>
      </c>
    </row>
    <row r="253" spans="1:12" x14ac:dyDescent="0.25">
      <c r="A253" s="3">
        <v>42246</v>
      </c>
      <c r="B253" s="1">
        <f t="shared" si="18"/>
        <v>445</v>
      </c>
      <c r="C253" s="1">
        <v>785.97115297929099</v>
      </c>
      <c r="D253" s="1">
        <f t="shared" si="19"/>
        <v>340.97115297929088</v>
      </c>
      <c r="E253" s="2">
        <v>5</v>
      </c>
      <c r="F253" s="1">
        <v>157.19423059585819</v>
      </c>
      <c r="G253" s="1">
        <v>68.194230595858173</v>
      </c>
      <c r="H253" s="1">
        <v>89</v>
      </c>
      <c r="I253">
        <f t="shared" si="20"/>
        <v>6.0980742821662401</v>
      </c>
      <c r="J253">
        <f t="shared" si="21"/>
        <v>4.4886363697321396</v>
      </c>
      <c r="K253" s="1">
        <f t="shared" si="22"/>
        <v>89.000000000000014</v>
      </c>
      <c r="L253">
        <f t="shared" si="23"/>
        <v>355.99999999999994</v>
      </c>
    </row>
    <row r="254" spans="1:12" x14ac:dyDescent="0.25">
      <c r="A254" s="3">
        <v>42238</v>
      </c>
      <c r="B254" s="1">
        <f t="shared" si="18"/>
        <v>856</v>
      </c>
      <c r="C254" s="1">
        <v>1506.1547726441074</v>
      </c>
      <c r="D254" s="1">
        <f t="shared" si="19"/>
        <v>650.15477264410742</v>
      </c>
      <c r="E254" s="2">
        <v>8</v>
      </c>
      <c r="F254" s="1">
        <v>188.26934658051343</v>
      </c>
      <c r="G254" s="1">
        <v>81.269346580513428</v>
      </c>
      <c r="H254" s="1">
        <v>107</v>
      </c>
      <c r="I254">
        <f t="shared" si="20"/>
        <v>6.752270376141742</v>
      </c>
      <c r="J254">
        <f t="shared" si="21"/>
        <v>4.6728288344619058</v>
      </c>
      <c r="K254" s="1">
        <f t="shared" si="22"/>
        <v>107</v>
      </c>
      <c r="L254">
        <f t="shared" si="23"/>
        <v>748.99999999999989</v>
      </c>
    </row>
    <row r="255" spans="1:12" x14ac:dyDescent="0.25">
      <c r="A255" s="3">
        <v>42232</v>
      </c>
      <c r="B255" s="1">
        <f t="shared" si="18"/>
        <v>684</v>
      </c>
      <c r="C255" s="1">
        <v>1141.1078842099716</v>
      </c>
      <c r="D255" s="1">
        <f t="shared" si="19"/>
        <v>457.10788420997159</v>
      </c>
      <c r="E255" s="2">
        <v>6</v>
      </c>
      <c r="F255" s="1">
        <v>190.1846473683286</v>
      </c>
      <c r="G255" s="1">
        <v>76.184647368328598</v>
      </c>
      <c r="H255" s="1">
        <v>114</v>
      </c>
      <c r="I255">
        <f t="shared" si="20"/>
        <v>6.5279579176225502</v>
      </c>
      <c r="J255">
        <f t="shared" si="21"/>
        <v>4.7361984483944957</v>
      </c>
      <c r="K255" s="1">
        <f t="shared" si="22"/>
        <v>114</v>
      </c>
      <c r="L255">
        <f t="shared" si="23"/>
        <v>569.99999999999977</v>
      </c>
    </row>
    <row r="256" spans="1:12" x14ac:dyDescent="0.25">
      <c r="A256" s="3">
        <v>42218</v>
      </c>
      <c r="B256" s="1">
        <f t="shared" si="18"/>
        <v>2010</v>
      </c>
      <c r="C256" s="1">
        <v>5149.4853439559192</v>
      </c>
      <c r="D256" s="1">
        <f t="shared" si="19"/>
        <v>3139.4853439559188</v>
      </c>
      <c r="E256" s="2">
        <v>30</v>
      </c>
      <c r="F256" s="1">
        <v>171.64951146519729</v>
      </c>
      <c r="G256" s="1">
        <v>104.64951146519729</v>
      </c>
      <c r="H256" s="1">
        <v>67</v>
      </c>
      <c r="I256">
        <f t="shared" si="20"/>
        <v>7.6058900010531216</v>
      </c>
      <c r="J256">
        <f t="shared" si="21"/>
        <v>4.2046926193909657</v>
      </c>
      <c r="K256" s="1">
        <f t="shared" si="22"/>
        <v>67</v>
      </c>
      <c r="L256">
        <f t="shared" si="23"/>
        <v>1943.0000000000005</v>
      </c>
    </row>
    <row r="257" spans="1:12" x14ac:dyDescent="0.25">
      <c r="A257" s="3">
        <v>42216</v>
      </c>
      <c r="B257" s="1">
        <f t="shared" si="18"/>
        <v>2145</v>
      </c>
      <c r="C257" s="1">
        <v>5124.1901899455752</v>
      </c>
      <c r="D257" s="1">
        <f t="shared" si="19"/>
        <v>2979.1901899455752</v>
      </c>
      <c r="E257" s="2">
        <v>55</v>
      </c>
      <c r="F257" s="1">
        <v>93.167094362646822</v>
      </c>
      <c r="G257" s="1">
        <v>54.167094362646822</v>
      </c>
      <c r="H257" s="1">
        <v>39</v>
      </c>
      <c r="I257">
        <f t="shared" si="20"/>
        <v>7.6708948313621175</v>
      </c>
      <c r="J257">
        <f t="shared" si="21"/>
        <v>3.6635616461296463</v>
      </c>
      <c r="K257" s="1">
        <f t="shared" si="22"/>
        <v>39</v>
      </c>
      <c r="L257">
        <f t="shared" si="23"/>
        <v>2106.0000000000005</v>
      </c>
    </row>
    <row r="258" spans="1:12" x14ac:dyDescent="0.25">
      <c r="A258" s="3">
        <v>42214</v>
      </c>
      <c r="B258" s="1">
        <f t="shared" ref="B258:B321" si="24">+E258*H258</f>
        <v>558</v>
      </c>
      <c r="C258" s="1">
        <v>1084.2501011530426</v>
      </c>
      <c r="D258" s="1">
        <f t="shared" ref="D258:D321" si="25">+E258*G258</f>
        <v>526.25010115304258</v>
      </c>
      <c r="E258" s="2">
        <v>6</v>
      </c>
      <c r="F258" s="1">
        <v>180.70835019217375</v>
      </c>
      <c r="G258" s="1">
        <v>87.708350192173754</v>
      </c>
      <c r="H258" s="1">
        <v>93</v>
      </c>
      <c r="I258">
        <f t="shared" si="20"/>
        <v>6.3243589623813108</v>
      </c>
      <c r="J258">
        <f t="shared" si="21"/>
        <v>4.5325994931532563</v>
      </c>
      <c r="K258" s="1">
        <f t="shared" si="22"/>
        <v>93</v>
      </c>
      <c r="L258">
        <f t="shared" si="23"/>
        <v>464.99999999999989</v>
      </c>
    </row>
    <row r="259" spans="1:12" x14ac:dyDescent="0.25">
      <c r="A259" s="3">
        <v>42210</v>
      </c>
      <c r="B259" s="1">
        <f t="shared" si="24"/>
        <v>1378</v>
      </c>
      <c r="C259" s="1">
        <v>3162.4034414271637</v>
      </c>
      <c r="D259" s="1">
        <f t="shared" si="25"/>
        <v>1784.4034414271639</v>
      </c>
      <c r="E259" s="2">
        <v>53</v>
      </c>
      <c r="F259" s="1">
        <v>59.667989460889885</v>
      </c>
      <c r="G259" s="1">
        <v>33.667989460889885</v>
      </c>
      <c r="H259" s="1">
        <v>26</v>
      </c>
      <c r="I259">
        <f t="shared" ref="I259:I322" si="26">+LN(B259)</f>
        <v>7.2283884515736041</v>
      </c>
      <c r="J259">
        <f t="shared" ref="J259:J322" si="27">+LN(H259)</f>
        <v>3.2580965380214821</v>
      </c>
      <c r="K259" s="1">
        <f t="shared" ref="K259:K322" si="28">+F259-G259</f>
        <v>26</v>
      </c>
      <c r="L259">
        <f t="shared" ref="L259:L322" si="29">EXP(I259)-EXP(J259)</f>
        <v>1352.0000000000002</v>
      </c>
    </row>
    <row r="260" spans="1:12" x14ac:dyDescent="0.25">
      <c r="A260" s="3">
        <v>42205</v>
      </c>
      <c r="B260" s="1">
        <f t="shared" si="24"/>
        <v>2700</v>
      </c>
      <c r="C260" s="1">
        <v>6788.9081118099693</v>
      </c>
      <c r="D260" s="1">
        <f t="shared" si="25"/>
        <v>4088.9081118099689</v>
      </c>
      <c r="E260" s="2">
        <v>45</v>
      </c>
      <c r="F260" s="1">
        <v>150.86462470688821</v>
      </c>
      <c r="G260" s="1">
        <v>90.864624706888193</v>
      </c>
      <c r="H260" s="1">
        <v>60</v>
      </c>
      <c r="I260">
        <f t="shared" si="26"/>
        <v>7.90100705199242</v>
      </c>
      <c r="J260">
        <f t="shared" si="27"/>
        <v>4.0943445622221004</v>
      </c>
      <c r="K260" s="1">
        <f t="shared" si="28"/>
        <v>60.000000000000014</v>
      </c>
      <c r="L260">
        <f t="shared" si="29"/>
        <v>2639.9999999999991</v>
      </c>
    </row>
    <row r="261" spans="1:12" x14ac:dyDescent="0.25">
      <c r="A261" s="3">
        <v>42195</v>
      </c>
      <c r="B261" s="1">
        <f t="shared" si="24"/>
        <v>832</v>
      </c>
      <c r="C261" s="1">
        <v>1742.2129369825111</v>
      </c>
      <c r="D261" s="1">
        <f t="shared" si="25"/>
        <v>910.21293698251111</v>
      </c>
      <c r="E261" s="2">
        <v>16</v>
      </c>
      <c r="F261" s="1">
        <v>108.88830856140694</v>
      </c>
      <c r="G261" s="1">
        <v>56.888308561406944</v>
      </c>
      <c r="H261" s="1">
        <v>52</v>
      </c>
      <c r="I261">
        <f t="shared" si="26"/>
        <v>6.7238324408212087</v>
      </c>
      <c r="J261">
        <f t="shared" si="27"/>
        <v>3.9512437185814275</v>
      </c>
      <c r="K261" s="1">
        <f t="shared" si="28"/>
        <v>52</v>
      </c>
      <c r="L261">
        <f t="shared" si="29"/>
        <v>780.00000000000011</v>
      </c>
    </row>
    <row r="262" spans="1:12" x14ac:dyDescent="0.25">
      <c r="A262" s="3">
        <v>42195</v>
      </c>
      <c r="B262" s="1">
        <f t="shared" si="24"/>
        <v>176</v>
      </c>
      <c r="C262" s="1">
        <v>448.38439461195395</v>
      </c>
      <c r="D262" s="1">
        <f t="shared" si="25"/>
        <v>272.38439461195395</v>
      </c>
      <c r="E262" s="2">
        <v>11</v>
      </c>
      <c r="F262" s="1">
        <v>40.762217691995815</v>
      </c>
      <c r="G262" s="1">
        <v>24.762217691995815</v>
      </c>
      <c r="H262" s="1">
        <v>16</v>
      </c>
      <c r="I262">
        <f t="shared" si="26"/>
        <v>5.1704839950381514</v>
      </c>
      <c r="J262">
        <f t="shared" si="27"/>
        <v>2.7725887222397811</v>
      </c>
      <c r="K262" s="1">
        <f t="shared" si="28"/>
        <v>16</v>
      </c>
      <c r="L262">
        <f t="shared" si="29"/>
        <v>159.99999999999991</v>
      </c>
    </row>
    <row r="263" spans="1:12" x14ac:dyDescent="0.25">
      <c r="A263" s="3">
        <v>42184</v>
      </c>
      <c r="B263" s="1">
        <f t="shared" si="24"/>
        <v>1008</v>
      </c>
      <c r="C263" s="1">
        <v>1695.1334814136078</v>
      </c>
      <c r="D263" s="1">
        <f t="shared" si="25"/>
        <v>687.13348141360768</v>
      </c>
      <c r="E263" s="2">
        <v>18</v>
      </c>
      <c r="F263" s="1">
        <v>94.174082300755984</v>
      </c>
      <c r="G263" s="1">
        <v>38.174082300755984</v>
      </c>
      <c r="H263" s="1">
        <v>56</v>
      </c>
      <c r="I263">
        <f t="shared" si="26"/>
        <v>6.9157234486313142</v>
      </c>
      <c r="J263">
        <f t="shared" si="27"/>
        <v>4.0253516907351496</v>
      </c>
      <c r="K263" s="1">
        <f t="shared" si="28"/>
        <v>56</v>
      </c>
      <c r="L263">
        <f t="shared" si="29"/>
        <v>952.00000000000023</v>
      </c>
    </row>
    <row r="264" spans="1:12" x14ac:dyDescent="0.25">
      <c r="A264" s="3">
        <v>42177</v>
      </c>
      <c r="B264" s="1">
        <f t="shared" si="24"/>
        <v>924</v>
      </c>
      <c r="C264" s="1">
        <v>1665.6016705894071</v>
      </c>
      <c r="D264" s="1">
        <f t="shared" si="25"/>
        <v>741.60167058940704</v>
      </c>
      <c r="E264" s="2">
        <v>7</v>
      </c>
      <c r="F264" s="1">
        <v>237.94309579848672</v>
      </c>
      <c r="G264" s="1">
        <v>105.94309579848672</v>
      </c>
      <c r="H264" s="1">
        <v>132</v>
      </c>
      <c r="I264">
        <f t="shared" si="26"/>
        <v>6.828712071641684</v>
      </c>
      <c r="J264">
        <f t="shared" si="27"/>
        <v>4.8828019225863706</v>
      </c>
      <c r="K264" s="1">
        <f t="shared" si="28"/>
        <v>132</v>
      </c>
      <c r="L264">
        <f t="shared" si="29"/>
        <v>791.99999999999989</v>
      </c>
    </row>
    <row r="265" spans="1:12" x14ac:dyDescent="0.25">
      <c r="A265" s="3">
        <v>42171</v>
      </c>
      <c r="B265" s="1">
        <f t="shared" si="24"/>
        <v>5428</v>
      </c>
      <c r="C265" s="1">
        <v>9748.9687206601993</v>
      </c>
      <c r="D265" s="1">
        <f t="shared" si="25"/>
        <v>4320.9687206601993</v>
      </c>
      <c r="E265" s="2">
        <v>92</v>
      </c>
      <c r="F265" s="1">
        <v>105.9670513115239</v>
      </c>
      <c r="G265" s="1">
        <v>46.967051311523903</v>
      </c>
      <c r="H265" s="1">
        <v>59</v>
      </c>
      <c r="I265">
        <f t="shared" si="26"/>
        <v>8.5993260209547593</v>
      </c>
      <c r="J265">
        <f t="shared" si="27"/>
        <v>4.0775374439057197</v>
      </c>
      <c r="K265" s="1">
        <f t="shared" si="28"/>
        <v>59</v>
      </c>
      <c r="L265">
        <f t="shared" si="29"/>
        <v>5368.9999999999973</v>
      </c>
    </row>
    <row r="266" spans="1:12" x14ac:dyDescent="0.25">
      <c r="A266" s="3">
        <v>42150</v>
      </c>
      <c r="B266" s="1">
        <f t="shared" si="24"/>
        <v>1488</v>
      </c>
      <c r="C266" s="1">
        <v>2709.9220095987748</v>
      </c>
      <c r="D266" s="1">
        <f t="shared" si="25"/>
        <v>1221.9220095987748</v>
      </c>
      <c r="E266" s="2">
        <v>12</v>
      </c>
      <c r="F266" s="1">
        <v>225.82683413323124</v>
      </c>
      <c r="G266" s="1">
        <v>101.82683413323124</v>
      </c>
      <c r="H266" s="1">
        <v>124</v>
      </c>
      <c r="I266">
        <f t="shared" si="26"/>
        <v>7.305188215393037</v>
      </c>
      <c r="J266">
        <f t="shared" si="27"/>
        <v>4.8202815656050371</v>
      </c>
      <c r="K266" s="1">
        <f t="shared" si="28"/>
        <v>124</v>
      </c>
      <c r="L266">
        <f t="shared" si="29"/>
        <v>1363.9999999999998</v>
      </c>
    </row>
    <row r="267" spans="1:12" x14ac:dyDescent="0.25">
      <c r="A267" s="3">
        <v>42141</v>
      </c>
      <c r="B267" s="1">
        <f t="shared" si="24"/>
        <v>420</v>
      </c>
      <c r="C267" s="1">
        <v>929.66790699768262</v>
      </c>
      <c r="D267" s="1">
        <f t="shared" si="25"/>
        <v>509.66790699768268</v>
      </c>
      <c r="E267" s="2">
        <v>10</v>
      </c>
      <c r="F267" s="1">
        <v>92.966790699768268</v>
      </c>
      <c r="G267" s="1">
        <v>50.966790699768268</v>
      </c>
      <c r="H267" s="1">
        <v>42</v>
      </c>
      <c r="I267">
        <f t="shared" si="26"/>
        <v>6.0402547112774139</v>
      </c>
      <c r="J267">
        <f t="shared" si="27"/>
        <v>3.7376696182833684</v>
      </c>
      <c r="K267" s="1">
        <f t="shared" si="28"/>
        <v>42</v>
      </c>
      <c r="L267">
        <f t="shared" si="29"/>
        <v>377.99999999999994</v>
      </c>
    </row>
    <row r="268" spans="1:12" x14ac:dyDescent="0.25">
      <c r="A268" s="3">
        <v>42126</v>
      </c>
      <c r="B268" s="1">
        <f t="shared" si="24"/>
        <v>7654</v>
      </c>
      <c r="C268" s="1">
        <v>21971.326567309126</v>
      </c>
      <c r="D268" s="1">
        <f t="shared" si="25"/>
        <v>14317.326567309126</v>
      </c>
      <c r="E268" s="2">
        <v>178</v>
      </c>
      <c r="F268" s="1">
        <v>123.434418917467</v>
      </c>
      <c r="G268" s="1">
        <v>80.434418917466999</v>
      </c>
      <c r="H268" s="1">
        <v>43</v>
      </c>
      <c r="I268">
        <f t="shared" si="26"/>
        <v>8.942983665985647</v>
      </c>
      <c r="J268">
        <f t="shared" si="27"/>
        <v>3.7612001156935624</v>
      </c>
      <c r="K268" s="1">
        <f t="shared" si="28"/>
        <v>43</v>
      </c>
      <c r="L268">
        <f t="shared" si="29"/>
        <v>7610.9999999999955</v>
      </c>
    </row>
    <row r="269" spans="1:12" x14ac:dyDescent="0.25">
      <c r="A269" s="3">
        <v>42113</v>
      </c>
      <c r="B269" s="1">
        <f t="shared" si="24"/>
        <v>6536</v>
      </c>
      <c r="C269" s="1">
        <v>13695.881867259124</v>
      </c>
      <c r="D269" s="1">
        <f t="shared" si="25"/>
        <v>7159.8818672591224</v>
      </c>
      <c r="E269" s="2">
        <v>76</v>
      </c>
      <c r="F269" s="1">
        <v>180.20897193762005</v>
      </c>
      <c r="G269" s="1">
        <v>94.208971937620035</v>
      </c>
      <c r="H269" s="1">
        <v>86</v>
      </c>
      <c r="I269">
        <f t="shared" si="26"/>
        <v>8.7850806365398384</v>
      </c>
      <c r="J269">
        <f t="shared" si="27"/>
        <v>4.4543472962535073</v>
      </c>
      <c r="K269" s="1">
        <f t="shared" si="28"/>
        <v>86.000000000000014</v>
      </c>
      <c r="L269">
        <f t="shared" si="29"/>
        <v>6449.9999999999973</v>
      </c>
    </row>
    <row r="270" spans="1:12" x14ac:dyDescent="0.25">
      <c r="A270" s="3">
        <v>42098</v>
      </c>
      <c r="B270" s="1">
        <f t="shared" si="24"/>
        <v>1763</v>
      </c>
      <c r="C270" s="1">
        <v>4062.4914354278553</v>
      </c>
      <c r="D270" s="1">
        <f t="shared" si="25"/>
        <v>2299.4914354278553</v>
      </c>
      <c r="E270" s="2">
        <v>41</v>
      </c>
      <c r="F270" s="1">
        <v>99.085156961655002</v>
      </c>
      <c r="G270" s="1">
        <v>56.085156961655009</v>
      </c>
      <c r="H270" s="1">
        <v>43</v>
      </c>
      <c r="I270">
        <f t="shared" si="26"/>
        <v>7.4747721823978699</v>
      </c>
      <c r="J270">
        <f t="shared" si="27"/>
        <v>3.7612001156935624</v>
      </c>
      <c r="K270" s="1">
        <f t="shared" si="28"/>
        <v>42.999999999999993</v>
      </c>
      <c r="L270">
        <f t="shared" si="29"/>
        <v>1719.9999999999993</v>
      </c>
    </row>
    <row r="271" spans="1:12" x14ac:dyDescent="0.25">
      <c r="A271" s="3">
        <v>42070</v>
      </c>
      <c r="B271" s="1">
        <f t="shared" si="24"/>
        <v>3180</v>
      </c>
      <c r="C271" s="1">
        <v>5360.4246064487161</v>
      </c>
      <c r="D271" s="1">
        <f t="shared" si="25"/>
        <v>2180.4246064487156</v>
      </c>
      <c r="E271" s="2">
        <v>53</v>
      </c>
      <c r="F271" s="1">
        <v>101.14008691412671</v>
      </c>
      <c r="G271" s="1">
        <v>41.140086914126712</v>
      </c>
      <c r="H271" s="1">
        <v>60</v>
      </c>
      <c r="I271">
        <f t="shared" si="26"/>
        <v>8.0646364757742219</v>
      </c>
      <c r="J271">
        <f t="shared" si="27"/>
        <v>4.0943445622221004</v>
      </c>
      <c r="K271" s="1">
        <f t="shared" si="28"/>
        <v>60</v>
      </c>
      <c r="L271">
        <f t="shared" si="29"/>
        <v>3119.9999999999982</v>
      </c>
    </row>
    <row r="272" spans="1:12" x14ac:dyDescent="0.25">
      <c r="A272" s="3">
        <v>42060</v>
      </c>
      <c r="B272" s="1">
        <f t="shared" si="24"/>
        <v>7480</v>
      </c>
      <c r="C272" s="1">
        <v>14022.850478921431</v>
      </c>
      <c r="D272" s="1">
        <f t="shared" si="25"/>
        <v>6542.8504789214312</v>
      </c>
      <c r="E272" s="2">
        <v>85</v>
      </c>
      <c r="F272" s="1">
        <v>164.97471151672272</v>
      </c>
      <c r="G272" s="1">
        <v>76.974711516722721</v>
      </c>
      <c r="H272" s="1">
        <v>88</v>
      </c>
      <c r="I272">
        <f t="shared" si="26"/>
        <v>8.9199880709685235</v>
      </c>
      <c r="J272">
        <f t="shared" si="27"/>
        <v>4.4773368144782069</v>
      </c>
      <c r="K272" s="1">
        <f t="shared" si="28"/>
        <v>88</v>
      </c>
      <c r="L272">
        <f t="shared" si="29"/>
        <v>7392.0000000000045</v>
      </c>
    </row>
    <row r="273" spans="1:12" x14ac:dyDescent="0.25">
      <c r="A273" s="3">
        <v>42049</v>
      </c>
      <c r="B273" s="1">
        <f t="shared" si="24"/>
        <v>2079</v>
      </c>
      <c r="C273" s="1">
        <v>3493.6484225825643</v>
      </c>
      <c r="D273" s="1">
        <f t="shared" si="25"/>
        <v>1414.6484225825639</v>
      </c>
      <c r="E273" s="2">
        <v>21</v>
      </c>
      <c r="F273" s="1">
        <v>166.36421059916972</v>
      </c>
      <c r="G273" s="1">
        <v>67.364210599169709</v>
      </c>
      <c r="H273" s="1">
        <v>99</v>
      </c>
      <c r="I273">
        <f t="shared" si="26"/>
        <v>7.6396422878580132</v>
      </c>
      <c r="J273">
        <f t="shared" si="27"/>
        <v>4.5951198501345898</v>
      </c>
      <c r="K273" s="1">
        <f t="shared" si="28"/>
        <v>99.000000000000014</v>
      </c>
      <c r="L273">
        <f t="shared" si="29"/>
        <v>1980.0000000000005</v>
      </c>
    </row>
    <row r="274" spans="1:12" x14ac:dyDescent="0.25">
      <c r="A274" s="3">
        <v>42048</v>
      </c>
      <c r="B274" s="1">
        <f t="shared" si="24"/>
        <v>1391</v>
      </c>
      <c r="C274" s="1">
        <v>2370.8703122519032</v>
      </c>
      <c r="D274" s="1">
        <f t="shared" si="25"/>
        <v>979.87031225190333</v>
      </c>
      <c r="E274" s="2">
        <v>13</v>
      </c>
      <c r="F274" s="1">
        <v>182.37463940399255</v>
      </c>
      <c r="G274" s="1">
        <v>75.37463940399256</v>
      </c>
      <c r="H274" s="1">
        <v>107</v>
      </c>
      <c r="I274">
        <f t="shared" si="26"/>
        <v>7.237778191923443</v>
      </c>
      <c r="J274">
        <f t="shared" si="27"/>
        <v>4.6728288344619058</v>
      </c>
      <c r="K274" s="1">
        <f t="shared" si="28"/>
        <v>106.99999999999999</v>
      </c>
      <c r="L274">
        <f t="shared" si="29"/>
        <v>1284</v>
      </c>
    </row>
    <row r="275" spans="1:12" x14ac:dyDescent="0.25">
      <c r="A275" s="3">
        <v>42044</v>
      </c>
      <c r="B275" s="1">
        <f t="shared" si="24"/>
        <v>1414</v>
      </c>
      <c r="C275" s="1">
        <v>2522.4671144032941</v>
      </c>
      <c r="D275" s="1">
        <f t="shared" si="25"/>
        <v>1108.4671144032941</v>
      </c>
      <c r="E275" s="2">
        <v>14</v>
      </c>
      <c r="F275" s="1">
        <v>180.17622245737815</v>
      </c>
      <c r="G275" s="1">
        <v>79.176222457378145</v>
      </c>
      <c r="H275" s="1">
        <v>101</v>
      </c>
      <c r="I275">
        <f t="shared" si="26"/>
        <v>7.2541778464565176</v>
      </c>
      <c r="J275">
        <f t="shared" si="27"/>
        <v>4.6151205168412597</v>
      </c>
      <c r="K275" s="1">
        <f t="shared" si="28"/>
        <v>101</v>
      </c>
      <c r="L275">
        <f t="shared" si="29"/>
        <v>1312.9999999999993</v>
      </c>
    </row>
    <row r="276" spans="1:12" x14ac:dyDescent="0.25">
      <c r="A276" s="3">
        <v>42038</v>
      </c>
      <c r="B276" s="1">
        <f t="shared" si="24"/>
        <v>512</v>
      </c>
      <c r="C276" s="1">
        <v>1052.5905044766482</v>
      </c>
      <c r="D276" s="1">
        <f t="shared" si="25"/>
        <v>540.59050447664822</v>
      </c>
      <c r="E276" s="2">
        <v>8</v>
      </c>
      <c r="F276" s="1">
        <v>131.57381305958103</v>
      </c>
      <c r="G276" s="1">
        <v>67.573813059581028</v>
      </c>
      <c r="H276" s="1">
        <v>64</v>
      </c>
      <c r="I276">
        <f t="shared" si="26"/>
        <v>6.2383246250395077</v>
      </c>
      <c r="J276">
        <f t="shared" si="27"/>
        <v>4.1588830833596715</v>
      </c>
      <c r="K276" s="1">
        <f t="shared" si="28"/>
        <v>64</v>
      </c>
      <c r="L276">
        <f t="shared" si="29"/>
        <v>447.99999999999994</v>
      </c>
    </row>
    <row r="277" spans="1:12" x14ac:dyDescent="0.25">
      <c r="A277" s="3">
        <v>42025</v>
      </c>
      <c r="B277" s="1">
        <f t="shared" si="24"/>
        <v>408</v>
      </c>
      <c r="C277" s="1">
        <v>689.36879897867198</v>
      </c>
      <c r="D277" s="1">
        <f t="shared" si="25"/>
        <v>281.36879897867203</v>
      </c>
      <c r="E277" s="2">
        <v>8</v>
      </c>
      <c r="F277" s="1">
        <v>86.171099872333997</v>
      </c>
      <c r="G277" s="1">
        <v>35.171099872334004</v>
      </c>
      <c r="H277" s="1">
        <v>51</v>
      </c>
      <c r="I277">
        <f t="shared" si="26"/>
        <v>6.0112671744041615</v>
      </c>
      <c r="J277">
        <f t="shared" si="27"/>
        <v>3.9318256327243257</v>
      </c>
      <c r="K277" s="1">
        <f t="shared" si="28"/>
        <v>50.999999999999993</v>
      </c>
      <c r="L277">
        <f t="shared" si="29"/>
        <v>356.99999999999989</v>
      </c>
    </row>
    <row r="278" spans="1:12" x14ac:dyDescent="0.25">
      <c r="A278" s="3">
        <v>42007</v>
      </c>
      <c r="B278" s="1">
        <f t="shared" si="24"/>
        <v>704</v>
      </c>
      <c r="C278" s="1">
        <v>1636.2880825833699</v>
      </c>
      <c r="D278" s="1">
        <f t="shared" si="25"/>
        <v>932.28808258337006</v>
      </c>
      <c r="E278" s="2">
        <v>16</v>
      </c>
      <c r="F278" s="1">
        <v>102.26800516146062</v>
      </c>
      <c r="G278" s="1">
        <v>58.268005161460628</v>
      </c>
      <c r="H278" s="1">
        <v>44</v>
      </c>
      <c r="I278">
        <f t="shared" si="26"/>
        <v>6.5567783561580422</v>
      </c>
      <c r="J278">
        <f t="shared" si="27"/>
        <v>3.784189633918261</v>
      </c>
      <c r="K278" s="1">
        <f t="shared" si="28"/>
        <v>43.999999999999993</v>
      </c>
      <c r="L278">
        <f t="shared" si="29"/>
        <v>659.99999999999989</v>
      </c>
    </row>
    <row r="279" spans="1:12" x14ac:dyDescent="0.25">
      <c r="A279" s="3">
        <v>42001</v>
      </c>
      <c r="B279" s="1">
        <f t="shared" si="24"/>
        <v>295</v>
      </c>
      <c r="C279" s="1">
        <v>555.69273382077893</v>
      </c>
      <c r="D279" s="1">
        <f t="shared" si="25"/>
        <v>260.69273382077893</v>
      </c>
      <c r="E279" s="2">
        <v>5</v>
      </c>
      <c r="F279" s="1">
        <v>111.13854676415579</v>
      </c>
      <c r="G279" s="1">
        <v>52.138546764155791</v>
      </c>
      <c r="H279" s="1">
        <v>59</v>
      </c>
      <c r="I279">
        <f t="shared" si="26"/>
        <v>5.6869753563398202</v>
      </c>
      <c r="J279">
        <f t="shared" si="27"/>
        <v>4.0775374439057197</v>
      </c>
      <c r="K279" s="1">
        <f t="shared" si="28"/>
        <v>59</v>
      </c>
      <c r="L279">
        <f t="shared" si="29"/>
        <v>236.00000000000011</v>
      </c>
    </row>
    <row r="280" spans="1:12" x14ac:dyDescent="0.25">
      <c r="A280" s="3">
        <v>41996</v>
      </c>
      <c r="B280" s="1">
        <f t="shared" si="24"/>
        <v>2537</v>
      </c>
      <c r="C280" s="1">
        <v>5268.6441930678029</v>
      </c>
      <c r="D280" s="1">
        <f t="shared" si="25"/>
        <v>2731.6441930678029</v>
      </c>
      <c r="E280" s="2">
        <v>43</v>
      </c>
      <c r="F280" s="1">
        <v>122.52660914111169</v>
      </c>
      <c r="G280" s="1">
        <v>63.526609141111699</v>
      </c>
      <c r="H280" s="1">
        <v>59</v>
      </c>
      <c r="I280">
        <f t="shared" si="26"/>
        <v>7.8387375595992816</v>
      </c>
      <c r="J280">
        <f t="shared" si="27"/>
        <v>4.0775374439057197</v>
      </c>
      <c r="K280" s="1">
        <f t="shared" si="28"/>
        <v>58.999999999999993</v>
      </c>
      <c r="L280">
        <f t="shared" si="29"/>
        <v>2477.9999999999995</v>
      </c>
    </row>
    <row r="281" spans="1:12" x14ac:dyDescent="0.25">
      <c r="A281" s="3">
        <v>41975</v>
      </c>
      <c r="B281" s="1">
        <f t="shared" si="24"/>
        <v>736</v>
      </c>
      <c r="C281" s="1">
        <v>1751.0996353419141</v>
      </c>
      <c r="D281" s="1">
        <f t="shared" si="25"/>
        <v>1015.0996353419141</v>
      </c>
      <c r="E281" s="2">
        <v>16</v>
      </c>
      <c r="F281" s="1">
        <v>109.44372720886963</v>
      </c>
      <c r="G281" s="1">
        <v>63.443727208869632</v>
      </c>
      <c r="H281" s="1">
        <v>46</v>
      </c>
      <c r="I281">
        <f t="shared" si="26"/>
        <v>6.6012301187288767</v>
      </c>
      <c r="J281">
        <f t="shared" si="27"/>
        <v>3.8286413964890951</v>
      </c>
      <c r="K281" s="1">
        <f t="shared" si="28"/>
        <v>46</v>
      </c>
      <c r="L281">
        <f t="shared" si="29"/>
        <v>690.00000000000034</v>
      </c>
    </row>
    <row r="282" spans="1:12" x14ac:dyDescent="0.25">
      <c r="A282" s="3">
        <v>41951</v>
      </c>
      <c r="B282" s="1">
        <f t="shared" si="24"/>
        <v>588</v>
      </c>
      <c r="C282" s="1">
        <v>1325.6874043167822</v>
      </c>
      <c r="D282" s="1">
        <f t="shared" si="25"/>
        <v>737.68740431678236</v>
      </c>
      <c r="E282" s="2">
        <v>14</v>
      </c>
      <c r="F282" s="1">
        <v>94.691957451198732</v>
      </c>
      <c r="G282" s="1">
        <v>52.691957451198739</v>
      </c>
      <c r="H282" s="1">
        <v>42</v>
      </c>
      <c r="I282">
        <f t="shared" si="26"/>
        <v>6.3767269478986268</v>
      </c>
      <c r="J282">
        <f t="shared" si="27"/>
        <v>3.7376696182833684</v>
      </c>
      <c r="K282" s="1">
        <f t="shared" si="28"/>
        <v>41.999999999999993</v>
      </c>
      <c r="L282">
        <f t="shared" si="29"/>
        <v>545.99999999999989</v>
      </c>
    </row>
    <row r="283" spans="1:12" x14ac:dyDescent="0.25">
      <c r="A283" s="3">
        <v>41933</v>
      </c>
      <c r="B283" s="1">
        <f t="shared" si="24"/>
        <v>1380</v>
      </c>
      <c r="C283" s="1">
        <v>2843.3875610632108</v>
      </c>
      <c r="D283" s="1">
        <f t="shared" si="25"/>
        <v>1463.387561063211</v>
      </c>
      <c r="E283" s="2">
        <v>30</v>
      </c>
      <c r="F283" s="1">
        <v>94.779585368773695</v>
      </c>
      <c r="G283" s="1">
        <v>48.779585368773702</v>
      </c>
      <c r="H283" s="1">
        <v>46</v>
      </c>
      <c r="I283">
        <f t="shared" si="26"/>
        <v>7.2298387781512501</v>
      </c>
      <c r="J283">
        <f t="shared" si="27"/>
        <v>3.8286413964890951</v>
      </c>
      <c r="K283" s="1">
        <f t="shared" si="28"/>
        <v>45.999999999999993</v>
      </c>
      <c r="L283">
        <f t="shared" si="29"/>
        <v>1333.9999999999995</v>
      </c>
    </row>
    <row r="284" spans="1:12" x14ac:dyDescent="0.25">
      <c r="A284" s="3">
        <v>41916</v>
      </c>
      <c r="B284" s="1">
        <f t="shared" si="24"/>
        <v>4248</v>
      </c>
      <c r="C284" s="1">
        <v>7486.5676338455996</v>
      </c>
      <c r="D284" s="1">
        <f t="shared" si="25"/>
        <v>3238.5676338456001</v>
      </c>
      <c r="E284" s="2">
        <v>36</v>
      </c>
      <c r="F284" s="1">
        <v>207.96021205126667</v>
      </c>
      <c r="G284" s="1">
        <v>89.960212051266666</v>
      </c>
      <c r="H284" s="1">
        <v>118</v>
      </c>
      <c r="I284">
        <f t="shared" si="26"/>
        <v>8.354203562921775</v>
      </c>
      <c r="J284">
        <f t="shared" si="27"/>
        <v>4.7706846244656651</v>
      </c>
      <c r="K284" s="1">
        <f t="shared" si="28"/>
        <v>118</v>
      </c>
      <c r="L284">
        <f t="shared" si="29"/>
        <v>4130.0000000000009</v>
      </c>
    </row>
    <row r="285" spans="1:12" x14ac:dyDescent="0.25">
      <c r="A285" s="3">
        <v>41892</v>
      </c>
      <c r="B285" s="1">
        <f t="shared" si="24"/>
        <v>3536</v>
      </c>
      <c r="C285" s="1">
        <v>6059.0467549208452</v>
      </c>
      <c r="D285" s="1">
        <f t="shared" si="25"/>
        <v>2523.0467549208452</v>
      </c>
      <c r="E285" s="2">
        <v>52</v>
      </c>
      <c r="F285" s="1">
        <v>116.52012990232394</v>
      </c>
      <c r="G285" s="1">
        <v>48.520129902323944</v>
      </c>
      <c r="H285" s="1">
        <v>68</v>
      </c>
      <c r="I285">
        <f t="shared" si="26"/>
        <v>8.1707514237575349</v>
      </c>
      <c r="J285">
        <f t="shared" si="27"/>
        <v>4.219507705176107</v>
      </c>
      <c r="K285" s="1">
        <f t="shared" si="28"/>
        <v>68</v>
      </c>
      <c r="L285">
        <f t="shared" si="29"/>
        <v>3468.0000000000032</v>
      </c>
    </row>
    <row r="286" spans="1:12" x14ac:dyDescent="0.25">
      <c r="A286" s="3">
        <v>41872</v>
      </c>
      <c r="B286" s="1">
        <f t="shared" si="24"/>
        <v>1581</v>
      </c>
      <c r="C286" s="1">
        <v>2774.4678713941657</v>
      </c>
      <c r="D286" s="1">
        <f t="shared" si="25"/>
        <v>1193.4678713941653</v>
      </c>
      <c r="E286" s="2">
        <v>17</v>
      </c>
      <c r="F286" s="1">
        <v>163.20399243495092</v>
      </c>
      <c r="G286" s="1">
        <v>70.203992434950905</v>
      </c>
      <c r="H286" s="1">
        <v>93</v>
      </c>
      <c r="I286">
        <f t="shared" si="26"/>
        <v>7.3658128372094724</v>
      </c>
      <c r="J286">
        <f t="shared" si="27"/>
        <v>4.5325994931532563</v>
      </c>
      <c r="K286" s="1">
        <f t="shared" si="28"/>
        <v>93.000000000000014</v>
      </c>
      <c r="L286">
        <f t="shared" si="29"/>
        <v>1488.0000000000007</v>
      </c>
    </row>
    <row r="287" spans="1:12" x14ac:dyDescent="0.25">
      <c r="A287" s="3">
        <v>41848</v>
      </c>
      <c r="B287" s="1">
        <f t="shared" si="24"/>
        <v>741</v>
      </c>
      <c r="C287" s="1">
        <v>2071.6369177692832</v>
      </c>
      <c r="D287" s="1">
        <f t="shared" si="25"/>
        <v>1330.6369177692829</v>
      </c>
      <c r="E287" s="2">
        <v>19</v>
      </c>
      <c r="F287" s="1">
        <v>109.033521987857</v>
      </c>
      <c r="G287" s="1">
        <v>70.033521987857</v>
      </c>
      <c r="H287" s="1">
        <v>39</v>
      </c>
      <c r="I287">
        <f t="shared" si="26"/>
        <v>6.6080006252960866</v>
      </c>
      <c r="J287">
        <f t="shared" si="27"/>
        <v>3.6635616461296463</v>
      </c>
      <c r="K287" s="1">
        <f t="shared" si="28"/>
        <v>39</v>
      </c>
      <c r="L287">
        <f t="shared" si="29"/>
        <v>701.99999999999977</v>
      </c>
    </row>
    <row r="288" spans="1:12" x14ac:dyDescent="0.25">
      <c r="A288" s="3">
        <v>41843</v>
      </c>
      <c r="B288" s="1">
        <f t="shared" si="24"/>
        <v>1272</v>
      </c>
      <c r="C288" s="1">
        <v>2315.7503528825837</v>
      </c>
      <c r="D288" s="1">
        <f t="shared" si="25"/>
        <v>1043.7503528825835</v>
      </c>
      <c r="E288" s="2">
        <v>24</v>
      </c>
      <c r="F288" s="1">
        <v>96.489598036774311</v>
      </c>
      <c r="G288" s="1">
        <v>43.489598036774311</v>
      </c>
      <c r="H288" s="1">
        <v>53</v>
      </c>
      <c r="I288">
        <f t="shared" si="26"/>
        <v>7.1483457439000677</v>
      </c>
      <c r="J288">
        <f t="shared" si="27"/>
        <v>3.970291913552122</v>
      </c>
      <c r="K288" s="1">
        <f t="shared" si="28"/>
        <v>53</v>
      </c>
      <c r="L288">
        <f t="shared" si="29"/>
        <v>1219.0000000000002</v>
      </c>
    </row>
    <row r="289" spans="1:12" x14ac:dyDescent="0.25">
      <c r="A289" s="3">
        <v>41842</v>
      </c>
      <c r="B289" s="1">
        <f t="shared" si="24"/>
        <v>420</v>
      </c>
      <c r="C289" s="1">
        <v>828.01284583996312</v>
      </c>
      <c r="D289" s="1">
        <f t="shared" si="25"/>
        <v>408.01284583996301</v>
      </c>
      <c r="E289" s="2">
        <v>6</v>
      </c>
      <c r="F289" s="1">
        <v>138.00214097332719</v>
      </c>
      <c r="G289" s="1">
        <v>68.002140973327172</v>
      </c>
      <c r="H289" s="1">
        <v>70</v>
      </c>
      <c r="I289">
        <f t="shared" si="26"/>
        <v>6.0402547112774139</v>
      </c>
      <c r="J289">
        <f t="shared" si="27"/>
        <v>4.2484952420493594</v>
      </c>
      <c r="K289" s="1">
        <f t="shared" si="28"/>
        <v>70.000000000000014</v>
      </c>
      <c r="L289">
        <f t="shared" si="29"/>
        <v>349.99999999999989</v>
      </c>
    </row>
    <row r="290" spans="1:12" x14ac:dyDescent="0.25">
      <c r="A290" s="3">
        <v>41834</v>
      </c>
      <c r="B290" s="1">
        <f t="shared" si="24"/>
        <v>3900</v>
      </c>
      <c r="C290" s="1">
        <v>6640.5699105719432</v>
      </c>
      <c r="D290" s="1">
        <f t="shared" si="25"/>
        <v>2740.5699105719441</v>
      </c>
      <c r="E290" s="2">
        <v>39</v>
      </c>
      <c r="F290" s="1">
        <v>170.27102334799855</v>
      </c>
      <c r="G290" s="1">
        <v>70.271023347998565</v>
      </c>
      <c r="H290" s="1">
        <v>100</v>
      </c>
      <c r="I290">
        <f t="shared" si="26"/>
        <v>8.2687318321177372</v>
      </c>
      <c r="J290">
        <f t="shared" si="27"/>
        <v>4.6051701859880918</v>
      </c>
      <c r="K290" s="1">
        <f t="shared" si="28"/>
        <v>99.999999999999986</v>
      </c>
      <c r="L290">
        <f t="shared" si="29"/>
        <v>3799.9999999999977</v>
      </c>
    </row>
    <row r="291" spans="1:12" x14ac:dyDescent="0.25">
      <c r="A291" s="3">
        <v>41833</v>
      </c>
      <c r="B291" s="1">
        <f t="shared" si="24"/>
        <v>1107</v>
      </c>
      <c r="C291" s="1">
        <v>3045.2144558087725</v>
      </c>
      <c r="D291" s="1">
        <f t="shared" si="25"/>
        <v>1938.2144558087721</v>
      </c>
      <c r="E291" s="2">
        <v>41</v>
      </c>
      <c r="F291" s="1">
        <v>74.273523312409083</v>
      </c>
      <c r="G291" s="1">
        <v>47.273523312409075</v>
      </c>
      <c r="H291" s="1">
        <v>27</v>
      </c>
      <c r="I291">
        <f t="shared" si="26"/>
        <v>7.0094089327086371</v>
      </c>
      <c r="J291">
        <f t="shared" si="27"/>
        <v>3.2958368660043291</v>
      </c>
      <c r="K291" s="1">
        <f t="shared" si="28"/>
        <v>27.000000000000007</v>
      </c>
      <c r="L291">
        <f t="shared" si="29"/>
        <v>1080.0000000000002</v>
      </c>
    </row>
    <row r="292" spans="1:12" x14ac:dyDescent="0.25">
      <c r="A292" s="3">
        <v>41819</v>
      </c>
      <c r="B292" s="1">
        <f t="shared" si="24"/>
        <v>310</v>
      </c>
      <c r="C292" s="1">
        <v>577.67170336946083</v>
      </c>
      <c r="D292" s="1">
        <f t="shared" si="25"/>
        <v>267.67170336946089</v>
      </c>
      <c r="E292" s="2">
        <v>2</v>
      </c>
      <c r="F292" s="1">
        <v>288.83585168473041</v>
      </c>
      <c r="G292" s="1">
        <v>133.83585168473044</v>
      </c>
      <c r="H292" s="1">
        <v>155</v>
      </c>
      <c r="I292">
        <f t="shared" si="26"/>
        <v>5.7365722974791922</v>
      </c>
      <c r="J292">
        <f t="shared" si="27"/>
        <v>5.0434251169192468</v>
      </c>
      <c r="K292" s="1">
        <f t="shared" si="28"/>
        <v>154.99999999999997</v>
      </c>
      <c r="L292">
        <f t="shared" si="29"/>
        <v>155.00000000000003</v>
      </c>
    </row>
    <row r="293" spans="1:12" x14ac:dyDescent="0.25">
      <c r="A293" s="3">
        <v>41809</v>
      </c>
      <c r="B293" s="1">
        <f t="shared" si="24"/>
        <v>740</v>
      </c>
      <c r="C293" s="1">
        <v>1927.1890924196027</v>
      </c>
      <c r="D293" s="1">
        <f t="shared" si="25"/>
        <v>1187.1890924196027</v>
      </c>
      <c r="E293" s="2">
        <v>20</v>
      </c>
      <c r="F293" s="1">
        <v>96.359454620980131</v>
      </c>
      <c r="G293" s="1">
        <v>59.359454620980131</v>
      </c>
      <c r="H293" s="1">
        <v>37</v>
      </c>
      <c r="I293">
        <f t="shared" si="26"/>
        <v>6.6066501861982152</v>
      </c>
      <c r="J293">
        <f t="shared" si="27"/>
        <v>3.6109179126442243</v>
      </c>
      <c r="K293" s="1">
        <f t="shared" si="28"/>
        <v>37</v>
      </c>
      <c r="L293">
        <f t="shared" si="29"/>
        <v>702.99999999999977</v>
      </c>
    </row>
    <row r="294" spans="1:12" x14ac:dyDescent="0.25">
      <c r="A294" s="3">
        <v>41787</v>
      </c>
      <c r="B294" s="1">
        <f t="shared" si="24"/>
        <v>2356</v>
      </c>
      <c r="C294" s="1">
        <v>4700.580341368629</v>
      </c>
      <c r="D294" s="1">
        <f t="shared" si="25"/>
        <v>2344.5803413686294</v>
      </c>
      <c r="E294" s="2">
        <v>19</v>
      </c>
      <c r="F294" s="1">
        <v>247.39896533519101</v>
      </c>
      <c r="G294" s="1">
        <v>123.39896533519102</v>
      </c>
      <c r="H294" s="1">
        <v>124</v>
      </c>
      <c r="I294">
        <f t="shared" si="26"/>
        <v>7.7647205447714773</v>
      </c>
      <c r="J294">
        <f t="shared" si="27"/>
        <v>4.8202815656050371</v>
      </c>
      <c r="K294" s="1">
        <f t="shared" si="28"/>
        <v>123.99999999999999</v>
      </c>
      <c r="L294">
        <f t="shared" si="29"/>
        <v>2232</v>
      </c>
    </row>
    <row r="295" spans="1:12" x14ac:dyDescent="0.25">
      <c r="A295" s="3">
        <v>41765</v>
      </c>
      <c r="B295" s="1">
        <f t="shared" si="24"/>
        <v>630</v>
      </c>
      <c r="C295" s="1">
        <v>1590.8215668640046</v>
      </c>
      <c r="D295" s="1">
        <f t="shared" si="25"/>
        <v>960.82156686400458</v>
      </c>
      <c r="E295" s="2">
        <v>14</v>
      </c>
      <c r="F295" s="1">
        <v>113.63011191885747</v>
      </c>
      <c r="G295" s="1">
        <v>68.630111918857466</v>
      </c>
      <c r="H295" s="1">
        <v>45</v>
      </c>
      <c r="I295">
        <f t="shared" si="26"/>
        <v>6.4457198193855785</v>
      </c>
      <c r="J295">
        <f t="shared" si="27"/>
        <v>3.8066624897703196</v>
      </c>
      <c r="K295" s="1">
        <f t="shared" si="28"/>
        <v>45</v>
      </c>
      <c r="L295">
        <f t="shared" si="29"/>
        <v>585.00000000000011</v>
      </c>
    </row>
    <row r="296" spans="1:12" x14ac:dyDescent="0.25">
      <c r="A296" s="3">
        <v>41761</v>
      </c>
      <c r="B296" s="1">
        <f t="shared" si="24"/>
        <v>6912</v>
      </c>
      <c r="C296" s="1">
        <v>13525.22631399288</v>
      </c>
      <c r="D296" s="1">
        <f t="shared" si="25"/>
        <v>6613.22631399288</v>
      </c>
      <c r="E296" s="2">
        <v>64</v>
      </c>
      <c r="F296" s="1">
        <v>211.33166115613875</v>
      </c>
      <c r="G296" s="1">
        <v>103.33166115613875</v>
      </c>
      <c r="H296" s="1">
        <v>108</v>
      </c>
      <c r="I296">
        <f t="shared" si="26"/>
        <v>8.8410143104838923</v>
      </c>
      <c r="J296">
        <f t="shared" si="27"/>
        <v>4.6821312271242199</v>
      </c>
      <c r="K296" s="1">
        <f t="shared" si="28"/>
        <v>108</v>
      </c>
      <c r="L296">
        <f t="shared" si="29"/>
        <v>6804.0000000000055</v>
      </c>
    </row>
    <row r="297" spans="1:12" x14ac:dyDescent="0.25">
      <c r="A297" s="3">
        <v>41755</v>
      </c>
      <c r="B297" s="1">
        <f t="shared" si="24"/>
        <v>1003</v>
      </c>
      <c r="C297" s="1">
        <v>2091.1930111384509</v>
      </c>
      <c r="D297" s="1">
        <f t="shared" si="25"/>
        <v>1088.1930111384509</v>
      </c>
      <c r="E297" s="2">
        <v>17</v>
      </c>
      <c r="F297" s="1">
        <v>123.01135359637946</v>
      </c>
      <c r="G297" s="1">
        <v>64.011353596379465</v>
      </c>
      <c r="H297" s="1">
        <v>59</v>
      </c>
      <c r="I297">
        <f t="shared" si="26"/>
        <v>6.9107507879619359</v>
      </c>
      <c r="J297">
        <f t="shared" si="27"/>
        <v>4.0775374439057197</v>
      </c>
      <c r="K297" s="1">
        <f t="shared" si="28"/>
        <v>59</v>
      </c>
      <c r="L297">
        <f t="shared" si="29"/>
        <v>944.00000000000034</v>
      </c>
    </row>
    <row r="298" spans="1:12" x14ac:dyDescent="0.25">
      <c r="A298" s="3">
        <v>41755</v>
      </c>
      <c r="B298" s="1">
        <f t="shared" si="24"/>
        <v>930</v>
      </c>
      <c r="C298" s="1">
        <v>2192.3799680411012</v>
      </c>
      <c r="D298" s="1">
        <f t="shared" si="25"/>
        <v>1262.3799680411012</v>
      </c>
      <c r="E298" s="2">
        <v>62</v>
      </c>
      <c r="F298" s="1">
        <v>35.36096722646937</v>
      </c>
      <c r="G298" s="1">
        <v>20.360967226469374</v>
      </c>
      <c r="H298" s="1">
        <v>15</v>
      </c>
      <c r="I298">
        <f t="shared" si="26"/>
        <v>6.8351845861473013</v>
      </c>
      <c r="J298">
        <f t="shared" si="27"/>
        <v>2.7080502011022101</v>
      </c>
      <c r="K298" s="1">
        <f t="shared" si="28"/>
        <v>14.999999999999996</v>
      </c>
      <c r="L298">
        <f t="shared" si="29"/>
        <v>914.99999999999966</v>
      </c>
    </row>
    <row r="299" spans="1:12" x14ac:dyDescent="0.25">
      <c r="A299" s="3">
        <v>41751</v>
      </c>
      <c r="B299" s="1">
        <f t="shared" si="24"/>
        <v>610</v>
      </c>
      <c r="C299" s="1">
        <v>1299.2252770594491</v>
      </c>
      <c r="D299" s="1">
        <f t="shared" si="25"/>
        <v>689.22527705944901</v>
      </c>
      <c r="E299" s="2">
        <v>10</v>
      </c>
      <c r="F299" s="1">
        <v>129.9225277059449</v>
      </c>
      <c r="G299" s="1">
        <v>68.922527705944901</v>
      </c>
      <c r="H299" s="1">
        <v>61</v>
      </c>
      <c r="I299">
        <f t="shared" si="26"/>
        <v>6.4134589571673573</v>
      </c>
      <c r="J299">
        <f t="shared" si="27"/>
        <v>4.1108738641733114</v>
      </c>
      <c r="K299" s="1">
        <f t="shared" si="28"/>
        <v>61</v>
      </c>
      <c r="L299">
        <f t="shared" si="29"/>
        <v>549.00000000000023</v>
      </c>
    </row>
    <row r="300" spans="1:12" x14ac:dyDescent="0.25">
      <c r="A300" s="3">
        <v>41746</v>
      </c>
      <c r="B300" s="1">
        <f t="shared" si="24"/>
        <v>7473</v>
      </c>
      <c r="C300" s="1">
        <v>12697.555740437121</v>
      </c>
      <c r="D300" s="1">
        <f t="shared" si="25"/>
        <v>5224.5557404371193</v>
      </c>
      <c r="E300" s="2">
        <v>141</v>
      </c>
      <c r="F300" s="1">
        <v>90.053586811610785</v>
      </c>
      <c r="G300" s="1">
        <v>37.053586811610778</v>
      </c>
      <c r="H300" s="1">
        <v>53</v>
      </c>
      <c r="I300">
        <f t="shared" si="26"/>
        <v>8.9190518039302908</v>
      </c>
      <c r="J300">
        <f t="shared" si="27"/>
        <v>3.970291913552122</v>
      </c>
      <c r="K300" s="1">
        <f t="shared" si="28"/>
        <v>53.000000000000007</v>
      </c>
      <c r="L300">
        <f t="shared" si="29"/>
        <v>7420.0000000000055</v>
      </c>
    </row>
    <row r="301" spans="1:12" x14ac:dyDescent="0.25">
      <c r="A301" s="3">
        <v>41743</v>
      </c>
      <c r="B301" s="1">
        <f t="shared" si="24"/>
        <v>164</v>
      </c>
      <c r="C301" s="1">
        <v>361.94126916518087</v>
      </c>
      <c r="D301" s="1">
        <f t="shared" si="25"/>
        <v>197.94126916518084</v>
      </c>
      <c r="E301" s="2">
        <v>4</v>
      </c>
      <c r="F301" s="1">
        <v>90.485317291295218</v>
      </c>
      <c r="G301" s="1">
        <v>49.48531729129521</v>
      </c>
      <c r="H301" s="1">
        <v>41</v>
      </c>
      <c r="I301">
        <f t="shared" si="26"/>
        <v>5.0998664278241987</v>
      </c>
      <c r="J301">
        <f t="shared" si="27"/>
        <v>3.713572066704308</v>
      </c>
      <c r="K301" s="1">
        <f t="shared" si="28"/>
        <v>41.000000000000007</v>
      </c>
      <c r="L301">
        <f t="shared" si="29"/>
        <v>123.00000000000006</v>
      </c>
    </row>
    <row r="302" spans="1:12" x14ac:dyDescent="0.25">
      <c r="A302" s="3">
        <v>41724</v>
      </c>
      <c r="B302" s="1">
        <f t="shared" si="24"/>
        <v>148</v>
      </c>
      <c r="C302" s="1">
        <v>433.26655361847918</v>
      </c>
      <c r="D302" s="1">
        <f t="shared" si="25"/>
        <v>285.26655361847918</v>
      </c>
      <c r="E302" s="2">
        <v>4</v>
      </c>
      <c r="F302" s="1">
        <v>108.31663840461979</v>
      </c>
      <c r="G302" s="1">
        <v>71.316638404619795</v>
      </c>
      <c r="H302" s="1">
        <v>37</v>
      </c>
      <c r="I302">
        <f t="shared" si="26"/>
        <v>4.9972122737641147</v>
      </c>
      <c r="J302">
        <f t="shared" si="27"/>
        <v>3.6109179126442243</v>
      </c>
      <c r="K302" s="1">
        <f t="shared" si="28"/>
        <v>37</v>
      </c>
      <c r="L302">
        <f t="shared" si="29"/>
        <v>110.99999999999994</v>
      </c>
    </row>
    <row r="303" spans="1:12" x14ac:dyDescent="0.25">
      <c r="A303" s="3">
        <v>41717</v>
      </c>
      <c r="B303" s="1">
        <f t="shared" si="24"/>
        <v>9936</v>
      </c>
      <c r="C303" s="1">
        <v>22377.89245883936</v>
      </c>
      <c r="D303" s="1">
        <f t="shared" si="25"/>
        <v>12441.892458839358</v>
      </c>
      <c r="E303" s="2">
        <v>184</v>
      </c>
      <c r="F303" s="1">
        <v>121.61898075456173</v>
      </c>
      <c r="G303" s="1">
        <v>67.618980754561733</v>
      </c>
      <c r="H303" s="1">
        <v>54</v>
      </c>
      <c r="I303">
        <f t="shared" si="26"/>
        <v>9.2039198041732604</v>
      </c>
      <c r="J303">
        <f t="shared" si="27"/>
        <v>3.9889840465642745</v>
      </c>
      <c r="K303" s="1">
        <f t="shared" si="28"/>
        <v>54</v>
      </c>
      <c r="L303">
        <f t="shared" si="29"/>
        <v>9882.0000000000036</v>
      </c>
    </row>
    <row r="304" spans="1:12" x14ac:dyDescent="0.25">
      <c r="A304" s="3">
        <v>41711</v>
      </c>
      <c r="B304" s="1">
        <f t="shared" si="24"/>
        <v>1920</v>
      </c>
      <c r="C304" s="1">
        <v>3662.5936350119882</v>
      </c>
      <c r="D304" s="1">
        <f t="shared" si="25"/>
        <v>1742.5936350119882</v>
      </c>
      <c r="E304" s="2">
        <v>15</v>
      </c>
      <c r="F304" s="1">
        <v>244.17290900079922</v>
      </c>
      <c r="G304" s="1">
        <v>116.17290900079921</v>
      </c>
      <c r="H304" s="1">
        <v>128</v>
      </c>
      <c r="I304">
        <f t="shared" si="26"/>
        <v>7.5600804650218274</v>
      </c>
      <c r="J304">
        <f t="shared" si="27"/>
        <v>4.8520302639196169</v>
      </c>
      <c r="K304" s="1">
        <f t="shared" si="28"/>
        <v>128</v>
      </c>
      <c r="L304">
        <f t="shared" si="29"/>
        <v>1792.0000000000002</v>
      </c>
    </row>
    <row r="305" spans="1:12" x14ac:dyDescent="0.25">
      <c r="A305" s="3">
        <v>41711</v>
      </c>
      <c r="B305" s="1">
        <f t="shared" si="24"/>
        <v>1518</v>
      </c>
      <c r="C305" s="1">
        <v>3023.4578848277642</v>
      </c>
      <c r="D305" s="1">
        <f t="shared" si="25"/>
        <v>1505.4578848277645</v>
      </c>
      <c r="E305" s="2">
        <v>23</v>
      </c>
      <c r="F305" s="1">
        <v>131.4546906446854</v>
      </c>
      <c r="G305" s="1">
        <v>65.454690644685414</v>
      </c>
      <c r="H305" s="1">
        <v>66</v>
      </c>
      <c r="I305">
        <f t="shared" si="26"/>
        <v>7.3251489579555749</v>
      </c>
      <c r="J305">
        <f t="shared" si="27"/>
        <v>4.1896547420264252</v>
      </c>
      <c r="K305" s="1">
        <f t="shared" si="28"/>
        <v>65.999999999999986</v>
      </c>
      <c r="L305">
        <f t="shared" si="29"/>
        <v>1451.9999999999993</v>
      </c>
    </row>
    <row r="306" spans="1:12" x14ac:dyDescent="0.25">
      <c r="A306" s="3">
        <v>41697</v>
      </c>
      <c r="B306" s="1">
        <f t="shared" si="24"/>
        <v>3835</v>
      </c>
      <c r="C306" s="1">
        <v>7522.2258600668974</v>
      </c>
      <c r="D306" s="1">
        <f t="shared" si="25"/>
        <v>3687.2258600668979</v>
      </c>
      <c r="E306" s="2">
        <v>59</v>
      </c>
      <c r="F306" s="1">
        <v>127.4953535604559</v>
      </c>
      <c r="G306" s="1">
        <v>62.495353560455897</v>
      </c>
      <c r="H306" s="1">
        <v>65</v>
      </c>
      <c r="I306">
        <f t="shared" si="26"/>
        <v>8.2519247138013565</v>
      </c>
      <c r="J306">
        <f t="shared" si="27"/>
        <v>4.1743872698956368</v>
      </c>
      <c r="K306" s="1">
        <f t="shared" si="28"/>
        <v>65</v>
      </c>
      <c r="L306">
        <f t="shared" si="29"/>
        <v>3770</v>
      </c>
    </row>
    <row r="307" spans="1:12" x14ac:dyDescent="0.25">
      <c r="A307" s="3">
        <v>41695</v>
      </c>
      <c r="B307" s="1">
        <f t="shared" si="24"/>
        <v>78</v>
      </c>
      <c r="C307" s="1">
        <v>206.78323120901214</v>
      </c>
      <c r="D307" s="1">
        <f t="shared" si="25"/>
        <v>128.78323120901214</v>
      </c>
      <c r="E307" s="2">
        <v>2</v>
      </c>
      <c r="F307" s="1">
        <v>103.39161560450607</v>
      </c>
      <c r="G307" s="1">
        <v>64.391615604506072</v>
      </c>
      <c r="H307" s="1">
        <v>39</v>
      </c>
      <c r="I307">
        <f t="shared" si="26"/>
        <v>4.3567088266895917</v>
      </c>
      <c r="J307">
        <f t="shared" si="27"/>
        <v>3.6635616461296463</v>
      </c>
      <c r="K307" s="1">
        <f t="shared" si="28"/>
        <v>39</v>
      </c>
      <c r="L307">
        <f t="shared" si="29"/>
        <v>39.000000000000007</v>
      </c>
    </row>
    <row r="308" spans="1:12" x14ac:dyDescent="0.25">
      <c r="A308" s="3">
        <v>41692</v>
      </c>
      <c r="B308" s="1">
        <f t="shared" si="24"/>
        <v>923</v>
      </c>
      <c r="C308" s="1">
        <v>1705.3344964193382</v>
      </c>
      <c r="D308" s="1">
        <f t="shared" si="25"/>
        <v>782.33449641933794</v>
      </c>
      <c r="E308" s="2">
        <v>13</v>
      </c>
      <c r="F308" s="1">
        <v>131.1795766476414</v>
      </c>
      <c r="G308" s="1">
        <v>60.179576647641383</v>
      </c>
      <c r="H308" s="1">
        <v>71</v>
      </c>
      <c r="I308">
        <f t="shared" si="26"/>
        <v>6.8276292345028518</v>
      </c>
      <c r="J308">
        <f t="shared" si="27"/>
        <v>4.2626798770413155</v>
      </c>
      <c r="K308" s="1">
        <f t="shared" si="28"/>
        <v>71.000000000000014</v>
      </c>
      <c r="L308">
        <f t="shared" si="29"/>
        <v>851.99999999999966</v>
      </c>
    </row>
    <row r="309" spans="1:12" x14ac:dyDescent="0.25">
      <c r="A309" s="3">
        <v>41688</v>
      </c>
      <c r="B309" s="1">
        <f t="shared" si="24"/>
        <v>429</v>
      </c>
      <c r="C309" s="1">
        <v>833.33375287905346</v>
      </c>
      <c r="D309" s="1">
        <f t="shared" si="25"/>
        <v>404.33375287905358</v>
      </c>
      <c r="E309" s="2">
        <v>13</v>
      </c>
      <c r="F309" s="1">
        <v>64.102596375311805</v>
      </c>
      <c r="G309" s="1">
        <v>31.102596375311812</v>
      </c>
      <c r="H309" s="1">
        <v>33</v>
      </c>
      <c r="I309">
        <f t="shared" si="26"/>
        <v>6.061456918928017</v>
      </c>
      <c r="J309">
        <f t="shared" si="27"/>
        <v>3.4965075614664802</v>
      </c>
      <c r="K309" s="1">
        <f t="shared" si="28"/>
        <v>32.999999999999993</v>
      </c>
      <c r="L309">
        <f t="shared" si="29"/>
        <v>396</v>
      </c>
    </row>
    <row r="310" spans="1:12" x14ac:dyDescent="0.25">
      <c r="A310" s="3">
        <v>41680</v>
      </c>
      <c r="B310" s="1">
        <f t="shared" si="24"/>
        <v>4602</v>
      </c>
      <c r="C310" s="1">
        <v>10054.112327627679</v>
      </c>
      <c r="D310" s="1">
        <f t="shared" si="25"/>
        <v>5452.1123276276776</v>
      </c>
      <c r="E310" s="2">
        <v>59</v>
      </c>
      <c r="F310" s="1">
        <v>170.4086835191132</v>
      </c>
      <c r="G310" s="1">
        <v>92.408683519113183</v>
      </c>
      <c r="H310" s="1">
        <v>78</v>
      </c>
      <c r="I310">
        <f t="shared" si="26"/>
        <v>8.4342462705953114</v>
      </c>
      <c r="J310">
        <f t="shared" si="27"/>
        <v>4.3567088266895917</v>
      </c>
      <c r="K310" s="1">
        <f t="shared" si="28"/>
        <v>78.000000000000014</v>
      </c>
      <c r="L310">
        <f t="shared" si="29"/>
        <v>4524.0000000000009</v>
      </c>
    </row>
    <row r="311" spans="1:12" x14ac:dyDescent="0.25">
      <c r="A311" s="3">
        <v>41679</v>
      </c>
      <c r="B311" s="1">
        <f t="shared" si="24"/>
        <v>1680</v>
      </c>
      <c r="C311" s="1">
        <v>3287.7560039338791</v>
      </c>
      <c r="D311" s="1">
        <f t="shared" si="25"/>
        <v>1607.7560039338791</v>
      </c>
      <c r="E311" s="2">
        <v>56</v>
      </c>
      <c r="F311" s="1">
        <v>58.709928641676413</v>
      </c>
      <c r="G311" s="1">
        <v>28.709928641676413</v>
      </c>
      <c r="H311" s="1">
        <v>30</v>
      </c>
      <c r="I311">
        <f t="shared" si="26"/>
        <v>7.4265490723973047</v>
      </c>
      <c r="J311">
        <f t="shared" si="27"/>
        <v>3.4011973816621555</v>
      </c>
      <c r="K311" s="1">
        <f t="shared" si="28"/>
        <v>30</v>
      </c>
      <c r="L311">
        <f t="shared" si="29"/>
        <v>1650</v>
      </c>
    </row>
    <row r="312" spans="1:12" x14ac:dyDescent="0.25">
      <c r="A312" s="3">
        <v>41665</v>
      </c>
      <c r="B312" s="1">
        <f t="shared" si="24"/>
        <v>689</v>
      </c>
      <c r="C312" s="1">
        <v>1582.0396460556865</v>
      </c>
      <c r="D312" s="1">
        <f t="shared" si="25"/>
        <v>893.03964605568638</v>
      </c>
      <c r="E312" s="2">
        <v>13</v>
      </c>
      <c r="F312" s="1">
        <v>121.69535738889896</v>
      </c>
      <c r="G312" s="1">
        <v>68.695357388898955</v>
      </c>
      <c r="H312" s="1">
        <v>53</v>
      </c>
      <c r="I312">
        <f t="shared" si="26"/>
        <v>6.5352412710136587</v>
      </c>
      <c r="J312">
        <f t="shared" si="27"/>
        <v>3.970291913552122</v>
      </c>
      <c r="K312" s="1">
        <f t="shared" si="28"/>
        <v>53</v>
      </c>
      <c r="L312">
        <f t="shared" si="29"/>
        <v>636.00000000000011</v>
      </c>
    </row>
    <row r="313" spans="1:12" x14ac:dyDescent="0.25">
      <c r="A313" s="3">
        <v>41656</v>
      </c>
      <c r="B313" s="1">
        <f t="shared" si="24"/>
        <v>3450</v>
      </c>
      <c r="C313" s="1">
        <v>8996.6091805985852</v>
      </c>
      <c r="D313" s="1">
        <f t="shared" si="25"/>
        <v>5546.6091805985852</v>
      </c>
      <c r="E313" s="2">
        <v>75</v>
      </c>
      <c r="F313" s="1">
        <v>119.95478907464781</v>
      </c>
      <c r="G313" s="1">
        <v>73.954789074647806</v>
      </c>
      <c r="H313" s="1">
        <v>46</v>
      </c>
      <c r="I313">
        <f t="shared" si="26"/>
        <v>8.1461295100254052</v>
      </c>
      <c r="J313">
        <f t="shared" si="27"/>
        <v>3.8286413964890951</v>
      </c>
      <c r="K313" s="1">
        <f t="shared" si="28"/>
        <v>46</v>
      </c>
      <c r="L313">
        <f t="shared" si="29"/>
        <v>3403.9999999999991</v>
      </c>
    </row>
    <row r="314" spans="1:12" x14ac:dyDescent="0.25">
      <c r="A314" s="3">
        <v>41651</v>
      </c>
      <c r="B314" s="1">
        <f t="shared" si="24"/>
        <v>5047</v>
      </c>
      <c r="C314" s="1">
        <v>12203.593799417858</v>
      </c>
      <c r="D314" s="1">
        <f t="shared" si="25"/>
        <v>7156.5937994178585</v>
      </c>
      <c r="E314" s="2">
        <v>103</v>
      </c>
      <c r="F314" s="1">
        <v>118.48149319823163</v>
      </c>
      <c r="G314" s="1">
        <v>69.481493198231632</v>
      </c>
      <c r="H314" s="1">
        <v>49</v>
      </c>
      <c r="I314">
        <f t="shared" si="26"/>
        <v>8.5265492863402628</v>
      </c>
      <c r="J314">
        <f t="shared" si="27"/>
        <v>3.8918202981106265</v>
      </c>
      <c r="K314" s="1">
        <f t="shared" si="28"/>
        <v>49</v>
      </c>
      <c r="L314">
        <f t="shared" si="29"/>
        <v>4998.0000000000018</v>
      </c>
    </row>
    <row r="315" spans="1:12" x14ac:dyDescent="0.25">
      <c r="A315" s="3">
        <v>41633</v>
      </c>
      <c r="B315" s="1">
        <f t="shared" si="24"/>
        <v>810</v>
      </c>
      <c r="C315" s="1">
        <v>1594.1263084694472</v>
      </c>
      <c r="D315" s="1">
        <f t="shared" si="25"/>
        <v>784.12630846944717</v>
      </c>
      <c r="E315" s="2">
        <v>15</v>
      </c>
      <c r="F315" s="1">
        <v>106.27508723129648</v>
      </c>
      <c r="G315" s="1">
        <v>52.275087231296482</v>
      </c>
      <c r="H315" s="1">
        <v>54</v>
      </c>
      <c r="I315">
        <f t="shared" si="26"/>
        <v>6.6970342476664841</v>
      </c>
      <c r="J315">
        <f t="shared" si="27"/>
        <v>3.9889840465642745</v>
      </c>
      <c r="K315" s="1">
        <f t="shared" si="28"/>
        <v>54</v>
      </c>
      <c r="L315">
        <f t="shared" si="29"/>
        <v>755.99999999999977</v>
      </c>
    </row>
    <row r="316" spans="1:12" x14ac:dyDescent="0.25">
      <c r="A316" s="3">
        <v>41623</v>
      </c>
      <c r="B316" s="1">
        <f t="shared" si="24"/>
        <v>288</v>
      </c>
      <c r="C316" s="1">
        <v>530.32456391929009</v>
      </c>
      <c r="D316" s="1">
        <f t="shared" si="25"/>
        <v>242.32456391929003</v>
      </c>
      <c r="E316" s="2">
        <v>6</v>
      </c>
      <c r="F316" s="1">
        <v>88.387427319881681</v>
      </c>
      <c r="G316" s="1">
        <v>40.387427319881674</v>
      </c>
      <c r="H316" s="1">
        <v>48</v>
      </c>
      <c r="I316">
        <f t="shared" si="26"/>
        <v>5.6629604801359461</v>
      </c>
      <c r="J316">
        <f t="shared" si="27"/>
        <v>3.8712010109078911</v>
      </c>
      <c r="K316" s="1">
        <f t="shared" si="28"/>
        <v>48.000000000000007</v>
      </c>
      <c r="L316">
        <f t="shared" si="29"/>
        <v>240.00000000000006</v>
      </c>
    </row>
    <row r="317" spans="1:12" x14ac:dyDescent="0.25">
      <c r="A317" s="3">
        <v>41618</v>
      </c>
      <c r="B317" s="1">
        <f t="shared" si="24"/>
        <v>2562</v>
      </c>
      <c r="C317" s="1">
        <v>4426.5811789795443</v>
      </c>
      <c r="D317" s="1">
        <f t="shared" si="25"/>
        <v>1864.5811789795441</v>
      </c>
      <c r="E317" s="2">
        <v>21</v>
      </c>
      <c r="F317" s="1">
        <v>210.78957995140686</v>
      </c>
      <c r="G317" s="1">
        <v>88.789579951406864</v>
      </c>
      <c r="H317" s="1">
        <v>122</v>
      </c>
      <c r="I317">
        <f t="shared" si="26"/>
        <v>7.8485434824566793</v>
      </c>
      <c r="J317">
        <f t="shared" si="27"/>
        <v>4.8040210447332568</v>
      </c>
      <c r="K317" s="1">
        <f t="shared" si="28"/>
        <v>122</v>
      </c>
      <c r="L317">
        <f t="shared" si="29"/>
        <v>2439.9999999999995</v>
      </c>
    </row>
    <row r="318" spans="1:12" x14ac:dyDescent="0.25">
      <c r="A318" s="3">
        <v>41609</v>
      </c>
      <c r="B318" s="1">
        <f t="shared" si="24"/>
        <v>518</v>
      </c>
      <c r="C318" s="1">
        <v>1053.7420842967149</v>
      </c>
      <c r="D318" s="1">
        <f t="shared" si="25"/>
        <v>535.74208429671489</v>
      </c>
      <c r="E318" s="2">
        <v>7</v>
      </c>
      <c r="F318" s="1">
        <v>150.53458347095926</v>
      </c>
      <c r="G318" s="1">
        <v>76.534583470959276</v>
      </c>
      <c r="H318" s="1">
        <v>74</v>
      </c>
      <c r="I318">
        <f t="shared" si="26"/>
        <v>6.2499752422594828</v>
      </c>
      <c r="J318">
        <f t="shared" si="27"/>
        <v>4.3040650932041702</v>
      </c>
      <c r="K318" s="1">
        <f t="shared" si="28"/>
        <v>73.999999999999986</v>
      </c>
      <c r="L318">
        <f t="shared" si="29"/>
        <v>443.99999999999989</v>
      </c>
    </row>
    <row r="319" spans="1:12" x14ac:dyDescent="0.25">
      <c r="A319" s="3">
        <v>41589</v>
      </c>
      <c r="B319" s="1">
        <f t="shared" si="24"/>
        <v>480</v>
      </c>
      <c r="C319" s="1">
        <v>1140.2350348468988</v>
      </c>
      <c r="D319" s="1">
        <f t="shared" si="25"/>
        <v>660.23503484689877</v>
      </c>
      <c r="E319" s="2">
        <v>8</v>
      </c>
      <c r="F319" s="1">
        <v>142.52937935586235</v>
      </c>
      <c r="G319" s="1">
        <v>82.529379355862346</v>
      </c>
      <c r="H319" s="1">
        <v>60</v>
      </c>
      <c r="I319">
        <f t="shared" si="26"/>
        <v>6.1737861039019366</v>
      </c>
      <c r="J319">
        <f t="shared" si="27"/>
        <v>4.0943445622221004</v>
      </c>
      <c r="K319" s="1">
        <f t="shared" si="28"/>
        <v>60</v>
      </c>
      <c r="L319">
        <f t="shared" si="29"/>
        <v>420</v>
      </c>
    </row>
    <row r="320" spans="1:12" x14ac:dyDescent="0.25">
      <c r="A320" s="3">
        <v>41587</v>
      </c>
      <c r="B320" s="1">
        <f t="shared" si="24"/>
        <v>1820</v>
      </c>
      <c r="C320" s="1">
        <v>3467.7310399336766</v>
      </c>
      <c r="D320" s="1">
        <f t="shared" si="25"/>
        <v>1647.7310399336768</v>
      </c>
      <c r="E320" s="2">
        <v>14</v>
      </c>
      <c r="F320" s="1">
        <v>247.69507428097691</v>
      </c>
      <c r="G320" s="1">
        <v>117.69507428097691</v>
      </c>
      <c r="H320" s="1">
        <v>130</v>
      </c>
      <c r="I320">
        <f t="shared" si="26"/>
        <v>7.506591780070841</v>
      </c>
      <c r="J320">
        <f t="shared" si="27"/>
        <v>4.8675344504555822</v>
      </c>
      <c r="K320" s="1">
        <f t="shared" si="28"/>
        <v>130</v>
      </c>
      <c r="L320">
        <f t="shared" si="29"/>
        <v>1690</v>
      </c>
    </row>
    <row r="321" spans="1:12" x14ac:dyDescent="0.25">
      <c r="A321" s="3">
        <v>41583</v>
      </c>
      <c r="B321" s="1">
        <f t="shared" si="24"/>
        <v>3634</v>
      </c>
      <c r="C321" s="1">
        <v>6121.4239211922595</v>
      </c>
      <c r="D321" s="1">
        <f t="shared" si="25"/>
        <v>2487.4239211922595</v>
      </c>
      <c r="E321" s="2">
        <v>23</v>
      </c>
      <c r="F321" s="1">
        <v>266.14886613879389</v>
      </c>
      <c r="G321" s="1">
        <v>108.14886613879389</v>
      </c>
      <c r="H321" s="1">
        <v>158</v>
      </c>
      <c r="I321">
        <f t="shared" si="26"/>
        <v>8.1980892489561157</v>
      </c>
      <c r="J321">
        <f t="shared" si="27"/>
        <v>5.0625950330269669</v>
      </c>
      <c r="K321" s="1">
        <f t="shared" si="28"/>
        <v>158</v>
      </c>
      <c r="L321">
        <f t="shared" si="29"/>
        <v>3475.9999999999973</v>
      </c>
    </row>
    <row r="322" spans="1:12" x14ac:dyDescent="0.25">
      <c r="A322" s="3">
        <v>41580</v>
      </c>
      <c r="B322" s="1">
        <f t="shared" ref="B322:B385" si="30">+E322*H322</f>
        <v>80</v>
      </c>
      <c r="C322" s="1">
        <v>202.70872236556107</v>
      </c>
      <c r="D322" s="1">
        <f t="shared" ref="D322:D385" si="31">+E322*G322</f>
        <v>122.70872236556106</v>
      </c>
      <c r="E322" s="2">
        <v>4</v>
      </c>
      <c r="F322" s="1">
        <v>50.677180591390268</v>
      </c>
      <c r="G322" s="1">
        <v>30.677180591390265</v>
      </c>
      <c r="H322" s="1">
        <v>20</v>
      </c>
      <c r="I322">
        <f t="shared" si="26"/>
        <v>4.3820266346738812</v>
      </c>
      <c r="J322">
        <f t="shared" si="27"/>
        <v>2.9957322735539909</v>
      </c>
      <c r="K322" s="1">
        <f t="shared" si="28"/>
        <v>20.000000000000004</v>
      </c>
      <c r="L322">
        <f t="shared" si="29"/>
        <v>59.999999999999972</v>
      </c>
    </row>
    <row r="323" spans="1:12" x14ac:dyDescent="0.25">
      <c r="A323" s="3">
        <v>41574</v>
      </c>
      <c r="B323" s="1">
        <f t="shared" si="30"/>
        <v>2703</v>
      </c>
      <c r="C323" s="1">
        <v>5112.925784779166</v>
      </c>
      <c r="D323" s="1">
        <f t="shared" si="31"/>
        <v>2409.9257847791664</v>
      </c>
      <c r="E323" s="2">
        <v>53</v>
      </c>
      <c r="F323" s="1">
        <v>96.470297826022005</v>
      </c>
      <c r="G323" s="1">
        <v>45.470297826022005</v>
      </c>
      <c r="H323" s="1">
        <v>51</v>
      </c>
      <c r="I323">
        <f t="shared" ref="I323:I386" si="32">+LN(B323)</f>
        <v>7.9021175462764477</v>
      </c>
      <c r="J323">
        <f t="shared" ref="J323:J386" si="33">+LN(H323)</f>
        <v>3.9318256327243257</v>
      </c>
      <c r="K323" s="1">
        <f t="shared" ref="K323:K386" si="34">+F323-G323</f>
        <v>51</v>
      </c>
      <c r="L323">
        <f t="shared" ref="L323:L386" si="35">EXP(I323)-EXP(J323)</f>
        <v>2652.0000000000005</v>
      </c>
    </row>
    <row r="324" spans="1:12" x14ac:dyDescent="0.25">
      <c r="A324" s="3">
        <v>41564</v>
      </c>
      <c r="B324" s="1">
        <f t="shared" si="30"/>
        <v>3600</v>
      </c>
      <c r="C324" s="1">
        <v>10030.42851753041</v>
      </c>
      <c r="D324" s="1">
        <f t="shared" si="31"/>
        <v>6430.4285175304103</v>
      </c>
      <c r="E324" s="2">
        <v>80</v>
      </c>
      <c r="F324" s="1">
        <v>125.38035646913013</v>
      </c>
      <c r="G324" s="1">
        <v>80.380356469130135</v>
      </c>
      <c r="H324" s="1">
        <v>45</v>
      </c>
      <c r="I324">
        <f t="shared" si="32"/>
        <v>8.1886891244442008</v>
      </c>
      <c r="J324">
        <f t="shared" si="33"/>
        <v>3.8066624897703196</v>
      </c>
      <c r="K324" s="1">
        <f t="shared" si="34"/>
        <v>45</v>
      </c>
      <c r="L324">
        <f t="shared" si="35"/>
        <v>3554.9999999999982</v>
      </c>
    </row>
    <row r="325" spans="1:12" x14ac:dyDescent="0.25">
      <c r="A325" s="3">
        <v>41563</v>
      </c>
      <c r="B325" s="1">
        <f t="shared" si="30"/>
        <v>4669</v>
      </c>
      <c r="C325" s="1">
        <v>9110.5976892723447</v>
      </c>
      <c r="D325" s="1">
        <f t="shared" si="31"/>
        <v>4441.5976892723438</v>
      </c>
      <c r="E325" s="2">
        <v>29</v>
      </c>
      <c r="F325" s="1">
        <v>314.15854100939117</v>
      </c>
      <c r="G325" s="1">
        <v>153.15854100939117</v>
      </c>
      <c r="H325" s="1">
        <v>161</v>
      </c>
      <c r="I325">
        <f t="shared" si="32"/>
        <v>8.4487001949709377</v>
      </c>
      <c r="J325">
        <f t="shared" si="33"/>
        <v>5.0814043649844631</v>
      </c>
      <c r="K325" s="1">
        <f t="shared" si="34"/>
        <v>161</v>
      </c>
      <c r="L325">
        <f t="shared" si="35"/>
        <v>4508.0000000000036</v>
      </c>
    </row>
    <row r="326" spans="1:12" x14ac:dyDescent="0.25">
      <c r="A326" s="3">
        <v>41556</v>
      </c>
      <c r="B326" s="1">
        <f t="shared" si="30"/>
        <v>418</v>
      </c>
      <c r="C326" s="1">
        <v>1160.1656380677248</v>
      </c>
      <c r="D326" s="1">
        <f t="shared" si="31"/>
        <v>742.1656380677249</v>
      </c>
      <c r="E326" s="2">
        <v>11</v>
      </c>
      <c r="F326" s="1">
        <v>105.46960346070226</v>
      </c>
      <c r="G326" s="1">
        <v>67.46960346070226</v>
      </c>
      <c r="H326" s="1">
        <v>38</v>
      </c>
      <c r="I326">
        <f t="shared" si="32"/>
        <v>6.0354814325247563</v>
      </c>
      <c r="J326">
        <f t="shared" si="33"/>
        <v>3.6375861597263857</v>
      </c>
      <c r="K326" s="1">
        <f t="shared" si="34"/>
        <v>38</v>
      </c>
      <c r="L326">
        <f t="shared" si="35"/>
        <v>380</v>
      </c>
    </row>
    <row r="327" spans="1:12" x14ac:dyDescent="0.25">
      <c r="A327" s="3">
        <v>41552</v>
      </c>
      <c r="B327" s="1">
        <f t="shared" si="30"/>
        <v>2850</v>
      </c>
      <c r="C327" s="1">
        <v>4951.2883881218731</v>
      </c>
      <c r="D327" s="1">
        <f t="shared" si="31"/>
        <v>2101.2883881218727</v>
      </c>
      <c r="E327" s="2">
        <v>57</v>
      </c>
      <c r="F327" s="1">
        <v>86.864708563541626</v>
      </c>
      <c r="G327" s="1">
        <v>36.864708563541626</v>
      </c>
      <c r="H327" s="1">
        <v>50</v>
      </c>
      <c r="I327">
        <f t="shared" si="32"/>
        <v>7.9550742732626958</v>
      </c>
      <c r="J327">
        <f t="shared" si="33"/>
        <v>3.912023005428146</v>
      </c>
      <c r="K327" s="1">
        <f t="shared" si="34"/>
        <v>50</v>
      </c>
      <c r="L327">
        <f t="shared" si="35"/>
        <v>2799.9999999999986</v>
      </c>
    </row>
    <row r="328" spans="1:12" x14ac:dyDescent="0.25">
      <c r="A328" s="3">
        <v>41548</v>
      </c>
      <c r="B328" s="1">
        <f t="shared" si="30"/>
        <v>175</v>
      </c>
      <c r="C328" s="1">
        <v>421.13175030135858</v>
      </c>
      <c r="D328" s="1">
        <f t="shared" si="31"/>
        <v>246.13175030135858</v>
      </c>
      <c r="E328" s="2">
        <v>5</v>
      </c>
      <c r="F328" s="1">
        <v>84.226350060271713</v>
      </c>
      <c r="G328" s="1">
        <v>49.226350060271713</v>
      </c>
      <c r="H328" s="1">
        <v>35</v>
      </c>
      <c r="I328">
        <f t="shared" si="32"/>
        <v>5.1647859739235145</v>
      </c>
      <c r="J328">
        <f t="shared" si="33"/>
        <v>3.5553480614894135</v>
      </c>
      <c r="K328" s="1">
        <f t="shared" si="34"/>
        <v>35</v>
      </c>
      <c r="L328">
        <f t="shared" si="35"/>
        <v>140.00000000000009</v>
      </c>
    </row>
    <row r="329" spans="1:12" x14ac:dyDescent="0.25">
      <c r="A329" s="3">
        <v>41539</v>
      </c>
      <c r="B329" s="1">
        <f t="shared" si="30"/>
        <v>2880</v>
      </c>
      <c r="C329" s="1">
        <v>8253.6309269013291</v>
      </c>
      <c r="D329" s="1">
        <f t="shared" si="31"/>
        <v>5373.63092690133</v>
      </c>
      <c r="E329" s="2">
        <v>120</v>
      </c>
      <c r="F329" s="1">
        <v>68.780257724177744</v>
      </c>
      <c r="G329" s="1">
        <v>44.780257724177751</v>
      </c>
      <c r="H329" s="1">
        <v>24</v>
      </c>
      <c r="I329">
        <f t="shared" si="32"/>
        <v>7.965545573129992</v>
      </c>
      <c r="J329">
        <f t="shared" si="33"/>
        <v>3.1780538303479458</v>
      </c>
      <c r="K329" s="1">
        <f t="shared" si="34"/>
        <v>23.999999999999993</v>
      </c>
      <c r="L329">
        <f t="shared" si="35"/>
        <v>2856.0000000000009</v>
      </c>
    </row>
    <row r="330" spans="1:12" x14ac:dyDescent="0.25">
      <c r="A330" s="3">
        <v>41535</v>
      </c>
      <c r="B330" s="1">
        <f t="shared" si="30"/>
        <v>189</v>
      </c>
      <c r="C330" s="1">
        <v>526.59928801193723</v>
      </c>
      <c r="D330" s="1">
        <f t="shared" si="31"/>
        <v>337.59928801193718</v>
      </c>
      <c r="E330" s="2">
        <v>7</v>
      </c>
      <c r="F330" s="1">
        <v>75.228469715991025</v>
      </c>
      <c r="G330" s="1">
        <v>48.228469715991025</v>
      </c>
      <c r="H330" s="1">
        <v>27</v>
      </c>
      <c r="I330">
        <f t="shared" si="32"/>
        <v>5.2417470150596426</v>
      </c>
      <c r="J330">
        <f t="shared" si="33"/>
        <v>3.2958368660043291</v>
      </c>
      <c r="K330" s="1">
        <f t="shared" si="34"/>
        <v>27</v>
      </c>
      <c r="L330">
        <f t="shared" si="35"/>
        <v>162.00000000000003</v>
      </c>
    </row>
    <row r="331" spans="1:12" x14ac:dyDescent="0.25">
      <c r="A331" s="3">
        <v>41499</v>
      </c>
      <c r="B331" s="1">
        <f t="shared" si="30"/>
        <v>8125</v>
      </c>
      <c r="C331" s="1">
        <v>13574.489785741507</v>
      </c>
      <c r="D331" s="1">
        <f t="shared" si="31"/>
        <v>5449.4897857415062</v>
      </c>
      <c r="E331" s="2">
        <v>65</v>
      </c>
      <c r="F331" s="1">
        <v>208.83830439602318</v>
      </c>
      <c r="G331" s="1">
        <v>83.838304396023176</v>
      </c>
      <c r="H331" s="1">
        <v>125</v>
      </c>
      <c r="I331">
        <f t="shared" si="32"/>
        <v>9.0027010071979383</v>
      </c>
      <c r="J331">
        <f t="shared" si="33"/>
        <v>4.8283137373023015</v>
      </c>
      <c r="K331" s="1">
        <f t="shared" si="34"/>
        <v>125</v>
      </c>
      <c r="L331">
        <f t="shared" si="35"/>
        <v>8000.0000000000009</v>
      </c>
    </row>
    <row r="332" spans="1:12" x14ac:dyDescent="0.25">
      <c r="A332" s="3">
        <v>41489</v>
      </c>
      <c r="B332" s="1">
        <f t="shared" si="30"/>
        <v>1760</v>
      </c>
      <c r="C332" s="1">
        <v>3567.6727337927691</v>
      </c>
      <c r="D332" s="1">
        <f t="shared" si="31"/>
        <v>1807.6727337927693</v>
      </c>
      <c r="E332" s="2">
        <v>22</v>
      </c>
      <c r="F332" s="1">
        <v>162.16694244512587</v>
      </c>
      <c r="G332" s="1">
        <v>82.166942445125883</v>
      </c>
      <c r="H332" s="1">
        <v>80</v>
      </c>
      <c r="I332">
        <f t="shared" si="32"/>
        <v>7.4730690880321973</v>
      </c>
      <c r="J332">
        <f t="shared" si="33"/>
        <v>4.3820266346738812</v>
      </c>
      <c r="K332" s="1">
        <f t="shared" si="34"/>
        <v>79.999999999999986</v>
      </c>
      <c r="L332">
        <f t="shared" si="35"/>
        <v>1679.9999999999995</v>
      </c>
    </row>
    <row r="333" spans="1:12" x14ac:dyDescent="0.25">
      <c r="A333" s="3">
        <v>41485</v>
      </c>
      <c r="B333" s="1">
        <f t="shared" si="30"/>
        <v>348</v>
      </c>
      <c r="C333" s="1">
        <v>887.175532830169</v>
      </c>
      <c r="D333" s="1">
        <f t="shared" si="31"/>
        <v>539.17553283016912</v>
      </c>
      <c r="E333" s="2">
        <v>6</v>
      </c>
      <c r="F333" s="1">
        <v>147.86258880502817</v>
      </c>
      <c r="G333" s="1">
        <v>89.862588805028182</v>
      </c>
      <c r="H333" s="1">
        <v>58</v>
      </c>
      <c r="I333">
        <f t="shared" si="32"/>
        <v>5.8522024797744745</v>
      </c>
      <c r="J333">
        <f t="shared" si="33"/>
        <v>4.0604430105464191</v>
      </c>
      <c r="K333" s="1">
        <f t="shared" si="34"/>
        <v>57.999999999999986</v>
      </c>
      <c r="L333">
        <f t="shared" si="35"/>
        <v>290.00000000000006</v>
      </c>
    </row>
    <row r="334" spans="1:12" x14ac:dyDescent="0.25">
      <c r="A334" s="3">
        <v>41472</v>
      </c>
      <c r="B334" s="1">
        <f t="shared" si="30"/>
        <v>663</v>
      </c>
      <c r="C334" s="1">
        <v>1267.5386515175912</v>
      </c>
      <c r="D334" s="1">
        <f t="shared" si="31"/>
        <v>604.53865151759135</v>
      </c>
      <c r="E334" s="2">
        <v>13</v>
      </c>
      <c r="F334" s="1">
        <v>97.502973193660864</v>
      </c>
      <c r="G334" s="1">
        <v>46.502973193660871</v>
      </c>
      <c r="H334" s="1">
        <v>51</v>
      </c>
      <c r="I334">
        <f t="shared" si="32"/>
        <v>6.4967749901858625</v>
      </c>
      <c r="J334">
        <f t="shared" si="33"/>
        <v>3.9318256327243257</v>
      </c>
      <c r="K334" s="1">
        <f t="shared" si="34"/>
        <v>50.999999999999993</v>
      </c>
      <c r="L334">
        <f t="shared" si="35"/>
        <v>612</v>
      </c>
    </row>
    <row r="335" spans="1:12" x14ac:dyDescent="0.25">
      <c r="A335" s="3">
        <v>41451</v>
      </c>
      <c r="B335" s="1">
        <f t="shared" si="30"/>
        <v>549</v>
      </c>
      <c r="C335" s="1">
        <v>993.05183295971665</v>
      </c>
      <c r="D335" s="1">
        <f t="shared" si="31"/>
        <v>444.05183295971659</v>
      </c>
      <c r="E335" s="2">
        <v>9</v>
      </c>
      <c r="F335" s="1">
        <v>110.33909255107963</v>
      </c>
      <c r="G335" s="1">
        <v>49.339092551079624</v>
      </c>
      <c r="H335" s="1">
        <v>61</v>
      </c>
      <c r="I335">
        <f t="shared" si="32"/>
        <v>6.3080984415095305</v>
      </c>
      <c r="J335">
        <f t="shared" si="33"/>
        <v>4.1108738641733114</v>
      </c>
      <c r="K335" s="1">
        <f t="shared" si="34"/>
        <v>61.000000000000007</v>
      </c>
      <c r="L335">
        <f t="shared" si="35"/>
        <v>487.99999999999989</v>
      </c>
    </row>
    <row r="336" spans="1:12" x14ac:dyDescent="0.25">
      <c r="A336" s="3">
        <v>41449</v>
      </c>
      <c r="B336" s="1">
        <f t="shared" si="30"/>
        <v>336</v>
      </c>
      <c r="C336" s="1">
        <v>727.93266824892726</v>
      </c>
      <c r="D336" s="1">
        <f t="shared" si="31"/>
        <v>391.93266824892726</v>
      </c>
      <c r="E336" s="2">
        <v>7</v>
      </c>
      <c r="F336" s="1">
        <v>103.99038117841818</v>
      </c>
      <c r="G336" s="1">
        <v>55.990381178418176</v>
      </c>
      <c r="H336" s="1">
        <v>48</v>
      </c>
      <c r="I336">
        <f t="shared" si="32"/>
        <v>5.8171111599632042</v>
      </c>
      <c r="J336">
        <f t="shared" si="33"/>
        <v>3.8712010109078911</v>
      </c>
      <c r="K336" s="1">
        <f t="shared" si="34"/>
        <v>48</v>
      </c>
      <c r="L336">
        <f t="shared" si="35"/>
        <v>288</v>
      </c>
    </row>
    <row r="337" spans="1:12" x14ac:dyDescent="0.25">
      <c r="A337" s="3">
        <v>41448</v>
      </c>
      <c r="B337" s="1">
        <f t="shared" si="30"/>
        <v>4544</v>
      </c>
      <c r="C337" s="1">
        <v>7738.9008456158062</v>
      </c>
      <c r="D337" s="1">
        <f t="shared" si="31"/>
        <v>3194.9008456158062</v>
      </c>
      <c r="E337" s="2">
        <v>64</v>
      </c>
      <c r="F337" s="1">
        <v>120.92032571274697</v>
      </c>
      <c r="G337" s="1">
        <v>49.920325712746973</v>
      </c>
      <c r="H337" s="1">
        <v>71</v>
      </c>
      <c r="I337">
        <f t="shared" si="32"/>
        <v>8.421562960400987</v>
      </c>
      <c r="J337">
        <f t="shared" si="33"/>
        <v>4.2626798770413155</v>
      </c>
      <c r="K337" s="1">
        <f t="shared" si="34"/>
        <v>71</v>
      </c>
      <c r="L337">
        <f t="shared" si="35"/>
        <v>4472.9999999999982</v>
      </c>
    </row>
    <row r="338" spans="1:12" x14ac:dyDescent="0.25">
      <c r="A338" s="3">
        <v>41438</v>
      </c>
      <c r="B338" s="1">
        <f t="shared" si="30"/>
        <v>924</v>
      </c>
      <c r="C338" s="1">
        <v>1633.6014952389096</v>
      </c>
      <c r="D338" s="1">
        <f t="shared" si="31"/>
        <v>709.60149523890959</v>
      </c>
      <c r="E338" s="2">
        <v>14</v>
      </c>
      <c r="F338" s="1">
        <v>116.68582108849354</v>
      </c>
      <c r="G338" s="1">
        <v>50.68582108849354</v>
      </c>
      <c r="H338" s="1">
        <v>66</v>
      </c>
      <c r="I338">
        <f t="shared" si="32"/>
        <v>6.828712071641684</v>
      </c>
      <c r="J338">
        <f t="shared" si="33"/>
        <v>4.1896547420264252</v>
      </c>
      <c r="K338" s="1">
        <f t="shared" si="34"/>
        <v>66</v>
      </c>
      <c r="L338">
        <f t="shared" si="35"/>
        <v>857.99999999999989</v>
      </c>
    </row>
    <row r="339" spans="1:12" x14ac:dyDescent="0.25">
      <c r="A339" s="3">
        <v>41436</v>
      </c>
      <c r="B339" s="1">
        <f t="shared" si="30"/>
        <v>459</v>
      </c>
      <c r="C339" s="1">
        <v>821.44679362768295</v>
      </c>
      <c r="D339" s="1">
        <f t="shared" si="31"/>
        <v>362.44679362768295</v>
      </c>
      <c r="E339" s="2">
        <v>17</v>
      </c>
      <c r="F339" s="1">
        <v>48.320399625157819</v>
      </c>
      <c r="G339" s="1">
        <v>21.320399625157819</v>
      </c>
      <c r="H339" s="1">
        <v>27</v>
      </c>
      <c r="I339">
        <f t="shared" si="32"/>
        <v>6.1290502100605453</v>
      </c>
      <c r="J339">
        <f t="shared" si="33"/>
        <v>3.2958368660043291</v>
      </c>
      <c r="K339" s="1">
        <f t="shared" si="34"/>
        <v>27</v>
      </c>
      <c r="L339">
        <f t="shared" si="35"/>
        <v>432.00000000000006</v>
      </c>
    </row>
    <row r="340" spans="1:12" x14ac:dyDescent="0.25">
      <c r="A340" s="3">
        <v>41432</v>
      </c>
      <c r="B340" s="1">
        <f t="shared" si="30"/>
        <v>98</v>
      </c>
      <c r="C340" s="1">
        <v>206.42070427201102</v>
      </c>
      <c r="D340" s="1">
        <f t="shared" si="31"/>
        <v>108.42070427201102</v>
      </c>
      <c r="E340" s="2">
        <v>2</v>
      </c>
      <c r="F340" s="1">
        <v>103.21035213600551</v>
      </c>
      <c r="G340" s="1">
        <v>54.210352136005511</v>
      </c>
      <c r="H340" s="1">
        <v>49</v>
      </c>
      <c r="I340">
        <f t="shared" si="32"/>
        <v>4.5849674786705723</v>
      </c>
      <c r="J340">
        <f t="shared" si="33"/>
        <v>3.8918202981106265</v>
      </c>
      <c r="K340" s="1">
        <f t="shared" si="34"/>
        <v>49</v>
      </c>
      <c r="L340">
        <f t="shared" si="35"/>
        <v>49.00000000000005</v>
      </c>
    </row>
    <row r="341" spans="1:12" x14ac:dyDescent="0.25">
      <c r="A341" s="3">
        <v>41415</v>
      </c>
      <c r="B341" s="1">
        <f t="shared" si="30"/>
        <v>2464</v>
      </c>
      <c r="C341" s="1">
        <v>5399.3142871177206</v>
      </c>
      <c r="D341" s="1">
        <f t="shared" si="31"/>
        <v>2935.3142871177206</v>
      </c>
      <c r="E341" s="2">
        <v>32</v>
      </c>
      <c r="F341" s="1">
        <v>168.72857147242877</v>
      </c>
      <c r="G341" s="1">
        <v>91.728571472428769</v>
      </c>
      <c r="H341" s="1">
        <v>77</v>
      </c>
      <c r="I341">
        <f t="shared" si="32"/>
        <v>7.8095413246534102</v>
      </c>
      <c r="J341">
        <f t="shared" si="33"/>
        <v>4.3438054218536841</v>
      </c>
      <c r="K341" s="1">
        <f t="shared" si="34"/>
        <v>77</v>
      </c>
      <c r="L341">
        <f t="shared" si="35"/>
        <v>2386.9999999999995</v>
      </c>
    </row>
    <row r="342" spans="1:12" x14ac:dyDescent="0.25">
      <c r="A342" s="3">
        <v>41406</v>
      </c>
      <c r="B342" s="1">
        <f t="shared" si="30"/>
        <v>833</v>
      </c>
      <c r="C342" s="1">
        <v>1409.1210334127341</v>
      </c>
      <c r="D342" s="1">
        <f t="shared" si="31"/>
        <v>576.12103341273405</v>
      </c>
      <c r="E342" s="2">
        <v>17</v>
      </c>
      <c r="F342" s="1">
        <v>82.88947255369024</v>
      </c>
      <c r="G342" s="1">
        <v>33.88947255369024</v>
      </c>
      <c r="H342" s="1">
        <v>49</v>
      </c>
      <c r="I342">
        <f t="shared" si="32"/>
        <v>6.7250336421668431</v>
      </c>
      <c r="J342">
        <f t="shared" si="33"/>
        <v>3.8918202981106265</v>
      </c>
      <c r="K342" s="1">
        <f t="shared" si="34"/>
        <v>49</v>
      </c>
      <c r="L342">
        <f t="shared" si="35"/>
        <v>784.00000000000034</v>
      </c>
    </row>
    <row r="343" spans="1:12" x14ac:dyDescent="0.25">
      <c r="A343" s="3">
        <v>41402</v>
      </c>
      <c r="B343" s="1">
        <f t="shared" si="30"/>
        <v>4720</v>
      </c>
      <c r="C343" s="1">
        <v>9224.22995646872</v>
      </c>
      <c r="D343" s="1">
        <f t="shared" si="31"/>
        <v>4504.22995646872</v>
      </c>
      <c r="E343" s="2">
        <v>59</v>
      </c>
      <c r="F343" s="1">
        <v>156.3428806181139</v>
      </c>
      <c r="G343" s="1">
        <v>76.342880618113895</v>
      </c>
      <c r="H343" s="1">
        <v>80</v>
      </c>
      <c r="I343">
        <f t="shared" si="32"/>
        <v>8.4595640785796018</v>
      </c>
      <c r="J343">
        <f t="shared" si="33"/>
        <v>4.3820266346738812</v>
      </c>
      <c r="K343" s="1">
        <f t="shared" si="34"/>
        <v>80</v>
      </c>
      <c r="L343">
        <f t="shared" si="35"/>
        <v>4640.0000000000036</v>
      </c>
    </row>
    <row r="344" spans="1:12" x14ac:dyDescent="0.25">
      <c r="A344" s="3">
        <v>41397</v>
      </c>
      <c r="B344" s="1">
        <f t="shared" si="30"/>
        <v>2091</v>
      </c>
      <c r="C344" s="1">
        <v>4020.3727358279207</v>
      </c>
      <c r="D344" s="1">
        <f t="shared" si="31"/>
        <v>1929.3727358279207</v>
      </c>
      <c r="E344" s="2">
        <v>41</v>
      </c>
      <c r="F344" s="1">
        <v>98.057871605559043</v>
      </c>
      <c r="G344" s="1">
        <v>47.057871605559043</v>
      </c>
      <c r="H344" s="1">
        <v>51</v>
      </c>
      <c r="I344">
        <f t="shared" si="32"/>
        <v>7.6453976994286332</v>
      </c>
      <c r="J344">
        <f t="shared" si="33"/>
        <v>3.9318256327243257</v>
      </c>
      <c r="K344" s="1">
        <f t="shared" si="34"/>
        <v>51</v>
      </c>
      <c r="L344">
        <f t="shared" si="35"/>
        <v>2039.9999999999991</v>
      </c>
    </row>
    <row r="345" spans="1:12" x14ac:dyDescent="0.25">
      <c r="A345" s="3">
        <v>41391</v>
      </c>
      <c r="B345" s="1">
        <f t="shared" si="30"/>
        <v>2067</v>
      </c>
      <c r="C345" s="1">
        <v>4775.9446524334553</v>
      </c>
      <c r="D345" s="1">
        <f t="shared" si="31"/>
        <v>2708.9446524334553</v>
      </c>
      <c r="E345" s="2">
        <v>39</v>
      </c>
      <c r="F345" s="1">
        <v>122.46011929316552</v>
      </c>
      <c r="G345" s="1">
        <v>69.460119293165519</v>
      </c>
      <c r="H345" s="1">
        <v>53</v>
      </c>
      <c r="I345">
        <f t="shared" si="32"/>
        <v>7.6338535596817678</v>
      </c>
      <c r="J345">
        <f t="shared" si="33"/>
        <v>3.970291913552122</v>
      </c>
      <c r="K345" s="1">
        <f t="shared" si="34"/>
        <v>53</v>
      </c>
      <c r="L345">
        <f t="shared" si="35"/>
        <v>2013.9999999999991</v>
      </c>
    </row>
    <row r="346" spans="1:12" x14ac:dyDescent="0.25">
      <c r="A346" s="3">
        <v>41384</v>
      </c>
      <c r="B346" s="1">
        <f t="shared" si="30"/>
        <v>3290</v>
      </c>
      <c r="C346" s="1">
        <v>5649.0650113708825</v>
      </c>
      <c r="D346" s="1">
        <f t="shared" si="31"/>
        <v>2359.0650113708816</v>
      </c>
      <c r="E346" s="2">
        <v>35</v>
      </c>
      <c r="F346" s="1">
        <v>161.40185746773949</v>
      </c>
      <c r="G346" s="1">
        <v>67.401857467739475</v>
      </c>
      <c r="H346" s="1">
        <v>94</v>
      </c>
      <c r="I346">
        <f t="shared" si="32"/>
        <v>8.0986428437594178</v>
      </c>
      <c r="J346">
        <f t="shared" si="33"/>
        <v>4.5432947822700038</v>
      </c>
      <c r="K346" s="1">
        <f t="shared" si="34"/>
        <v>94.000000000000014</v>
      </c>
      <c r="L346">
        <f t="shared" si="35"/>
        <v>3196.0000000000009</v>
      </c>
    </row>
    <row r="347" spans="1:12" x14ac:dyDescent="0.25">
      <c r="A347" s="3">
        <v>41368</v>
      </c>
      <c r="B347" s="1">
        <f t="shared" si="30"/>
        <v>510</v>
      </c>
      <c r="C347" s="1">
        <v>1055.8213944974159</v>
      </c>
      <c r="D347" s="1">
        <f t="shared" si="31"/>
        <v>545.82139449741601</v>
      </c>
      <c r="E347" s="2">
        <v>15</v>
      </c>
      <c r="F347" s="1">
        <v>70.388092966494398</v>
      </c>
      <c r="G347" s="1">
        <v>36.388092966494398</v>
      </c>
      <c r="H347" s="1">
        <v>34</v>
      </c>
      <c r="I347">
        <f t="shared" si="32"/>
        <v>6.2344107257183712</v>
      </c>
      <c r="J347">
        <f t="shared" si="33"/>
        <v>3.5263605246161616</v>
      </c>
      <c r="K347" s="1">
        <f t="shared" si="34"/>
        <v>34</v>
      </c>
      <c r="L347">
        <f t="shared" si="35"/>
        <v>475.99999999999989</v>
      </c>
    </row>
    <row r="348" spans="1:12" x14ac:dyDescent="0.25">
      <c r="A348" s="3">
        <v>41367</v>
      </c>
      <c r="B348" s="1">
        <f t="shared" si="30"/>
        <v>5890</v>
      </c>
      <c r="C348" s="1">
        <v>14598.414280259109</v>
      </c>
      <c r="D348" s="1">
        <f t="shared" si="31"/>
        <v>8708.4142802591086</v>
      </c>
      <c r="E348" s="2">
        <v>95</v>
      </c>
      <c r="F348" s="1">
        <v>153.66751873956957</v>
      </c>
      <c r="G348" s="1">
        <v>91.667518739569559</v>
      </c>
      <c r="H348" s="1">
        <v>62</v>
      </c>
      <c r="I348">
        <f t="shared" si="32"/>
        <v>8.6810112766456324</v>
      </c>
      <c r="J348">
        <f t="shared" si="33"/>
        <v>4.1271343850450917</v>
      </c>
      <c r="K348" s="1">
        <f t="shared" si="34"/>
        <v>62.000000000000014</v>
      </c>
      <c r="L348">
        <f t="shared" si="35"/>
        <v>5828</v>
      </c>
    </row>
    <row r="349" spans="1:12" x14ac:dyDescent="0.25">
      <c r="A349" s="3">
        <v>41365</v>
      </c>
      <c r="B349" s="1">
        <f t="shared" si="30"/>
        <v>584</v>
      </c>
      <c r="C349" s="1">
        <v>1343.8580086243014</v>
      </c>
      <c r="D349" s="1">
        <f t="shared" si="31"/>
        <v>759.85800862430153</v>
      </c>
      <c r="E349" s="2">
        <v>8</v>
      </c>
      <c r="F349" s="1">
        <v>167.98225107803768</v>
      </c>
      <c r="G349" s="1">
        <v>94.982251078037692</v>
      </c>
      <c r="H349" s="1">
        <v>73</v>
      </c>
      <c r="I349">
        <f t="shared" si="32"/>
        <v>6.3699009828282271</v>
      </c>
      <c r="J349">
        <f t="shared" si="33"/>
        <v>4.290459441148391</v>
      </c>
      <c r="K349" s="1">
        <f t="shared" si="34"/>
        <v>72.999999999999986</v>
      </c>
      <c r="L349">
        <f t="shared" si="35"/>
        <v>511</v>
      </c>
    </row>
    <row r="350" spans="1:12" x14ac:dyDescent="0.25">
      <c r="A350" s="3">
        <v>41364</v>
      </c>
      <c r="B350" s="1">
        <f t="shared" si="30"/>
        <v>156</v>
      </c>
      <c r="C350" s="1">
        <v>358.16836850461078</v>
      </c>
      <c r="D350" s="1">
        <f t="shared" si="31"/>
        <v>202.16836850461078</v>
      </c>
      <c r="E350" s="2">
        <v>6</v>
      </c>
      <c r="F350" s="1">
        <v>59.694728084101797</v>
      </c>
      <c r="G350" s="1">
        <v>33.694728084101797</v>
      </c>
      <c r="H350" s="1">
        <v>26</v>
      </c>
      <c r="I350">
        <f t="shared" si="32"/>
        <v>5.0498560072495371</v>
      </c>
      <c r="J350">
        <f t="shared" si="33"/>
        <v>3.2580965380214821</v>
      </c>
      <c r="K350" s="1">
        <f t="shared" si="34"/>
        <v>26</v>
      </c>
      <c r="L350">
        <f t="shared" si="35"/>
        <v>130</v>
      </c>
    </row>
    <row r="351" spans="1:12" x14ac:dyDescent="0.25">
      <c r="A351" s="3">
        <v>41346</v>
      </c>
      <c r="B351" s="1">
        <f t="shared" si="30"/>
        <v>612</v>
      </c>
      <c r="C351" s="1">
        <v>1252.9129324058604</v>
      </c>
      <c r="D351" s="1">
        <f t="shared" si="31"/>
        <v>640.91293240586026</v>
      </c>
      <c r="E351" s="2">
        <v>12</v>
      </c>
      <c r="F351" s="1">
        <v>104.4094110338217</v>
      </c>
      <c r="G351" s="1">
        <v>53.409411033821691</v>
      </c>
      <c r="H351" s="1">
        <v>51</v>
      </c>
      <c r="I351">
        <f t="shared" si="32"/>
        <v>6.4167322825123261</v>
      </c>
      <c r="J351">
        <f t="shared" si="33"/>
        <v>3.9318256327243257</v>
      </c>
      <c r="K351" s="1">
        <f t="shared" si="34"/>
        <v>51.000000000000007</v>
      </c>
      <c r="L351">
        <f t="shared" si="35"/>
        <v>561</v>
      </c>
    </row>
    <row r="352" spans="1:12" x14ac:dyDescent="0.25">
      <c r="A352" s="3">
        <v>41320</v>
      </c>
      <c r="B352" s="1">
        <f t="shared" si="30"/>
        <v>1258</v>
      </c>
      <c r="C352" s="1">
        <v>2253.4262800000893</v>
      </c>
      <c r="D352" s="1">
        <f t="shared" si="31"/>
        <v>995.42628000008949</v>
      </c>
      <c r="E352" s="2">
        <v>17</v>
      </c>
      <c r="F352" s="1">
        <v>132.55448705882878</v>
      </c>
      <c r="G352" s="1">
        <v>58.554487058828791</v>
      </c>
      <c r="H352" s="1">
        <v>74</v>
      </c>
      <c r="I352">
        <f t="shared" si="32"/>
        <v>7.1372784372603855</v>
      </c>
      <c r="J352">
        <f t="shared" si="33"/>
        <v>4.3040650932041702</v>
      </c>
      <c r="K352" s="1">
        <f t="shared" si="34"/>
        <v>74</v>
      </c>
      <c r="L352">
        <f t="shared" si="35"/>
        <v>1183.9999999999995</v>
      </c>
    </row>
    <row r="353" spans="1:12" x14ac:dyDescent="0.25">
      <c r="A353" s="3">
        <v>41318</v>
      </c>
      <c r="B353" s="1">
        <f t="shared" si="30"/>
        <v>2052</v>
      </c>
      <c r="C353" s="1">
        <v>3589.4201980433422</v>
      </c>
      <c r="D353" s="1">
        <f t="shared" si="31"/>
        <v>1537.4201980433418</v>
      </c>
      <c r="E353" s="2">
        <v>27</v>
      </c>
      <c r="F353" s="1">
        <v>132.94148881642008</v>
      </c>
      <c r="G353" s="1">
        <v>56.941488816420069</v>
      </c>
      <c r="H353" s="1">
        <v>76</v>
      </c>
      <c r="I353">
        <f t="shared" si="32"/>
        <v>7.6265702062906602</v>
      </c>
      <c r="J353">
        <f t="shared" si="33"/>
        <v>4.3307333402863311</v>
      </c>
      <c r="K353" s="1">
        <f t="shared" si="34"/>
        <v>76</v>
      </c>
      <c r="L353">
        <f t="shared" si="35"/>
        <v>1976</v>
      </c>
    </row>
    <row r="354" spans="1:12" x14ac:dyDescent="0.25">
      <c r="A354" s="3">
        <v>41305</v>
      </c>
      <c r="B354" s="1">
        <f t="shared" si="30"/>
        <v>120</v>
      </c>
      <c r="C354" s="1">
        <v>224.41469458697583</v>
      </c>
      <c r="D354" s="1">
        <f t="shared" si="31"/>
        <v>104.41469458697583</v>
      </c>
      <c r="E354" s="2">
        <v>3</v>
      </c>
      <c r="F354" s="1">
        <v>74.804898195658609</v>
      </c>
      <c r="G354" s="1">
        <v>34.804898195658609</v>
      </c>
      <c r="H354" s="1">
        <v>40</v>
      </c>
      <c r="I354">
        <f t="shared" si="32"/>
        <v>4.7874917427820458</v>
      </c>
      <c r="J354">
        <f t="shared" si="33"/>
        <v>3.6888794541139363</v>
      </c>
      <c r="K354" s="1">
        <f t="shared" si="34"/>
        <v>40</v>
      </c>
      <c r="L354">
        <f t="shared" si="35"/>
        <v>79.999999999999972</v>
      </c>
    </row>
    <row r="355" spans="1:12" x14ac:dyDescent="0.25">
      <c r="A355" s="3">
        <v>41305</v>
      </c>
      <c r="B355" s="1">
        <f t="shared" si="30"/>
        <v>800</v>
      </c>
      <c r="C355" s="1">
        <v>1361.4312529488971</v>
      </c>
      <c r="D355" s="1">
        <f t="shared" si="31"/>
        <v>561.43125294889694</v>
      </c>
      <c r="E355" s="2">
        <v>25</v>
      </c>
      <c r="F355" s="1">
        <v>54.45725011795588</v>
      </c>
      <c r="G355" s="1">
        <v>22.457250117955876</v>
      </c>
      <c r="H355" s="1">
        <v>32</v>
      </c>
      <c r="I355">
        <f t="shared" si="32"/>
        <v>6.6846117276679271</v>
      </c>
      <c r="J355">
        <f t="shared" si="33"/>
        <v>3.4657359027997265</v>
      </c>
      <c r="K355" s="1">
        <f t="shared" si="34"/>
        <v>32</v>
      </c>
      <c r="L355">
        <f t="shared" si="35"/>
        <v>767.99999999999989</v>
      </c>
    </row>
    <row r="356" spans="1:12" x14ac:dyDescent="0.25">
      <c r="A356" s="3">
        <v>41282</v>
      </c>
      <c r="B356" s="1">
        <f t="shared" si="30"/>
        <v>1254</v>
      </c>
      <c r="C356" s="1">
        <v>3166.4672273800261</v>
      </c>
      <c r="D356" s="1">
        <f t="shared" si="31"/>
        <v>1912.4672273800256</v>
      </c>
      <c r="E356" s="2">
        <v>33</v>
      </c>
      <c r="F356" s="1">
        <v>95.953552344849271</v>
      </c>
      <c r="G356" s="1">
        <v>57.953552344849264</v>
      </c>
      <c r="H356" s="1">
        <v>38</v>
      </c>
      <c r="I356">
        <f t="shared" si="32"/>
        <v>7.1340937211928663</v>
      </c>
      <c r="J356">
        <f t="shared" si="33"/>
        <v>3.6375861597263857</v>
      </c>
      <c r="K356" s="1">
        <f t="shared" si="34"/>
        <v>38.000000000000007</v>
      </c>
      <c r="L356">
        <f t="shared" si="35"/>
        <v>1216.0000000000005</v>
      </c>
    </row>
    <row r="357" spans="1:12" x14ac:dyDescent="0.25">
      <c r="A357" s="3">
        <v>41245</v>
      </c>
      <c r="B357" s="1">
        <f t="shared" si="30"/>
        <v>1464</v>
      </c>
      <c r="C357" s="1">
        <v>2884.0188665482879</v>
      </c>
      <c r="D357" s="1">
        <f t="shared" si="31"/>
        <v>1420.0188665482879</v>
      </c>
      <c r="E357" s="2">
        <v>8</v>
      </c>
      <c r="F357" s="1">
        <v>360.50235831853598</v>
      </c>
      <c r="G357" s="1">
        <v>177.50235831853598</v>
      </c>
      <c r="H357" s="1">
        <v>183</v>
      </c>
      <c r="I357">
        <f t="shared" si="32"/>
        <v>7.2889276945212567</v>
      </c>
      <c r="J357">
        <f t="shared" si="33"/>
        <v>5.2094861528414214</v>
      </c>
      <c r="K357" s="1">
        <f t="shared" si="34"/>
        <v>183</v>
      </c>
      <c r="L357">
        <f t="shared" si="35"/>
        <v>1280.9999999999998</v>
      </c>
    </row>
    <row r="358" spans="1:12" x14ac:dyDescent="0.25">
      <c r="A358" s="3">
        <v>41242</v>
      </c>
      <c r="B358" s="1">
        <f t="shared" si="30"/>
        <v>297</v>
      </c>
      <c r="C358" s="1">
        <v>553.69512750732326</v>
      </c>
      <c r="D358" s="1">
        <f t="shared" si="31"/>
        <v>256.69512750732321</v>
      </c>
      <c r="E358" s="2">
        <v>11</v>
      </c>
      <c r="F358" s="1">
        <v>50.33592068248393</v>
      </c>
      <c r="G358" s="1">
        <v>23.335920682483927</v>
      </c>
      <c r="H358" s="1">
        <v>27</v>
      </c>
      <c r="I358">
        <f t="shared" si="32"/>
        <v>5.6937321388026998</v>
      </c>
      <c r="J358">
        <f t="shared" si="33"/>
        <v>3.2958368660043291</v>
      </c>
      <c r="K358" s="1">
        <f t="shared" si="34"/>
        <v>27.000000000000004</v>
      </c>
      <c r="L358">
        <f t="shared" si="35"/>
        <v>270.00000000000006</v>
      </c>
    </row>
    <row r="359" spans="1:12" x14ac:dyDescent="0.25">
      <c r="A359" s="3">
        <v>41229</v>
      </c>
      <c r="B359" s="1">
        <f t="shared" si="30"/>
        <v>880</v>
      </c>
      <c r="C359" s="1">
        <v>1574.1618984174772</v>
      </c>
      <c r="D359" s="1">
        <f t="shared" si="31"/>
        <v>694.16189841747723</v>
      </c>
      <c r="E359" s="2">
        <v>16</v>
      </c>
      <c r="F359" s="1">
        <v>98.385118651092327</v>
      </c>
      <c r="G359" s="1">
        <v>43.385118651092327</v>
      </c>
      <c r="H359" s="1">
        <v>55</v>
      </c>
      <c r="I359">
        <f t="shared" si="32"/>
        <v>6.7799219074722519</v>
      </c>
      <c r="J359">
        <f t="shared" si="33"/>
        <v>4.0073331852324712</v>
      </c>
      <c r="K359" s="1">
        <f t="shared" si="34"/>
        <v>55</v>
      </c>
      <c r="L359">
        <f t="shared" si="35"/>
        <v>824.99999999999977</v>
      </c>
    </row>
    <row r="360" spans="1:12" x14ac:dyDescent="0.25">
      <c r="A360" s="3">
        <v>41228</v>
      </c>
      <c r="B360" s="1">
        <f t="shared" si="30"/>
        <v>1290</v>
      </c>
      <c r="C360" s="1">
        <v>2966.6321544554021</v>
      </c>
      <c r="D360" s="1">
        <f t="shared" si="31"/>
        <v>1676.6321544554021</v>
      </c>
      <c r="E360" s="2">
        <v>30</v>
      </c>
      <c r="F360" s="1">
        <v>98.887738481846739</v>
      </c>
      <c r="G360" s="1">
        <v>55.887738481846739</v>
      </c>
      <c r="H360" s="1">
        <v>43</v>
      </c>
      <c r="I360">
        <f t="shared" si="32"/>
        <v>7.1623974973557178</v>
      </c>
      <c r="J360">
        <f t="shared" si="33"/>
        <v>3.7612001156935624</v>
      </c>
      <c r="K360" s="1">
        <f t="shared" si="34"/>
        <v>43</v>
      </c>
      <c r="L360">
        <f t="shared" si="35"/>
        <v>1247</v>
      </c>
    </row>
    <row r="361" spans="1:12" x14ac:dyDescent="0.25">
      <c r="A361" s="3">
        <v>41226</v>
      </c>
      <c r="B361" s="1">
        <f t="shared" si="30"/>
        <v>624</v>
      </c>
      <c r="C361" s="1">
        <v>1193.6095730411196</v>
      </c>
      <c r="D361" s="1">
        <f t="shared" si="31"/>
        <v>569.60957304111957</v>
      </c>
      <c r="E361" s="2">
        <v>16</v>
      </c>
      <c r="F361" s="1">
        <v>74.600598315069973</v>
      </c>
      <c r="G361" s="1">
        <v>35.600598315069973</v>
      </c>
      <c r="H361" s="1">
        <v>39</v>
      </c>
      <c r="I361">
        <f t="shared" si="32"/>
        <v>6.4361503683694279</v>
      </c>
      <c r="J361">
        <f t="shared" si="33"/>
        <v>3.6635616461296463</v>
      </c>
      <c r="K361" s="1">
        <f t="shared" si="34"/>
        <v>39</v>
      </c>
      <c r="L361">
        <f t="shared" si="35"/>
        <v>585.00000000000011</v>
      </c>
    </row>
    <row r="362" spans="1:12" x14ac:dyDescent="0.25">
      <c r="A362" s="3">
        <v>41220</v>
      </c>
      <c r="B362" s="1">
        <f t="shared" si="30"/>
        <v>1248</v>
      </c>
      <c r="C362" s="1">
        <v>3552.3197202088813</v>
      </c>
      <c r="D362" s="1">
        <f t="shared" si="31"/>
        <v>2304.3197202088813</v>
      </c>
      <c r="E362" s="2">
        <v>52</v>
      </c>
      <c r="F362" s="1">
        <v>68.313840773247719</v>
      </c>
      <c r="G362" s="1">
        <v>44.313840773247719</v>
      </c>
      <c r="H362" s="1">
        <v>24</v>
      </c>
      <c r="I362">
        <f t="shared" si="32"/>
        <v>7.1292975489293733</v>
      </c>
      <c r="J362">
        <f t="shared" si="33"/>
        <v>3.1780538303479458</v>
      </c>
      <c r="K362" s="1">
        <f t="shared" si="34"/>
        <v>24</v>
      </c>
      <c r="L362">
        <f t="shared" si="35"/>
        <v>1224.0000000000005</v>
      </c>
    </row>
    <row r="363" spans="1:12" x14ac:dyDescent="0.25">
      <c r="A363" s="3">
        <v>41217</v>
      </c>
      <c r="B363" s="1">
        <f t="shared" si="30"/>
        <v>559</v>
      </c>
      <c r="C363" s="1">
        <v>1006.8995692449448</v>
      </c>
      <c r="D363" s="1">
        <f t="shared" si="31"/>
        <v>447.89956924494487</v>
      </c>
      <c r="E363" s="2">
        <v>13</v>
      </c>
      <c r="F363" s="1">
        <v>77.453813018841913</v>
      </c>
      <c r="G363" s="1">
        <v>34.453813018841913</v>
      </c>
      <c r="H363" s="1">
        <v>43</v>
      </c>
      <c r="I363">
        <f t="shared" si="32"/>
        <v>6.3261494731550991</v>
      </c>
      <c r="J363">
        <f t="shared" si="33"/>
        <v>3.7612001156935624</v>
      </c>
      <c r="K363" s="1">
        <f t="shared" si="34"/>
        <v>43</v>
      </c>
      <c r="L363">
        <f t="shared" si="35"/>
        <v>516</v>
      </c>
    </row>
    <row r="364" spans="1:12" x14ac:dyDescent="0.25">
      <c r="A364" s="3">
        <v>41215</v>
      </c>
      <c r="B364" s="1">
        <f t="shared" si="30"/>
        <v>1148</v>
      </c>
      <c r="C364" s="1">
        <v>3104.9346899453521</v>
      </c>
      <c r="D364" s="1">
        <f t="shared" si="31"/>
        <v>1956.9346899453524</v>
      </c>
      <c r="E364" s="2">
        <v>28</v>
      </c>
      <c r="F364" s="1">
        <v>110.89052464090544</v>
      </c>
      <c r="G364" s="1">
        <v>69.89052464090544</v>
      </c>
      <c r="H364" s="1">
        <v>41</v>
      </c>
      <c r="I364">
        <f t="shared" si="32"/>
        <v>7.0457765768795113</v>
      </c>
      <c r="J364">
        <f t="shared" si="33"/>
        <v>3.713572066704308</v>
      </c>
      <c r="K364" s="1">
        <f t="shared" si="34"/>
        <v>41</v>
      </c>
      <c r="L364">
        <f t="shared" si="35"/>
        <v>1106.9999999999995</v>
      </c>
    </row>
    <row r="365" spans="1:12" x14ac:dyDescent="0.25">
      <c r="A365" s="3">
        <v>41209</v>
      </c>
      <c r="B365" s="1">
        <f t="shared" si="30"/>
        <v>3408</v>
      </c>
      <c r="C365" s="1">
        <v>6967.8638909703186</v>
      </c>
      <c r="D365" s="1">
        <f t="shared" si="31"/>
        <v>3559.8638909703186</v>
      </c>
      <c r="E365" s="2">
        <v>71</v>
      </c>
      <c r="F365" s="1">
        <v>98.13892804183547</v>
      </c>
      <c r="G365" s="1">
        <v>50.13892804183547</v>
      </c>
      <c r="H365" s="1">
        <v>48</v>
      </c>
      <c r="I365">
        <f t="shared" si="32"/>
        <v>8.1338808879492071</v>
      </c>
      <c r="J365">
        <f t="shared" si="33"/>
        <v>3.8712010109078911</v>
      </c>
      <c r="K365" s="1">
        <f t="shared" si="34"/>
        <v>48</v>
      </c>
      <c r="L365">
        <f t="shared" si="35"/>
        <v>3360.0000000000023</v>
      </c>
    </row>
    <row r="366" spans="1:12" x14ac:dyDescent="0.25">
      <c r="A366" s="3">
        <v>41190</v>
      </c>
      <c r="B366" s="1">
        <f t="shared" si="30"/>
        <v>5005</v>
      </c>
      <c r="C366" s="1">
        <v>8834.970522449541</v>
      </c>
      <c r="D366" s="1">
        <f t="shared" si="31"/>
        <v>3829.9705224495419</v>
      </c>
      <c r="E366" s="2">
        <v>35</v>
      </c>
      <c r="F366" s="1">
        <v>252.42772921284404</v>
      </c>
      <c r="G366" s="1">
        <v>109.42772921284406</v>
      </c>
      <c r="H366" s="1">
        <v>143</v>
      </c>
      <c r="I366">
        <f t="shared" si="32"/>
        <v>8.5181926917493218</v>
      </c>
      <c r="J366">
        <f t="shared" si="33"/>
        <v>4.962844630259907</v>
      </c>
      <c r="K366" s="1">
        <f t="shared" si="34"/>
        <v>143</v>
      </c>
      <c r="L366">
        <f t="shared" si="35"/>
        <v>4862.0000000000045</v>
      </c>
    </row>
    <row r="367" spans="1:12" x14ac:dyDescent="0.25">
      <c r="A367" s="3">
        <v>41183</v>
      </c>
      <c r="B367" s="1">
        <f t="shared" si="30"/>
        <v>405</v>
      </c>
      <c r="C367" s="1">
        <v>1111.0754213451037</v>
      </c>
      <c r="D367" s="1">
        <f t="shared" si="31"/>
        <v>706.07542134510379</v>
      </c>
      <c r="E367" s="2">
        <v>15</v>
      </c>
      <c r="F367" s="1">
        <v>74.07169475634025</v>
      </c>
      <c r="G367" s="1">
        <v>47.07169475634025</v>
      </c>
      <c r="H367" s="1">
        <v>27</v>
      </c>
      <c r="I367">
        <f t="shared" si="32"/>
        <v>6.0038870671065387</v>
      </c>
      <c r="J367">
        <f t="shared" si="33"/>
        <v>3.2958368660043291</v>
      </c>
      <c r="K367" s="1">
        <f t="shared" si="34"/>
        <v>27</v>
      </c>
      <c r="L367">
        <f t="shared" si="35"/>
        <v>377.99999999999983</v>
      </c>
    </row>
    <row r="368" spans="1:12" x14ac:dyDescent="0.25">
      <c r="A368" s="3">
        <v>41176</v>
      </c>
      <c r="B368" s="1">
        <f t="shared" si="30"/>
        <v>1116</v>
      </c>
      <c r="C368" s="1">
        <v>2003.8438569134441</v>
      </c>
      <c r="D368" s="1">
        <f t="shared" si="31"/>
        <v>887.84385691344426</v>
      </c>
      <c r="E368" s="2">
        <v>31</v>
      </c>
      <c r="F368" s="1">
        <v>64.640124416562713</v>
      </c>
      <c r="G368" s="1">
        <v>28.640124416562717</v>
      </c>
      <c r="H368" s="1">
        <v>36</v>
      </c>
      <c r="I368">
        <f t="shared" si="32"/>
        <v>7.0175061429412562</v>
      </c>
      <c r="J368">
        <f t="shared" si="33"/>
        <v>3.5835189384561099</v>
      </c>
      <c r="K368" s="1">
        <f t="shared" si="34"/>
        <v>36</v>
      </c>
      <c r="L368">
        <f t="shared" si="35"/>
        <v>1080</v>
      </c>
    </row>
    <row r="369" spans="1:12" x14ac:dyDescent="0.25">
      <c r="A369" s="3">
        <v>41171</v>
      </c>
      <c r="B369" s="1">
        <f t="shared" si="30"/>
        <v>324</v>
      </c>
      <c r="C369" s="1">
        <v>726.03707398634663</v>
      </c>
      <c r="D369" s="1">
        <f t="shared" si="31"/>
        <v>402.03707398634663</v>
      </c>
      <c r="E369" s="2">
        <v>9</v>
      </c>
      <c r="F369" s="1">
        <v>80.670785998482955</v>
      </c>
      <c r="G369" s="1">
        <v>44.670785998482955</v>
      </c>
      <c r="H369" s="1">
        <v>36</v>
      </c>
      <c r="I369">
        <f t="shared" si="32"/>
        <v>5.780743515792329</v>
      </c>
      <c r="J369">
        <f t="shared" si="33"/>
        <v>3.5835189384561099</v>
      </c>
      <c r="K369" s="1">
        <f t="shared" si="34"/>
        <v>36</v>
      </c>
      <c r="L369">
        <f t="shared" si="35"/>
        <v>287.99999999999989</v>
      </c>
    </row>
    <row r="370" spans="1:12" x14ac:dyDescent="0.25">
      <c r="A370" s="3">
        <v>41159</v>
      </c>
      <c r="B370" s="1">
        <f t="shared" si="30"/>
        <v>46</v>
      </c>
      <c r="C370" s="1">
        <v>132.29732750726538</v>
      </c>
      <c r="D370" s="1">
        <f t="shared" si="31"/>
        <v>86.297327507265379</v>
      </c>
      <c r="E370" s="2">
        <v>2</v>
      </c>
      <c r="F370" s="1">
        <v>66.14866375363269</v>
      </c>
      <c r="G370" s="1">
        <v>43.14866375363269</v>
      </c>
      <c r="H370" s="1">
        <v>23</v>
      </c>
      <c r="I370">
        <f t="shared" si="32"/>
        <v>3.8286413964890951</v>
      </c>
      <c r="J370">
        <f t="shared" si="33"/>
        <v>3.1354942159291497</v>
      </c>
      <c r="K370" s="1">
        <f t="shared" si="34"/>
        <v>23</v>
      </c>
      <c r="L370">
        <f t="shared" si="35"/>
        <v>23</v>
      </c>
    </row>
    <row r="371" spans="1:12" x14ac:dyDescent="0.25">
      <c r="A371" s="3">
        <v>41152</v>
      </c>
      <c r="B371" s="1">
        <f t="shared" si="30"/>
        <v>935</v>
      </c>
      <c r="C371" s="1">
        <v>2014.483750876273</v>
      </c>
      <c r="D371" s="1">
        <f t="shared" si="31"/>
        <v>1079.483750876273</v>
      </c>
      <c r="E371" s="2">
        <v>17</v>
      </c>
      <c r="F371" s="1">
        <v>118.49904416919253</v>
      </c>
      <c r="G371" s="1">
        <v>63.49904416919253</v>
      </c>
      <c r="H371" s="1">
        <v>55</v>
      </c>
      <c r="I371">
        <f t="shared" si="32"/>
        <v>6.8405465292886873</v>
      </c>
      <c r="J371">
        <f t="shared" si="33"/>
        <v>4.0073331852324712</v>
      </c>
      <c r="K371" s="1">
        <f t="shared" si="34"/>
        <v>55</v>
      </c>
      <c r="L371">
        <f t="shared" si="35"/>
        <v>880.00000000000034</v>
      </c>
    </row>
    <row r="372" spans="1:12" x14ac:dyDescent="0.25">
      <c r="A372" s="3">
        <v>41148</v>
      </c>
      <c r="B372" s="1">
        <f t="shared" si="30"/>
        <v>1420</v>
      </c>
      <c r="C372" s="1">
        <v>2522.5676935711158</v>
      </c>
      <c r="D372" s="1">
        <f t="shared" si="31"/>
        <v>1102.567693571116</v>
      </c>
      <c r="E372" s="2">
        <v>20</v>
      </c>
      <c r="F372" s="1">
        <v>126.12838467855579</v>
      </c>
      <c r="G372" s="1">
        <v>55.128384678555797</v>
      </c>
      <c r="H372" s="1">
        <v>71</v>
      </c>
      <c r="I372">
        <f t="shared" si="32"/>
        <v>7.2584121505953068</v>
      </c>
      <c r="J372">
        <f t="shared" si="33"/>
        <v>4.2626798770413155</v>
      </c>
      <c r="K372" s="1">
        <f t="shared" si="34"/>
        <v>71</v>
      </c>
      <c r="L372">
        <f t="shared" si="35"/>
        <v>1349.0000000000005</v>
      </c>
    </row>
    <row r="373" spans="1:12" x14ac:dyDescent="0.25">
      <c r="A373" s="3">
        <v>41147</v>
      </c>
      <c r="B373" s="1">
        <f t="shared" si="30"/>
        <v>845</v>
      </c>
      <c r="C373" s="1">
        <v>1427.3217716418692</v>
      </c>
      <c r="D373" s="1">
        <f t="shared" si="31"/>
        <v>582.32177164186919</v>
      </c>
      <c r="E373" s="2">
        <v>13</v>
      </c>
      <c r="F373" s="1">
        <v>109.79398243398994</v>
      </c>
      <c r="G373" s="1">
        <v>44.793982433989939</v>
      </c>
      <c r="H373" s="1">
        <v>65</v>
      </c>
      <c r="I373">
        <f t="shared" si="32"/>
        <v>6.739336627357174</v>
      </c>
      <c r="J373">
        <f t="shared" si="33"/>
        <v>4.1743872698956368</v>
      </c>
      <c r="K373" s="1">
        <f t="shared" si="34"/>
        <v>65</v>
      </c>
      <c r="L373">
        <f t="shared" si="35"/>
        <v>780.00000000000011</v>
      </c>
    </row>
    <row r="374" spans="1:12" x14ac:dyDescent="0.25">
      <c r="A374" s="3">
        <v>41140</v>
      </c>
      <c r="B374" s="1">
        <f t="shared" si="30"/>
        <v>245</v>
      </c>
      <c r="C374" s="1">
        <v>491.75525728059625</v>
      </c>
      <c r="D374" s="1">
        <f t="shared" si="31"/>
        <v>246.75525728059625</v>
      </c>
      <c r="E374" s="2">
        <v>5</v>
      </c>
      <c r="F374" s="1">
        <v>98.351051456119251</v>
      </c>
      <c r="G374" s="1">
        <v>49.351051456119251</v>
      </c>
      <c r="H374" s="1">
        <v>49</v>
      </c>
      <c r="I374">
        <f t="shared" si="32"/>
        <v>5.5012582105447274</v>
      </c>
      <c r="J374">
        <f t="shared" si="33"/>
        <v>3.8918202981106265</v>
      </c>
      <c r="K374" s="1">
        <f t="shared" si="34"/>
        <v>49</v>
      </c>
      <c r="L374">
        <f t="shared" si="35"/>
        <v>196.00000000000011</v>
      </c>
    </row>
    <row r="375" spans="1:12" x14ac:dyDescent="0.25">
      <c r="A375" s="3">
        <v>41138</v>
      </c>
      <c r="B375" s="1">
        <f t="shared" si="30"/>
        <v>1365</v>
      </c>
      <c r="C375" s="1">
        <v>2730.1504455224049</v>
      </c>
      <c r="D375" s="1">
        <f t="shared" si="31"/>
        <v>1365.1504455224049</v>
      </c>
      <c r="E375" s="2">
        <v>15</v>
      </c>
      <c r="F375" s="1">
        <v>182.01002970149366</v>
      </c>
      <c r="G375" s="1">
        <v>91.010029701493664</v>
      </c>
      <c r="H375" s="1">
        <v>91</v>
      </c>
      <c r="I375">
        <f t="shared" si="32"/>
        <v>7.2189097076190603</v>
      </c>
      <c r="J375">
        <f t="shared" si="33"/>
        <v>4.5108595065168497</v>
      </c>
      <c r="K375" s="1">
        <f t="shared" si="34"/>
        <v>91</v>
      </c>
      <c r="L375">
        <f t="shared" si="35"/>
        <v>1274.0000000000002</v>
      </c>
    </row>
    <row r="376" spans="1:12" x14ac:dyDescent="0.25">
      <c r="A376" s="3">
        <v>41131</v>
      </c>
      <c r="B376" s="1">
        <f t="shared" si="30"/>
        <v>8316</v>
      </c>
      <c r="C376" s="1">
        <v>15088.471453331078</v>
      </c>
      <c r="D376" s="1">
        <f t="shared" si="31"/>
        <v>6772.4714533310789</v>
      </c>
      <c r="E376" s="2">
        <v>66</v>
      </c>
      <c r="F376" s="1">
        <v>228.61320383834968</v>
      </c>
      <c r="G376" s="1">
        <v>102.61320383834968</v>
      </c>
      <c r="H376" s="1">
        <v>126</v>
      </c>
      <c r="I376">
        <f t="shared" si="32"/>
        <v>9.025936648977904</v>
      </c>
      <c r="J376">
        <f t="shared" si="33"/>
        <v>4.836281906951478</v>
      </c>
      <c r="K376" s="1">
        <f t="shared" si="34"/>
        <v>126</v>
      </c>
      <c r="L376">
        <f t="shared" si="35"/>
        <v>8190.0000000000036</v>
      </c>
    </row>
    <row r="377" spans="1:12" x14ac:dyDescent="0.25">
      <c r="A377" s="3">
        <v>41121</v>
      </c>
      <c r="B377" s="1">
        <f t="shared" si="30"/>
        <v>1349</v>
      </c>
      <c r="C377" s="1">
        <v>2382.1534258255438</v>
      </c>
      <c r="D377" s="1">
        <f t="shared" si="31"/>
        <v>1033.1534258255435</v>
      </c>
      <c r="E377" s="2">
        <v>19</v>
      </c>
      <c r="F377" s="1">
        <v>125.37649609608124</v>
      </c>
      <c r="G377" s="1">
        <v>54.376496096081233</v>
      </c>
      <c r="H377" s="1">
        <v>71</v>
      </c>
      <c r="I377">
        <f t="shared" si="32"/>
        <v>7.2071188562077557</v>
      </c>
      <c r="J377">
        <f t="shared" si="33"/>
        <v>4.2626798770413155</v>
      </c>
      <c r="K377" s="1">
        <f t="shared" si="34"/>
        <v>71</v>
      </c>
      <c r="L377">
        <f t="shared" si="35"/>
        <v>1277.9999999999998</v>
      </c>
    </row>
    <row r="378" spans="1:12" x14ac:dyDescent="0.25">
      <c r="A378" s="3">
        <v>41115</v>
      </c>
      <c r="B378" s="1">
        <f t="shared" si="30"/>
        <v>308</v>
      </c>
      <c r="C378" s="1">
        <v>535.99796125001842</v>
      </c>
      <c r="D378" s="1">
        <f t="shared" si="31"/>
        <v>227.99796125001845</v>
      </c>
      <c r="E378" s="2">
        <v>4</v>
      </c>
      <c r="F378" s="1">
        <v>133.99949031250461</v>
      </c>
      <c r="G378" s="1">
        <v>56.999490312504612</v>
      </c>
      <c r="H378" s="1">
        <v>77</v>
      </c>
      <c r="I378">
        <f t="shared" si="32"/>
        <v>5.730099782973574</v>
      </c>
      <c r="J378">
        <f t="shared" si="33"/>
        <v>4.3438054218536841</v>
      </c>
      <c r="K378" s="1">
        <f t="shared" si="34"/>
        <v>77</v>
      </c>
      <c r="L378">
        <f t="shared" si="35"/>
        <v>230.99999999999989</v>
      </c>
    </row>
    <row r="379" spans="1:12" x14ac:dyDescent="0.25">
      <c r="A379" s="3">
        <v>41113</v>
      </c>
      <c r="B379" s="1">
        <f t="shared" si="30"/>
        <v>23</v>
      </c>
      <c r="C379" s="1">
        <v>58.984896735970452</v>
      </c>
      <c r="D379" s="1">
        <f t="shared" si="31"/>
        <v>35.984896735970452</v>
      </c>
      <c r="E379" s="2">
        <v>1</v>
      </c>
      <c r="F379" s="1">
        <v>58.984896735970452</v>
      </c>
      <c r="G379" s="1">
        <v>35.984896735970452</v>
      </c>
      <c r="H379" s="1">
        <v>23</v>
      </c>
      <c r="I379">
        <f t="shared" si="32"/>
        <v>3.1354942159291497</v>
      </c>
      <c r="J379">
        <f t="shared" si="33"/>
        <v>3.1354942159291497</v>
      </c>
      <c r="K379" s="1">
        <f t="shared" si="34"/>
        <v>23</v>
      </c>
      <c r="L379">
        <f t="shared" si="35"/>
        <v>0</v>
      </c>
    </row>
    <row r="380" spans="1:12" x14ac:dyDescent="0.25">
      <c r="A380" s="3">
        <v>41111</v>
      </c>
      <c r="B380" s="1">
        <f t="shared" si="30"/>
        <v>1300</v>
      </c>
      <c r="C380" s="1">
        <v>2469.0908961894334</v>
      </c>
      <c r="D380" s="1">
        <f t="shared" si="31"/>
        <v>1169.0908961894334</v>
      </c>
      <c r="E380" s="2">
        <v>20</v>
      </c>
      <c r="F380" s="1">
        <v>123.45454480947167</v>
      </c>
      <c r="G380" s="1">
        <v>58.45454480947167</v>
      </c>
      <c r="H380" s="1">
        <v>65</v>
      </c>
      <c r="I380">
        <f t="shared" si="32"/>
        <v>7.1701195434496281</v>
      </c>
      <c r="J380">
        <f t="shared" si="33"/>
        <v>4.1743872698956368</v>
      </c>
      <c r="K380" s="1">
        <f t="shared" si="34"/>
        <v>65</v>
      </c>
      <c r="L380">
        <f t="shared" si="35"/>
        <v>1235</v>
      </c>
    </row>
    <row r="381" spans="1:12" x14ac:dyDescent="0.25">
      <c r="A381" s="3">
        <v>41107</v>
      </c>
      <c r="B381" s="1">
        <f t="shared" si="30"/>
        <v>1134</v>
      </c>
      <c r="C381" s="1">
        <v>2391.635723558129</v>
      </c>
      <c r="D381" s="1">
        <f t="shared" si="31"/>
        <v>1257.635723558129</v>
      </c>
      <c r="E381" s="2">
        <v>21</v>
      </c>
      <c r="F381" s="1">
        <v>113.88741540752996</v>
      </c>
      <c r="G381" s="1">
        <v>59.887415407529957</v>
      </c>
      <c r="H381" s="1">
        <v>54</v>
      </c>
      <c r="I381">
        <f t="shared" si="32"/>
        <v>7.0335064842876971</v>
      </c>
      <c r="J381">
        <f t="shared" si="33"/>
        <v>3.9889840465642745</v>
      </c>
      <c r="K381" s="1">
        <f t="shared" si="34"/>
        <v>54</v>
      </c>
      <c r="L381">
        <f t="shared" si="35"/>
        <v>1079.9999999999998</v>
      </c>
    </row>
    <row r="382" spans="1:12" x14ac:dyDescent="0.25">
      <c r="A382" s="3">
        <v>41104</v>
      </c>
      <c r="B382" s="1">
        <f t="shared" si="30"/>
        <v>140</v>
      </c>
      <c r="C382" s="1">
        <v>238.11272791141252</v>
      </c>
      <c r="D382" s="1">
        <f t="shared" si="31"/>
        <v>98.11272791141252</v>
      </c>
      <c r="E382" s="2">
        <v>2</v>
      </c>
      <c r="F382" s="1">
        <v>119.05636395570626</v>
      </c>
      <c r="G382" s="1">
        <v>49.05636395570626</v>
      </c>
      <c r="H382" s="1">
        <v>70</v>
      </c>
      <c r="I382">
        <f t="shared" si="32"/>
        <v>4.9416424226093039</v>
      </c>
      <c r="J382">
        <f t="shared" si="33"/>
        <v>4.2484952420493594</v>
      </c>
      <c r="K382" s="1">
        <f t="shared" si="34"/>
        <v>70</v>
      </c>
      <c r="L382">
        <f t="shared" si="35"/>
        <v>69.999999999999915</v>
      </c>
    </row>
    <row r="383" spans="1:12" x14ac:dyDescent="0.25">
      <c r="A383" s="3">
        <v>41097</v>
      </c>
      <c r="B383" s="1">
        <f t="shared" si="30"/>
        <v>992</v>
      </c>
      <c r="C383" s="1">
        <v>1829.4596214952578</v>
      </c>
      <c r="D383" s="1">
        <f t="shared" si="31"/>
        <v>837.45962149525781</v>
      </c>
      <c r="E383" s="2">
        <v>16</v>
      </c>
      <c r="F383" s="1">
        <v>114.34122634345361</v>
      </c>
      <c r="G383" s="1">
        <v>52.341226343453613</v>
      </c>
      <c r="H383" s="1">
        <v>62</v>
      </c>
      <c r="I383">
        <f t="shared" si="32"/>
        <v>6.8997231072848724</v>
      </c>
      <c r="J383">
        <f t="shared" si="33"/>
        <v>4.1271343850450917</v>
      </c>
      <c r="K383" s="1">
        <f t="shared" si="34"/>
        <v>62</v>
      </c>
      <c r="L383">
        <f t="shared" si="35"/>
        <v>929.99999999999955</v>
      </c>
    </row>
    <row r="384" spans="1:12" x14ac:dyDescent="0.25">
      <c r="A384" s="3">
        <v>41095</v>
      </c>
      <c r="B384" s="1">
        <f t="shared" si="30"/>
        <v>6604</v>
      </c>
      <c r="C384" s="1">
        <v>11658.448900173686</v>
      </c>
      <c r="D384" s="1">
        <f t="shared" si="31"/>
        <v>5054.4489001736856</v>
      </c>
      <c r="E384" s="2">
        <v>52</v>
      </c>
      <c r="F384" s="1">
        <v>224.20094038795548</v>
      </c>
      <c r="G384" s="1">
        <v>97.200940387955498</v>
      </c>
      <c r="H384" s="1">
        <v>127</v>
      </c>
      <c r="I384">
        <f t="shared" si="32"/>
        <v>8.7954308050400183</v>
      </c>
      <c r="J384">
        <f t="shared" si="33"/>
        <v>4.8441870864585912</v>
      </c>
      <c r="K384" s="1">
        <f t="shared" si="34"/>
        <v>126.99999999999999</v>
      </c>
      <c r="L384">
        <f t="shared" si="35"/>
        <v>6476.9999999999982</v>
      </c>
    </row>
    <row r="385" spans="1:12" x14ac:dyDescent="0.25">
      <c r="A385" s="3">
        <v>41091</v>
      </c>
      <c r="B385" s="1">
        <f t="shared" si="30"/>
        <v>360</v>
      </c>
      <c r="C385" s="1">
        <v>860.13178822857344</v>
      </c>
      <c r="D385" s="1">
        <f t="shared" si="31"/>
        <v>500.13178822857344</v>
      </c>
      <c r="E385" s="2">
        <v>9</v>
      </c>
      <c r="F385" s="1">
        <v>95.570198692063713</v>
      </c>
      <c r="G385" s="1">
        <v>55.570198692063713</v>
      </c>
      <c r="H385" s="1">
        <v>40</v>
      </c>
      <c r="I385">
        <f t="shared" si="32"/>
        <v>5.8861040314501558</v>
      </c>
      <c r="J385">
        <f t="shared" si="33"/>
        <v>3.6888794541139363</v>
      </c>
      <c r="K385" s="1">
        <f t="shared" si="34"/>
        <v>40</v>
      </c>
      <c r="L385">
        <f t="shared" si="35"/>
        <v>320.00000000000006</v>
      </c>
    </row>
    <row r="386" spans="1:12" x14ac:dyDescent="0.25">
      <c r="A386" s="3">
        <v>41087</v>
      </c>
      <c r="B386" s="1">
        <f t="shared" ref="B386:B449" si="36">+E386*H386</f>
        <v>7290</v>
      </c>
      <c r="C386" s="1">
        <v>12294.108336563362</v>
      </c>
      <c r="D386" s="1">
        <f t="shared" ref="D386:D449" si="37">+E386*G386</f>
        <v>5004.1083365633613</v>
      </c>
      <c r="E386" s="2">
        <v>45</v>
      </c>
      <c r="F386" s="1">
        <v>273.20240747918581</v>
      </c>
      <c r="G386" s="1">
        <v>111.20240747918581</v>
      </c>
      <c r="H386" s="1">
        <v>162</v>
      </c>
      <c r="I386">
        <f t="shared" si="32"/>
        <v>8.8942588250027033</v>
      </c>
      <c r="J386">
        <f t="shared" si="33"/>
        <v>5.0875963352323836</v>
      </c>
      <c r="K386" s="1">
        <f t="shared" si="34"/>
        <v>162</v>
      </c>
      <c r="L386">
        <f t="shared" si="35"/>
        <v>7127.9999999999955</v>
      </c>
    </row>
    <row r="387" spans="1:12" x14ac:dyDescent="0.25">
      <c r="A387" s="3">
        <v>41080</v>
      </c>
      <c r="B387" s="1">
        <f t="shared" si="36"/>
        <v>4816</v>
      </c>
      <c r="C387" s="1">
        <v>8157.0353164480603</v>
      </c>
      <c r="D387" s="1">
        <f t="shared" si="37"/>
        <v>3341.0353164480603</v>
      </c>
      <c r="E387" s="2">
        <v>43</v>
      </c>
      <c r="F387" s="1">
        <v>189.69849573135025</v>
      </c>
      <c r="G387" s="1">
        <v>77.698495731350235</v>
      </c>
      <c r="H387" s="1">
        <v>112</v>
      </c>
      <c r="I387">
        <f t="shared" ref="I387:I450" si="38">+LN(B387)</f>
        <v>8.479698986988657</v>
      </c>
      <c r="J387">
        <f t="shared" ref="J387:J450" si="39">+LN(H387)</f>
        <v>4.7184988712950942</v>
      </c>
      <c r="K387" s="1">
        <f t="shared" ref="K387:K450" si="40">+F387-G387</f>
        <v>112.00000000000001</v>
      </c>
      <c r="L387">
        <f t="shared" ref="L387:L450" si="41">EXP(I387)-EXP(J387)</f>
        <v>4704</v>
      </c>
    </row>
    <row r="388" spans="1:12" x14ac:dyDescent="0.25">
      <c r="A388" s="3">
        <v>41080</v>
      </c>
      <c r="B388" s="1">
        <f t="shared" si="36"/>
        <v>198</v>
      </c>
      <c r="C388" s="1">
        <v>439.8573078328385</v>
      </c>
      <c r="D388" s="1">
        <f t="shared" si="37"/>
        <v>241.85730783283847</v>
      </c>
      <c r="E388" s="2">
        <v>3</v>
      </c>
      <c r="F388" s="1">
        <v>146.61910261094616</v>
      </c>
      <c r="G388" s="1">
        <v>80.619102610946157</v>
      </c>
      <c r="H388" s="1">
        <v>66</v>
      </c>
      <c r="I388">
        <f t="shared" si="38"/>
        <v>5.2882670306945352</v>
      </c>
      <c r="J388">
        <f t="shared" si="39"/>
        <v>4.1896547420264252</v>
      </c>
      <c r="K388" s="1">
        <f t="shared" si="40"/>
        <v>66</v>
      </c>
      <c r="L388">
        <f t="shared" si="41"/>
        <v>132.00000000000003</v>
      </c>
    </row>
    <row r="389" spans="1:12" x14ac:dyDescent="0.25">
      <c r="A389" s="3">
        <v>41079</v>
      </c>
      <c r="B389" s="1">
        <f t="shared" si="36"/>
        <v>1330</v>
      </c>
      <c r="C389" s="1">
        <v>2336.1923461656493</v>
      </c>
      <c r="D389" s="1">
        <f t="shared" si="37"/>
        <v>1006.1923461656495</v>
      </c>
      <c r="E389" s="2">
        <v>14</v>
      </c>
      <c r="F389" s="1">
        <v>166.87088186897495</v>
      </c>
      <c r="G389" s="1">
        <v>71.870881868974962</v>
      </c>
      <c r="H389" s="1">
        <v>95</v>
      </c>
      <c r="I389">
        <f t="shared" si="38"/>
        <v>7.1929342212157996</v>
      </c>
      <c r="J389">
        <f t="shared" si="39"/>
        <v>4.5538768916005408</v>
      </c>
      <c r="K389" s="1">
        <f t="shared" si="40"/>
        <v>94.999999999999986</v>
      </c>
      <c r="L389">
        <f t="shared" si="41"/>
        <v>1235.0000000000002</v>
      </c>
    </row>
    <row r="390" spans="1:12" x14ac:dyDescent="0.25">
      <c r="A390" s="3">
        <v>41075</v>
      </c>
      <c r="B390" s="1">
        <f t="shared" si="36"/>
        <v>56</v>
      </c>
      <c r="C390" s="1">
        <v>93.798135092368568</v>
      </c>
      <c r="D390" s="1">
        <f t="shared" si="37"/>
        <v>37.798135092368561</v>
      </c>
      <c r="E390" s="2">
        <v>1</v>
      </c>
      <c r="F390" s="1">
        <v>93.798135092368568</v>
      </c>
      <c r="G390" s="1">
        <v>37.798135092368561</v>
      </c>
      <c r="H390" s="1">
        <v>56</v>
      </c>
      <c r="I390">
        <f t="shared" si="38"/>
        <v>4.0253516907351496</v>
      </c>
      <c r="J390">
        <f t="shared" si="39"/>
        <v>4.0253516907351496</v>
      </c>
      <c r="K390" s="1">
        <f t="shared" si="40"/>
        <v>56.000000000000007</v>
      </c>
      <c r="L390">
        <f t="shared" si="41"/>
        <v>0</v>
      </c>
    </row>
    <row r="391" spans="1:12" x14ac:dyDescent="0.25">
      <c r="A391" s="3">
        <v>41073</v>
      </c>
      <c r="B391" s="1">
        <f t="shared" si="36"/>
        <v>696</v>
      </c>
      <c r="C391" s="1">
        <v>1347.8620755020088</v>
      </c>
      <c r="D391" s="1">
        <f t="shared" si="37"/>
        <v>651.86207550200868</v>
      </c>
      <c r="E391" s="2">
        <v>12</v>
      </c>
      <c r="F391" s="1">
        <v>112.3218396251674</v>
      </c>
      <c r="G391" s="1">
        <v>54.321839625167392</v>
      </c>
      <c r="H391" s="1">
        <v>58</v>
      </c>
      <c r="I391">
        <f t="shared" si="38"/>
        <v>6.5453496603344199</v>
      </c>
      <c r="J391">
        <f t="shared" si="39"/>
        <v>4.0604430105464191</v>
      </c>
      <c r="K391" s="1">
        <f t="shared" si="40"/>
        <v>58.000000000000007</v>
      </c>
      <c r="L391">
        <f t="shared" si="41"/>
        <v>638.00000000000023</v>
      </c>
    </row>
    <row r="392" spans="1:12" x14ac:dyDescent="0.25">
      <c r="A392" s="3">
        <v>41071</v>
      </c>
      <c r="B392" s="1">
        <f t="shared" si="36"/>
        <v>296</v>
      </c>
      <c r="C392" s="1">
        <v>813.43941798473224</v>
      </c>
      <c r="D392" s="1">
        <f t="shared" si="37"/>
        <v>517.43941798473224</v>
      </c>
      <c r="E392" s="2">
        <v>8</v>
      </c>
      <c r="F392" s="1">
        <v>101.67992724809153</v>
      </c>
      <c r="G392" s="1">
        <v>64.679927248091531</v>
      </c>
      <c r="H392" s="1">
        <v>37</v>
      </c>
      <c r="I392">
        <f t="shared" si="38"/>
        <v>5.6903594543240601</v>
      </c>
      <c r="J392">
        <f t="shared" si="39"/>
        <v>3.6109179126442243</v>
      </c>
      <c r="K392" s="1">
        <f t="shared" si="40"/>
        <v>37</v>
      </c>
      <c r="L392">
        <f t="shared" si="41"/>
        <v>258.99999999999994</v>
      </c>
    </row>
    <row r="393" spans="1:12" x14ac:dyDescent="0.25">
      <c r="A393" s="3">
        <v>41064</v>
      </c>
      <c r="B393" s="1">
        <f t="shared" si="36"/>
        <v>1377</v>
      </c>
      <c r="C393" s="1">
        <v>4006.5975519674735</v>
      </c>
      <c r="D393" s="1">
        <f t="shared" si="37"/>
        <v>2629.5975519674735</v>
      </c>
      <c r="E393" s="2">
        <v>51</v>
      </c>
      <c r="F393" s="1">
        <v>78.560736313087716</v>
      </c>
      <c r="G393" s="1">
        <v>51.560736313087716</v>
      </c>
      <c r="H393" s="1">
        <v>27</v>
      </c>
      <c r="I393">
        <f t="shared" si="38"/>
        <v>7.2276624987286544</v>
      </c>
      <c r="J393">
        <f t="shared" si="39"/>
        <v>3.2958368660043291</v>
      </c>
      <c r="K393" s="1">
        <f t="shared" si="40"/>
        <v>27</v>
      </c>
      <c r="L393">
        <f t="shared" si="41"/>
        <v>1349.9999999999993</v>
      </c>
    </row>
    <row r="394" spans="1:12" x14ac:dyDescent="0.25">
      <c r="A394" s="3">
        <v>41051</v>
      </c>
      <c r="B394" s="1">
        <f t="shared" si="36"/>
        <v>228</v>
      </c>
      <c r="C394" s="1">
        <v>505.65536129959304</v>
      </c>
      <c r="D394" s="1">
        <f t="shared" si="37"/>
        <v>277.65536129959304</v>
      </c>
      <c r="E394" s="2">
        <v>4</v>
      </c>
      <c r="F394" s="1">
        <v>126.41384032489826</v>
      </c>
      <c r="G394" s="1">
        <v>69.41384032489826</v>
      </c>
      <c r="H394" s="1">
        <v>57</v>
      </c>
      <c r="I394">
        <f t="shared" si="38"/>
        <v>5.4293456289544411</v>
      </c>
      <c r="J394">
        <f t="shared" si="39"/>
        <v>4.0430512678345503</v>
      </c>
      <c r="K394" s="1">
        <f t="shared" si="40"/>
        <v>57</v>
      </c>
      <c r="L394">
        <f t="shared" si="41"/>
        <v>171.00000000000006</v>
      </c>
    </row>
    <row r="395" spans="1:12" x14ac:dyDescent="0.25">
      <c r="A395" s="3">
        <v>41050</v>
      </c>
      <c r="B395" s="1">
        <f t="shared" si="36"/>
        <v>6213</v>
      </c>
      <c r="C395" s="1">
        <v>10924.560491808963</v>
      </c>
      <c r="D395" s="1">
        <f t="shared" si="37"/>
        <v>4711.560491808963</v>
      </c>
      <c r="E395" s="2">
        <v>57</v>
      </c>
      <c r="F395" s="1">
        <v>191.65895599664847</v>
      </c>
      <c r="G395" s="1">
        <v>82.658955996648473</v>
      </c>
      <c r="H395" s="1">
        <v>109</v>
      </c>
      <c r="I395">
        <f t="shared" si="38"/>
        <v>8.7343991500636946</v>
      </c>
      <c r="J395">
        <f t="shared" si="39"/>
        <v>4.6913478822291435</v>
      </c>
      <c r="K395" s="1">
        <f t="shared" si="40"/>
        <v>109</v>
      </c>
      <c r="L395">
        <f t="shared" si="41"/>
        <v>6104.0000000000045</v>
      </c>
    </row>
    <row r="396" spans="1:12" x14ac:dyDescent="0.25">
      <c r="A396" s="3">
        <v>41040</v>
      </c>
      <c r="B396" s="1">
        <f t="shared" si="36"/>
        <v>615</v>
      </c>
      <c r="C396" s="1">
        <v>1447.0887210619192</v>
      </c>
      <c r="D396" s="1">
        <f t="shared" si="37"/>
        <v>832.08872106191927</v>
      </c>
      <c r="E396" s="2">
        <v>15</v>
      </c>
      <c r="F396" s="1">
        <v>96.472581404127951</v>
      </c>
      <c r="G396" s="1">
        <v>55.472581404127951</v>
      </c>
      <c r="H396" s="1">
        <v>41</v>
      </c>
      <c r="I396">
        <f t="shared" si="38"/>
        <v>6.4216222678065176</v>
      </c>
      <c r="J396">
        <f t="shared" si="39"/>
        <v>3.713572066704308</v>
      </c>
      <c r="K396" s="1">
        <f t="shared" si="40"/>
        <v>41</v>
      </c>
      <c r="L396">
        <f t="shared" si="41"/>
        <v>573.99999999999977</v>
      </c>
    </row>
    <row r="397" spans="1:12" x14ac:dyDescent="0.25">
      <c r="A397" s="3">
        <v>41039</v>
      </c>
      <c r="B397" s="1">
        <f t="shared" si="36"/>
        <v>1813</v>
      </c>
      <c r="C397" s="1">
        <v>3229.2552603071399</v>
      </c>
      <c r="D397" s="1">
        <f t="shared" si="37"/>
        <v>1416.2552603071399</v>
      </c>
      <c r="E397" s="2">
        <v>49</v>
      </c>
      <c r="F397" s="1">
        <v>65.903168577696732</v>
      </c>
      <c r="G397" s="1">
        <v>28.903168577696732</v>
      </c>
      <c r="H397" s="1">
        <v>37</v>
      </c>
      <c r="I397">
        <f t="shared" si="38"/>
        <v>7.5027382107548508</v>
      </c>
      <c r="J397">
        <f t="shared" si="39"/>
        <v>3.6109179126442243</v>
      </c>
      <c r="K397" s="1">
        <f t="shared" si="40"/>
        <v>37</v>
      </c>
      <c r="L397">
        <f t="shared" si="41"/>
        <v>1775.9999999999995</v>
      </c>
    </row>
    <row r="398" spans="1:12" x14ac:dyDescent="0.25">
      <c r="A398" s="3">
        <v>41037</v>
      </c>
      <c r="B398" s="1">
        <f t="shared" si="36"/>
        <v>418</v>
      </c>
      <c r="C398" s="1">
        <v>1179.7349899334779</v>
      </c>
      <c r="D398" s="1">
        <f t="shared" si="37"/>
        <v>761.73498993347789</v>
      </c>
      <c r="E398" s="2">
        <v>11</v>
      </c>
      <c r="F398" s="1">
        <v>107.24863544849799</v>
      </c>
      <c r="G398" s="1">
        <v>69.248635448497993</v>
      </c>
      <c r="H398" s="1">
        <v>38</v>
      </c>
      <c r="I398">
        <f t="shared" si="38"/>
        <v>6.0354814325247563</v>
      </c>
      <c r="J398">
        <f t="shared" si="39"/>
        <v>3.6375861597263857</v>
      </c>
      <c r="K398" s="1">
        <f t="shared" si="40"/>
        <v>38</v>
      </c>
      <c r="L398">
        <f t="shared" si="41"/>
        <v>380</v>
      </c>
    </row>
    <row r="399" spans="1:12" x14ac:dyDescent="0.25">
      <c r="A399" s="3">
        <v>41024</v>
      </c>
      <c r="B399" s="1">
        <f t="shared" si="36"/>
        <v>470</v>
      </c>
      <c r="C399" s="1">
        <v>1278.9560201766008</v>
      </c>
      <c r="D399" s="1">
        <f t="shared" si="37"/>
        <v>808.95602017660076</v>
      </c>
      <c r="E399" s="2">
        <v>10</v>
      </c>
      <c r="F399" s="1">
        <v>127.89560201766008</v>
      </c>
      <c r="G399" s="1">
        <v>80.895602017660082</v>
      </c>
      <c r="H399" s="1">
        <v>47</v>
      </c>
      <c r="I399">
        <f t="shared" si="38"/>
        <v>6.1527326947041043</v>
      </c>
      <c r="J399">
        <f t="shared" si="39"/>
        <v>3.8501476017100584</v>
      </c>
      <c r="K399" s="1">
        <f t="shared" si="40"/>
        <v>47</v>
      </c>
      <c r="L399">
        <f t="shared" si="41"/>
        <v>423.00000000000006</v>
      </c>
    </row>
    <row r="400" spans="1:12" x14ac:dyDescent="0.25">
      <c r="A400" s="3">
        <v>41007</v>
      </c>
      <c r="B400" s="1">
        <f t="shared" si="36"/>
        <v>1036</v>
      </c>
      <c r="C400" s="1">
        <v>1748.532317001788</v>
      </c>
      <c r="D400" s="1">
        <f t="shared" si="37"/>
        <v>712.53231700178799</v>
      </c>
      <c r="E400" s="2">
        <v>14</v>
      </c>
      <c r="F400" s="1">
        <v>124.89516550012772</v>
      </c>
      <c r="G400" s="1">
        <v>50.89516550012771</v>
      </c>
      <c r="H400" s="1">
        <v>74</v>
      </c>
      <c r="I400">
        <f t="shared" si="38"/>
        <v>6.9431224228194282</v>
      </c>
      <c r="J400">
        <f t="shared" si="39"/>
        <v>4.3040650932041702</v>
      </c>
      <c r="K400" s="1">
        <f t="shared" si="40"/>
        <v>74</v>
      </c>
      <c r="L400">
        <f t="shared" si="41"/>
        <v>961.99999999999977</v>
      </c>
    </row>
    <row r="401" spans="1:12" x14ac:dyDescent="0.25">
      <c r="A401" s="3">
        <v>40996</v>
      </c>
      <c r="B401" s="1">
        <f t="shared" si="36"/>
        <v>1323</v>
      </c>
      <c r="C401" s="1">
        <v>2613.9513692192882</v>
      </c>
      <c r="D401" s="1">
        <f t="shared" si="37"/>
        <v>1290.9513692192884</v>
      </c>
      <c r="E401" s="2">
        <v>21</v>
      </c>
      <c r="F401" s="1">
        <v>124.47387472472801</v>
      </c>
      <c r="G401" s="1">
        <v>61.473874724728013</v>
      </c>
      <c r="H401" s="1">
        <v>63</v>
      </c>
      <c r="I401">
        <f t="shared" si="38"/>
        <v>7.187657164114956</v>
      </c>
      <c r="J401">
        <f t="shared" si="39"/>
        <v>4.1431347263915326</v>
      </c>
      <c r="K401" s="1">
        <f t="shared" si="40"/>
        <v>62.999999999999993</v>
      </c>
      <c r="L401">
        <f t="shared" si="41"/>
        <v>1260.0000000000005</v>
      </c>
    </row>
    <row r="402" spans="1:12" x14ac:dyDescent="0.25">
      <c r="A402" s="3">
        <v>40996</v>
      </c>
      <c r="B402" s="1">
        <f t="shared" si="36"/>
        <v>1904</v>
      </c>
      <c r="C402" s="1">
        <v>4185.2272305858596</v>
      </c>
      <c r="D402" s="1">
        <f t="shared" si="37"/>
        <v>2281.2272305858601</v>
      </c>
      <c r="E402" s="2">
        <v>28</v>
      </c>
      <c r="F402" s="1">
        <v>149.47240109235213</v>
      </c>
      <c r="G402" s="1">
        <v>81.472401092352143</v>
      </c>
      <c r="H402" s="1">
        <v>68</v>
      </c>
      <c r="I402">
        <f t="shared" si="38"/>
        <v>7.5517122153513103</v>
      </c>
      <c r="J402">
        <f t="shared" si="39"/>
        <v>4.219507705176107</v>
      </c>
      <c r="K402" s="1">
        <f t="shared" si="40"/>
        <v>67.999999999999986</v>
      </c>
      <c r="L402">
        <f t="shared" si="41"/>
        <v>1835.9999999999993</v>
      </c>
    </row>
    <row r="403" spans="1:12" x14ac:dyDescent="0.25">
      <c r="A403" s="3">
        <v>40989</v>
      </c>
      <c r="B403" s="1">
        <f t="shared" si="36"/>
        <v>282</v>
      </c>
      <c r="C403" s="1">
        <v>486.6785353398941</v>
      </c>
      <c r="D403" s="1">
        <f t="shared" si="37"/>
        <v>204.67853533989415</v>
      </c>
      <c r="E403" s="2">
        <v>6</v>
      </c>
      <c r="F403" s="1">
        <v>81.113089223315683</v>
      </c>
      <c r="G403" s="1">
        <v>34.11308922331569</v>
      </c>
      <c r="H403" s="1">
        <v>47</v>
      </c>
      <c r="I403">
        <f t="shared" si="38"/>
        <v>5.6419070709381138</v>
      </c>
      <c r="J403">
        <f t="shared" si="39"/>
        <v>3.8501476017100584</v>
      </c>
      <c r="K403" s="1">
        <f t="shared" si="40"/>
        <v>46.999999999999993</v>
      </c>
      <c r="L403">
        <f t="shared" si="41"/>
        <v>235.00000000000006</v>
      </c>
    </row>
    <row r="404" spans="1:12" x14ac:dyDescent="0.25">
      <c r="A404" s="3">
        <v>40988</v>
      </c>
      <c r="B404" s="1">
        <f t="shared" si="36"/>
        <v>407</v>
      </c>
      <c r="C404" s="1">
        <v>916.99645670966538</v>
      </c>
      <c r="D404" s="1">
        <f t="shared" si="37"/>
        <v>509.99645670966538</v>
      </c>
      <c r="E404" s="2">
        <v>11</v>
      </c>
      <c r="F404" s="1">
        <v>83.363314246333218</v>
      </c>
      <c r="G404" s="1">
        <v>46.363314246333218</v>
      </c>
      <c r="H404" s="1">
        <v>37</v>
      </c>
      <c r="I404">
        <f t="shared" si="38"/>
        <v>6.0088131854425946</v>
      </c>
      <c r="J404">
        <f t="shared" si="39"/>
        <v>3.6109179126442243</v>
      </c>
      <c r="K404" s="1">
        <f t="shared" si="40"/>
        <v>37</v>
      </c>
      <c r="L404">
        <f t="shared" si="41"/>
        <v>369.99999999999983</v>
      </c>
    </row>
    <row r="405" spans="1:12" x14ac:dyDescent="0.25">
      <c r="A405" s="3">
        <v>40986</v>
      </c>
      <c r="B405" s="1">
        <f t="shared" si="36"/>
        <v>1170</v>
      </c>
      <c r="C405" s="1">
        <v>2744.6756130094691</v>
      </c>
      <c r="D405" s="1">
        <f t="shared" si="37"/>
        <v>1574.6756130094691</v>
      </c>
      <c r="E405" s="2">
        <v>15</v>
      </c>
      <c r="F405" s="1">
        <v>182.97837420063127</v>
      </c>
      <c r="G405" s="1">
        <v>104.97837420063127</v>
      </c>
      <c r="H405" s="1">
        <v>78</v>
      </c>
      <c r="I405">
        <f t="shared" si="38"/>
        <v>7.0647590277918022</v>
      </c>
      <c r="J405">
        <f t="shared" si="39"/>
        <v>4.3567088266895917</v>
      </c>
      <c r="K405" s="1">
        <f t="shared" si="40"/>
        <v>78</v>
      </c>
      <c r="L405">
        <f t="shared" si="41"/>
        <v>1092.0000000000005</v>
      </c>
    </row>
    <row r="406" spans="1:12" x14ac:dyDescent="0.25">
      <c r="A406" s="3">
        <v>40984</v>
      </c>
      <c r="B406" s="1">
        <f t="shared" si="36"/>
        <v>1326</v>
      </c>
      <c r="C406" s="1">
        <v>2829.9801501063434</v>
      </c>
      <c r="D406" s="1">
        <f t="shared" si="37"/>
        <v>1503.9801501063434</v>
      </c>
      <c r="E406" s="2">
        <v>13</v>
      </c>
      <c r="F406" s="1">
        <v>217.69078077741102</v>
      </c>
      <c r="G406" s="1">
        <v>115.69078077741104</v>
      </c>
      <c r="H406" s="1">
        <v>102</v>
      </c>
      <c r="I406">
        <f t="shared" si="38"/>
        <v>7.1899221707458079</v>
      </c>
      <c r="J406">
        <f t="shared" si="39"/>
        <v>4.6249728132842707</v>
      </c>
      <c r="K406" s="1">
        <f t="shared" si="40"/>
        <v>101.99999999999999</v>
      </c>
      <c r="L406">
        <f t="shared" si="41"/>
        <v>1224</v>
      </c>
    </row>
    <row r="407" spans="1:12" x14ac:dyDescent="0.25">
      <c r="A407" s="3">
        <v>40982</v>
      </c>
      <c r="B407" s="1">
        <f t="shared" si="36"/>
        <v>100</v>
      </c>
      <c r="C407" s="1">
        <v>206.09187363701926</v>
      </c>
      <c r="D407" s="1">
        <f t="shared" si="37"/>
        <v>106.09187363701926</v>
      </c>
      <c r="E407" s="2">
        <v>2</v>
      </c>
      <c r="F407" s="1">
        <v>103.04593681850963</v>
      </c>
      <c r="G407" s="1">
        <v>53.045936818509631</v>
      </c>
      <c r="H407" s="1">
        <v>50</v>
      </c>
      <c r="I407">
        <f t="shared" si="38"/>
        <v>4.6051701859880918</v>
      </c>
      <c r="J407">
        <f t="shared" si="39"/>
        <v>3.912023005428146</v>
      </c>
      <c r="K407" s="1">
        <f t="shared" si="40"/>
        <v>50</v>
      </c>
      <c r="L407">
        <f t="shared" si="41"/>
        <v>50.00000000000005</v>
      </c>
    </row>
    <row r="408" spans="1:12" x14ac:dyDescent="0.25">
      <c r="A408" s="3">
        <v>40981</v>
      </c>
      <c r="B408" s="1">
        <f t="shared" si="36"/>
        <v>16380</v>
      </c>
      <c r="C408" s="1">
        <v>34939.927708330608</v>
      </c>
      <c r="D408" s="1">
        <f t="shared" si="37"/>
        <v>18559.927708330611</v>
      </c>
      <c r="E408" s="2">
        <v>180</v>
      </c>
      <c r="F408" s="1">
        <v>194.11070949072561</v>
      </c>
      <c r="G408" s="1">
        <v>103.11070949072561</v>
      </c>
      <c r="H408" s="1">
        <v>91</v>
      </c>
      <c r="I408">
        <f t="shared" si="38"/>
        <v>9.7038163574070602</v>
      </c>
      <c r="J408">
        <f t="shared" si="39"/>
        <v>4.5108595065168497</v>
      </c>
      <c r="K408" s="1">
        <f t="shared" si="40"/>
        <v>91</v>
      </c>
      <c r="L408">
        <f t="shared" si="41"/>
        <v>16288.999999999996</v>
      </c>
    </row>
    <row r="409" spans="1:12" x14ac:dyDescent="0.25">
      <c r="A409" s="3">
        <v>40979</v>
      </c>
      <c r="B409" s="1">
        <f t="shared" si="36"/>
        <v>2730</v>
      </c>
      <c r="C409" s="1">
        <v>5095.8072521658378</v>
      </c>
      <c r="D409" s="1">
        <f t="shared" si="37"/>
        <v>2365.8072521658373</v>
      </c>
      <c r="E409" s="2">
        <v>39</v>
      </c>
      <c r="F409" s="1">
        <v>130.66172441450865</v>
      </c>
      <c r="G409" s="1">
        <v>60.661724414508654</v>
      </c>
      <c r="H409" s="1">
        <v>70</v>
      </c>
      <c r="I409">
        <f t="shared" si="38"/>
        <v>7.9120568881790057</v>
      </c>
      <c r="J409">
        <f t="shared" si="39"/>
        <v>4.2484952420493594</v>
      </c>
      <c r="K409" s="1">
        <f t="shared" si="40"/>
        <v>70</v>
      </c>
      <c r="L409">
        <f t="shared" si="41"/>
        <v>2660.0000000000005</v>
      </c>
    </row>
    <row r="410" spans="1:12" x14ac:dyDescent="0.25">
      <c r="A410" s="3">
        <v>40976</v>
      </c>
      <c r="B410" s="1">
        <f t="shared" si="36"/>
        <v>560</v>
      </c>
      <c r="C410" s="1">
        <v>1665.2926883065361</v>
      </c>
      <c r="D410" s="1">
        <f t="shared" si="37"/>
        <v>1105.2926883065361</v>
      </c>
      <c r="E410" s="2">
        <v>28</v>
      </c>
      <c r="F410" s="1">
        <v>59.474738868090576</v>
      </c>
      <c r="G410" s="1">
        <v>39.474738868090576</v>
      </c>
      <c r="H410" s="1">
        <v>20</v>
      </c>
      <c r="I410">
        <f t="shared" si="38"/>
        <v>6.3279367837291947</v>
      </c>
      <c r="J410">
        <f t="shared" si="39"/>
        <v>2.9957322735539909</v>
      </c>
      <c r="K410" s="1">
        <f t="shared" si="40"/>
        <v>20</v>
      </c>
      <c r="L410">
        <f t="shared" si="41"/>
        <v>539.99999999999989</v>
      </c>
    </row>
    <row r="411" spans="1:12" x14ac:dyDescent="0.25">
      <c r="A411" s="3">
        <v>40968</v>
      </c>
      <c r="B411" s="1">
        <f t="shared" si="36"/>
        <v>846</v>
      </c>
      <c r="C411" s="1">
        <v>1668.7210717787204</v>
      </c>
      <c r="D411" s="1">
        <f t="shared" si="37"/>
        <v>822.72107177872067</v>
      </c>
      <c r="E411" s="2">
        <v>18</v>
      </c>
      <c r="F411" s="1">
        <v>92.706726209928917</v>
      </c>
      <c r="G411" s="1">
        <v>45.706726209928924</v>
      </c>
      <c r="H411" s="1">
        <v>47</v>
      </c>
      <c r="I411">
        <f t="shared" si="38"/>
        <v>6.7405193596062229</v>
      </c>
      <c r="J411">
        <f t="shared" si="39"/>
        <v>3.8501476017100584</v>
      </c>
      <c r="K411" s="1">
        <f t="shared" si="40"/>
        <v>46.999999999999993</v>
      </c>
      <c r="L411">
        <f t="shared" si="41"/>
        <v>798.99999999999977</v>
      </c>
    </row>
    <row r="412" spans="1:12" x14ac:dyDescent="0.25">
      <c r="A412" s="3">
        <v>40962</v>
      </c>
      <c r="B412" s="1">
        <f t="shared" si="36"/>
        <v>1380</v>
      </c>
      <c r="C412" s="1">
        <v>3929.5693978042805</v>
      </c>
      <c r="D412" s="1">
        <f t="shared" si="37"/>
        <v>2549.5693978042805</v>
      </c>
      <c r="E412" s="2">
        <v>60</v>
      </c>
      <c r="F412" s="1">
        <v>65.49282329673801</v>
      </c>
      <c r="G412" s="1">
        <v>42.49282329673801</v>
      </c>
      <c r="H412" s="1">
        <v>23</v>
      </c>
      <c r="I412">
        <f t="shared" si="38"/>
        <v>7.2298387781512501</v>
      </c>
      <c r="J412">
        <f t="shared" si="39"/>
        <v>3.1354942159291497</v>
      </c>
      <c r="K412" s="1">
        <f t="shared" si="40"/>
        <v>23</v>
      </c>
      <c r="L412">
        <f t="shared" si="41"/>
        <v>1356.9999999999995</v>
      </c>
    </row>
    <row r="413" spans="1:12" x14ac:dyDescent="0.25">
      <c r="A413" s="3">
        <v>40958</v>
      </c>
      <c r="B413" s="1">
        <f t="shared" si="36"/>
        <v>1540</v>
      </c>
      <c r="C413" s="1">
        <v>2832.5032330315366</v>
      </c>
      <c r="D413" s="1">
        <f t="shared" si="37"/>
        <v>1292.5032330315364</v>
      </c>
      <c r="E413" s="2">
        <v>20</v>
      </c>
      <c r="F413" s="1">
        <v>141.62516165157683</v>
      </c>
      <c r="G413" s="1">
        <v>64.625161651576818</v>
      </c>
      <c r="H413" s="1">
        <v>77</v>
      </c>
      <c r="I413">
        <f t="shared" si="38"/>
        <v>7.3395376954076745</v>
      </c>
      <c r="J413">
        <f t="shared" si="39"/>
        <v>4.3438054218536841</v>
      </c>
      <c r="K413" s="1">
        <f t="shared" si="40"/>
        <v>77.000000000000014</v>
      </c>
      <c r="L413">
        <f t="shared" si="41"/>
        <v>1462.9999999999995</v>
      </c>
    </row>
    <row r="414" spans="1:12" x14ac:dyDescent="0.25">
      <c r="A414" s="3">
        <v>40924</v>
      </c>
      <c r="B414" s="1">
        <f t="shared" si="36"/>
        <v>2890</v>
      </c>
      <c r="C414" s="1">
        <v>5039.5504932188396</v>
      </c>
      <c r="D414" s="1">
        <f t="shared" si="37"/>
        <v>2149.5504932188396</v>
      </c>
      <c r="E414" s="2">
        <v>34</v>
      </c>
      <c r="F414" s="1">
        <v>148.22207332996587</v>
      </c>
      <c r="G414" s="1">
        <v>63.222073329965873</v>
      </c>
      <c r="H414" s="1">
        <v>85</v>
      </c>
      <c r="I414">
        <f t="shared" si="38"/>
        <v>7.9690117811064782</v>
      </c>
      <c r="J414">
        <f t="shared" si="39"/>
        <v>4.4426512564903167</v>
      </c>
      <c r="K414" s="1">
        <f t="shared" si="40"/>
        <v>85</v>
      </c>
      <c r="L414">
        <f t="shared" si="41"/>
        <v>2805.0000000000009</v>
      </c>
    </row>
    <row r="415" spans="1:12" x14ac:dyDescent="0.25">
      <c r="A415" s="3">
        <v>40913</v>
      </c>
      <c r="B415" s="1">
        <f t="shared" si="36"/>
        <v>1886</v>
      </c>
      <c r="C415" s="1">
        <v>3637.8420474358481</v>
      </c>
      <c r="D415" s="1">
        <f t="shared" si="37"/>
        <v>1751.8420474358486</v>
      </c>
      <c r="E415" s="2">
        <v>46</v>
      </c>
      <c r="F415" s="1">
        <v>79.08352277034453</v>
      </c>
      <c r="G415" s="1">
        <v>38.083522770344537</v>
      </c>
      <c r="H415" s="1">
        <v>41</v>
      </c>
      <c r="I415">
        <f t="shared" si="38"/>
        <v>7.542213463193403</v>
      </c>
      <c r="J415">
        <f t="shared" si="39"/>
        <v>3.713572066704308</v>
      </c>
      <c r="K415" s="1">
        <f t="shared" si="40"/>
        <v>40.999999999999993</v>
      </c>
      <c r="L415">
        <f t="shared" si="41"/>
        <v>1845.0000000000005</v>
      </c>
    </row>
    <row r="416" spans="1:12" x14ac:dyDescent="0.25">
      <c r="A416" s="3">
        <v>40904</v>
      </c>
      <c r="B416" s="1">
        <f t="shared" si="36"/>
        <v>2340</v>
      </c>
      <c r="C416" s="1">
        <v>4777.0288432806292</v>
      </c>
      <c r="D416" s="1">
        <f t="shared" si="37"/>
        <v>2437.0288432806287</v>
      </c>
      <c r="E416" s="2">
        <v>26</v>
      </c>
      <c r="F416" s="1">
        <v>183.73187858771649</v>
      </c>
      <c r="G416" s="1">
        <v>93.731878587716494</v>
      </c>
      <c r="H416" s="1">
        <v>90</v>
      </c>
      <c r="I416">
        <f t="shared" si="38"/>
        <v>7.7579062083517467</v>
      </c>
      <c r="J416">
        <f t="shared" si="39"/>
        <v>4.499809670330265</v>
      </c>
      <c r="K416" s="1">
        <f t="shared" si="40"/>
        <v>90</v>
      </c>
      <c r="L416">
        <f t="shared" si="41"/>
        <v>2249.9999999999991</v>
      </c>
    </row>
    <row r="417" spans="1:12" x14ac:dyDescent="0.25">
      <c r="A417" s="3">
        <v>40903</v>
      </c>
      <c r="B417" s="1">
        <f t="shared" si="36"/>
        <v>511</v>
      </c>
      <c r="C417" s="1">
        <v>999.28417559687614</v>
      </c>
      <c r="D417" s="1">
        <f t="shared" si="37"/>
        <v>488.28417559687608</v>
      </c>
      <c r="E417" s="2">
        <v>7</v>
      </c>
      <c r="F417" s="1">
        <v>142.75488222812515</v>
      </c>
      <c r="G417" s="1">
        <v>69.754882228125155</v>
      </c>
      <c r="H417" s="1">
        <v>73</v>
      </c>
      <c r="I417">
        <f t="shared" si="38"/>
        <v>6.2363695902037044</v>
      </c>
      <c r="J417">
        <f t="shared" si="39"/>
        <v>4.290459441148391</v>
      </c>
      <c r="K417" s="1">
        <f t="shared" si="40"/>
        <v>73</v>
      </c>
      <c r="L417">
        <f t="shared" si="41"/>
        <v>438</v>
      </c>
    </row>
    <row r="418" spans="1:12" x14ac:dyDescent="0.25">
      <c r="A418" s="3">
        <v>40903</v>
      </c>
      <c r="B418" s="1">
        <f t="shared" si="36"/>
        <v>1394</v>
      </c>
      <c r="C418" s="1">
        <v>2653.5564567678948</v>
      </c>
      <c r="D418" s="1">
        <f t="shared" si="37"/>
        <v>1259.5564567678948</v>
      </c>
      <c r="E418" s="2">
        <v>34</v>
      </c>
      <c r="F418" s="1">
        <v>78.045778140232201</v>
      </c>
      <c r="G418" s="1">
        <v>37.045778140232201</v>
      </c>
      <c r="H418" s="1">
        <v>41</v>
      </c>
      <c r="I418">
        <f t="shared" si="38"/>
        <v>7.2399325913204695</v>
      </c>
      <c r="J418">
        <f t="shared" si="39"/>
        <v>3.713572066704308</v>
      </c>
      <c r="K418" s="1">
        <f t="shared" si="40"/>
        <v>41</v>
      </c>
      <c r="L418">
        <f t="shared" si="41"/>
        <v>1353.0000000000005</v>
      </c>
    </row>
    <row r="419" spans="1:12" x14ac:dyDescent="0.25">
      <c r="A419" s="3">
        <v>40898</v>
      </c>
      <c r="B419" s="1">
        <f t="shared" si="36"/>
        <v>1380</v>
      </c>
      <c r="C419" s="1">
        <v>2386.5684879247269</v>
      </c>
      <c r="D419" s="1">
        <f t="shared" si="37"/>
        <v>1006.568487924727</v>
      </c>
      <c r="E419" s="2">
        <v>23</v>
      </c>
      <c r="F419" s="1">
        <v>103.76384730107509</v>
      </c>
      <c r="G419" s="1">
        <v>43.763847301075089</v>
      </c>
      <c r="H419" s="1">
        <v>60</v>
      </c>
      <c r="I419">
        <f t="shared" si="38"/>
        <v>7.2298387781512501</v>
      </c>
      <c r="J419">
        <f t="shared" si="39"/>
        <v>4.0943445622221004</v>
      </c>
      <c r="K419" s="1">
        <f t="shared" si="40"/>
        <v>60</v>
      </c>
      <c r="L419">
        <f t="shared" si="41"/>
        <v>1319.9999999999995</v>
      </c>
    </row>
    <row r="420" spans="1:12" x14ac:dyDescent="0.25">
      <c r="A420" s="3">
        <v>40898</v>
      </c>
      <c r="B420" s="1">
        <f t="shared" si="36"/>
        <v>1980</v>
      </c>
      <c r="C420" s="1">
        <v>4052.9053219022499</v>
      </c>
      <c r="D420" s="1">
        <f t="shared" si="37"/>
        <v>2072.9053219022499</v>
      </c>
      <c r="E420" s="2">
        <v>30</v>
      </c>
      <c r="F420" s="1">
        <v>135.09684406340833</v>
      </c>
      <c r="G420" s="1">
        <v>69.096844063408327</v>
      </c>
      <c r="H420" s="1">
        <v>66</v>
      </c>
      <c r="I420">
        <f t="shared" si="38"/>
        <v>7.5908521236885811</v>
      </c>
      <c r="J420">
        <f t="shared" si="39"/>
        <v>4.1896547420264252</v>
      </c>
      <c r="K420" s="1">
        <f t="shared" si="40"/>
        <v>66</v>
      </c>
      <c r="L420">
        <f t="shared" si="41"/>
        <v>1914.0000000000002</v>
      </c>
    </row>
    <row r="421" spans="1:12" x14ac:dyDescent="0.25">
      <c r="A421" s="3">
        <v>40892</v>
      </c>
      <c r="B421" s="1">
        <f t="shared" si="36"/>
        <v>1653</v>
      </c>
      <c r="C421" s="1">
        <v>2881.6136271834175</v>
      </c>
      <c r="D421" s="1">
        <f t="shared" si="37"/>
        <v>1228.6136271834175</v>
      </c>
      <c r="E421" s="2">
        <v>29</v>
      </c>
      <c r="F421" s="1">
        <v>99.365987144255769</v>
      </c>
      <c r="G421" s="1">
        <v>42.365987144255776</v>
      </c>
      <c r="H421" s="1">
        <v>57</v>
      </c>
      <c r="I421">
        <f t="shared" si="38"/>
        <v>7.410347097821024</v>
      </c>
      <c r="J421">
        <f t="shared" si="39"/>
        <v>4.0430512678345503</v>
      </c>
      <c r="K421" s="1">
        <f t="shared" si="40"/>
        <v>56.999999999999993</v>
      </c>
      <c r="L421">
        <f t="shared" si="41"/>
        <v>1595.9999999999995</v>
      </c>
    </row>
    <row r="422" spans="1:12" x14ac:dyDescent="0.25">
      <c r="A422" s="3">
        <v>40857</v>
      </c>
      <c r="B422" s="1">
        <f t="shared" si="36"/>
        <v>240</v>
      </c>
      <c r="C422" s="1">
        <v>458.36908671125639</v>
      </c>
      <c r="D422" s="1">
        <f t="shared" si="37"/>
        <v>218.36908671125636</v>
      </c>
      <c r="E422" s="2">
        <v>3</v>
      </c>
      <c r="F422" s="1">
        <v>152.78969557041879</v>
      </c>
      <c r="G422" s="1">
        <v>72.789695570418786</v>
      </c>
      <c r="H422" s="1">
        <v>80</v>
      </c>
      <c r="I422">
        <f t="shared" si="38"/>
        <v>5.4806389233419912</v>
      </c>
      <c r="J422">
        <f t="shared" si="39"/>
        <v>4.3820266346738812</v>
      </c>
      <c r="K422" s="1">
        <f t="shared" si="40"/>
        <v>80</v>
      </c>
      <c r="L422">
        <f t="shared" si="41"/>
        <v>160</v>
      </c>
    </row>
    <row r="423" spans="1:12" x14ac:dyDescent="0.25">
      <c r="A423" s="3">
        <v>40838</v>
      </c>
      <c r="B423" s="1">
        <f t="shared" si="36"/>
        <v>2964</v>
      </c>
      <c r="C423" s="1">
        <v>5748.1970867085693</v>
      </c>
      <c r="D423" s="1">
        <f t="shared" si="37"/>
        <v>2784.1970867085688</v>
      </c>
      <c r="E423" s="2">
        <v>38</v>
      </c>
      <c r="F423" s="1">
        <v>151.2683443870676</v>
      </c>
      <c r="G423" s="1">
        <v>73.2683443870676</v>
      </c>
      <c r="H423" s="1">
        <v>78</v>
      </c>
      <c r="I423">
        <f t="shared" si="38"/>
        <v>7.9942949864159774</v>
      </c>
      <c r="J423">
        <f t="shared" si="39"/>
        <v>4.3567088266895917</v>
      </c>
      <c r="K423" s="1">
        <f t="shared" si="40"/>
        <v>78</v>
      </c>
      <c r="L423">
        <f t="shared" si="41"/>
        <v>2885.9999999999995</v>
      </c>
    </row>
    <row r="424" spans="1:12" x14ac:dyDescent="0.25">
      <c r="A424" s="3">
        <v>40838</v>
      </c>
      <c r="B424" s="1">
        <f t="shared" si="36"/>
        <v>420</v>
      </c>
      <c r="C424" s="1">
        <v>805.67923352712171</v>
      </c>
      <c r="D424" s="1">
        <f t="shared" si="37"/>
        <v>385.67923352712171</v>
      </c>
      <c r="E424" s="2">
        <v>6</v>
      </c>
      <c r="F424" s="1">
        <v>134.27987225452028</v>
      </c>
      <c r="G424" s="1">
        <v>64.279872254520285</v>
      </c>
      <c r="H424" s="1">
        <v>70</v>
      </c>
      <c r="I424">
        <f t="shared" si="38"/>
        <v>6.0402547112774139</v>
      </c>
      <c r="J424">
        <f t="shared" si="39"/>
        <v>4.2484952420493594</v>
      </c>
      <c r="K424" s="1">
        <f t="shared" si="40"/>
        <v>70</v>
      </c>
      <c r="L424">
        <f t="shared" si="41"/>
        <v>349.99999999999989</v>
      </c>
    </row>
    <row r="425" spans="1:12" x14ac:dyDescent="0.25">
      <c r="A425" s="3">
        <v>40822</v>
      </c>
      <c r="B425" s="1">
        <f t="shared" si="36"/>
        <v>585</v>
      </c>
      <c r="C425" s="1">
        <v>996.59915066713552</v>
      </c>
      <c r="D425" s="1">
        <f t="shared" si="37"/>
        <v>411.59915066713552</v>
      </c>
      <c r="E425" s="2">
        <v>9</v>
      </c>
      <c r="F425" s="1">
        <v>110.73323896301505</v>
      </c>
      <c r="G425" s="1">
        <v>45.733238963015054</v>
      </c>
      <c r="H425" s="1">
        <v>65</v>
      </c>
      <c r="I425">
        <f t="shared" si="38"/>
        <v>6.3716118472318568</v>
      </c>
      <c r="J425">
        <f t="shared" si="39"/>
        <v>4.1743872698956368</v>
      </c>
      <c r="K425" s="1">
        <f t="shared" si="40"/>
        <v>65</v>
      </c>
      <c r="L425">
        <f t="shared" si="41"/>
        <v>520.00000000000023</v>
      </c>
    </row>
    <row r="426" spans="1:12" x14ac:dyDescent="0.25">
      <c r="A426" s="3">
        <v>40817</v>
      </c>
      <c r="B426" s="1">
        <f t="shared" si="36"/>
        <v>5375</v>
      </c>
      <c r="C426" s="1">
        <v>9298.4795972802331</v>
      </c>
      <c r="D426" s="1">
        <f t="shared" si="37"/>
        <v>3923.4795972802331</v>
      </c>
      <c r="E426" s="2">
        <v>43</v>
      </c>
      <c r="F426" s="1">
        <v>216.24371156465656</v>
      </c>
      <c r="G426" s="1">
        <v>91.243711564656579</v>
      </c>
      <c r="H426" s="1">
        <v>125</v>
      </c>
      <c r="I426">
        <f t="shared" si="38"/>
        <v>8.5895138529958643</v>
      </c>
      <c r="J426">
        <f t="shared" si="39"/>
        <v>4.8283137373023015</v>
      </c>
      <c r="K426" s="1">
        <f t="shared" si="40"/>
        <v>124.99999999999999</v>
      </c>
      <c r="L426">
        <f t="shared" si="41"/>
        <v>5250.0000000000045</v>
      </c>
    </row>
    <row r="427" spans="1:12" x14ac:dyDescent="0.25">
      <c r="A427" s="3">
        <v>40792</v>
      </c>
      <c r="B427" s="1">
        <f t="shared" si="36"/>
        <v>360</v>
      </c>
      <c r="C427" s="1">
        <v>886.78258143004041</v>
      </c>
      <c r="D427" s="1">
        <f t="shared" si="37"/>
        <v>526.78258143004041</v>
      </c>
      <c r="E427" s="2">
        <v>9</v>
      </c>
      <c r="F427" s="1">
        <v>98.531397936671155</v>
      </c>
      <c r="G427" s="1">
        <v>58.531397936671155</v>
      </c>
      <c r="H427" s="1">
        <v>40</v>
      </c>
      <c r="I427">
        <f t="shared" si="38"/>
        <v>5.8861040314501558</v>
      </c>
      <c r="J427">
        <f t="shared" si="39"/>
        <v>3.6888794541139363</v>
      </c>
      <c r="K427" s="1">
        <f t="shared" si="40"/>
        <v>40</v>
      </c>
      <c r="L427">
        <f t="shared" si="41"/>
        <v>320.00000000000006</v>
      </c>
    </row>
    <row r="428" spans="1:12" x14ac:dyDescent="0.25">
      <c r="A428" s="3">
        <v>40783</v>
      </c>
      <c r="B428" s="1">
        <f t="shared" si="36"/>
        <v>874</v>
      </c>
      <c r="C428" s="1">
        <v>1747.48476905098</v>
      </c>
      <c r="D428" s="1">
        <f t="shared" si="37"/>
        <v>873.48476905098005</v>
      </c>
      <c r="E428" s="2">
        <v>19</v>
      </c>
      <c r="F428" s="1">
        <v>91.972882581630529</v>
      </c>
      <c r="G428" s="1">
        <v>45.972882581630529</v>
      </c>
      <c r="H428" s="1">
        <v>46</v>
      </c>
      <c r="I428">
        <f t="shared" si="38"/>
        <v>6.7730803756555353</v>
      </c>
      <c r="J428">
        <f t="shared" si="39"/>
        <v>3.8286413964890951</v>
      </c>
      <c r="K428" s="1">
        <f t="shared" si="40"/>
        <v>46</v>
      </c>
      <c r="L428">
        <f t="shared" si="41"/>
        <v>827.99999999999989</v>
      </c>
    </row>
    <row r="429" spans="1:12" x14ac:dyDescent="0.25">
      <c r="A429" s="3">
        <v>40777</v>
      </c>
      <c r="B429" s="1">
        <f t="shared" si="36"/>
        <v>1050</v>
      </c>
      <c r="C429" s="1">
        <v>2318.6793677703999</v>
      </c>
      <c r="D429" s="1">
        <f t="shared" si="37"/>
        <v>1268.6793677703999</v>
      </c>
      <c r="E429" s="2">
        <v>21</v>
      </c>
      <c r="F429" s="1">
        <v>110.4133032271619</v>
      </c>
      <c r="G429" s="1">
        <v>60.413303227161904</v>
      </c>
      <c r="H429" s="1">
        <v>50</v>
      </c>
      <c r="I429">
        <f t="shared" si="38"/>
        <v>6.956545443151569</v>
      </c>
      <c r="J429">
        <f t="shared" si="39"/>
        <v>3.912023005428146</v>
      </c>
      <c r="K429" s="1">
        <f t="shared" si="40"/>
        <v>50</v>
      </c>
      <c r="L429">
        <f t="shared" si="41"/>
        <v>1000</v>
      </c>
    </row>
    <row r="430" spans="1:12" x14ac:dyDescent="0.25">
      <c r="A430" s="3">
        <v>40749</v>
      </c>
      <c r="B430" s="1">
        <f t="shared" si="36"/>
        <v>159</v>
      </c>
      <c r="C430" s="1">
        <v>319.33864290833856</v>
      </c>
      <c r="D430" s="1">
        <f t="shared" si="37"/>
        <v>160.33864290833856</v>
      </c>
      <c r="E430" s="2">
        <v>3</v>
      </c>
      <c r="F430" s="1">
        <v>106.44621430277951</v>
      </c>
      <c r="G430" s="1">
        <v>53.446214302779516</v>
      </c>
      <c r="H430" s="1">
        <v>53</v>
      </c>
      <c r="I430">
        <f t="shared" si="38"/>
        <v>5.0689042022202315</v>
      </c>
      <c r="J430">
        <f t="shared" si="39"/>
        <v>3.970291913552122</v>
      </c>
      <c r="K430" s="1">
        <f t="shared" si="40"/>
        <v>52.999999999999993</v>
      </c>
      <c r="L430">
        <f t="shared" si="41"/>
        <v>106</v>
      </c>
    </row>
    <row r="431" spans="1:12" x14ac:dyDescent="0.25">
      <c r="A431" s="3">
        <v>40740</v>
      </c>
      <c r="B431" s="1">
        <f t="shared" si="36"/>
        <v>2400</v>
      </c>
      <c r="C431" s="1">
        <v>4183.9352062754933</v>
      </c>
      <c r="D431" s="1">
        <f t="shared" si="37"/>
        <v>1783.9352062754936</v>
      </c>
      <c r="E431" s="2">
        <v>32</v>
      </c>
      <c r="F431" s="1">
        <v>130.74797519610917</v>
      </c>
      <c r="G431" s="1">
        <v>55.747975196109174</v>
      </c>
      <c r="H431" s="1">
        <v>75</v>
      </c>
      <c r="I431">
        <f t="shared" si="38"/>
        <v>7.7832240163360371</v>
      </c>
      <c r="J431">
        <f t="shared" si="39"/>
        <v>4.3174881135363101</v>
      </c>
      <c r="K431" s="1">
        <f t="shared" si="40"/>
        <v>75</v>
      </c>
      <c r="L431">
        <f t="shared" si="41"/>
        <v>2325.0000000000005</v>
      </c>
    </row>
    <row r="432" spans="1:12" x14ac:dyDescent="0.25">
      <c r="A432" s="3">
        <v>40733</v>
      </c>
      <c r="B432" s="1">
        <f t="shared" si="36"/>
        <v>3157</v>
      </c>
      <c r="C432" s="1">
        <v>5669.6087781202723</v>
      </c>
      <c r="D432" s="1">
        <f t="shared" si="37"/>
        <v>2512.6087781202723</v>
      </c>
      <c r="E432" s="2">
        <v>41</v>
      </c>
      <c r="F432" s="1">
        <v>138.28314092976274</v>
      </c>
      <c r="G432" s="1">
        <v>61.283140929762737</v>
      </c>
      <c r="H432" s="1">
        <v>77</v>
      </c>
      <c r="I432">
        <f t="shared" si="38"/>
        <v>8.0573774885579912</v>
      </c>
      <c r="J432">
        <f t="shared" si="39"/>
        <v>4.3438054218536841</v>
      </c>
      <c r="K432" s="1">
        <f t="shared" si="40"/>
        <v>77</v>
      </c>
      <c r="L432">
        <f t="shared" si="41"/>
        <v>3079.9999999999986</v>
      </c>
    </row>
    <row r="433" spans="1:12" x14ac:dyDescent="0.25">
      <c r="A433" s="3">
        <v>40720</v>
      </c>
      <c r="B433" s="1">
        <f t="shared" si="36"/>
        <v>240</v>
      </c>
      <c r="C433" s="1">
        <v>682.47289906258391</v>
      </c>
      <c r="D433" s="1">
        <f t="shared" si="37"/>
        <v>442.47289906258391</v>
      </c>
      <c r="E433" s="2">
        <v>24</v>
      </c>
      <c r="F433" s="1">
        <v>28.436370794274328</v>
      </c>
      <c r="G433" s="1">
        <v>18.436370794274328</v>
      </c>
      <c r="H433" s="1">
        <v>10</v>
      </c>
      <c r="I433">
        <f t="shared" si="38"/>
        <v>5.4806389233419912</v>
      </c>
      <c r="J433">
        <f t="shared" si="39"/>
        <v>2.3025850929940459</v>
      </c>
      <c r="K433" s="1">
        <f t="shared" si="40"/>
        <v>10</v>
      </c>
      <c r="L433">
        <f t="shared" si="41"/>
        <v>229.99999999999997</v>
      </c>
    </row>
    <row r="434" spans="1:12" x14ac:dyDescent="0.25">
      <c r="A434" s="3">
        <v>40702</v>
      </c>
      <c r="B434" s="1">
        <f t="shared" si="36"/>
        <v>231</v>
      </c>
      <c r="C434" s="1">
        <v>674.94298258804611</v>
      </c>
      <c r="D434" s="1">
        <f t="shared" si="37"/>
        <v>443.94298258804611</v>
      </c>
      <c r="E434" s="2">
        <v>7</v>
      </c>
      <c r="F434" s="1">
        <v>96.420426084006579</v>
      </c>
      <c r="G434" s="1">
        <v>63.420426084006586</v>
      </c>
      <c r="H434" s="1">
        <v>33</v>
      </c>
      <c r="I434">
        <f t="shared" si="38"/>
        <v>5.4424177105217932</v>
      </c>
      <c r="J434">
        <f t="shared" si="39"/>
        <v>3.4965075614664802</v>
      </c>
      <c r="K434" s="1">
        <f t="shared" si="40"/>
        <v>32.999999999999993</v>
      </c>
      <c r="L434">
        <f t="shared" si="41"/>
        <v>197.99999999999994</v>
      </c>
    </row>
    <row r="435" spans="1:12" x14ac:dyDescent="0.25">
      <c r="A435" s="3">
        <v>40689</v>
      </c>
      <c r="B435" s="1">
        <f t="shared" si="36"/>
        <v>1416</v>
      </c>
      <c r="C435" s="1">
        <v>2497.7708434652341</v>
      </c>
      <c r="D435" s="1">
        <f t="shared" si="37"/>
        <v>1081.7708434652341</v>
      </c>
      <c r="E435" s="2">
        <v>24</v>
      </c>
      <c r="F435" s="1">
        <v>104.07378514438476</v>
      </c>
      <c r="G435" s="1">
        <v>45.073785144384757</v>
      </c>
      <c r="H435" s="1">
        <v>59</v>
      </c>
      <c r="I435">
        <f t="shared" si="38"/>
        <v>7.255591274253665</v>
      </c>
      <c r="J435">
        <f t="shared" si="39"/>
        <v>4.0775374439057197</v>
      </c>
      <c r="K435" s="1">
        <f t="shared" si="40"/>
        <v>59</v>
      </c>
      <c r="L435">
        <f t="shared" si="41"/>
        <v>1357</v>
      </c>
    </row>
    <row r="436" spans="1:12" x14ac:dyDescent="0.25">
      <c r="A436" s="3">
        <v>40673</v>
      </c>
      <c r="B436" s="1">
        <f t="shared" si="36"/>
        <v>1105</v>
      </c>
      <c r="C436" s="1">
        <v>2083.2998993658457</v>
      </c>
      <c r="D436" s="1">
        <f t="shared" si="37"/>
        <v>978.29989936584559</v>
      </c>
      <c r="E436" s="2">
        <v>17</v>
      </c>
      <c r="F436" s="1">
        <v>122.54705290387326</v>
      </c>
      <c r="G436" s="1">
        <v>57.547052903873272</v>
      </c>
      <c r="H436" s="1">
        <v>65</v>
      </c>
      <c r="I436">
        <f t="shared" si="38"/>
        <v>7.007600613951853</v>
      </c>
      <c r="J436">
        <f t="shared" si="39"/>
        <v>4.1743872698956368</v>
      </c>
      <c r="K436" s="1">
        <f t="shared" si="40"/>
        <v>65</v>
      </c>
      <c r="L436">
        <f t="shared" si="41"/>
        <v>1039.9999999999998</v>
      </c>
    </row>
    <row r="437" spans="1:12" x14ac:dyDescent="0.25">
      <c r="A437" s="3">
        <v>40664</v>
      </c>
      <c r="B437" s="1">
        <f t="shared" si="36"/>
        <v>3528</v>
      </c>
      <c r="C437" s="1">
        <v>6089.3539903120918</v>
      </c>
      <c r="D437" s="1">
        <f t="shared" si="37"/>
        <v>2561.3539903120923</v>
      </c>
      <c r="E437" s="2">
        <v>42</v>
      </c>
      <c r="F437" s="1">
        <v>144.98461881695457</v>
      </c>
      <c r="G437" s="1">
        <v>60.984618816954573</v>
      </c>
      <c r="H437" s="1">
        <v>84</v>
      </c>
      <c r="I437">
        <f t="shared" si="38"/>
        <v>8.1684864171266813</v>
      </c>
      <c r="J437">
        <f t="shared" si="39"/>
        <v>4.4308167988433134</v>
      </c>
      <c r="K437" s="1">
        <f t="shared" si="40"/>
        <v>84</v>
      </c>
      <c r="L437">
        <f t="shared" si="41"/>
        <v>3443.9999999999977</v>
      </c>
    </row>
    <row r="438" spans="1:12" x14ac:dyDescent="0.25">
      <c r="A438" s="3">
        <v>40663</v>
      </c>
      <c r="B438" s="1">
        <f t="shared" si="36"/>
        <v>3315</v>
      </c>
      <c r="C438" s="1">
        <v>5566.3468796291199</v>
      </c>
      <c r="D438" s="1">
        <f t="shared" si="37"/>
        <v>2251.3468796291204</v>
      </c>
      <c r="E438" s="2">
        <v>51</v>
      </c>
      <c r="F438" s="1">
        <v>109.14405646331608</v>
      </c>
      <c r="G438" s="1">
        <v>44.144056463316083</v>
      </c>
      <c r="H438" s="1">
        <v>65</v>
      </c>
      <c r="I438">
        <f t="shared" si="38"/>
        <v>8.1062129026199621</v>
      </c>
      <c r="J438">
        <f t="shared" si="39"/>
        <v>4.1743872698956368</v>
      </c>
      <c r="K438" s="1">
        <f t="shared" si="40"/>
        <v>65</v>
      </c>
      <c r="L438">
        <f t="shared" si="41"/>
        <v>3249.9999999999973</v>
      </c>
    </row>
    <row r="439" spans="1:12" x14ac:dyDescent="0.25">
      <c r="A439" s="3">
        <v>40659</v>
      </c>
      <c r="B439" s="1">
        <f t="shared" si="36"/>
        <v>3528</v>
      </c>
      <c r="C439" s="1">
        <v>7606.0419167996461</v>
      </c>
      <c r="D439" s="1">
        <f t="shared" si="37"/>
        <v>4078.0419167996461</v>
      </c>
      <c r="E439" s="2">
        <v>98</v>
      </c>
      <c r="F439" s="1">
        <v>77.612672620404553</v>
      </c>
      <c r="G439" s="1">
        <v>41.612672620404553</v>
      </c>
      <c r="H439" s="1">
        <v>36</v>
      </c>
      <c r="I439">
        <f t="shared" si="38"/>
        <v>8.1684864171266813</v>
      </c>
      <c r="J439">
        <f t="shared" si="39"/>
        <v>3.5835189384561099</v>
      </c>
      <c r="K439" s="1">
        <f t="shared" si="40"/>
        <v>36</v>
      </c>
      <c r="L439">
        <f t="shared" si="41"/>
        <v>3491.9999999999977</v>
      </c>
    </row>
    <row r="440" spans="1:12" x14ac:dyDescent="0.25">
      <c r="A440" s="3">
        <v>40657</v>
      </c>
      <c r="B440" s="1">
        <f t="shared" si="36"/>
        <v>33348</v>
      </c>
      <c r="C440" s="1">
        <v>60333.222814898872</v>
      </c>
      <c r="D440" s="1">
        <f t="shared" si="37"/>
        <v>26985.222814898869</v>
      </c>
      <c r="E440" s="2">
        <v>397</v>
      </c>
      <c r="F440" s="1">
        <v>151.97285343803242</v>
      </c>
      <c r="G440" s="1">
        <v>67.972853438032416</v>
      </c>
      <c r="H440" s="1">
        <v>84</v>
      </c>
      <c r="I440">
        <f t="shared" si="38"/>
        <v>10.414753079530504</v>
      </c>
      <c r="J440">
        <f t="shared" si="39"/>
        <v>4.4308167988433134</v>
      </c>
      <c r="K440" s="1">
        <f t="shared" si="40"/>
        <v>84</v>
      </c>
      <c r="L440">
        <f t="shared" si="41"/>
        <v>33264</v>
      </c>
    </row>
    <row r="441" spans="1:12" x14ac:dyDescent="0.25">
      <c r="A441" s="3">
        <v>40655</v>
      </c>
      <c r="B441" s="1">
        <f t="shared" si="36"/>
        <v>1911</v>
      </c>
      <c r="C441" s="1">
        <v>5725.7120434651843</v>
      </c>
      <c r="D441" s="1">
        <f t="shared" si="37"/>
        <v>3814.7120434651843</v>
      </c>
      <c r="E441" s="2">
        <v>49</v>
      </c>
      <c r="F441" s="1">
        <v>116.85126619316702</v>
      </c>
      <c r="G441" s="1">
        <v>77.851266193167021</v>
      </c>
      <c r="H441" s="1">
        <v>39</v>
      </c>
      <c r="I441">
        <f t="shared" si="38"/>
        <v>7.5553819442402732</v>
      </c>
      <c r="J441">
        <f t="shared" si="39"/>
        <v>3.6635616461296463</v>
      </c>
      <c r="K441" s="1">
        <f t="shared" si="40"/>
        <v>39</v>
      </c>
      <c r="L441">
        <f t="shared" si="41"/>
        <v>1872.0000000000002</v>
      </c>
    </row>
    <row r="442" spans="1:12" x14ac:dyDescent="0.25">
      <c r="A442" s="3">
        <v>40642</v>
      </c>
      <c r="B442" s="1">
        <f t="shared" si="36"/>
        <v>945</v>
      </c>
      <c r="C442" s="1">
        <v>1813.6865731132893</v>
      </c>
      <c r="D442" s="1">
        <f t="shared" si="37"/>
        <v>868.68657311328911</v>
      </c>
      <c r="E442" s="2">
        <v>27</v>
      </c>
      <c r="F442" s="1">
        <v>67.173576781973679</v>
      </c>
      <c r="G442" s="1">
        <v>32.173576781973672</v>
      </c>
      <c r="H442" s="1">
        <v>35</v>
      </c>
      <c r="I442">
        <f t="shared" si="38"/>
        <v>6.8511849274937431</v>
      </c>
      <c r="J442">
        <f t="shared" si="39"/>
        <v>3.5553480614894135</v>
      </c>
      <c r="K442" s="1">
        <f t="shared" si="40"/>
        <v>35.000000000000007</v>
      </c>
      <c r="L442">
        <f t="shared" si="41"/>
        <v>910.00000000000034</v>
      </c>
    </row>
    <row r="443" spans="1:12" x14ac:dyDescent="0.25">
      <c r="A443" s="3">
        <v>40636</v>
      </c>
      <c r="B443" s="1">
        <f t="shared" si="36"/>
        <v>11088</v>
      </c>
      <c r="C443" s="1">
        <v>20361.007449716686</v>
      </c>
      <c r="D443" s="1">
        <f t="shared" si="37"/>
        <v>9273.0074497166879</v>
      </c>
      <c r="E443" s="2">
        <v>132</v>
      </c>
      <c r="F443" s="1">
        <v>154.25005643724762</v>
      </c>
      <c r="G443" s="1">
        <v>70.250056437247636</v>
      </c>
      <c r="H443" s="1">
        <v>84</v>
      </c>
      <c r="I443">
        <f t="shared" si="38"/>
        <v>9.3136187214296839</v>
      </c>
      <c r="J443">
        <f t="shared" si="39"/>
        <v>4.4308167988433134</v>
      </c>
      <c r="K443" s="1">
        <f t="shared" si="40"/>
        <v>83.999999999999986</v>
      </c>
      <c r="L443">
        <f t="shared" si="41"/>
        <v>11003.999999999995</v>
      </c>
    </row>
    <row r="444" spans="1:12" x14ac:dyDescent="0.25">
      <c r="A444" s="3">
        <v>40622</v>
      </c>
      <c r="B444" s="1">
        <f t="shared" si="36"/>
        <v>759</v>
      </c>
      <c r="C444" s="1">
        <v>1771.5482909589184</v>
      </c>
      <c r="D444" s="1">
        <f t="shared" si="37"/>
        <v>1012.5482909589183</v>
      </c>
      <c r="E444" s="2">
        <v>11</v>
      </c>
      <c r="F444" s="1">
        <v>161.04984463262895</v>
      </c>
      <c r="G444" s="1">
        <v>92.049844632628933</v>
      </c>
      <c r="H444" s="1">
        <v>69</v>
      </c>
      <c r="I444">
        <f t="shared" si="38"/>
        <v>6.6320017773956303</v>
      </c>
      <c r="J444">
        <f t="shared" si="39"/>
        <v>4.2341065045972597</v>
      </c>
      <c r="K444" s="1">
        <f t="shared" si="40"/>
        <v>69.000000000000014</v>
      </c>
      <c r="L444">
        <f t="shared" si="41"/>
        <v>690.00000000000034</v>
      </c>
    </row>
    <row r="445" spans="1:12" x14ac:dyDescent="0.25">
      <c r="A445" s="3">
        <v>40594</v>
      </c>
      <c r="B445" s="1">
        <f t="shared" si="36"/>
        <v>1411</v>
      </c>
      <c r="C445" s="1">
        <v>2433.4032311735659</v>
      </c>
      <c r="D445" s="1">
        <f t="shared" si="37"/>
        <v>1022.4032311735657</v>
      </c>
      <c r="E445" s="2">
        <v>17</v>
      </c>
      <c r="F445" s="1">
        <v>143.14136653962152</v>
      </c>
      <c r="G445" s="1">
        <v>60.141366539621515</v>
      </c>
      <c r="H445" s="1">
        <v>83</v>
      </c>
      <c r="I445">
        <f t="shared" si="38"/>
        <v>7.2520539518528144</v>
      </c>
      <c r="J445">
        <f t="shared" si="39"/>
        <v>4.4188406077965983</v>
      </c>
      <c r="K445" s="1">
        <f t="shared" si="40"/>
        <v>83</v>
      </c>
      <c r="L445">
        <f t="shared" si="41"/>
        <v>1328.0000000000007</v>
      </c>
    </row>
    <row r="446" spans="1:12" x14ac:dyDescent="0.25">
      <c r="A446" s="3">
        <v>40583</v>
      </c>
      <c r="B446" s="1">
        <f t="shared" si="36"/>
        <v>336</v>
      </c>
      <c r="C446" s="1">
        <v>820.43618552439227</v>
      </c>
      <c r="D446" s="1">
        <f t="shared" si="37"/>
        <v>484.43618552439227</v>
      </c>
      <c r="E446" s="2">
        <v>12</v>
      </c>
      <c r="F446" s="1">
        <v>68.369682127032689</v>
      </c>
      <c r="G446" s="1">
        <v>40.369682127032689</v>
      </c>
      <c r="H446" s="1">
        <v>28</v>
      </c>
      <c r="I446">
        <f t="shared" si="38"/>
        <v>5.8171111599632042</v>
      </c>
      <c r="J446">
        <f t="shared" si="39"/>
        <v>3.3322045101752038</v>
      </c>
      <c r="K446" s="1">
        <f t="shared" si="40"/>
        <v>28</v>
      </c>
      <c r="L446">
        <f t="shared" si="41"/>
        <v>308</v>
      </c>
    </row>
    <row r="447" spans="1:12" x14ac:dyDescent="0.25">
      <c r="A447" s="3">
        <v>40570</v>
      </c>
      <c r="B447" s="1">
        <f t="shared" si="36"/>
        <v>7738</v>
      </c>
      <c r="C447" s="1">
        <v>15041.733490758397</v>
      </c>
      <c r="D447" s="1">
        <f t="shared" si="37"/>
        <v>7303.7334907583963</v>
      </c>
      <c r="E447" s="2">
        <v>146</v>
      </c>
      <c r="F447" s="1">
        <v>103.02557185450956</v>
      </c>
      <c r="G447" s="1">
        <v>50.025571854509565</v>
      </c>
      <c r="H447" s="1">
        <v>53</v>
      </c>
      <c r="I447">
        <f t="shared" si="38"/>
        <v>8.9538985352604588</v>
      </c>
      <c r="J447">
        <f t="shared" si="39"/>
        <v>3.970291913552122</v>
      </c>
      <c r="K447" s="1">
        <f t="shared" si="40"/>
        <v>53</v>
      </c>
      <c r="L447">
        <f t="shared" si="41"/>
        <v>7685.0000000000036</v>
      </c>
    </row>
    <row r="448" spans="1:12" x14ac:dyDescent="0.25">
      <c r="A448" s="3">
        <v>40555</v>
      </c>
      <c r="B448" s="1">
        <f t="shared" si="36"/>
        <v>682</v>
      </c>
      <c r="C448" s="1">
        <v>1865.8036396427635</v>
      </c>
      <c r="D448" s="1">
        <f t="shared" si="37"/>
        <v>1183.8036396427635</v>
      </c>
      <c r="E448" s="2">
        <v>31</v>
      </c>
      <c r="F448" s="1">
        <v>60.187214182024633</v>
      </c>
      <c r="G448" s="1">
        <v>38.187214182024633</v>
      </c>
      <c r="H448" s="1">
        <v>22</v>
      </c>
      <c r="I448">
        <f t="shared" si="38"/>
        <v>6.5250296578434623</v>
      </c>
      <c r="J448">
        <f t="shared" si="39"/>
        <v>3.0910424533583161</v>
      </c>
      <c r="K448" s="1">
        <f t="shared" si="40"/>
        <v>22</v>
      </c>
      <c r="L448">
        <f t="shared" si="41"/>
        <v>660.00000000000011</v>
      </c>
    </row>
    <row r="449" spans="1:12" x14ac:dyDescent="0.25">
      <c r="A449" s="3">
        <v>40547</v>
      </c>
      <c r="B449" s="1">
        <f t="shared" si="36"/>
        <v>418</v>
      </c>
      <c r="C449" s="1">
        <v>782.6477371441747</v>
      </c>
      <c r="D449" s="1">
        <f t="shared" si="37"/>
        <v>364.6477371441747</v>
      </c>
      <c r="E449" s="2">
        <v>11</v>
      </c>
      <c r="F449" s="1">
        <v>71.149794285834062</v>
      </c>
      <c r="G449" s="1">
        <v>33.149794285834062</v>
      </c>
      <c r="H449" s="1">
        <v>38</v>
      </c>
      <c r="I449">
        <f t="shared" si="38"/>
        <v>6.0354814325247563</v>
      </c>
      <c r="J449">
        <f t="shared" si="39"/>
        <v>3.6375861597263857</v>
      </c>
      <c r="K449" s="1">
        <f t="shared" si="40"/>
        <v>38</v>
      </c>
      <c r="L449">
        <f t="shared" si="41"/>
        <v>380</v>
      </c>
    </row>
    <row r="450" spans="1:12" x14ac:dyDescent="0.25">
      <c r="A450" s="3">
        <v>40546</v>
      </c>
      <c r="B450" s="1">
        <f t="shared" ref="B450:B501" si="42">+E450*H450</f>
        <v>1400</v>
      </c>
      <c r="C450" s="1">
        <v>2709.1673592439283</v>
      </c>
      <c r="D450" s="1">
        <f t="shared" ref="D450:D501" si="43">+E450*G450</f>
        <v>1309.1673592439281</v>
      </c>
      <c r="E450" s="2">
        <v>20</v>
      </c>
      <c r="F450" s="1">
        <v>135.45836796219641</v>
      </c>
      <c r="G450" s="1">
        <v>65.458367962196405</v>
      </c>
      <c r="H450" s="1">
        <v>70</v>
      </c>
      <c r="I450">
        <f t="shared" si="38"/>
        <v>7.2442275156033498</v>
      </c>
      <c r="J450">
        <f t="shared" si="39"/>
        <v>4.2484952420493594</v>
      </c>
      <c r="K450" s="1">
        <f t="shared" si="40"/>
        <v>70</v>
      </c>
      <c r="L450">
        <f t="shared" si="41"/>
        <v>1329.9999999999998</v>
      </c>
    </row>
    <row r="451" spans="1:12" x14ac:dyDescent="0.25">
      <c r="A451" s="3">
        <v>40524</v>
      </c>
      <c r="B451" s="1">
        <f t="shared" si="42"/>
        <v>2256</v>
      </c>
      <c r="C451" s="1">
        <v>4813.9413667131639</v>
      </c>
      <c r="D451" s="1">
        <f t="shared" si="43"/>
        <v>2557.9413667131635</v>
      </c>
      <c r="E451" s="2">
        <v>24</v>
      </c>
      <c r="F451" s="1">
        <v>200.58089027971516</v>
      </c>
      <c r="G451" s="1">
        <v>106.58089027971515</v>
      </c>
      <c r="H451" s="1">
        <v>94</v>
      </c>
      <c r="I451">
        <f t="shared" ref="I451:I501" si="44">+LN(B451)</f>
        <v>7.7213486126179491</v>
      </c>
      <c r="J451">
        <f t="shared" ref="J451:J501" si="45">+LN(H451)</f>
        <v>4.5432947822700038</v>
      </c>
      <c r="K451" s="1">
        <f t="shared" ref="K451:K501" si="46">+F451-G451</f>
        <v>94.000000000000014</v>
      </c>
      <c r="L451">
        <f t="shared" ref="L451:L501" si="47">EXP(I451)-EXP(J451)</f>
        <v>2161.9999999999991</v>
      </c>
    </row>
    <row r="452" spans="1:12" x14ac:dyDescent="0.25">
      <c r="A452" s="3">
        <v>40523</v>
      </c>
      <c r="B452" s="1">
        <f t="shared" si="42"/>
        <v>329</v>
      </c>
      <c r="C452" s="1">
        <v>620.23770514896228</v>
      </c>
      <c r="D452" s="1">
        <f t="shared" si="43"/>
        <v>291.23770514896228</v>
      </c>
      <c r="E452" s="2">
        <v>7</v>
      </c>
      <c r="F452" s="1">
        <v>88.60538644985175</v>
      </c>
      <c r="G452" s="1">
        <v>41.60538644985175</v>
      </c>
      <c r="H452" s="1">
        <v>47</v>
      </c>
      <c r="I452">
        <f t="shared" si="44"/>
        <v>5.7960577507653719</v>
      </c>
      <c r="J452">
        <f t="shared" si="45"/>
        <v>3.8501476017100584</v>
      </c>
      <c r="K452" s="1">
        <f t="shared" si="46"/>
        <v>47</v>
      </c>
      <c r="L452">
        <f t="shared" si="47"/>
        <v>282</v>
      </c>
    </row>
    <row r="453" spans="1:12" x14ac:dyDescent="0.25">
      <c r="A453" s="3">
        <v>40511</v>
      </c>
      <c r="B453" s="1">
        <f t="shared" si="42"/>
        <v>1200</v>
      </c>
      <c r="C453" s="1">
        <v>2008.1172764618063</v>
      </c>
      <c r="D453" s="1">
        <f t="shared" si="43"/>
        <v>808.11727646180634</v>
      </c>
      <c r="E453" s="2">
        <v>10</v>
      </c>
      <c r="F453" s="1">
        <v>200.81172764618063</v>
      </c>
      <c r="G453" s="1">
        <v>80.811727646180628</v>
      </c>
      <c r="H453" s="1">
        <v>120</v>
      </c>
      <c r="I453">
        <f t="shared" si="44"/>
        <v>7.0900768357760917</v>
      </c>
      <c r="J453">
        <f t="shared" si="45"/>
        <v>4.7874917427820458</v>
      </c>
      <c r="K453" s="1">
        <f t="shared" si="46"/>
        <v>120</v>
      </c>
      <c r="L453">
        <f t="shared" si="47"/>
        <v>1080</v>
      </c>
    </row>
    <row r="454" spans="1:12" x14ac:dyDescent="0.25">
      <c r="A454" s="3">
        <v>40508</v>
      </c>
      <c r="B454" s="1">
        <f t="shared" si="42"/>
        <v>2952</v>
      </c>
      <c r="C454" s="1">
        <v>5714.6416107598088</v>
      </c>
      <c r="D454" s="1">
        <f t="shared" si="43"/>
        <v>2762.6416107598084</v>
      </c>
      <c r="E454" s="2">
        <v>41</v>
      </c>
      <c r="F454" s="1">
        <v>139.38150270145874</v>
      </c>
      <c r="G454" s="1">
        <v>67.381502701458743</v>
      </c>
      <c r="H454" s="1">
        <v>72</v>
      </c>
      <c r="I454">
        <f t="shared" si="44"/>
        <v>7.9902381857203633</v>
      </c>
      <c r="J454">
        <f t="shared" si="45"/>
        <v>4.2766661190160553</v>
      </c>
      <c r="K454" s="1">
        <f t="shared" si="46"/>
        <v>72</v>
      </c>
      <c r="L454">
        <f t="shared" si="47"/>
        <v>2880.0000000000005</v>
      </c>
    </row>
    <row r="455" spans="1:12" x14ac:dyDescent="0.25">
      <c r="A455" s="3">
        <v>40483</v>
      </c>
      <c r="B455" s="1">
        <f t="shared" si="42"/>
        <v>10120</v>
      </c>
      <c r="C455" s="1">
        <v>17122.693416919028</v>
      </c>
      <c r="D455" s="1">
        <f t="shared" si="43"/>
        <v>7002.693416919029</v>
      </c>
      <c r="E455" s="2">
        <v>110</v>
      </c>
      <c r="F455" s="1">
        <v>155.66084924471843</v>
      </c>
      <c r="G455" s="1">
        <v>63.660849244718442</v>
      </c>
      <c r="H455" s="1">
        <v>92</v>
      </c>
      <c r="I455">
        <f t="shared" si="44"/>
        <v>9.2222689428414562</v>
      </c>
      <c r="J455">
        <f t="shared" si="45"/>
        <v>4.5217885770490405</v>
      </c>
      <c r="K455" s="1">
        <f t="shared" si="46"/>
        <v>92</v>
      </c>
      <c r="L455">
        <f t="shared" si="47"/>
        <v>10027.999999999996</v>
      </c>
    </row>
    <row r="456" spans="1:12" x14ac:dyDescent="0.25">
      <c r="A456" s="3">
        <v>40465</v>
      </c>
      <c r="B456" s="1">
        <f t="shared" si="42"/>
        <v>744</v>
      </c>
      <c r="C456" s="1">
        <v>1518.5955767122027</v>
      </c>
      <c r="D456" s="1">
        <f t="shared" si="43"/>
        <v>774.59557671220261</v>
      </c>
      <c r="E456" s="2">
        <v>24</v>
      </c>
      <c r="F456" s="1">
        <v>63.274815696341776</v>
      </c>
      <c r="G456" s="1">
        <v>32.274815696341776</v>
      </c>
      <c r="H456" s="1">
        <v>31</v>
      </c>
      <c r="I456">
        <f t="shared" si="44"/>
        <v>6.6120410348330916</v>
      </c>
      <c r="J456">
        <f t="shared" si="45"/>
        <v>3.4339872044851463</v>
      </c>
      <c r="K456" s="1">
        <f t="shared" si="46"/>
        <v>31</v>
      </c>
      <c r="L456">
        <f t="shared" si="47"/>
        <v>712.99999999999977</v>
      </c>
    </row>
    <row r="457" spans="1:12" x14ac:dyDescent="0.25">
      <c r="A457" s="3">
        <v>40458</v>
      </c>
      <c r="B457" s="1">
        <f t="shared" si="42"/>
        <v>2584</v>
      </c>
      <c r="C457" s="1">
        <v>4791.9945462407004</v>
      </c>
      <c r="D457" s="1">
        <f t="shared" si="43"/>
        <v>2207.9945462406999</v>
      </c>
      <c r="E457" s="2">
        <v>34</v>
      </c>
      <c r="F457" s="1">
        <v>140.94101606590294</v>
      </c>
      <c r="G457" s="1">
        <v>64.941016065902943</v>
      </c>
      <c r="H457" s="1">
        <v>76</v>
      </c>
      <c r="I457">
        <f t="shared" si="44"/>
        <v>7.8570938649024926</v>
      </c>
      <c r="J457">
        <f t="shared" si="45"/>
        <v>4.3307333402863311</v>
      </c>
      <c r="K457" s="1">
        <f t="shared" si="46"/>
        <v>76</v>
      </c>
      <c r="L457">
        <f t="shared" si="47"/>
        <v>2508.0000000000005</v>
      </c>
    </row>
    <row r="458" spans="1:12" x14ac:dyDescent="0.25">
      <c r="A458" s="3">
        <v>40455</v>
      </c>
      <c r="B458" s="1">
        <f t="shared" si="42"/>
        <v>3348</v>
      </c>
      <c r="C458" s="1">
        <v>5858.9756242709436</v>
      </c>
      <c r="D458" s="1">
        <f t="shared" si="43"/>
        <v>2510.9756242709441</v>
      </c>
      <c r="E458" s="2">
        <v>36</v>
      </c>
      <c r="F458" s="1">
        <v>162.74932289641509</v>
      </c>
      <c r="G458" s="1">
        <v>69.749322896415109</v>
      </c>
      <c r="H458" s="1">
        <v>93</v>
      </c>
      <c r="I458">
        <f t="shared" si="44"/>
        <v>8.1161184316093653</v>
      </c>
      <c r="J458">
        <f t="shared" si="45"/>
        <v>4.5325994931532563</v>
      </c>
      <c r="K458" s="1">
        <f t="shared" si="46"/>
        <v>92.999999999999986</v>
      </c>
      <c r="L458">
        <f t="shared" si="47"/>
        <v>3254.9999999999977</v>
      </c>
    </row>
    <row r="459" spans="1:12" x14ac:dyDescent="0.25">
      <c r="A459" s="3">
        <v>40447</v>
      </c>
      <c r="B459" s="1">
        <f t="shared" si="42"/>
        <v>105</v>
      </c>
      <c r="C459" s="1">
        <v>256.35409088773622</v>
      </c>
      <c r="D459" s="1">
        <f t="shared" si="43"/>
        <v>151.35409088773619</v>
      </c>
      <c r="E459" s="2">
        <v>3</v>
      </c>
      <c r="F459" s="1">
        <v>85.451363629245407</v>
      </c>
      <c r="G459" s="1">
        <v>50.4513636292454</v>
      </c>
      <c r="H459" s="1">
        <v>35</v>
      </c>
      <c r="I459">
        <f t="shared" si="44"/>
        <v>4.6539603501575231</v>
      </c>
      <c r="J459">
        <f t="shared" si="45"/>
        <v>3.5553480614894135</v>
      </c>
      <c r="K459" s="1">
        <f t="shared" si="46"/>
        <v>35.000000000000007</v>
      </c>
      <c r="L459">
        <f t="shared" si="47"/>
        <v>69.999999999999972</v>
      </c>
    </row>
    <row r="460" spans="1:12" x14ac:dyDescent="0.25">
      <c r="A460" s="3">
        <v>40446</v>
      </c>
      <c r="B460" s="1">
        <f t="shared" si="42"/>
        <v>1449</v>
      </c>
      <c r="C460" s="1">
        <v>4086.7190900843243</v>
      </c>
      <c r="D460" s="1">
        <f t="shared" si="43"/>
        <v>2637.7190900843243</v>
      </c>
      <c r="E460" s="2">
        <v>23</v>
      </c>
      <c r="F460" s="1">
        <v>177.68343869931846</v>
      </c>
      <c r="G460" s="1">
        <v>114.68343869931844</v>
      </c>
      <c r="H460" s="1">
        <v>63</v>
      </c>
      <c r="I460">
        <f t="shared" si="44"/>
        <v>7.2786289423206822</v>
      </c>
      <c r="J460">
        <f t="shared" si="45"/>
        <v>4.1431347263915326</v>
      </c>
      <c r="K460" s="1">
        <f t="shared" si="46"/>
        <v>63.000000000000014</v>
      </c>
      <c r="L460">
        <f t="shared" si="47"/>
        <v>1385.9999999999998</v>
      </c>
    </row>
    <row r="461" spans="1:12" x14ac:dyDescent="0.25">
      <c r="A461" s="3">
        <v>40444</v>
      </c>
      <c r="B461" s="1">
        <f t="shared" si="42"/>
        <v>4130</v>
      </c>
      <c r="C461" s="1">
        <v>8263.5451526523029</v>
      </c>
      <c r="D461" s="1">
        <f t="shared" si="43"/>
        <v>4133.5451526523038</v>
      </c>
      <c r="E461" s="2">
        <v>35</v>
      </c>
      <c r="F461" s="1">
        <v>236.1012900757801</v>
      </c>
      <c r="G461" s="1">
        <v>118.1012900757801</v>
      </c>
      <c r="H461" s="1">
        <v>118</v>
      </c>
      <c r="I461">
        <f t="shared" si="44"/>
        <v>8.3260326859550791</v>
      </c>
      <c r="J461">
        <f t="shared" si="45"/>
        <v>4.7706846244656651</v>
      </c>
      <c r="K461" s="1">
        <f t="shared" si="46"/>
        <v>118</v>
      </c>
      <c r="L461">
        <f t="shared" si="47"/>
        <v>4012.0000000000027</v>
      </c>
    </row>
    <row r="462" spans="1:12" x14ac:dyDescent="0.25">
      <c r="A462" s="3">
        <v>40444</v>
      </c>
      <c r="B462" s="1">
        <f t="shared" si="42"/>
        <v>144</v>
      </c>
      <c r="C462" s="1">
        <v>345.29450063896036</v>
      </c>
      <c r="D462" s="1">
        <f t="shared" si="43"/>
        <v>201.29450063896039</v>
      </c>
      <c r="E462" s="2">
        <v>4</v>
      </c>
      <c r="F462" s="1">
        <v>86.323625159740089</v>
      </c>
      <c r="G462" s="1">
        <v>50.323625159740097</v>
      </c>
      <c r="H462" s="1">
        <v>36</v>
      </c>
      <c r="I462">
        <f t="shared" si="44"/>
        <v>4.9698132995760007</v>
      </c>
      <c r="J462">
        <f t="shared" si="45"/>
        <v>3.5835189384561099</v>
      </c>
      <c r="K462" s="1">
        <f t="shared" si="46"/>
        <v>35.999999999999993</v>
      </c>
      <c r="L462">
        <f t="shared" si="47"/>
        <v>108</v>
      </c>
    </row>
    <row r="463" spans="1:12" x14ac:dyDescent="0.25">
      <c r="A463" s="3">
        <v>40441</v>
      </c>
      <c r="B463" s="1">
        <f t="shared" si="42"/>
        <v>1770</v>
      </c>
      <c r="C463" s="1">
        <v>4623.846363739548</v>
      </c>
      <c r="D463" s="1">
        <f t="shared" si="43"/>
        <v>2853.846363739548</v>
      </c>
      <c r="E463" s="2">
        <v>30</v>
      </c>
      <c r="F463" s="1">
        <v>154.12821212465161</v>
      </c>
      <c r="G463" s="1">
        <v>95.128212124651597</v>
      </c>
      <c r="H463" s="1">
        <v>59</v>
      </c>
      <c r="I463">
        <f t="shared" si="44"/>
        <v>7.4787348255678747</v>
      </c>
      <c r="J463">
        <f t="shared" si="45"/>
        <v>4.0775374439057197</v>
      </c>
      <c r="K463" s="1">
        <f t="shared" si="46"/>
        <v>59.000000000000014</v>
      </c>
      <c r="L463">
        <f t="shared" si="47"/>
        <v>1710.9999999999998</v>
      </c>
    </row>
    <row r="464" spans="1:12" x14ac:dyDescent="0.25">
      <c r="A464" s="3">
        <v>40439</v>
      </c>
      <c r="B464" s="1">
        <f t="shared" si="42"/>
        <v>1020</v>
      </c>
      <c r="C464" s="1">
        <v>1794.2259205206624</v>
      </c>
      <c r="D464" s="1">
        <f t="shared" si="43"/>
        <v>774.22592052066261</v>
      </c>
      <c r="E464" s="2">
        <v>10</v>
      </c>
      <c r="F464" s="1">
        <v>179.42259205206625</v>
      </c>
      <c r="G464" s="1">
        <v>77.422592052066264</v>
      </c>
      <c r="H464" s="1">
        <v>102</v>
      </c>
      <c r="I464">
        <f t="shared" si="44"/>
        <v>6.9275579062783166</v>
      </c>
      <c r="J464">
        <f t="shared" si="45"/>
        <v>4.6249728132842707</v>
      </c>
      <c r="K464" s="1">
        <f t="shared" si="46"/>
        <v>101.99999999999999</v>
      </c>
      <c r="L464">
        <f t="shared" si="47"/>
        <v>917.99999999999977</v>
      </c>
    </row>
    <row r="465" spans="1:12" x14ac:dyDescent="0.25">
      <c r="A465" s="3">
        <v>40431</v>
      </c>
      <c r="B465" s="1">
        <f t="shared" si="42"/>
        <v>460</v>
      </c>
      <c r="C465" s="1">
        <v>780.72550095270969</v>
      </c>
      <c r="D465" s="1">
        <f t="shared" si="43"/>
        <v>320.72550095270969</v>
      </c>
      <c r="E465" s="2">
        <v>23</v>
      </c>
      <c r="F465" s="1">
        <v>33.944586997943901</v>
      </c>
      <c r="G465" s="1">
        <v>13.944586997943901</v>
      </c>
      <c r="H465" s="1">
        <v>20</v>
      </c>
      <c r="I465">
        <f t="shared" si="44"/>
        <v>6.131226489483141</v>
      </c>
      <c r="J465">
        <f t="shared" si="45"/>
        <v>2.9957322735539909</v>
      </c>
      <c r="K465" s="1">
        <f t="shared" si="46"/>
        <v>20</v>
      </c>
      <c r="L465">
        <f t="shared" si="47"/>
        <v>440.00000000000011</v>
      </c>
    </row>
    <row r="466" spans="1:12" x14ac:dyDescent="0.25">
      <c r="A466" s="3">
        <v>40423</v>
      </c>
      <c r="B466" s="1">
        <f t="shared" si="42"/>
        <v>664</v>
      </c>
      <c r="C466" s="1">
        <v>1209.3993858695258</v>
      </c>
      <c r="D466" s="1">
        <f t="shared" si="43"/>
        <v>545.39938586952564</v>
      </c>
      <c r="E466" s="2">
        <v>8</v>
      </c>
      <c r="F466" s="1">
        <v>151.17492323369072</v>
      </c>
      <c r="G466" s="1">
        <v>68.174923233690706</v>
      </c>
      <c r="H466" s="1">
        <v>83</v>
      </c>
      <c r="I466">
        <f t="shared" si="44"/>
        <v>6.4982821494764336</v>
      </c>
      <c r="J466">
        <f t="shared" si="45"/>
        <v>4.4188406077965983</v>
      </c>
      <c r="K466" s="1">
        <f t="shared" si="46"/>
        <v>83.000000000000014</v>
      </c>
      <c r="L466">
        <f t="shared" si="47"/>
        <v>580.99999999999977</v>
      </c>
    </row>
    <row r="467" spans="1:12" x14ac:dyDescent="0.25">
      <c r="A467" s="3">
        <v>40423</v>
      </c>
      <c r="B467" s="1">
        <f t="shared" si="42"/>
        <v>12183</v>
      </c>
      <c r="C467" s="1">
        <v>22023.725259081082</v>
      </c>
      <c r="D467" s="1">
        <f t="shared" si="43"/>
        <v>9840.7252590810804</v>
      </c>
      <c r="E467" s="2">
        <v>93</v>
      </c>
      <c r="F467" s="1">
        <v>236.81425009764604</v>
      </c>
      <c r="G467" s="1">
        <v>105.81425009764602</v>
      </c>
      <c r="H467" s="1">
        <v>131</v>
      </c>
      <c r="I467">
        <f t="shared" si="44"/>
        <v>9.4077968163544075</v>
      </c>
      <c r="J467">
        <f t="shared" si="45"/>
        <v>4.8751973232011512</v>
      </c>
      <c r="K467" s="1">
        <f t="shared" si="46"/>
        <v>131</v>
      </c>
      <c r="L467">
        <f t="shared" si="47"/>
        <v>12052</v>
      </c>
    </row>
    <row r="468" spans="1:12" x14ac:dyDescent="0.25">
      <c r="A468" s="3">
        <v>40420</v>
      </c>
      <c r="B468" s="1">
        <f t="shared" si="42"/>
        <v>637</v>
      </c>
      <c r="C468" s="1">
        <v>1318.2541184066208</v>
      </c>
      <c r="D468" s="1">
        <f t="shared" si="43"/>
        <v>681.25411840662071</v>
      </c>
      <c r="E468" s="2">
        <v>13</v>
      </c>
      <c r="F468" s="1">
        <v>101.40416295435544</v>
      </c>
      <c r="G468" s="1">
        <v>52.404162954355442</v>
      </c>
      <c r="H468" s="1">
        <v>49</v>
      </c>
      <c r="I468">
        <f t="shared" si="44"/>
        <v>6.4567696555721632</v>
      </c>
      <c r="J468">
        <f t="shared" si="45"/>
        <v>3.8918202981106265</v>
      </c>
      <c r="K468" s="1">
        <f t="shared" si="46"/>
        <v>49</v>
      </c>
      <c r="L468">
        <f t="shared" si="47"/>
        <v>587.99999999999989</v>
      </c>
    </row>
    <row r="469" spans="1:12" x14ac:dyDescent="0.25">
      <c r="A469" s="3">
        <v>40415</v>
      </c>
      <c r="B469" s="1">
        <f t="shared" si="42"/>
        <v>452</v>
      </c>
      <c r="C469" s="1">
        <v>763.94097526845667</v>
      </c>
      <c r="D469" s="1">
        <f t="shared" si="43"/>
        <v>311.94097526845673</v>
      </c>
      <c r="E469" s="2">
        <v>4</v>
      </c>
      <c r="F469" s="1">
        <v>190.98524381711417</v>
      </c>
      <c r="G469" s="1">
        <v>77.985243817114181</v>
      </c>
      <c r="H469" s="1">
        <v>113</v>
      </c>
      <c r="I469">
        <f t="shared" si="44"/>
        <v>6.1136821798322316</v>
      </c>
      <c r="J469">
        <f t="shared" si="45"/>
        <v>4.7273878187123408</v>
      </c>
      <c r="K469" s="1">
        <f t="shared" si="46"/>
        <v>112.99999999999999</v>
      </c>
      <c r="L469">
        <f t="shared" si="47"/>
        <v>339.00000000000011</v>
      </c>
    </row>
    <row r="470" spans="1:12" x14ac:dyDescent="0.25">
      <c r="A470" s="3">
        <v>40408</v>
      </c>
      <c r="B470" s="1">
        <f t="shared" si="42"/>
        <v>1404</v>
      </c>
      <c r="C470" s="1">
        <v>2586.6375304478952</v>
      </c>
      <c r="D470" s="1">
        <f t="shared" si="43"/>
        <v>1182.6375304478954</v>
      </c>
      <c r="E470" s="2">
        <v>26</v>
      </c>
      <c r="F470" s="1">
        <v>99.486058863380592</v>
      </c>
      <c r="G470" s="1">
        <v>45.486058863380592</v>
      </c>
      <c r="H470" s="1">
        <v>54</v>
      </c>
      <c r="I470">
        <f t="shared" si="44"/>
        <v>7.2470805845857562</v>
      </c>
      <c r="J470">
        <f t="shared" si="45"/>
        <v>3.9889840465642745</v>
      </c>
      <c r="K470" s="1">
        <f t="shared" si="46"/>
        <v>54</v>
      </c>
      <c r="L470">
        <f t="shared" si="47"/>
        <v>1349.9999999999998</v>
      </c>
    </row>
    <row r="471" spans="1:12" x14ac:dyDescent="0.25">
      <c r="A471" s="3">
        <v>40407</v>
      </c>
      <c r="B471" s="1">
        <f t="shared" si="42"/>
        <v>252</v>
      </c>
      <c r="C471" s="1">
        <v>443.26545180105126</v>
      </c>
      <c r="D471" s="1">
        <f t="shared" si="43"/>
        <v>191.26545180105128</v>
      </c>
      <c r="E471" s="2">
        <v>6</v>
      </c>
      <c r="F471" s="1">
        <v>73.877575300175209</v>
      </c>
      <c r="G471" s="1">
        <v>31.877575300175213</v>
      </c>
      <c r="H471" s="1">
        <v>42</v>
      </c>
      <c r="I471">
        <f t="shared" si="44"/>
        <v>5.5294290875114234</v>
      </c>
      <c r="J471">
        <f t="shared" si="45"/>
        <v>3.7376696182833684</v>
      </c>
      <c r="K471" s="1">
        <f t="shared" si="46"/>
        <v>42</v>
      </c>
      <c r="L471">
        <f t="shared" si="47"/>
        <v>210.00000000000003</v>
      </c>
    </row>
    <row r="472" spans="1:12" x14ac:dyDescent="0.25">
      <c r="A472" s="3">
        <v>40400</v>
      </c>
      <c r="B472" s="1">
        <f t="shared" si="42"/>
        <v>3540</v>
      </c>
      <c r="C472" s="1">
        <v>7015.145952615484</v>
      </c>
      <c r="D472" s="1">
        <f t="shared" si="43"/>
        <v>3475.145952615484</v>
      </c>
      <c r="E472" s="2">
        <v>60</v>
      </c>
      <c r="F472" s="1">
        <v>116.91909921025807</v>
      </c>
      <c r="G472" s="1">
        <v>57.919099210258068</v>
      </c>
      <c r="H472" s="1">
        <v>59</v>
      </c>
      <c r="I472">
        <f t="shared" si="44"/>
        <v>8.1718820061278201</v>
      </c>
      <c r="J472">
        <f t="shared" si="45"/>
        <v>4.0775374439057197</v>
      </c>
      <c r="K472" s="1">
        <f t="shared" si="46"/>
        <v>59</v>
      </c>
      <c r="L472">
        <f t="shared" si="47"/>
        <v>3481</v>
      </c>
    </row>
    <row r="473" spans="1:12" x14ac:dyDescent="0.25">
      <c r="A473" s="3">
        <v>40397</v>
      </c>
      <c r="B473" s="1">
        <f t="shared" si="42"/>
        <v>430</v>
      </c>
      <c r="C473" s="1">
        <v>982.11493250313515</v>
      </c>
      <c r="D473" s="1">
        <f t="shared" si="43"/>
        <v>552.11493250313515</v>
      </c>
      <c r="E473" s="2">
        <v>10</v>
      </c>
      <c r="F473" s="1">
        <v>98.211493250313509</v>
      </c>
      <c r="G473" s="1">
        <v>55.211493250313517</v>
      </c>
      <c r="H473" s="1">
        <v>43</v>
      </c>
      <c r="I473">
        <f t="shared" si="44"/>
        <v>6.0637852086876078</v>
      </c>
      <c r="J473">
        <f t="shared" si="45"/>
        <v>3.7612001156935624</v>
      </c>
      <c r="K473" s="1">
        <f t="shared" si="46"/>
        <v>42.999999999999993</v>
      </c>
      <c r="L473">
        <f t="shared" si="47"/>
        <v>386.99999999999989</v>
      </c>
    </row>
    <row r="474" spans="1:12" x14ac:dyDescent="0.25">
      <c r="A474" s="3">
        <v>40390</v>
      </c>
      <c r="B474" s="1">
        <f t="shared" si="42"/>
        <v>272</v>
      </c>
      <c r="C474" s="1">
        <v>618.98949915300557</v>
      </c>
      <c r="D474" s="1">
        <f t="shared" si="43"/>
        <v>346.98949915300557</v>
      </c>
      <c r="E474" s="2">
        <v>16</v>
      </c>
      <c r="F474" s="1">
        <v>38.686843697062848</v>
      </c>
      <c r="G474" s="1">
        <v>21.686843697062848</v>
      </c>
      <c r="H474" s="1">
        <v>17</v>
      </c>
      <c r="I474">
        <f t="shared" si="44"/>
        <v>5.6058020662959978</v>
      </c>
      <c r="J474">
        <f t="shared" si="45"/>
        <v>2.8332133440562162</v>
      </c>
      <c r="K474" s="1">
        <f t="shared" si="46"/>
        <v>17</v>
      </c>
      <c r="L474">
        <f t="shared" si="47"/>
        <v>255.00000000000011</v>
      </c>
    </row>
    <row r="475" spans="1:12" x14ac:dyDescent="0.25">
      <c r="A475" s="3">
        <v>40375</v>
      </c>
      <c r="B475" s="1">
        <f t="shared" si="42"/>
        <v>2583</v>
      </c>
      <c r="C475" s="1">
        <v>4951.9254660378883</v>
      </c>
      <c r="D475" s="1">
        <f t="shared" si="43"/>
        <v>2368.9254660378888</v>
      </c>
      <c r="E475" s="2">
        <v>41</v>
      </c>
      <c r="F475" s="1">
        <v>120.77866990336314</v>
      </c>
      <c r="G475" s="1">
        <v>57.778669903363138</v>
      </c>
      <c r="H475" s="1">
        <v>63</v>
      </c>
      <c r="I475">
        <f t="shared" si="44"/>
        <v>7.8567067930958405</v>
      </c>
      <c r="J475">
        <f t="shared" si="45"/>
        <v>4.1431347263915326</v>
      </c>
      <c r="K475" s="1">
        <f t="shared" si="46"/>
        <v>63</v>
      </c>
      <c r="L475">
        <f t="shared" si="47"/>
        <v>2520</v>
      </c>
    </row>
    <row r="476" spans="1:12" x14ac:dyDescent="0.25">
      <c r="A476" s="3">
        <v>40372</v>
      </c>
      <c r="B476" s="1">
        <f t="shared" si="42"/>
        <v>2288</v>
      </c>
      <c r="C476" s="1">
        <v>6748.486470351565</v>
      </c>
      <c r="D476" s="1">
        <f t="shared" si="43"/>
        <v>4460.4864703515659</v>
      </c>
      <c r="E476" s="2">
        <v>44</v>
      </c>
      <c r="F476" s="1">
        <v>153.37469250799012</v>
      </c>
      <c r="G476" s="1">
        <v>101.37469250799013</v>
      </c>
      <c r="H476" s="1">
        <v>52</v>
      </c>
      <c r="I476">
        <f t="shared" si="44"/>
        <v>7.7354333524996886</v>
      </c>
      <c r="J476">
        <f t="shared" si="45"/>
        <v>3.9512437185814275</v>
      </c>
      <c r="K476" s="1">
        <f t="shared" si="46"/>
        <v>51.999999999999986</v>
      </c>
      <c r="L476">
        <f t="shared" si="47"/>
        <v>2236</v>
      </c>
    </row>
    <row r="477" spans="1:12" x14ac:dyDescent="0.25">
      <c r="A477" s="3">
        <v>40363</v>
      </c>
      <c r="B477" s="1">
        <f t="shared" si="42"/>
        <v>3225</v>
      </c>
      <c r="C477" s="1">
        <v>6468.3480676119561</v>
      </c>
      <c r="D477" s="1">
        <f t="shared" si="43"/>
        <v>3243.3480676119561</v>
      </c>
      <c r="E477" s="2">
        <v>43</v>
      </c>
      <c r="F477" s="1">
        <v>150.42669924678967</v>
      </c>
      <c r="G477" s="1">
        <v>75.426699246789681</v>
      </c>
      <c r="H477" s="1">
        <v>75</v>
      </c>
      <c r="I477">
        <f t="shared" si="44"/>
        <v>8.0786882292298721</v>
      </c>
      <c r="J477">
        <f t="shared" si="45"/>
        <v>4.3174881135363101</v>
      </c>
      <c r="K477" s="1">
        <f t="shared" si="46"/>
        <v>74.999999999999986</v>
      </c>
      <c r="L477">
        <f t="shared" si="47"/>
        <v>3149.9999999999973</v>
      </c>
    </row>
    <row r="478" spans="1:12" x14ac:dyDescent="0.25">
      <c r="A478" s="3">
        <v>40359</v>
      </c>
      <c r="B478" s="1">
        <f t="shared" si="42"/>
        <v>184</v>
      </c>
      <c r="C478" s="1">
        <v>414.06691433863864</v>
      </c>
      <c r="D478" s="1">
        <f t="shared" si="43"/>
        <v>230.06691433863864</v>
      </c>
      <c r="E478" s="2">
        <v>4</v>
      </c>
      <c r="F478" s="1">
        <v>103.51672858465966</v>
      </c>
      <c r="G478" s="1">
        <v>57.51672858465966</v>
      </c>
      <c r="H478" s="1">
        <v>46</v>
      </c>
      <c r="I478">
        <f t="shared" si="44"/>
        <v>5.2149357576089859</v>
      </c>
      <c r="J478">
        <f t="shared" si="45"/>
        <v>3.8286413964890951</v>
      </c>
      <c r="K478" s="1">
        <f t="shared" si="46"/>
        <v>46</v>
      </c>
      <c r="L478">
        <f t="shared" si="47"/>
        <v>138.00000000000006</v>
      </c>
    </row>
    <row r="479" spans="1:12" x14ac:dyDescent="0.25">
      <c r="A479" s="3">
        <v>40356</v>
      </c>
      <c r="B479" s="1">
        <f t="shared" si="42"/>
        <v>42</v>
      </c>
      <c r="C479" s="1">
        <v>89.96623369755919</v>
      </c>
      <c r="D479" s="1">
        <f t="shared" si="43"/>
        <v>47.96623369755919</v>
      </c>
      <c r="E479" s="2">
        <v>1</v>
      </c>
      <c r="F479" s="1">
        <v>89.96623369755919</v>
      </c>
      <c r="G479" s="1">
        <v>47.96623369755919</v>
      </c>
      <c r="H479" s="1">
        <v>42</v>
      </c>
      <c r="I479">
        <f t="shared" si="44"/>
        <v>3.7376696182833684</v>
      </c>
      <c r="J479">
        <f t="shared" si="45"/>
        <v>3.7376696182833684</v>
      </c>
      <c r="K479" s="1">
        <f t="shared" si="46"/>
        <v>42</v>
      </c>
      <c r="L479">
        <f t="shared" si="47"/>
        <v>0</v>
      </c>
    </row>
    <row r="480" spans="1:12" x14ac:dyDescent="0.25">
      <c r="A480" s="3">
        <v>40354</v>
      </c>
      <c r="B480" s="1">
        <f t="shared" si="42"/>
        <v>1666</v>
      </c>
      <c r="C480" s="1">
        <v>2903.1536950699506</v>
      </c>
      <c r="D480" s="1">
        <f t="shared" si="43"/>
        <v>1237.1536950699508</v>
      </c>
      <c r="E480" s="2">
        <v>17</v>
      </c>
      <c r="F480" s="1">
        <v>170.77374676882062</v>
      </c>
      <c r="G480" s="1">
        <v>72.773746768820629</v>
      </c>
      <c r="H480" s="1">
        <v>98</v>
      </c>
      <c r="I480">
        <f t="shared" si="44"/>
        <v>7.4181808227267876</v>
      </c>
      <c r="J480">
        <f t="shared" si="45"/>
        <v>4.5849674786705723</v>
      </c>
      <c r="K480" s="1">
        <f t="shared" si="46"/>
        <v>97.999999999999986</v>
      </c>
      <c r="L480">
        <f t="shared" si="47"/>
        <v>1567.9999999999993</v>
      </c>
    </row>
    <row r="481" spans="1:12" x14ac:dyDescent="0.25">
      <c r="A481" s="3">
        <v>40351</v>
      </c>
      <c r="B481" s="1">
        <f t="shared" si="42"/>
        <v>1232</v>
      </c>
      <c r="C481" s="1">
        <v>2630.0389078944636</v>
      </c>
      <c r="D481" s="1">
        <f t="shared" si="43"/>
        <v>1398.0389078944638</v>
      </c>
      <c r="E481" s="2">
        <v>28</v>
      </c>
      <c r="F481" s="1">
        <v>93.929960996230847</v>
      </c>
      <c r="G481" s="1">
        <v>49.929960996230854</v>
      </c>
      <c r="H481" s="1">
        <v>44</v>
      </c>
      <c r="I481">
        <f t="shared" si="44"/>
        <v>7.1163941440934648</v>
      </c>
      <c r="J481">
        <f t="shared" si="45"/>
        <v>3.784189633918261</v>
      </c>
      <c r="K481" s="1">
        <f t="shared" si="46"/>
        <v>43.999999999999993</v>
      </c>
      <c r="L481">
        <f t="shared" si="47"/>
        <v>1187.9999999999998</v>
      </c>
    </row>
    <row r="482" spans="1:12" x14ac:dyDescent="0.25">
      <c r="A482" s="3">
        <v>40347</v>
      </c>
      <c r="B482" s="1">
        <f t="shared" si="42"/>
        <v>2000</v>
      </c>
      <c r="C482" s="1">
        <v>3378.3484606553116</v>
      </c>
      <c r="D482" s="1">
        <f t="shared" si="43"/>
        <v>1378.3484606553116</v>
      </c>
      <c r="E482" s="2">
        <v>25</v>
      </c>
      <c r="F482" s="1">
        <v>135.13393842621247</v>
      </c>
      <c r="G482" s="1">
        <v>55.13393842621246</v>
      </c>
      <c r="H482" s="1">
        <v>80</v>
      </c>
      <c r="I482">
        <f t="shared" si="44"/>
        <v>7.6009024595420822</v>
      </c>
      <c r="J482">
        <f t="shared" si="45"/>
        <v>4.3820266346738812</v>
      </c>
      <c r="K482" s="1">
        <f t="shared" si="46"/>
        <v>80</v>
      </c>
      <c r="L482">
        <f t="shared" si="47"/>
        <v>1919.9999999999998</v>
      </c>
    </row>
    <row r="483" spans="1:12" x14ac:dyDescent="0.25">
      <c r="A483" s="3">
        <v>40347</v>
      </c>
      <c r="B483" s="1">
        <f t="shared" si="42"/>
        <v>1702</v>
      </c>
      <c r="C483" s="1">
        <v>4183.6563792061716</v>
      </c>
      <c r="D483" s="1">
        <f t="shared" si="43"/>
        <v>2481.6563792061716</v>
      </c>
      <c r="E483" s="2">
        <v>46</v>
      </c>
      <c r="F483" s="1">
        <v>90.949051721873303</v>
      </c>
      <c r="G483" s="1">
        <v>53.949051721873296</v>
      </c>
      <c r="H483" s="1">
        <v>37</v>
      </c>
      <c r="I483">
        <f t="shared" si="44"/>
        <v>7.4395593091333199</v>
      </c>
      <c r="J483">
        <f t="shared" si="45"/>
        <v>3.6109179126442243</v>
      </c>
      <c r="K483" s="1">
        <f t="shared" si="46"/>
        <v>37.000000000000007</v>
      </c>
      <c r="L483">
        <f t="shared" si="47"/>
        <v>1665.0000000000007</v>
      </c>
    </row>
    <row r="484" spans="1:12" x14ac:dyDescent="0.25">
      <c r="A484" s="3">
        <v>40339</v>
      </c>
      <c r="B484" s="1">
        <f t="shared" si="42"/>
        <v>465</v>
      </c>
      <c r="C484" s="1">
        <v>848.0697168269046</v>
      </c>
      <c r="D484" s="1">
        <f t="shared" si="43"/>
        <v>383.06971682690465</v>
      </c>
      <c r="E484" s="2">
        <v>15</v>
      </c>
      <c r="F484" s="1">
        <v>56.537981121793642</v>
      </c>
      <c r="G484" s="1">
        <v>25.537981121793642</v>
      </c>
      <c r="H484" s="1">
        <v>31</v>
      </c>
      <c r="I484">
        <f t="shared" si="44"/>
        <v>6.1420374055873559</v>
      </c>
      <c r="J484">
        <f t="shared" si="45"/>
        <v>3.4339872044851463</v>
      </c>
      <c r="K484" s="1">
        <f t="shared" si="46"/>
        <v>31</v>
      </c>
      <c r="L484">
        <f t="shared" si="47"/>
        <v>433.99999999999983</v>
      </c>
    </row>
    <row r="485" spans="1:12" x14ac:dyDescent="0.25">
      <c r="A485" s="3">
        <v>40338</v>
      </c>
      <c r="B485" s="1">
        <f t="shared" si="42"/>
        <v>426</v>
      </c>
      <c r="C485" s="1">
        <v>964.86638084696472</v>
      </c>
      <c r="D485" s="1">
        <f t="shared" si="43"/>
        <v>538.86638084696483</v>
      </c>
      <c r="E485" s="2">
        <v>6</v>
      </c>
      <c r="F485" s="1">
        <v>160.81106347449412</v>
      </c>
      <c r="G485" s="1">
        <v>89.811063474494134</v>
      </c>
      <c r="H485" s="1">
        <v>71</v>
      </c>
      <c r="I485">
        <f t="shared" si="44"/>
        <v>6.0544393462693709</v>
      </c>
      <c r="J485">
        <f t="shared" si="45"/>
        <v>4.2626798770413155</v>
      </c>
      <c r="K485" s="1">
        <f t="shared" si="46"/>
        <v>70.999999999999986</v>
      </c>
      <c r="L485">
        <f t="shared" si="47"/>
        <v>355.00000000000017</v>
      </c>
    </row>
    <row r="486" spans="1:12" x14ac:dyDescent="0.25">
      <c r="A486" s="3">
        <v>40335</v>
      </c>
      <c r="B486" s="1">
        <f t="shared" si="42"/>
        <v>4292</v>
      </c>
      <c r="C486" s="1">
        <v>8658.1721704878455</v>
      </c>
      <c r="D486" s="1">
        <f t="shared" si="43"/>
        <v>4366.1721704878446</v>
      </c>
      <c r="E486" s="2">
        <v>74</v>
      </c>
      <c r="F486" s="1">
        <v>117.00232662821412</v>
      </c>
      <c r="G486" s="1">
        <v>59.002326628214121</v>
      </c>
      <c r="H486" s="1">
        <v>58</v>
      </c>
      <c r="I486">
        <f t="shared" si="44"/>
        <v>8.3645081037505893</v>
      </c>
      <c r="J486">
        <f t="shared" si="45"/>
        <v>4.0604430105464191</v>
      </c>
      <c r="K486" s="1">
        <f t="shared" si="46"/>
        <v>58</v>
      </c>
      <c r="L486">
        <f t="shared" si="47"/>
        <v>4234.0000000000009</v>
      </c>
    </row>
    <row r="487" spans="1:12" x14ac:dyDescent="0.25">
      <c r="A487" s="3">
        <v>40334</v>
      </c>
      <c r="B487" s="1">
        <f t="shared" si="42"/>
        <v>123</v>
      </c>
      <c r="C487" s="1">
        <v>337.21854017724979</v>
      </c>
      <c r="D487" s="1">
        <f t="shared" si="43"/>
        <v>214.21854017724976</v>
      </c>
      <c r="E487" s="2">
        <v>3</v>
      </c>
      <c r="F487" s="1">
        <v>112.40618005908325</v>
      </c>
      <c r="G487" s="1">
        <v>71.406180059083255</v>
      </c>
      <c r="H487" s="1">
        <v>41</v>
      </c>
      <c r="I487">
        <f t="shared" si="44"/>
        <v>4.8121843553724171</v>
      </c>
      <c r="J487">
        <f t="shared" si="45"/>
        <v>3.713572066704308</v>
      </c>
      <c r="K487" s="1">
        <f t="shared" si="46"/>
        <v>41</v>
      </c>
      <c r="L487">
        <f t="shared" si="47"/>
        <v>81.999999999999943</v>
      </c>
    </row>
    <row r="488" spans="1:12" x14ac:dyDescent="0.25">
      <c r="A488" s="3">
        <v>40326</v>
      </c>
      <c r="B488" s="1">
        <f t="shared" si="42"/>
        <v>756</v>
      </c>
      <c r="C488" s="1">
        <v>1295.925097787381</v>
      </c>
      <c r="D488" s="1">
        <f t="shared" si="43"/>
        <v>539.92509778738099</v>
      </c>
      <c r="E488" s="2">
        <v>14</v>
      </c>
      <c r="F488" s="1">
        <v>92.566078413384361</v>
      </c>
      <c r="G488" s="1">
        <v>38.566078413384361</v>
      </c>
      <c r="H488" s="1">
        <v>54</v>
      </c>
      <c r="I488">
        <f t="shared" si="44"/>
        <v>6.6280413761795334</v>
      </c>
      <c r="J488">
        <f t="shared" si="45"/>
        <v>3.9889840465642745</v>
      </c>
      <c r="K488" s="1">
        <f t="shared" si="46"/>
        <v>54</v>
      </c>
      <c r="L488">
        <f t="shared" si="47"/>
        <v>702.00000000000023</v>
      </c>
    </row>
    <row r="489" spans="1:12" x14ac:dyDescent="0.25">
      <c r="A489" s="3">
        <v>40316</v>
      </c>
      <c r="B489" s="1">
        <f t="shared" si="42"/>
        <v>828</v>
      </c>
      <c r="C489" s="1">
        <v>1683.8166036367622</v>
      </c>
      <c r="D489" s="1">
        <f t="shared" si="43"/>
        <v>855.81660363676235</v>
      </c>
      <c r="E489" s="2">
        <v>9</v>
      </c>
      <c r="F489" s="1">
        <v>187.09073373741802</v>
      </c>
      <c r="G489" s="1">
        <v>95.090733737418034</v>
      </c>
      <c r="H489" s="1">
        <v>92</v>
      </c>
      <c r="I489">
        <f t="shared" si="44"/>
        <v>6.7190131543852596</v>
      </c>
      <c r="J489">
        <f t="shared" si="45"/>
        <v>4.5217885770490405</v>
      </c>
      <c r="K489" s="1">
        <f t="shared" si="46"/>
        <v>91.999999999999986</v>
      </c>
      <c r="L489">
        <f t="shared" si="47"/>
        <v>735.99999999999989</v>
      </c>
    </row>
    <row r="490" spans="1:12" x14ac:dyDescent="0.25">
      <c r="A490" s="3">
        <v>40311</v>
      </c>
      <c r="B490" s="1">
        <f t="shared" si="42"/>
        <v>350</v>
      </c>
      <c r="C490" s="1">
        <v>628.09242336854265</v>
      </c>
      <c r="D490" s="1">
        <f t="shared" si="43"/>
        <v>278.0924233685426</v>
      </c>
      <c r="E490" s="2">
        <v>5</v>
      </c>
      <c r="F490" s="1">
        <v>125.61848467370852</v>
      </c>
      <c r="G490" s="1">
        <v>55.618484673708522</v>
      </c>
      <c r="H490" s="1">
        <v>70</v>
      </c>
      <c r="I490">
        <f t="shared" si="44"/>
        <v>5.857933154483459</v>
      </c>
      <c r="J490">
        <f t="shared" si="45"/>
        <v>4.2484952420493594</v>
      </c>
      <c r="K490" s="1">
        <f t="shared" si="46"/>
        <v>70</v>
      </c>
      <c r="L490">
        <f t="shared" si="47"/>
        <v>279.99999999999989</v>
      </c>
    </row>
    <row r="491" spans="1:12" x14ac:dyDescent="0.25">
      <c r="A491" s="3">
        <v>40295</v>
      </c>
      <c r="B491" s="1">
        <f t="shared" si="42"/>
        <v>777</v>
      </c>
      <c r="C491" s="1">
        <v>1585.3966300054008</v>
      </c>
      <c r="D491" s="1">
        <f t="shared" si="43"/>
        <v>808.39663000540065</v>
      </c>
      <c r="E491" s="2">
        <v>21</v>
      </c>
      <c r="F491" s="1">
        <v>75.495077619304794</v>
      </c>
      <c r="G491" s="1">
        <v>38.495077619304794</v>
      </c>
      <c r="H491" s="1">
        <v>37</v>
      </c>
      <c r="I491">
        <f t="shared" si="44"/>
        <v>6.6554403503676474</v>
      </c>
      <c r="J491">
        <f t="shared" si="45"/>
        <v>3.6109179126442243</v>
      </c>
      <c r="K491" s="1">
        <f t="shared" si="46"/>
        <v>37</v>
      </c>
      <c r="L491">
        <f t="shared" si="47"/>
        <v>739.99999999999989</v>
      </c>
    </row>
    <row r="492" spans="1:12" x14ac:dyDescent="0.25">
      <c r="A492" s="3">
        <v>40257</v>
      </c>
      <c r="B492" s="1">
        <f t="shared" si="42"/>
        <v>1904</v>
      </c>
      <c r="C492" s="1">
        <v>5047.5108712241881</v>
      </c>
      <c r="D492" s="1">
        <f t="shared" si="43"/>
        <v>3143.5108712241881</v>
      </c>
      <c r="E492" s="2">
        <v>28</v>
      </c>
      <c r="F492" s="1">
        <v>180.26824540086386</v>
      </c>
      <c r="G492" s="1">
        <v>112.26824540086386</v>
      </c>
      <c r="H492" s="1">
        <v>68</v>
      </c>
      <c r="I492">
        <f t="shared" si="44"/>
        <v>7.5517122153513103</v>
      </c>
      <c r="J492">
        <f t="shared" si="45"/>
        <v>4.219507705176107</v>
      </c>
      <c r="K492" s="1">
        <f t="shared" si="46"/>
        <v>68</v>
      </c>
      <c r="L492">
        <f t="shared" si="47"/>
        <v>1835.9999999999993</v>
      </c>
    </row>
    <row r="493" spans="1:12" x14ac:dyDescent="0.25">
      <c r="A493" s="3">
        <v>40249</v>
      </c>
      <c r="B493" s="1">
        <f t="shared" si="42"/>
        <v>360</v>
      </c>
      <c r="C493" s="1">
        <v>799.92518184745131</v>
      </c>
      <c r="D493" s="1">
        <f t="shared" si="43"/>
        <v>439.92518184745143</v>
      </c>
      <c r="E493" s="2">
        <v>6</v>
      </c>
      <c r="F493" s="1">
        <v>133.32086364124189</v>
      </c>
      <c r="G493" s="1">
        <v>73.3208636412419</v>
      </c>
      <c r="H493" s="1">
        <v>60</v>
      </c>
      <c r="I493">
        <f t="shared" si="44"/>
        <v>5.8861040314501558</v>
      </c>
      <c r="J493">
        <f t="shared" si="45"/>
        <v>4.0943445622221004</v>
      </c>
      <c r="K493" s="1">
        <f t="shared" si="46"/>
        <v>59.999999999999986</v>
      </c>
      <c r="L493">
        <f t="shared" si="47"/>
        <v>300.00000000000006</v>
      </c>
    </row>
    <row r="494" spans="1:12" x14ac:dyDescent="0.25">
      <c r="A494" s="3">
        <v>40228</v>
      </c>
      <c r="B494" s="1">
        <f t="shared" si="42"/>
        <v>11323</v>
      </c>
      <c r="C494" s="1">
        <v>19040.104774431122</v>
      </c>
      <c r="D494" s="1">
        <f t="shared" si="43"/>
        <v>7717.1047744311245</v>
      </c>
      <c r="E494" s="2">
        <v>169</v>
      </c>
      <c r="F494" s="1">
        <v>112.66334186053919</v>
      </c>
      <c r="G494" s="1">
        <v>45.663341860539198</v>
      </c>
      <c r="H494" s="1">
        <v>67</v>
      </c>
      <c r="I494">
        <f t="shared" si="44"/>
        <v>9.3345913343140392</v>
      </c>
      <c r="J494">
        <f t="shared" si="45"/>
        <v>4.2046926193909657</v>
      </c>
      <c r="K494" s="1">
        <f t="shared" si="46"/>
        <v>67</v>
      </c>
      <c r="L494">
        <f t="shared" si="47"/>
        <v>11255.999999999996</v>
      </c>
    </row>
    <row r="495" spans="1:12" x14ac:dyDescent="0.25">
      <c r="A495" s="3">
        <v>40225</v>
      </c>
      <c r="B495" s="1">
        <f t="shared" si="42"/>
        <v>1258</v>
      </c>
      <c r="C495" s="1">
        <v>3325.3489993857329</v>
      </c>
      <c r="D495" s="1">
        <f t="shared" si="43"/>
        <v>2067.3489993857329</v>
      </c>
      <c r="E495" s="2">
        <v>34</v>
      </c>
      <c r="F495" s="1">
        <v>97.804382334874504</v>
      </c>
      <c r="G495" s="1">
        <v>60.804382334874497</v>
      </c>
      <c r="H495" s="1">
        <v>37</v>
      </c>
      <c r="I495">
        <f t="shared" si="44"/>
        <v>7.1372784372603855</v>
      </c>
      <c r="J495">
        <f t="shared" si="45"/>
        <v>3.6109179126442243</v>
      </c>
      <c r="K495" s="1">
        <f t="shared" si="46"/>
        <v>37.000000000000007</v>
      </c>
      <c r="L495">
        <f t="shared" si="47"/>
        <v>1220.9999999999995</v>
      </c>
    </row>
    <row r="496" spans="1:12" x14ac:dyDescent="0.25">
      <c r="A496" s="3">
        <v>40221</v>
      </c>
      <c r="B496" s="1">
        <f t="shared" si="42"/>
        <v>252</v>
      </c>
      <c r="C496" s="1">
        <v>535.68804192708023</v>
      </c>
      <c r="D496" s="1">
        <f t="shared" si="43"/>
        <v>283.68804192708018</v>
      </c>
      <c r="E496" s="2">
        <v>9</v>
      </c>
      <c r="F496" s="1">
        <v>59.520893547453355</v>
      </c>
      <c r="G496" s="1">
        <v>31.520893547453355</v>
      </c>
      <c r="H496" s="1">
        <v>28</v>
      </c>
      <c r="I496">
        <f t="shared" si="44"/>
        <v>5.5294290875114234</v>
      </c>
      <c r="J496">
        <f t="shared" si="45"/>
        <v>3.3322045101752038</v>
      </c>
      <c r="K496" s="1">
        <f t="shared" si="46"/>
        <v>28</v>
      </c>
      <c r="L496">
        <f t="shared" si="47"/>
        <v>224.00000000000003</v>
      </c>
    </row>
    <row r="497" spans="1:12" x14ac:dyDescent="0.25">
      <c r="A497" s="3">
        <v>40216</v>
      </c>
      <c r="B497" s="1">
        <f t="shared" si="42"/>
        <v>2016</v>
      </c>
      <c r="C497" s="1">
        <v>3700.2418689745678</v>
      </c>
      <c r="D497" s="1">
        <f t="shared" si="43"/>
        <v>1684.241868974568</v>
      </c>
      <c r="E497" s="2">
        <v>18</v>
      </c>
      <c r="F497" s="1">
        <v>205.56899272080932</v>
      </c>
      <c r="G497" s="1">
        <v>93.568992720809334</v>
      </c>
      <c r="H497" s="1">
        <v>112</v>
      </c>
      <c r="I497">
        <f t="shared" si="44"/>
        <v>7.6088706291912596</v>
      </c>
      <c r="J497">
        <f t="shared" si="45"/>
        <v>4.7184988712950942</v>
      </c>
      <c r="K497" s="1">
        <f t="shared" si="46"/>
        <v>111.99999999999999</v>
      </c>
      <c r="L497">
        <f t="shared" si="47"/>
        <v>1904.0000000000007</v>
      </c>
    </row>
    <row r="498" spans="1:12" x14ac:dyDescent="0.25">
      <c r="A498" s="3">
        <v>40204</v>
      </c>
      <c r="B498" s="1">
        <f t="shared" si="42"/>
        <v>1582</v>
      </c>
      <c r="C498" s="1">
        <v>3006.2860367528538</v>
      </c>
      <c r="D498" s="1">
        <f t="shared" si="43"/>
        <v>1424.2860367528538</v>
      </c>
      <c r="E498" s="2">
        <v>14</v>
      </c>
      <c r="F498" s="1">
        <v>214.73471691091811</v>
      </c>
      <c r="G498" s="1">
        <v>101.73471691091812</v>
      </c>
      <c r="H498" s="1">
        <v>113</v>
      </c>
      <c r="I498">
        <f t="shared" si="44"/>
        <v>7.3664451483275988</v>
      </c>
      <c r="J498">
        <f t="shared" si="45"/>
        <v>4.7273878187123408</v>
      </c>
      <c r="K498" s="1">
        <f t="shared" si="46"/>
        <v>112.99999999999999</v>
      </c>
      <c r="L498">
        <f t="shared" si="47"/>
        <v>1468.9999999999993</v>
      </c>
    </row>
    <row r="499" spans="1:12" x14ac:dyDescent="0.25">
      <c r="A499" s="3">
        <v>40197</v>
      </c>
      <c r="B499" s="1">
        <f t="shared" si="42"/>
        <v>1692</v>
      </c>
      <c r="C499" s="1">
        <v>4483.5223940189335</v>
      </c>
      <c r="D499" s="1">
        <f t="shared" si="43"/>
        <v>2791.5223940189335</v>
      </c>
      <c r="E499" s="2">
        <v>47</v>
      </c>
      <c r="F499" s="1">
        <v>95.394093489764543</v>
      </c>
      <c r="G499" s="1">
        <v>59.394093489764543</v>
      </c>
      <c r="H499" s="1">
        <v>36</v>
      </c>
      <c r="I499">
        <f t="shared" si="44"/>
        <v>7.4336665401661683</v>
      </c>
      <c r="J499">
        <f t="shared" si="45"/>
        <v>3.5835189384561099</v>
      </c>
      <c r="K499" s="1">
        <f t="shared" si="46"/>
        <v>36</v>
      </c>
      <c r="L499">
        <f t="shared" si="47"/>
        <v>1655.9999999999995</v>
      </c>
    </row>
    <row r="500" spans="1:12" x14ac:dyDescent="0.25">
      <c r="A500" s="3">
        <v>40188</v>
      </c>
      <c r="B500" s="1">
        <f t="shared" si="42"/>
        <v>2848</v>
      </c>
      <c r="C500" s="1">
        <v>5164.7602452415567</v>
      </c>
      <c r="D500" s="1">
        <f t="shared" si="43"/>
        <v>2316.7602452415567</v>
      </c>
      <c r="E500" s="2">
        <v>32</v>
      </c>
      <c r="F500" s="1">
        <v>161.39875766379865</v>
      </c>
      <c r="G500" s="1">
        <v>72.398757663798648</v>
      </c>
      <c r="H500" s="1">
        <v>89</v>
      </c>
      <c r="I500">
        <f t="shared" si="44"/>
        <v>7.9543722725318666</v>
      </c>
      <c r="J500">
        <f t="shared" si="45"/>
        <v>4.4886363697321396</v>
      </c>
      <c r="K500" s="1">
        <f t="shared" si="46"/>
        <v>89</v>
      </c>
      <c r="L500">
        <f t="shared" si="47"/>
        <v>2759.0000000000009</v>
      </c>
    </row>
    <row r="501" spans="1:12" x14ac:dyDescent="0.25">
      <c r="A501" s="3">
        <v>40186</v>
      </c>
      <c r="B501" s="1">
        <f t="shared" si="42"/>
        <v>2401</v>
      </c>
      <c r="C501" s="1">
        <v>4524.0295816469734</v>
      </c>
      <c r="D501" s="1">
        <f t="shared" si="43"/>
        <v>2123.0295816469725</v>
      </c>
      <c r="E501" s="2">
        <v>49</v>
      </c>
      <c r="F501" s="1">
        <v>92.327134319325978</v>
      </c>
      <c r="G501" s="1">
        <v>43.327134319325971</v>
      </c>
      <c r="H501" s="1">
        <v>49</v>
      </c>
      <c r="I501">
        <f t="shared" si="44"/>
        <v>7.7836405962212529</v>
      </c>
      <c r="J501">
        <f t="shared" si="45"/>
        <v>3.8918202981106265</v>
      </c>
      <c r="K501" s="1">
        <f t="shared" si="46"/>
        <v>49.000000000000007</v>
      </c>
      <c r="L501">
        <f t="shared" si="47"/>
        <v>2351.9999999999991</v>
      </c>
    </row>
    <row r="502" spans="1:12" x14ac:dyDescent="0.25">
      <c r="A502" s="3"/>
      <c r="B502" s="1"/>
      <c r="C502" s="1"/>
      <c r="D502" s="1"/>
      <c r="E502" s="2"/>
      <c r="F502" s="1"/>
      <c r="G502" s="1"/>
      <c r="H502" s="1"/>
    </row>
    <row r="503" spans="1:12" x14ac:dyDescent="0.25">
      <c r="A503" s="3"/>
      <c r="B503" s="1"/>
      <c r="C503" s="1"/>
      <c r="D503" s="1"/>
      <c r="E503" s="2"/>
      <c r="F503" s="1"/>
      <c r="G503" s="1"/>
      <c r="H503" s="1"/>
    </row>
    <row r="504" spans="1:12" x14ac:dyDescent="0.25">
      <c r="A504" s="3"/>
      <c r="B504" s="1"/>
      <c r="C504" s="1"/>
      <c r="D504" s="1"/>
      <c r="E504" s="2"/>
      <c r="F504" s="1"/>
      <c r="G504" s="1"/>
      <c r="H504" s="1"/>
    </row>
    <row r="505" spans="1:12" x14ac:dyDescent="0.25">
      <c r="A505" s="3"/>
      <c r="B505" s="1"/>
      <c r="C505" s="1"/>
      <c r="D505" s="1"/>
      <c r="E505" s="2"/>
      <c r="F505" s="1"/>
      <c r="G505" s="1"/>
      <c r="H505" s="1"/>
    </row>
    <row r="506" spans="1:12" x14ac:dyDescent="0.25">
      <c r="A506" s="3"/>
      <c r="B506" s="1"/>
      <c r="C506" s="1"/>
      <c r="D506" s="1"/>
      <c r="E506" s="2"/>
      <c r="F506" s="1"/>
      <c r="G506" s="1"/>
      <c r="H506" s="1"/>
    </row>
    <row r="507" spans="1:12" x14ac:dyDescent="0.25">
      <c r="A507" s="3"/>
      <c r="B507" s="1"/>
      <c r="C507" s="1"/>
      <c r="D507" s="1"/>
      <c r="E507" s="2"/>
      <c r="F507" s="1"/>
      <c r="G507" s="1"/>
      <c r="H507" s="1"/>
    </row>
    <row r="508" spans="1:12" x14ac:dyDescent="0.25">
      <c r="A508" s="3"/>
      <c r="B508" s="1"/>
      <c r="C508" s="1"/>
      <c r="D508" s="1"/>
      <c r="E508" s="2"/>
      <c r="F508" s="1"/>
      <c r="G508" s="1"/>
      <c r="H508" s="1"/>
    </row>
    <row r="509" spans="1:12" x14ac:dyDescent="0.25">
      <c r="A509" s="3"/>
      <c r="B509" s="1"/>
      <c r="C509" s="1"/>
      <c r="D509" s="1"/>
      <c r="E509" s="2"/>
      <c r="F509" s="1"/>
      <c r="G509" s="1"/>
      <c r="H509" s="1"/>
    </row>
    <row r="510" spans="1:12" x14ac:dyDescent="0.25">
      <c r="A510" s="3"/>
      <c r="B510" s="1"/>
      <c r="C510" s="1"/>
      <c r="D510" s="1"/>
      <c r="E510" s="2"/>
      <c r="F510" s="1"/>
      <c r="G510" s="1"/>
      <c r="H510" s="1"/>
    </row>
    <row r="511" spans="1:12" x14ac:dyDescent="0.25">
      <c r="A511" s="3"/>
      <c r="B511" s="1"/>
      <c r="C511" s="1"/>
      <c r="D511" s="1"/>
      <c r="E511" s="2"/>
      <c r="F511" s="1"/>
      <c r="G511" s="1"/>
      <c r="H511" s="1"/>
    </row>
    <row r="512" spans="1:12" x14ac:dyDescent="0.25">
      <c r="A512" s="3"/>
      <c r="B512" s="1"/>
      <c r="C512" s="1"/>
      <c r="D512" s="1"/>
      <c r="E512" s="2"/>
      <c r="F512" s="1"/>
      <c r="G512" s="1"/>
      <c r="H512" s="1"/>
    </row>
    <row r="513" spans="1:8" x14ac:dyDescent="0.25">
      <c r="A513" s="3"/>
      <c r="B513" s="1"/>
      <c r="C513" s="1"/>
      <c r="D513" s="1"/>
      <c r="E513" s="2"/>
      <c r="F513" s="1"/>
      <c r="G513" s="1"/>
      <c r="H513" s="1"/>
    </row>
    <row r="514" spans="1:8" x14ac:dyDescent="0.25">
      <c r="A514" s="3"/>
      <c r="B514" s="1"/>
      <c r="C514" s="1"/>
      <c r="D514" s="1"/>
      <c r="E514" s="2"/>
      <c r="F514" s="1"/>
      <c r="G514" s="1"/>
      <c r="H514" s="1"/>
    </row>
    <row r="515" spans="1:8" x14ac:dyDescent="0.25">
      <c r="A515" s="3"/>
      <c r="B515" s="1"/>
      <c r="C515" s="1"/>
      <c r="D515" s="1"/>
      <c r="E515" s="2"/>
      <c r="F515" s="1"/>
      <c r="G515" s="1"/>
      <c r="H515" s="1"/>
    </row>
    <row r="516" spans="1:8" x14ac:dyDescent="0.25">
      <c r="A516" s="3"/>
      <c r="B516" s="1"/>
      <c r="C516" s="1"/>
      <c r="D516" s="1"/>
      <c r="E516" s="2"/>
      <c r="F516" s="1"/>
      <c r="G516" s="1"/>
      <c r="H516" s="1"/>
    </row>
    <row r="517" spans="1:8" x14ac:dyDescent="0.25">
      <c r="A517" s="3"/>
      <c r="B517" s="1"/>
      <c r="C517" s="1"/>
      <c r="D517" s="1"/>
      <c r="E517" s="2"/>
      <c r="F517" s="1"/>
      <c r="G517" s="1"/>
      <c r="H517" s="1"/>
    </row>
    <row r="518" spans="1:8" x14ac:dyDescent="0.25">
      <c r="A518" s="3"/>
      <c r="B518" s="1"/>
      <c r="C518" s="1"/>
      <c r="D518" s="1"/>
      <c r="E518" s="2"/>
      <c r="F518" s="1"/>
      <c r="G518" s="1"/>
      <c r="H518" s="1"/>
    </row>
    <row r="519" spans="1:8" x14ac:dyDescent="0.25">
      <c r="A519" s="3"/>
      <c r="B519" s="1"/>
      <c r="C519" s="1"/>
      <c r="D519" s="1"/>
      <c r="E519" s="2"/>
      <c r="F519" s="1"/>
      <c r="G519" s="1"/>
      <c r="H519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8218-4707-4CF9-805B-66AA59383516}">
  <dimension ref="A3:D43"/>
  <sheetViews>
    <sheetView workbookViewId="0">
      <selection activeCell="D26" sqref="D26"/>
    </sheetView>
  </sheetViews>
  <sheetFormatPr defaultRowHeight="15" x14ac:dyDescent="0.25"/>
  <cols>
    <col min="1" max="1" width="14" bestFit="1" customWidth="1"/>
  </cols>
  <sheetData>
    <row r="3" spans="1:4" x14ac:dyDescent="0.25">
      <c r="A3" s="9" t="s">
        <v>70</v>
      </c>
    </row>
    <row r="4" spans="1:4" x14ac:dyDescent="0.25">
      <c r="A4" s="10" t="s">
        <v>18</v>
      </c>
      <c r="D4" s="10" t="s">
        <v>18</v>
      </c>
    </row>
    <row r="5" spans="1:4" x14ac:dyDescent="0.25">
      <c r="A5" s="10" t="s">
        <v>48</v>
      </c>
      <c r="D5" s="10" t="s">
        <v>48</v>
      </c>
    </row>
    <row r="6" spans="1:4" x14ac:dyDescent="0.25">
      <c r="A6" s="10" t="s">
        <v>27</v>
      </c>
      <c r="D6" s="10" t="s">
        <v>27</v>
      </c>
    </row>
    <row r="7" spans="1:4" x14ac:dyDescent="0.25">
      <c r="A7" s="10" t="s">
        <v>33</v>
      </c>
      <c r="D7" s="10" t="s">
        <v>33</v>
      </c>
    </row>
    <row r="8" spans="1:4" x14ac:dyDescent="0.25">
      <c r="A8" s="10" t="s">
        <v>38</v>
      </c>
      <c r="D8" s="10" t="s">
        <v>38</v>
      </c>
    </row>
    <row r="9" spans="1:4" x14ac:dyDescent="0.25">
      <c r="A9" s="10" t="s">
        <v>23</v>
      </c>
      <c r="D9" s="10" t="s">
        <v>23</v>
      </c>
    </row>
    <row r="10" spans="1:4" x14ac:dyDescent="0.25">
      <c r="A10" s="10" t="s">
        <v>14</v>
      </c>
      <c r="D10" s="10" t="s">
        <v>14</v>
      </c>
    </row>
    <row r="11" spans="1:4" x14ac:dyDescent="0.25">
      <c r="A11" s="10" t="s">
        <v>30</v>
      </c>
      <c r="D11" s="10" t="s">
        <v>30</v>
      </c>
    </row>
    <row r="12" spans="1:4" x14ac:dyDescent="0.25">
      <c r="A12" s="10" t="s">
        <v>16</v>
      </c>
      <c r="D12" s="10" t="s">
        <v>16</v>
      </c>
    </row>
    <row r="13" spans="1:4" x14ac:dyDescent="0.25">
      <c r="A13" s="10" t="s">
        <v>49</v>
      </c>
      <c r="D13" s="10" t="s">
        <v>49</v>
      </c>
    </row>
    <row r="14" spans="1:4" x14ac:dyDescent="0.25">
      <c r="A14" s="10" t="s">
        <v>40</v>
      </c>
      <c r="D14" s="10" t="s">
        <v>40</v>
      </c>
    </row>
    <row r="15" spans="1:4" x14ac:dyDescent="0.25">
      <c r="A15" s="10" t="s">
        <v>35</v>
      </c>
      <c r="D15" s="10" t="s">
        <v>35</v>
      </c>
    </row>
    <row r="16" spans="1:4" x14ac:dyDescent="0.25">
      <c r="A16" s="10" t="s">
        <v>17</v>
      </c>
      <c r="D16" s="10" t="s">
        <v>17</v>
      </c>
    </row>
    <row r="17" spans="1:4" x14ac:dyDescent="0.25">
      <c r="A17" s="10" t="s">
        <v>43</v>
      </c>
      <c r="D17" s="10" t="s">
        <v>43</v>
      </c>
    </row>
    <row r="18" spans="1:4" x14ac:dyDescent="0.25">
      <c r="A18" s="10" t="s">
        <v>13</v>
      </c>
      <c r="D18" s="10" t="s">
        <v>13</v>
      </c>
    </row>
    <row r="19" spans="1:4" x14ac:dyDescent="0.25">
      <c r="A19" s="10" t="s">
        <v>24</v>
      </c>
      <c r="D19" s="10" t="s">
        <v>24</v>
      </c>
    </row>
    <row r="20" spans="1:4" x14ac:dyDescent="0.25">
      <c r="A20" s="10" t="s">
        <v>34</v>
      </c>
      <c r="D20" s="10" t="s">
        <v>34</v>
      </c>
    </row>
    <row r="21" spans="1:4" x14ac:dyDescent="0.25">
      <c r="A21" s="10" t="s">
        <v>25</v>
      </c>
      <c r="D21" s="10" t="s">
        <v>25</v>
      </c>
    </row>
    <row r="22" spans="1:4" x14ac:dyDescent="0.25">
      <c r="A22" s="10" t="s">
        <v>31</v>
      </c>
      <c r="D22" s="10" t="s">
        <v>31</v>
      </c>
    </row>
    <row r="23" spans="1:4" x14ac:dyDescent="0.25">
      <c r="A23" s="10" t="s">
        <v>39</v>
      </c>
      <c r="D23" s="10" t="s">
        <v>39</v>
      </c>
    </row>
    <row r="24" spans="1:4" x14ac:dyDescent="0.25">
      <c r="A24" s="10" t="s">
        <v>36</v>
      </c>
      <c r="D24" s="10" t="s">
        <v>36</v>
      </c>
    </row>
    <row r="25" spans="1:4" x14ac:dyDescent="0.25">
      <c r="A25" s="10" t="s">
        <v>21</v>
      </c>
      <c r="D25" s="10" t="s">
        <v>21</v>
      </c>
    </row>
    <row r="26" spans="1:4" x14ac:dyDescent="0.25">
      <c r="A26" s="10" t="s">
        <v>29</v>
      </c>
      <c r="D26" s="10" t="s">
        <v>29</v>
      </c>
    </row>
    <row r="27" spans="1:4" x14ac:dyDescent="0.25">
      <c r="A27" s="10" t="s">
        <v>32</v>
      </c>
      <c r="D27" s="10" t="s">
        <v>32</v>
      </c>
    </row>
    <row r="28" spans="1:4" x14ac:dyDescent="0.25">
      <c r="A28" s="10" t="s">
        <v>46</v>
      </c>
      <c r="D28" s="10" t="s">
        <v>46</v>
      </c>
    </row>
    <row r="29" spans="1:4" x14ac:dyDescent="0.25">
      <c r="A29" s="10" t="s">
        <v>37</v>
      </c>
      <c r="D29" s="10" t="s">
        <v>37</v>
      </c>
    </row>
    <row r="30" spans="1:4" x14ac:dyDescent="0.25">
      <c r="A30" s="10" t="s">
        <v>12</v>
      </c>
      <c r="D30" s="10" t="s">
        <v>12</v>
      </c>
    </row>
    <row r="31" spans="1:4" x14ac:dyDescent="0.25">
      <c r="A31" s="10" t="s">
        <v>15</v>
      </c>
      <c r="D31" s="10" t="s">
        <v>15</v>
      </c>
    </row>
    <row r="32" spans="1:4" x14ac:dyDescent="0.25">
      <c r="A32" s="10" t="s">
        <v>41</v>
      </c>
      <c r="D32" s="10" t="s">
        <v>41</v>
      </c>
    </row>
    <row r="33" spans="1:4" x14ac:dyDescent="0.25">
      <c r="A33" s="10" t="s">
        <v>26</v>
      </c>
      <c r="D33" s="10" t="s">
        <v>26</v>
      </c>
    </row>
    <row r="34" spans="1:4" x14ac:dyDescent="0.25">
      <c r="A34" s="10" t="s">
        <v>42</v>
      </c>
      <c r="D34" s="10" t="s">
        <v>42</v>
      </c>
    </row>
    <row r="35" spans="1:4" x14ac:dyDescent="0.25">
      <c r="A35" s="10" t="s">
        <v>45</v>
      </c>
      <c r="D35" s="10" t="s">
        <v>45</v>
      </c>
    </row>
    <row r="36" spans="1:4" x14ac:dyDescent="0.25">
      <c r="A36" s="10" t="s">
        <v>47</v>
      </c>
      <c r="D36" s="10" t="s">
        <v>47</v>
      </c>
    </row>
    <row r="37" spans="1:4" x14ac:dyDescent="0.25">
      <c r="A37" s="10" t="s">
        <v>22</v>
      </c>
      <c r="D37" s="10" t="s">
        <v>22</v>
      </c>
    </row>
    <row r="38" spans="1:4" x14ac:dyDescent="0.25">
      <c r="A38" s="10" t="s">
        <v>11</v>
      </c>
      <c r="D38" s="10" t="s">
        <v>11</v>
      </c>
    </row>
    <row r="39" spans="1:4" x14ac:dyDescent="0.25">
      <c r="A39" s="10" t="s">
        <v>19</v>
      </c>
      <c r="D39" s="10" t="s">
        <v>19</v>
      </c>
    </row>
    <row r="40" spans="1:4" x14ac:dyDescent="0.25">
      <c r="A40" s="10" t="s">
        <v>28</v>
      </c>
      <c r="D40" s="10" t="s">
        <v>28</v>
      </c>
    </row>
    <row r="41" spans="1:4" x14ac:dyDescent="0.25">
      <c r="A41" s="10" t="s">
        <v>44</v>
      </c>
      <c r="D41" s="10" t="s">
        <v>44</v>
      </c>
    </row>
    <row r="42" spans="1:4" x14ac:dyDescent="0.25">
      <c r="A42" s="10" t="s">
        <v>20</v>
      </c>
      <c r="D42" s="10" t="s">
        <v>20</v>
      </c>
    </row>
    <row r="43" spans="1:4" ht="15.75" thickBot="1" x14ac:dyDescent="0.3">
      <c r="A43" s="10" t="s">
        <v>71</v>
      </c>
      <c r="D4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Invoice Data</vt:lpstr>
      <vt:lpstr>Sales by Date</vt:lpstr>
      <vt:lpstr>Histograms</vt:lpstr>
      <vt:lpstr>Accumulations</vt:lpstr>
      <vt:lpstr>Normalization</vt:lpstr>
      <vt:lpstr>Standardization</vt:lpstr>
      <vt:lpstr>Label Encoding</vt:lpstr>
      <vt:lpstr>Transformation (Ln)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Addison</dc:creator>
  <cp:keywords/>
  <dc:description/>
  <cp:lastModifiedBy>Mark Addison</cp:lastModifiedBy>
  <cp:revision/>
  <dcterms:created xsi:type="dcterms:W3CDTF">2024-10-05T17:44:27Z</dcterms:created>
  <dcterms:modified xsi:type="dcterms:W3CDTF">2026-02-08T19:21:07Z</dcterms:modified>
  <cp:category/>
  <cp:contentStatus/>
</cp:coreProperties>
</file>