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a911638b29a820/Documents/2nd College Year 2023-24/BUSN-211/"/>
    </mc:Choice>
  </mc:AlternateContent>
  <xr:revisionPtr revIDLastSave="2450" documentId="8_{D42749FF-B201-4093-9EA1-C111E201DF05}" xr6:coauthVersionLast="47" xr6:coauthVersionMax="47" xr10:uidLastSave="{B3A8280D-A275-41DB-BCCD-0AB9B781CD13}"/>
  <bookViews>
    <workbookView xWindow="-108" yWindow="-108" windowWidth="23256" windowHeight="12456" firstSheet="2" activeTab="4" xr2:uid="{161B2BB5-94E7-46EC-8B90-D98E5334FE9C}"/>
  </bookViews>
  <sheets>
    <sheet name="DATA STEP I" sheetId="6" r:id="rId1"/>
    <sheet name="STEP II SUMMARY STATS_BOXPLOTS" sheetId="7" r:id="rId2"/>
    <sheet name="STEP III CORRELATIONS" sheetId="8" r:id="rId3"/>
    <sheet name="CORRELATION NUMBERS" sheetId="10" r:id="rId4"/>
    <sheet name="STEP IV GENERAL MODEL" sheetId="11" r:id="rId5"/>
    <sheet name="STEP V SECOND MODEL" sheetId="14" r:id="rId6"/>
    <sheet name="Topic 1-USA Crime Rates" sheetId="1" r:id="rId7"/>
    <sheet name="Other Potential Variables" sheetId="5" r:id="rId8"/>
    <sheet name="Link to Sources" sheetId="4" r:id="rId9"/>
  </sheets>
  <definedNames>
    <definedName name="_xlchart.v1.0" hidden="1">'STEP II SUMMARY STATS_BOXPLOTS'!$I$5:$I$34</definedName>
    <definedName name="_xlchart.v1.1" hidden="1">'STEP II SUMMARY STATS_BOXPLOTS'!$C$5:$C$34</definedName>
    <definedName name="_xlchart.v1.2" hidden="1">'STEP II SUMMARY STATS_BOXPLOTS'!$B$5:$B$34</definedName>
    <definedName name="_xlchart.v1.3" hidden="1">'STEP II SUMMARY STATS_BOXPLOTS'!$A$5:$A$34</definedName>
    <definedName name="_xlchart.v1.4" hidden="1">'STEP II SUMMARY STATS_BOXPLOTS'!$G$5:$G$34</definedName>
    <definedName name="_xlchart.v1.5" hidden="1">'STEP II SUMMARY STATS_BOXPLOTS'!$H$5:$H$34</definedName>
    <definedName name="_xlchart.v1.6" hidden="1">'STEP II SUMMARY STATS_BOXPLOTS'!$D$5:$D$34</definedName>
    <definedName name="_xlchart.v1.7" hidden="1">'STEP II SUMMARY STATS_BOXPLOTS'!$E$5:$E$34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8" l="1"/>
  <c r="K32" i="8"/>
  <c r="J32" i="8"/>
  <c r="I32" i="8"/>
  <c r="H32" i="8"/>
  <c r="G32" i="8"/>
  <c r="M30" i="8"/>
  <c r="M32" i="8" s="1"/>
  <c r="L30" i="8"/>
  <c r="K30" i="8"/>
  <c r="J30" i="8"/>
  <c r="I30" i="8"/>
  <c r="H30" i="8"/>
  <c r="G30" i="8"/>
  <c r="G28" i="8"/>
  <c r="H28" i="8"/>
  <c r="I28" i="8"/>
  <c r="J28" i="8"/>
  <c r="K28" i="8"/>
  <c r="L28" i="8"/>
  <c r="M28" i="8"/>
  <c r="F32" i="8"/>
  <c r="F30" i="8"/>
  <c r="F28" i="8"/>
</calcChain>
</file>

<file path=xl/sharedStrings.xml><?xml version="1.0" encoding="utf-8"?>
<sst xmlns="http://schemas.openxmlformats.org/spreadsheetml/2006/main" count="575" uniqueCount="211">
  <si>
    <t>OBS</t>
  </si>
  <si>
    <t>Y</t>
  </si>
  <si>
    <t>X1</t>
  </si>
  <si>
    <t>X2</t>
  </si>
  <si>
    <t>X3</t>
  </si>
  <si>
    <t>X4</t>
  </si>
  <si>
    <t>X5</t>
  </si>
  <si>
    <t>Lable for variable</t>
  </si>
  <si>
    <t>Unemployment Rates</t>
  </si>
  <si>
    <t>Memphis, TN</t>
  </si>
  <si>
    <t>Albuquerque, NM</t>
  </si>
  <si>
    <t>Cost of Living Index</t>
  </si>
  <si>
    <t>Poverty Rate</t>
  </si>
  <si>
    <t>Violent Crime Rates(2020)</t>
  </si>
  <si>
    <t>Anchorage, Alaska</t>
  </si>
  <si>
    <t>Bakersfield, CA</t>
  </si>
  <si>
    <t>Tulsa, OK</t>
  </si>
  <si>
    <t>Salt Lake City, UT</t>
  </si>
  <si>
    <t>Stockton, CA</t>
  </si>
  <si>
    <t>Denver, CO</t>
  </si>
  <si>
    <t>Houston, TX</t>
  </si>
  <si>
    <t>Fresno, CA</t>
  </si>
  <si>
    <t>Milwaukee, WI</t>
  </si>
  <si>
    <t>Oklahoma City, OK</t>
  </si>
  <si>
    <t>San Francisco, CA</t>
  </si>
  <si>
    <t>Quality of Life Index</t>
  </si>
  <si>
    <t>Detroit, MI</t>
  </si>
  <si>
    <t>Baltimore, MD</t>
  </si>
  <si>
    <t>Cleveland, OH</t>
  </si>
  <si>
    <t>Birmingham, AL</t>
  </si>
  <si>
    <t>New Orleans, LA</t>
  </si>
  <si>
    <t>Colorado Springs, CO</t>
  </si>
  <si>
    <t>Los Angeles, CA</t>
  </si>
  <si>
    <t>Chicago, IL</t>
  </si>
  <si>
    <t>Washington, DC</t>
  </si>
  <si>
    <t>Indianapolis, IN</t>
  </si>
  <si>
    <t>Las Vegas, NV</t>
  </si>
  <si>
    <t>St. Louis, MO</t>
  </si>
  <si>
    <t>Kansas City, MO</t>
  </si>
  <si>
    <t>New York City, NY</t>
  </si>
  <si>
    <t>Miami, FL</t>
  </si>
  <si>
    <t>Xpotential</t>
  </si>
  <si>
    <t>Density of the cities(per square mile)</t>
  </si>
  <si>
    <t>Median household income</t>
  </si>
  <si>
    <t>Property Crime Rates</t>
  </si>
  <si>
    <t>Is the divorce rate higher than national average?</t>
  </si>
  <si>
    <t>Is the divorce rate higher than national average? (10.5)</t>
  </si>
  <si>
    <t>Charlotte, NC</t>
  </si>
  <si>
    <t>Louisville, KY</t>
  </si>
  <si>
    <t>United Census Bureau</t>
  </si>
  <si>
    <t>https://data.census.gov/</t>
  </si>
  <si>
    <t>Data USA</t>
  </si>
  <si>
    <t>https://datausa.io/</t>
  </si>
  <si>
    <t>US News Real Estate</t>
  </si>
  <si>
    <t>https://realestate.usnews.com/places/rankings/most-dangerous-places</t>
  </si>
  <si>
    <t>Numbeo</t>
  </si>
  <si>
    <t>https://www.numbeo.com/cost-of-living/comparison.jsp</t>
  </si>
  <si>
    <t>https://www.census.gov/quickfacts/fact/table/memphiscitytennessee/PST045222</t>
  </si>
  <si>
    <t>Used this source for the Divorce rates and density per square mile</t>
  </si>
  <si>
    <t>Used this for median household income and poverty rate</t>
  </si>
  <si>
    <t>Used this for Violent crime and property crime an unemployment rates</t>
  </si>
  <si>
    <t>Used this for cost of living and quality of lif</t>
  </si>
  <si>
    <t>PROJECT DATA SET</t>
  </si>
  <si>
    <t xml:space="preserve">NAME: </t>
  </si>
  <si>
    <t>KEY:</t>
  </si>
  <si>
    <t>VAR 1</t>
  </si>
  <si>
    <t>VAR 2</t>
  </si>
  <si>
    <t>VAR 3</t>
  </si>
  <si>
    <t>VAR 4</t>
  </si>
  <si>
    <t>VAR 5</t>
  </si>
  <si>
    <t>VAR 6</t>
  </si>
  <si>
    <t>X6</t>
  </si>
  <si>
    <t>X7</t>
  </si>
  <si>
    <t>X8</t>
  </si>
  <si>
    <t>READ</t>
  </si>
  <si>
    <t>Y= Numerical variable that you want to study</t>
  </si>
  <si>
    <t>X1..X5 should be variabls that may affect the way Y changes.</t>
  </si>
  <si>
    <t>X1-X4 must be numerical</t>
  </si>
  <si>
    <t>X5 should be categorical/qualitative</t>
  </si>
  <si>
    <t xml:space="preserve">The numbers on the side idicate the observation number. You want a data </t>
  </si>
  <si>
    <t>set (sample) with at least 20 observations. A sample with 25 observations</t>
  </si>
  <si>
    <t xml:space="preserve">will be better. </t>
  </si>
  <si>
    <t>Create a dummy variable or a set of dummy variables in new columns to represent values of X5.</t>
  </si>
  <si>
    <t>Each column will have values of 1 or 0</t>
  </si>
  <si>
    <t xml:space="preserve">This step will have to be completed differently for each student. Talk to me. </t>
  </si>
  <si>
    <t>Mark Addison</t>
  </si>
  <si>
    <t>Y= Violent Crime</t>
  </si>
  <si>
    <t>X1= Poverty Rates</t>
  </si>
  <si>
    <t>X2= Unemployment Rates</t>
  </si>
  <si>
    <t>X3= Density of the Cities</t>
  </si>
  <si>
    <t>X4= Cost of Living</t>
  </si>
  <si>
    <t>X5= Is the divorce rate higher than the national average</t>
  </si>
  <si>
    <t>X6= Quality of Life</t>
  </si>
  <si>
    <t>X7= Median Houshold Income</t>
  </si>
  <si>
    <t>X8= Property Crime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</si>
  <si>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</si>
  <si>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</si>
  <si>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</si>
  <si>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</si>
  <si>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</si>
  <si>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</si>
  <si>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</si>
  <si>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</si>
  <si>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</si>
  <si>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</si>
  <si>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</si>
  <si>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</si>
  <si>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</si>
  <si>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</si>
  <si>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Y (violent crime)</t>
  </si>
  <si>
    <t>X1 (poverty rate)</t>
  </si>
  <si>
    <t>X2 (unemployment rate)</t>
  </si>
  <si>
    <t>X3 (density of the cities)</t>
  </si>
  <si>
    <t>X4 (cost of living)</t>
  </si>
  <si>
    <t>X5 (divorce binary)</t>
  </si>
  <si>
    <t>X6 (quality of life)</t>
  </si>
  <si>
    <t>X7 (median household income)</t>
  </si>
  <si>
    <t>X8 (property crime)</t>
  </si>
  <si>
    <t>X3 (density of cities)</t>
  </si>
  <si>
    <t>X5 (binary)</t>
  </si>
  <si>
    <t>X7 (median houshold income)</t>
  </si>
  <si>
    <t>Interpretation of Skewness</t>
  </si>
  <si>
    <t xml:space="preserve">According to the mean median relationship, it should be right-skewed; however, since the box plot is more accurate and doesn’t include outliers, the Y variable is left-skewed. It is left skewed because the left whisker is longer. </t>
  </si>
  <si>
    <t xml:space="preserve">According to the mean median relationship, it should be right-skewed. This is further confirmed since the right whisker is longer than the left. Therefore, variable X2 is right-skewed. </t>
  </si>
  <si>
    <t xml:space="preserve">According to the mean median relationship, it should be right-skewed. This is further confirmed since the the right whisker is longer; therefore,  X1 variable is right-skewed. </t>
  </si>
  <si>
    <t xml:space="preserve">According to the mean median relationship, it should be right-skewed. This is further confirmed since the right whisker is longer than the left. Therefore, variable X3 is right-skewed. </t>
  </si>
  <si>
    <t xml:space="preserve">According to the mean median relationship, it should be right-skewed. This is further confirmed since the right whisker is longer than the left. Therefore, variable X4 is right-skewed. </t>
  </si>
  <si>
    <t xml:space="preserve">According to the mean median relationship, it should be right-skewed. This is further confirmed since the right whisker is longer than the left. Therefore, variable X6 is right-skewed. </t>
  </si>
  <si>
    <t xml:space="preserve">According to the mean median relationship, it should be right-skewed. This is further confirmed since the right whisker is longer than the left. Therefore, variable X7 is right-skewed. </t>
  </si>
  <si>
    <t xml:space="preserve">According to the mean median relationship, it should be right-skewed. This is further confirmed since the right whisker is longer than the left. Therefore, variable X8 is right-skewed. </t>
  </si>
  <si>
    <t xml:space="preserve">Put your correlation matrix to the right of this box. </t>
  </si>
  <si>
    <t>Critical value</t>
  </si>
  <si>
    <t>=t.inv.2t(alpha, n-2)</t>
  </si>
  <si>
    <t>Use alpha=0.05</t>
  </si>
  <si>
    <t>Test statistic</t>
  </si>
  <si>
    <t>Formula</t>
  </si>
  <si>
    <t>=corr*SQRT((n-2)/(1-(corr)^2))</t>
  </si>
  <si>
    <t>The parentheses are vital if you have negative correlation</t>
  </si>
  <si>
    <t>p-value of the test</t>
  </si>
  <si>
    <t>=t.dist.2t(abs(test stat),n-2)</t>
  </si>
  <si>
    <t>Complete this chart</t>
  </si>
  <si>
    <t>Variable name</t>
  </si>
  <si>
    <t>Hourly wage</t>
  </si>
  <si>
    <t>Experience</t>
  </si>
  <si>
    <t>Label</t>
  </si>
  <si>
    <t>Use ONLY the numerical variables</t>
  </si>
  <si>
    <t>Hypotheses</t>
  </si>
  <si>
    <r>
      <t xml:space="preserve">Ho: </t>
    </r>
    <r>
      <rPr>
        <sz val="11"/>
        <color theme="1"/>
        <rFont val="Calibri"/>
        <family val="2"/>
      </rPr>
      <t>ρ = 0   Ha: ρ ≠ 0  2TT</t>
    </r>
  </si>
  <si>
    <r>
      <t xml:space="preserve">Ho: </t>
    </r>
    <r>
      <rPr>
        <sz val="11"/>
        <color theme="0" tint="-0.34998626667073579"/>
        <rFont val="Calibri"/>
        <family val="2"/>
      </rPr>
      <t>ρ = 0   Ha: ρ ≠ 0  2TT</t>
    </r>
  </si>
  <si>
    <t>Correlation between Y and the variable</t>
  </si>
  <si>
    <t>Critical value that you found above</t>
  </si>
  <si>
    <t>Same for each of the columns</t>
  </si>
  <si>
    <t>Test statistic that you calculate</t>
  </si>
  <si>
    <t>Use the formula given</t>
  </si>
  <si>
    <t>Decision: Do you reject Ho or NOT reject Ho</t>
  </si>
  <si>
    <t>Conclusion: The correlation between these variables is signficant or not significant.</t>
  </si>
  <si>
    <t>Summarize what you concluded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</si>
  <si>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</si>
  <si>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</si>
  <si>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</si>
  <si>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</si>
  <si>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</si>
  <si>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</si>
  <si>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</si>
  <si>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</si>
  <si>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</si>
  <si>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N</t>
  </si>
  <si>
    <t>Insignificant</t>
  </si>
  <si>
    <t>Significant</t>
  </si>
  <si>
    <t>Insignficant</t>
  </si>
  <si>
    <t>Reject Ho</t>
  </si>
  <si>
    <t>Do not reject Ho</t>
  </si>
  <si>
    <t xml:space="preserve">When comparing the correlations and p-values, only two variables showed a significant correlation between the two. Those two variables were density of the cities and property crime. Both of these variables make sense. 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</si>
  <si>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</si>
  <si>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</si>
  <si>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</si>
  <si>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</si>
  <si>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</si>
  <si>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</si>
  <si>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</si>
  <si>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</si>
  <si>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</si>
  <si>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</si>
  <si>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</si>
  <si>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</si>
  <si>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</si>
  <si>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</si>
  <si>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</si>
  <si>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</si>
  <si>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</si>
  <si>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</si>
  <si>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</si>
  <si>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</si>
  <si>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</si>
  <si>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</si>
  <si>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</si>
  <si>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 </t>
  </si>
  <si>
    <t>n-k-1</t>
  </si>
  <si>
    <t>k</t>
  </si>
  <si>
    <t xml:space="preserve">By looking at the R square model, I can see that all my variables account for 40%-41% of the factors that relate to violent crime. 40.92% of the total variation in violent crime can be explained by just variation in all my variables. My model is insignificant because the Significance F or p-value, is far greater than an alpha of .05. There is only one significant variable and that is X8 or property crime. </t>
  </si>
  <si>
    <t>Independent Variables</t>
  </si>
  <si>
    <t>Est. Coeff</t>
  </si>
  <si>
    <t>T-stat</t>
  </si>
  <si>
    <t>Ho: B = 0</t>
  </si>
  <si>
    <t>Ha: B =/ 0</t>
  </si>
  <si>
    <t>(var is Not significant)</t>
  </si>
  <si>
    <t>(var is significant)</t>
  </si>
  <si>
    <t>DR: Rej Ho if alpha &gt; p-value</t>
  </si>
  <si>
    <t>alpha = .05</t>
  </si>
  <si>
    <t>Sig/not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</si>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</sst>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</font>
    <font>
      <sz val="11"/>
      <color theme="0" tint="-0.3499862666707357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43" fontId="0" fillId="0" borderId="0" xfId="1" applyFont="1"/>
    <xf numFmtId="0" fontId="0" fillId="0" borderId="0" xfId="0" applyAlignment="1">
      <alignment vertical="top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3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43" fontId="0" fillId="0" borderId="4" xfId="1" applyFont="1" applyBorder="1"/>
    <xf numFmtId="0" fontId="0" fillId="0" borderId="20" xfId="0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1" xfId="0" applyFont="1" applyBorder="1"/>
    <xf numFmtId="0" fontId="4" fillId="0" borderId="6" xfId="0" applyFont="1" applyBorder="1"/>
    <xf numFmtId="0" fontId="4" fillId="0" borderId="17" xfId="0" applyFont="1" applyBorder="1"/>
    <xf numFmtId="0" fontId="4" fillId="0" borderId="26" xfId="0" applyFont="1" applyBorder="1"/>
    <xf numFmtId="0" fontId="4" fillId="0" borderId="7" xfId="0" applyFont="1" applyBorder="1"/>
    <xf numFmtId="0" fontId="4" fillId="0" borderId="23" xfId="0" applyFont="1" applyBorder="1"/>
    <xf numFmtId="0" fontId="4" fillId="0" borderId="32" xfId="0" applyFont="1" applyBorder="1"/>
    <xf numFmtId="0" fontId="4" fillId="0" borderId="21" xfId="0" applyFont="1" applyBorder="1"/>
    <xf numFmtId="0" fontId="4" fillId="0" borderId="33" xfId="0" applyFont="1" applyBorder="1"/>
    <xf numFmtId="0" fontId="0" fillId="0" borderId="34" xfId="0" applyBorder="1"/>
    <xf numFmtId="0" fontId="0" fillId="0" borderId="30" xfId="0" applyBorder="1"/>
    <xf numFmtId="0" fontId="4" fillId="0" borderId="24" xfId="0" applyFont="1" applyBorder="1"/>
    <xf numFmtId="0" fontId="4" fillId="0" borderId="0" xfId="0" applyFont="1"/>
    <xf numFmtId="0" fontId="4" fillId="0" borderId="35" xfId="0" applyFont="1" applyBorder="1"/>
    <xf numFmtId="0" fontId="4" fillId="0" borderId="25" xfId="0" applyFont="1" applyBorder="1"/>
    <xf numFmtId="0" fontId="4" fillId="0" borderId="22" xfId="0" applyFont="1" applyBorder="1"/>
    <xf numFmtId="0" fontId="0" fillId="0" borderId="36" xfId="0" applyBorder="1"/>
    <xf numFmtId="0" fontId="5" fillId="0" borderId="37" xfId="0" applyFont="1" applyBorder="1" applyAlignment="1">
      <alignment horizontal="center"/>
    </xf>
    <xf numFmtId="0" fontId="5" fillId="0" borderId="37" xfId="0" applyFont="1" applyBorder="1" applyAlignment="1">
      <alignment horizontal="centerContinuous"/>
    </xf>
    <xf numFmtId="0" fontId="6" fillId="0" borderId="0" xfId="0" applyFont="1"/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2" xfId="0" quotePrefix="1" applyFont="1" applyFill="1" applyBorder="1"/>
    <xf numFmtId="0" fontId="6" fillId="2" borderId="3" xfId="0" applyFont="1" applyFill="1" applyBorder="1"/>
    <xf numFmtId="0" fontId="3" fillId="0" borderId="0" xfId="0" applyFont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1" xfId="0" applyBorder="1"/>
    <xf numFmtId="0" fontId="7" fillId="0" borderId="4" xfId="0" applyFont="1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wrapText="1"/>
    </xf>
    <xf numFmtId="0" fontId="6" fillId="0" borderId="41" xfId="0" applyFont="1" applyBorder="1"/>
    <xf numFmtId="0" fontId="0" fillId="3" borderId="4" xfId="0" applyFill="1" applyBorder="1"/>
    <xf numFmtId="0" fontId="0" fillId="0" borderId="46" xfId="0" applyBorder="1"/>
    <xf numFmtId="0" fontId="6" fillId="3" borderId="41" xfId="0" applyFont="1" applyFill="1" applyBorder="1"/>
    <xf numFmtId="0" fontId="0" fillId="3" borderId="0" xfId="0" applyFill="1"/>
    <xf numFmtId="0" fontId="0" fillId="3" borderId="46" xfId="0" applyFill="1" applyBorder="1"/>
    <xf numFmtId="0" fontId="0" fillId="3" borderId="41" xfId="0" applyFill="1" applyBorder="1"/>
    <xf numFmtId="0" fontId="0" fillId="3" borderId="47" xfId="0" applyFill="1" applyBorder="1"/>
    <xf numFmtId="0" fontId="6" fillId="0" borderId="4" xfId="0" quotePrefix="1" applyFont="1" applyBorder="1"/>
    <xf numFmtId="0" fontId="0" fillId="0" borderId="4" xfId="0" quotePrefix="1" applyBorder="1"/>
    <xf numFmtId="0" fontId="0" fillId="0" borderId="47" xfId="0" applyBorder="1"/>
    <xf numFmtId="0" fontId="5" fillId="2" borderId="37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6" fillId="0" borderId="53" xfId="0" applyFont="1" applyBorder="1"/>
    <xf numFmtId="0" fontId="0" fillId="0" borderId="55" xfId="0" applyBorder="1"/>
    <xf numFmtId="0" fontId="4" fillId="0" borderId="56" xfId="0" applyFont="1" applyBorder="1"/>
    <xf numFmtId="0" fontId="4" fillId="0" borderId="54" xfId="0" applyFont="1" applyBorder="1"/>
    <xf numFmtId="0" fontId="4" fillId="0" borderId="57" xfId="0" applyFont="1" applyBorder="1"/>
    <xf numFmtId="0" fontId="4" fillId="0" borderId="58" xfId="0" applyFont="1" applyBorder="1"/>
    <xf numFmtId="0" fontId="4" fillId="0" borderId="59" xfId="0" applyFont="1" applyBorder="1"/>
    <xf numFmtId="0" fontId="4" fillId="0" borderId="5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2" xfId="0" applyBorder="1" applyAlignment="1">
      <alignment vertical="top" wrapText="1"/>
    </xf>
    <xf numFmtId="0" fontId="0" fillId="0" borderId="43" xfId="0" applyBorder="1" applyAlignment="1">
      <alignment vertical="top" wrapText="1"/>
    </xf>
    <xf numFmtId="0" fontId="0" fillId="0" borderId="51" xfId="0" applyBorder="1" applyAlignment="1">
      <alignment vertical="top" wrapText="1"/>
    </xf>
    <xf numFmtId="0" fontId="0" fillId="0" borderId="4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7" xfId="0" applyBorder="1" applyAlignment="1">
      <alignment vertical="top" wrapText="1"/>
    </xf>
    <xf numFmtId="0" fontId="0" fillId="0" borderId="48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52" xfId="0" applyBorder="1" applyAlignment="1">
      <alignment vertical="top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4" borderId="0" xfId="0" applyFill="1"/>
    <xf numFmtId="0" fontId="6" fillId="0" borderId="53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43" fontId="0" fillId="0" borderId="0" xfId="1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Y (violent crime)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 (violent crime)</a:t>
          </a:r>
        </a:p>
      </cx:txPr>
    </cx:title>
    <cx:plotArea>
      <cx:plotAreaRegion>
        <cx:series layoutId="boxWhisker" uniqueId="{152058A1-6F49-4399-A083-4330D46461A1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X1 (poverty rate)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X1 (poverty rate)</a:t>
          </a:r>
        </a:p>
      </cx:txPr>
    </cx:title>
    <cx:plotArea>
      <cx:plotAreaRegion>
        <cx:series layoutId="boxWhisker" uniqueId="{F3BE56DF-5EFD-4E68-B6F6-BD9AE7C4A700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X2 (unemployment rate)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X2 (unemployment rate)</a:t>
          </a:r>
        </a:p>
      </cx:txPr>
    </cx:title>
    <cx:plotArea>
      <cx:plotAreaRegion>
        <cx:series layoutId="boxWhisker" uniqueId="{821CBB8D-3CB4-45D6-969D-C92B63583DB9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X3 (density of the cities)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X3 (density of the cities)</a:t>
          </a:r>
        </a:p>
      </cx:txPr>
    </cx:title>
    <cx:plotArea>
      <cx:plotAreaRegion>
        <cx:series layoutId="boxWhisker" uniqueId="{474D3D25-4536-48AC-9FC7-9AF082EA8BFD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X4 (cost of living)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X4 (cost of living)</a:t>
          </a:r>
        </a:p>
      </cx:txPr>
    </cx:title>
    <cx:plotArea>
      <cx:plotAreaRegion>
        <cx:series layoutId="boxWhisker" uniqueId="{719B6F70-3BAA-404C-8E0B-3A0709561837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X6 (quality of life)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X6 (quality of life)</a:t>
          </a:r>
        </a:p>
      </cx:txPr>
    </cx:title>
    <cx:plotArea>
      <cx:plotAreaRegion>
        <cx:series layoutId="boxWhisker" uniqueId="{E9D979BA-D5E0-4556-BA55-4567202492DA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X7 (median household income)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X7 (median household income)</a:t>
          </a:r>
        </a:p>
      </cx:txPr>
    </cx:title>
    <cx:plotArea>
      <cx:plotAreaRegion>
        <cx:series layoutId="boxWhisker" uniqueId="{9473769B-EE14-4EEC-AD61-38CDAC6BA621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X8 (property crime)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X8 (property crime)</a:t>
          </a:r>
        </a:p>
      </cx:txPr>
    </cx:title>
    <cx:plotArea>
      <cx:plotAreaRegion>
        <cx:series layoutId="boxWhisker" uniqueId="{EF30C002-CBAA-4DB9-88AF-A23BCE719DCC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11206</xdr:colOff>
      <xdr:row>1</xdr:row>
      <xdr:rowOff>180415</xdr:rowOff>
    </xdr:from>
    <xdr:to>
      <xdr:col>15</xdr:col>
      <xdr:colOff>657225</xdr:colOff>
      <xdr:row>16</xdr:row>
      <xdr:rowOff>56590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B50AD8C-746B-2481-C0F9-045E1CA962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7006" y="363295"/>
              <a:ext cx="4456019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28575</xdr:colOff>
      <xdr:row>17</xdr:row>
      <xdr:rowOff>180975</xdr:rowOff>
    </xdr:from>
    <xdr:to>
      <xdr:col>15</xdr:col>
      <xdr:colOff>666750</xdr:colOff>
      <xdr:row>32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258F45A-E6C3-FD33-D1FC-66CF6A50CA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375" y="3297555"/>
              <a:ext cx="4448175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19050</xdr:colOff>
      <xdr:row>33</xdr:row>
      <xdr:rowOff>190500</xdr:rowOff>
    </xdr:from>
    <xdr:to>
      <xdr:col>15</xdr:col>
      <xdr:colOff>676275</xdr:colOff>
      <xdr:row>48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C58057B-DC5A-4C35-6100-C239C80783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4850" y="6240780"/>
              <a:ext cx="4467225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9526</xdr:colOff>
      <xdr:row>2</xdr:row>
      <xdr:rowOff>0</xdr:rowOff>
    </xdr:from>
    <xdr:to>
      <xdr:col>21</xdr:col>
      <xdr:colOff>876301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455480D-9687-D11A-DCF0-E6C3ACE45B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66646" y="373380"/>
              <a:ext cx="4272915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19050</xdr:colOff>
      <xdr:row>17</xdr:row>
      <xdr:rowOff>190500</xdr:rowOff>
    </xdr:from>
    <xdr:to>
      <xdr:col>21</xdr:col>
      <xdr:colOff>876300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4B00EE9-0FD8-90C6-C8D7-581D3F179F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76170" y="3307080"/>
              <a:ext cx="4263390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28575</xdr:colOff>
      <xdr:row>2</xdr:row>
      <xdr:rowOff>0</xdr:rowOff>
    </xdr:from>
    <xdr:to>
      <xdr:col>29</xdr:col>
      <xdr:colOff>409575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48CF726-B21D-96D6-97E2-E849A1A92D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42755" y="373380"/>
              <a:ext cx="464058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38100</xdr:colOff>
      <xdr:row>17</xdr:row>
      <xdr:rowOff>190500</xdr:rowOff>
    </xdr:from>
    <xdr:to>
      <xdr:col>29</xdr:col>
      <xdr:colOff>419100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9895C89-6B8B-5529-323E-FAC6323C81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52280" y="3307080"/>
              <a:ext cx="4640580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19050</xdr:colOff>
      <xdr:row>33</xdr:row>
      <xdr:rowOff>190500</xdr:rowOff>
    </xdr:from>
    <xdr:to>
      <xdr:col>29</xdr:col>
      <xdr:colOff>400050</xdr:colOff>
      <xdr:row>48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791F7D7B-5DA7-2CE3-7C3D-557A0A3C19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3230" y="6240780"/>
              <a:ext cx="4640580" cy="2626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0633-BD37-4C5E-9175-32E8FD11C486}">
  <dimension ref="A1:T37"/>
  <sheetViews>
    <sheetView workbookViewId="0">
      <selection activeCell="C8" sqref="C8"/>
    </sheetView>
  </sheetViews>
  <sheetFormatPr defaultRowHeight="14.4" x14ac:dyDescent="0.3"/>
  <cols>
    <col min="2" max="2" width="19.6640625" bestFit="1" customWidth="1"/>
    <col min="3" max="3" width="8.88671875" bestFit="1" customWidth="1"/>
  </cols>
  <sheetData>
    <row r="1" spans="1:20" ht="15" thickBot="1" x14ac:dyDescent="0.35"/>
    <row r="2" spans="1:20" ht="15" thickBot="1" x14ac:dyDescent="0.35">
      <c r="C2" s="78" t="s">
        <v>62</v>
      </c>
      <c r="D2" s="79"/>
      <c r="E2" s="79"/>
      <c r="F2" s="79"/>
      <c r="G2" s="79"/>
      <c r="H2" s="79"/>
      <c r="I2" s="79"/>
      <c r="J2" s="79"/>
      <c r="K2" s="79"/>
      <c r="L2" s="79"/>
      <c r="M2" s="80"/>
    </row>
    <row r="3" spans="1:20" ht="15" thickBot="1" x14ac:dyDescent="0.35"/>
    <row r="4" spans="1:20" ht="15" thickBot="1" x14ac:dyDescent="0.35">
      <c r="C4" s="3" t="s">
        <v>63</v>
      </c>
      <c r="D4" s="81" t="s">
        <v>85</v>
      </c>
      <c r="E4" s="81"/>
      <c r="F4" s="81"/>
      <c r="G4" s="81"/>
      <c r="H4" s="81"/>
      <c r="I4" s="81"/>
      <c r="J4" s="81"/>
      <c r="K4" s="81"/>
      <c r="L4" s="81"/>
      <c r="M4" s="82"/>
    </row>
    <row r="5" spans="1:20" x14ac:dyDescent="0.3">
      <c r="O5" t="s">
        <v>64</v>
      </c>
    </row>
    <row r="6" spans="1:20" x14ac:dyDescent="0.3">
      <c r="B6" s="4"/>
      <c r="C6" s="14" t="s">
        <v>65</v>
      </c>
      <c r="D6" s="4" t="s">
        <v>66</v>
      </c>
      <c r="E6" s="4" t="s">
        <v>67</v>
      </c>
      <c r="F6" s="4" t="s">
        <v>68</v>
      </c>
      <c r="G6" s="5" t="s">
        <v>69</v>
      </c>
      <c r="H6" s="83" t="s">
        <v>70</v>
      </c>
      <c r="I6" s="83"/>
      <c r="J6" s="83"/>
      <c r="K6" s="83"/>
      <c r="O6" t="s">
        <v>86</v>
      </c>
    </row>
    <row r="7" spans="1:20" x14ac:dyDescent="0.3">
      <c r="B7" s="4"/>
      <c r="C7" s="14" t="s">
        <v>1</v>
      </c>
      <c r="D7" s="15" t="s">
        <v>2</v>
      </c>
      <c r="E7" s="15" t="s">
        <v>3</v>
      </c>
      <c r="F7" s="15" t="s">
        <v>4</v>
      </c>
      <c r="G7" s="15" t="s">
        <v>5</v>
      </c>
      <c r="H7" s="16" t="s">
        <v>6</v>
      </c>
      <c r="I7" s="18" t="s">
        <v>71</v>
      </c>
      <c r="J7" s="18" t="s">
        <v>72</v>
      </c>
      <c r="K7" s="18" t="s">
        <v>73</v>
      </c>
      <c r="O7" t="s">
        <v>87</v>
      </c>
    </row>
    <row r="8" spans="1:20" x14ac:dyDescent="0.3">
      <c r="A8">
        <v>1</v>
      </c>
      <c r="B8" s="4" t="s">
        <v>9</v>
      </c>
      <c r="C8" s="4">
        <v>1406.6</v>
      </c>
      <c r="D8" s="4">
        <v>24.2</v>
      </c>
      <c r="E8" s="17">
        <v>9.3000000000000007</v>
      </c>
      <c r="F8" s="4">
        <v>2121.8000000000002</v>
      </c>
      <c r="G8" s="4">
        <v>63.66</v>
      </c>
      <c r="H8" s="5">
        <v>1</v>
      </c>
      <c r="I8" s="21">
        <v>160.44999999999999</v>
      </c>
      <c r="J8" s="19">
        <v>43981</v>
      </c>
      <c r="K8" s="19">
        <v>3798.5</v>
      </c>
      <c r="O8" t="s">
        <v>88</v>
      </c>
    </row>
    <row r="9" spans="1:20" x14ac:dyDescent="0.3">
      <c r="A9">
        <v>2</v>
      </c>
      <c r="B9" s="5" t="s">
        <v>10</v>
      </c>
      <c r="C9" s="4">
        <v>968.6</v>
      </c>
      <c r="D9" s="4">
        <v>16.2</v>
      </c>
      <c r="E9" s="17">
        <v>9</v>
      </c>
      <c r="F9" s="4">
        <v>3014.7</v>
      </c>
      <c r="G9" s="4">
        <v>80.569999999999993</v>
      </c>
      <c r="H9" s="5">
        <v>1</v>
      </c>
      <c r="I9" s="22">
        <v>150.38</v>
      </c>
      <c r="J9" s="20">
        <v>56366</v>
      </c>
      <c r="K9" s="20">
        <v>968.6</v>
      </c>
      <c r="O9" t="s">
        <v>89</v>
      </c>
    </row>
    <row r="10" spans="1:20" x14ac:dyDescent="0.3">
      <c r="A10">
        <v>3</v>
      </c>
      <c r="B10" s="5" t="s">
        <v>14</v>
      </c>
      <c r="C10" s="4">
        <v>1056.5</v>
      </c>
      <c r="D10" s="4">
        <v>9.15</v>
      </c>
      <c r="E10" s="17">
        <v>8.1</v>
      </c>
      <c r="F10" s="4">
        <v>170.6</v>
      </c>
      <c r="G10" s="4">
        <v>86.11</v>
      </c>
      <c r="H10" s="5">
        <v>1</v>
      </c>
      <c r="I10" s="23">
        <v>166.36</v>
      </c>
      <c r="J10" s="24">
        <v>88871</v>
      </c>
      <c r="K10" s="24">
        <v>2988</v>
      </c>
      <c r="O10" t="s">
        <v>90</v>
      </c>
    </row>
    <row r="11" spans="1:20" x14ac:dyDescent="0.3">
      <c r="A11">
        <v>4</v>
      </c>
      <c r="B11" s="5" t="s">
        <v>15</v>
      </c>
      <c r="C11" s="4">
        <v>693.1</v>
      </c>
      <c r="D11" s="4">
        <v>16.3</v>
      </c>
      <c r="E11" s="17">
        <v>12.9</v>
      </c>
      <c r="F11" s="4">
        <v>2444.1999999999998</v>
      </c>
      <c r="G11" s="4">
        <v>83.75</v>
      </c>
      <c r="H11" s="5">
        <v>0</v>
      </c>
      <c r="I11" s="23">
        <v>139.69999999999999</v>
      </c>
      <c r="J11" s="24">
        <v>69014</v>
      </c>
      <c r="K11" s="24">
        <v>3104.4</v>
      </c>
      <c r="O11" t="s">
        <v>91</v>
      </c>
    </row>
    <row r="12" spans="1:20" x14ac:dyDescent="0.3">
      <c r="A12">
        <v>5</v>
      </c>
      <c r="B12" s="5" t="s">
        <v>39</v>
      </c>
      <c r="C12" s="4">
        <v>256.3</v>
      </c>
      <c r="D12" s="4">
        <v>17</v>
      </c>
      <c r="E12" s="17">
        <v>11.7</v>
      </c>
      <c r="F12" s="4">
        <v>29303.200000000001</v>
      </c>
      <c r="G12" s="4">
        <v>100</v>
      </c>
      <c r="H12" s="5">
        <v>0</v>
      </c>
      <c r="I12" s="23">
        <v>136.18</v>
      </c>
      <c r="J12" s="24">
        <v>70663</v>
      </c>
      <c r="K12" s="24">
        <v>995.8</v>
      </c>
      <c r="O12" t="s">
        <v>92</v>
      </c>
    </row>
    <row r="13" spans="1:20" x14ac:dyDescent="0.3">
      <c r="A13">
        <v>6</v>
      </c>
      <c r="B13" s="5" t="s">
        <v>40</v>
      </c>
      <c r="C13" s="4">
        <v>207.4</v>
      </c>
      <c r="D13" s="4">
        <v>20.9</v>
      </c>
      <c r="E13" s="17">
        <v>9.1</v>
      </c>
      <c r="F13" s="4">
        <v>12285.8</v>
      </c>
      <c r="G13" s="4">
        <v>81.69</v>
      </c>
      <c r="H13" s="5">
        <v>1</v>
      </c>
      <c r="I13" s="23">
        <v>151.19999999999999</v>
      </c>
      <c r="J13" s="24">
        <v>47860</v>
      </c>
      <c r="K13" s="24">
        <v>1134.8</v>
      </c>
      <c r="O13" t="s">
        <v>93</v>
      </c>
    </row>
    <row r="14" spans="1:20" ht="15" thickBot="1" x14ac:dyDescent="0.35">
      <c r="A14">
        <v>7</v>
      </c>
      <c r="B14" s="5" t="s">
        <v>26</v>
      </c>
      <c r="C14" s="4">
        <v>566.20000000000005</v>
      </c>
      <c r="D14" s="4">
        <v>31.8</v>
      </c>
      <c r="E14" s="17">
        <v>12</v>
      </c>
      <c r="F14" s="4">
        <v>4606.8</v>
      </c>
      <c r="G14" s="4">
        <v>68.709999999999994</v>
      </c>
      <c r="H14" s="5">
        <v>1</v>
      </c>
      <c r="I14" s="26">
        <v>137.36000000000001</v>
      </c>
      <c r="J14" s="25">
        <v>34762</v>
      </c>
      <c r="K14" s="25">
        <v>1318.9</v>
      </c>
      <c r="O14" t="s">
        <v>94</v>
      </c>
    </row>
    <row r="15" spans="1:20" x14ac:dyDescent="0.3">
      <c r="A15">
        <v>8</v>
      </c>
      <c r="B15" s="5" t="s">
        <v>16</v>
      </c>
      <c r="C15" s="4">
        <v>588</v>
      </c>
      <c r="D15" s="4">
        <v>18</v>
      </c>
      <c r="E15" s="17">
        <v>6.9</v>
      </c>
      <c r="F15" s="4">
        <v>2091.1</v>
      </c>
      <c r="G15" s="4">
        <v>67.7</v>
      </c>
      <c r="H15" s="5">
        <v>1</v>
      </c>
      <c r="I15" s="23">
        <v>189.78</v>
      </c>
      <c r="J15" s="24">
        <v>52438</v>
      </c>
      <c r="K15" s="24">
        <v>3083</v>
      </c>
      <c r="M15" s="6" t="s">
        <v>74</v>
      </c>
      <c r="N15" s="7"/>
      <c r="O15" s="7"/>
      <c r="P15" s="7"/>
      <c r="Q15" s="7"/>
      <c r="R15" s="7"/>
      <c r="S15" s="7"/>
      <c r="T15" s="8"/>
    </row>
    <row r="16" spans="1:20" x14ac:dyDescent="0.3">
      <c r="A16">
        <v>9</v>
      </c>
      <c r="B16" s="5" t="s">
        <v>47</v>
      </c>
      <c r="C16" s="4">
        <v>498.8</v>
      </c>
      <c r="D16" s="4">
        <v>11.6</v>
      </c>
      <c r="E16" s="17">
        <v>7.8</v>
      </c>
      <c r="F16" s="4">
        <v>2836.9</v>
      </c>
      <c r="G16" s="4">
        <v>80.69</v>
      </c>
      <c r="H16" s="5">
        <v>0</v>
      </c>
      <c r="I16" s="23">
        <v>168</v>
      </c>
      <c r="J16" s="24">
        <v>68367</v>
      </c>
      <c r="K16" s="24">
        <v>2365.6</v>
      </c>
      <c r="M16" s="9" t="s">
        <v>75</v>
      </c>
      <c r="T16" s="10"/>
    </row>
    <row r="17" spans="1:20" x14ac:dyDescent="0.3">
      <c r="A17">
        <v>10</v>
      </c>
      <c r="B17" s="5" t="s">
        <v>27</v>
      </c>
      <c r="C17" s="4">
        <v>497.8</v>
      </c>
      <c r="D17" s="4">
        <v>20.3</v>
      </c>
      <c r="E17" s="17">
        <v>7.2</v>
      </c>
      <c r="F17" s="4">
        <v>7235.8</v>
      </c>
      <c r="G17" s="4">
        <v>74.760000000000005</v>
      </c>
      <c r="H17" s="5">
        <v>0</v>
      </c>
      <c r="I17" s="23">
        <v>158.49</v>
      </c>
      <c r="J17" s="27">
        <v>54124</v>
      </c>
      <c r="K17" s="24">
        <v>1493</v>
      </c>
      <c r="M17" s="9"/>
      <c r="T17" s="10"/>
    </row>
    <row r="18" spans="1:20" x14ac:dyDescent="0.3">
      <c r="A18">
        <v>11</v>
      </c>
      <c r="B18" s="5" t="s">
        <v>17</v>
      </c>
      <c r="C18" s="4">
        <v>238.2</v>
      </c>
      <c r="D18" s="4">
        <v>14.7</v>
      </c>
      <c r="E18" s="17">
        <v>4.7</v>
      </c>
      <c r="F18" s="4">
        <v>1810.1</v>
      </c>
      <c r="G18" s="4">
        <v>74.180000000000007</v>
      </c>
      <c r="H18" s="5">
        <v>0</v>
      </c>
      <c r="I18" s="28">
        <v>157.63999999999999</v>
      </c>
      <c r="J18" s="24">
        <v>65880</v>
      </c>
      <c r="K18" s="24">
        <v>2419.6999999999998</v>
      </c>
      <c r="M18" s="9" t="s">
        <v>76</v>
      </c>
      <c r="T18" s="10"/>
    </row>
    <row r="19" spans="1:20" x14ac:dyDescent="0.3">
      <c r="A19">
        <v>12</v>
      </c>
      <c r="B19" s="5" t="s">
        <v>28</v>
      </c>
      <c r="C19" s="4">
        <v>421.3</v>
      </c>
      <c r="D19" s="4">
        <v>31.4</v>
      </c>
      <c r="E19" s="17">
        <v>9.3000000000000007</v>
      </c>
      <c r="F19" s="4">
        <v>4793.5</v>
      </c>
      <c r="G19" s="4">
        <v>75.98</v>
      </c>
      <c r="H19" s="5">
        <v>1</v>
      </c>
      <c r="I19" s="28">
        <v>162.71</v>
      </c>
      <c r="J19" s="24">
        <v>33678</v>
      </c>
      <c r="K19" s="24">
        <v>1788.2</v>
      </c>
      <c r="M19" s="9" t="s">
        <v>77</v>
      </c>
      <c r="T19" s="10"/>
    </row>
    <row r="20" spans="1:20" x14ac:dyDescent="0.3">
      <c r="A20">
        <v>13</v>
      </c>
      <c r="B20" s="5" t="s">
        <v>18</v>
      </c>
      <c r="C20" s="4">
        <v>722.3</v>
      </c>
      <c r="D20" s="4">
        <v>16.3</v>
      </c>
      <c r="E20" s="17">
        <v>11.9</v>
      </c>
      <c r="F20" s="4">
        <v>5157</v>
      </c>
      <c r="G20" s="4">
        <v>70.739999999999995</v>
      </c>
      <c r="H20" s="5">
        <v>0</v>
      </c>
      <c r="I20" s="28">
        <v>136.87</v>
      </c>
      <c r="J20" s="24">
        <v>63916</v>
      </c>
      <c r="K20" s="24">
        <v>2331.5</v>
      </c>
      <c r="M20" s="9" t="s">
        <v>78</v>
      </c>
      <c r="T20" s="10"/>
    </row>
    <row r="21" spans="1:20" x14ac:dyDescent="0.3">
      <c r="A21">
        <v>14</v>
      </c>
      <c r="B21" s="5" t="s">
        <v>29</v>
      </c>
      <c r="C21" s="4">
        <v>255</v>
      </c>
      <c r="D21" s="4">
        <v>25.5</v>
      </c>
      <c r="E21" s="17">
        <v>5.7</v>
      </c>
      <c r="F21" s="4">
        <v>1365.3</v>
      </c>
      <c r="G21" s="4">
        <v>74.150000000000006</v>
      </c>
      <c r="H21" s="5">
        <v>1</v>
      </c>
      <c r="I21" s="29">
        <v>158.33000000000001</v>
      </c>
      <c r="J21" s="27">
        <v>39403</v>
      </c>
      <c r="K21" s="27">
        <v>995.5</v>
      </c>
      <c r="M21" s="9"/>
      <c r="T21" s="10"/>
    </row>
    <row r="22" spans="1:20" x14ac:dyDescent="0.3">
      <c r="A22">
        <v>15</v>
      </c>
      <c r="B22" s="5" t="s">
        <v>19</v>
      </c>
      <c r="C22" s="4">
        <v>479.2</v>
      </c>
      <c r="D22" s="4">
        <v>11.6</v>
      </c>
      <c r="E22" s="17">
        <v>8.4</v>
      </c>
      <c r="F22" s="4">
        <v>4674.3</v>
      </c>
      <c r="G22" s="4">
        <v>79.59</v>
      </c>
      <c r="H22" s="5">
        <v>1</v>
      </c>
      <c r="I22" s="29">
        <v>161.22</v>
      </c>
      <c r="J22" s="24">
        <v>78177</v>
      </c>
      <c r="K22" s="24">
        <v>3187.6</v>
      </c>
      <c r="M22" s="9" t="s">
        <v>79</v>
      </c>
      <c r="T22" s="10"/>
    </row>
    <row r="23" spans="1:20" x14ac:dyDescent="0.3">
      <c r="A23">
        <v>16</v>
      </c>
      <c r="B23" s="5" t="s">
        <v>20</v>
      </c>
      <c r="C23" s="4">
        <v>625.4</v>
      </c>
      <c r="D23" s="4">
        <v>19.5</v>
      </c>
      <c r="E23" s="17">
        <v>9.6</v>
      </c>
      <c r="F23" s="4">
        <v>3501.5</v>
      </c>
      <c r="G23" s="4">
        <v>86.52</v>
      </c>
      <c r="H23" s="31">
        <v>0</v>
      </c>
      <c r="I23" s="23">
        <v>149.51</v>
      </c>
      <c r="J23" s="24">
        <v>56019</v>
      </c>
      <c r="K23" s="24">
        <v>2585.5</v>
      </c>
      <c r="M23" s="9" t="s">
        <v>80</v>
      </c>
      <c r="T23" s="10"/>
    </row>
    <row r="24" spans="1:20" x14ac:dyDescent="0.3">
      <c r="A24">
        <v>17</v>
      </c>
      <c r="B24" s="5" t="s">
        <v>38</v>
      </c>
      <c r="C24" s="4">
        <v>578.4</v>
      </c>
      <c r="D24" s="4">
        <v>15</v>
      </c>
      <c r="E24" s="17">
        <v>6.4</v>
      </c>
      <c r="F24" s="4">
        <v>1168.0999999999999</v>
      </c>
      <c r="G24" s="5">
        <v>71.739999999999995</v>
      </c>
      <c r="H24" s="32">
        <v>1</v>
      </c>
      <c r="I24" s="25">
        <v>164.63</v>
      </c>
      <c r="J24" s="25">
        <v>60042</v>
      </c>
      <c r="K24" s="33">
        <v>2419.6999999999998</v>
      </c>
      <c r="M24" s="9" t="s">
        <v>81</v>
      </c>
      <c r="T24" s="10"/>
    </row>
    <row r="25" spans="1:20" ht="15" thickBot="1" x14ac:dyDescent="0.35">
      <c r="A25">
        <v>18</v>
      </c>
      <c r="B25" s="5" t="s">
        <v>21</v>
      </c>
      <c r="C25" s="4">
        <v>594.4</v>
      </c>
      <c r="D25" s="4">
        <v>22.9</v>
      </c>
      <c r="E25" s="17">
        <v>11.6</v>
      </c>
      <c r="F25" s="4">
        <v>4418.3999999999996</v>
      </c>
      <c r="G25" s="5">
        <v>73.27</v>
      </c>
      <c r="H25" s="32">
        <v>0</v>
      </c>
      <c r="I25" s="33">
        <v>148.74</v>
      </c>
      <c r="J25" s="34">
        <v>57211</v>
      </c>
      <c r="K25" s="27">
        <v>2474.6999999999998</v>
      </c>
      <c r="M25" s="11"/>
      <c r="N25" s="12"/>
      <c r="O25" s="12"/>
      <c r="P25" s="12"/>
      <c r="Q25" s="12"/>
      <c r="R25" s="12"/>
      <c r="S25" s="12"/>
      <c r="T25" s="13"/>
    </row>
    <row r="26" spans="1:20" x14ac:dyDescent="0.3">
      <c r="A26">
        <v>19</v>
      </c>
      <c r="B26" s="5" t="s">
        <v>22</v>
      </c>
      <c r="C26" s="4">
        <v>697.1</v>
      </c>
      <c r="D26" s="4">
        <v>24.1</v>
      </c>
      <c r="E26" s="17">
        <v>7.5</v>
      </c>
      <c r="F26" s="4">
        <v>6188.3</v>
      </c>
      <c r="G26" s="5">
        <v>72.38</v>
      </c>
      <c r="H26" s="5">
        <v>0</v>
      </c>
      <c r="I26" s="23">
        <v>158.29</v>
      </c>
      <c r="J26" s="35">
        <v>45318</v>
      </c>
      <c r="K26" s="24">
        <v>1902.4</v>
      </c>
    </row>
    <row r="27" spans="1:20" x14ac:dyDescent="0.3">
      <c r="A27">
        <v>20</v>
      </c>
      <c r="B27" s="5" t="s">
        <v>23</v>
      </c>
      <c r="C27" s="4">
        <v>461.5</v>
      </c>
      <c r="D27" s="4">
        <v>14.9</v>
      </c>
      <c r="E27" s="17">
        <v>6.5</v>
      </c>
      <c r="F27" s="4">
        <v>956.4</v>
      </c>
      <c r="G27" s="5">
        <v>73.78</v>
      </c>
      <c r="H27" s="5">
        <v>1</v>
      </c>
      <c r="I27" s="23">
        <v>171.34</v>
      </c>
      <c r="J27" s="35">
        <v>59679</v>
      </c>
      <c r="K27" s="24">
        <v>2848</v>
      </c>
      <c r="M27" t="s">
        <v>82</v>
      </c>
    </row>
    <row r="28" spans="1:20" x14ac:dyDescent="0.3">
      <c r="A28">
        <v>21</v>
      </c>
      <c r="B28" s="5" t="s">
        <v>24</v>
      </c>
      <c r="C28" s="4">
        <v>439.5</v>
      </c>
      <c r="D28" s="4">
        <v>10.3</v>
      </c>
      <c r="E28" s="17">
        <v>9.1</v>
      </c>
      <c r="F28" s="4">
        <v>17179.2</v>
      </c>
      <c r="G28" s="5">
        <v>100.79</v>
      </c>
      <c r="H28" s="5">
        <v>0</v>
      </c>
      <c r="I28" s="26">
        <v>145.06</v>
      </c>
      <c r="J28" s="36">
        <v>126187</v>
      </c>
      <c r="K28" s="25">
        <v>3003.8</v>
      </c>
      <c r="M28" t="s">
        <v>83</v>
      </c>
    </row>
    <row r="29" spans="1:20" x14ac:dyDescent="0.3">
      <c r="A29">
        <v>22</v>
      </c>
      <c r="B29" s="5" t="s">
        <v>30</v>
      </c>
      <c r="C29" s="4">
        <v>320.7</v>
      </c>
      <c r="D29" s="4">
        <v>23.8</v>
      </c>
      <c r="E29" s="17">
        <v>10.8</v>
      </c>
      <c r="F29" s="4">
        <v>2029.4</v>
      </c>
      <c r="G29" s="5">
        <v>78.58</v>
      </c>
      <c r="H29" s="32">
        <v>1</v>
      </c>
      <c r="I29" s="33">
        <v>145.18</v>
      </c>
      <c r="J29" s="34">
        <v>45594</v>
      </c>
      <c r="K29" s="33">
        <v>1591.6</v>
      </c>
    </row>
    <row r="30" spans="1:20" x14ac:dyDescent="0.3">
      <c r="A30">
        <v>23</v>
      </c>
      <c r="B30" s="5" t="s">
        <v>48</v>
      </c>
      <c r="C30" s="4">
        <v>473.4</v>
      </c>
      <c r="D30" s="4">
        <v>15.2</v>
      </c>
      <c r="E30" s="17">
        <v>6.9</v>
      </c>
      <c r="F30" s="4">
        <v>1468.5</v>
      </c>
      <c r="G30" s="5">
        <v>69.790000000000006</v>
      </c>
      <c r="H30" s="5">
        <v>1</v>
      </c>
      <c r="I30" s="23">
        <v>176.78</v>
      </c>
      <c r="J30" s="35">
        <v>58357</v>
      </c>
      <c r="K30" s="24">
        <v>2234.6</v>
      </c>
      <c r="M30" t="s">
        <v>84</v>
      </c>
    </row>
    <row r="31" spans="1:20" x14ac:dyDescent="0.3">
      <c r="A31">
        <v>24</v>
      </c>
      <c r="B31" s="5" t="s">
        <v>37</v>
      </c>
      <c r="C31" s="4">
        <v>483.1</v>
      </c>
      <c r="D31" s="4">
        <v>19.600000000000001</v>
      </c>
      <c r="E31" s="17">
        <v>7.1</v>
      </c>
      <c r="F31" s="4">
        <v>4885</v>
      </c>
      <c r="G31" s="5">
        <v>70.489999999999995</v>
      </c>
      <c r="H31" s="32">
        <v>1</v>
      </c>
      <c r="I31" s="33">
        <v>165.44</v>
      </c>
      <c r="J31" s="34">
        <v>48751</v>
      </c>
      <c r="K31" s="33">
        <v>2123.6</v>
      </c>
    </row>
    <row r="32" spans="1:20" x14ac:dyDescent="0.3">
      <c r="A32">
        <v>25</v>
      </c>
      <c r="B32" s="5" t="s">
        <v>31</v>
      </c>
      <c r="C32" s="4">
        <v>483.2</v>
      </c>
      <c r="D32" s="4">
        <v>10.9</v>
      </c>
      <c r="E32" s="17">
        <v>8</v>
      </c>
      <c r="F32" s="4">
        <v>2451.1999999999998</v>
      </c>
      <c r="G32" s="5">
        <v>78.900000000000006</v>
      </c>
      <c r="H32" s="5">
        <v>1</v>
      </c>
      <c r="I32" s="23">
        <v>172.52</v>
      </c>
      <c r="J32" s="35">
        <v>71957</v>
      </c>
      <c r="K32" s="24">
        <v>2615</v>
      </c>
    </row>
    <row r="33" spans="1:11" x14ac:dyDescent="0.3">
      <c r="A33">
        <v>26</v>
      </c>
      <c r="B33" s="5" t="s">
        <v>32</v>
      </c>
      <c r="C33" s="4">
        <v>444.9</v>
      </c>
      <c r="D33" s="4">
        <v>16.600000000000001</v>
      </c>
      <c r="E33" s="17">
        <v>12.6</v>
      </c>
      <c r="F33" s="4">
        <v>8304.2000000000007</v>
      </c>
      <c r="G33" s="5">
        <v>86.64</v>
      </c>
      <c r="H33" s="5">
        <v>0</v>
      </c>
      <c r="I33" s="23">
        <v>135.15</v>
      </c>
      <c r="J33" s="37">
        <v>69778</v>
      </c>
      <c r="K33" s="24">
        <v>2013</v>
      </c>
    </row>
    <row r="34" spans="1:11" x14ac:dyDescent="0.3">
      <c r="A34">
        <v>27</v>
      </c>
      <c r="B34" s="5" t="s">
        <v>33</v>
      </c>
      <c r="C34" s="4">
        <v>252.8</v>
      </c>
      <c r="D34" s="4">
        <v>17.100000000000001</v>
      </c>
      <c r="E34" s="17">
        <v>11</v>
      </c>
      <c r="F34" s="4">
        <v>12059.8</v>
      </c>
      <c r="G34" s="5">
        <v>86.42</v>
      </c>
      <c r="H34" s="5">
        <v>0</v>
      </c>
      <c r="I34" s="28">
        <v>142.86000000000001</v>
      </c>
      <c r="J34" s="23">
        <v>65781</v>
      </c>
      <c r="K34" s="24">
        <v>1174</v>
      </c>
    </row>
    <row r="35" spans="1:11" x14ac:dyDescent="0.3">
      <c r="A35">
        <v>28</v>
      </c>
      <c r="B35" s="5" t="s">
        <v>34</v>
      </c>
      <c r="C35" s="4">
        <v>163.5</v>
      </c>
      <c r="D35" s="4">
        <v>15.4</v>
      </c>
      <c r="E35" s="17">
        <v>7.2</v>
      </c>
      <c r="F35" s="4">
        <v>11280.7</v>
      </c>
      <c r="G35" s="5">
        <v>90.87</v>
      </c>
      <c r="H35" s="5">
        <v>0</v>
      </c>
      <c r="I35" s="28">
        <v>149.69999999999999</v>
      </c>
      <c r="J35" s="23">
        <v>93547</v>
      </c>
      <c r="K35" s="24">
        <v>1157.7</v>
      </c>
    </row>
    <row r="36" spans="1:11" x14ac:dyDescent="0.3">
      <c r="A36">
        <v>29</v>
      </c>
      <c r="B36" s="5" t="s">
        <v>35</v>
      </c>
      <c r="C36" s="4">
        <v>446.3</v>
      </c>
      <c r="D36" s="4">
        <v>16.399999999999999</v>
      </c>
      <c r="E36" s="17">
        <v>7</v>
      </c>
      <c r="F36" s="4">
        <v>2454.5</v>
      </c>
      <c r="G36" s="5">
        <v>70.83</v>
      </c>
      <c r="H36" s="5">
        <v>1</v>
      </c>
      <c r="I36" s="28">
        <v>166.9</v>
      </c>
      <c r="J36" s="23">
        <v>54321</v>
      </c>
      <c r="K36" s="24">
        <v>2160.9</v>
      </c>
    </row>
    <row r="37" spans="1:11" x14ac:dyDescent="0.3">
      <c r="A37">
        <v>30</v>
      </c>
      <c r="B37" s="5" t="s">
        <v>36</v>
      </c>
      <c r="C37" s="4">
        <v>409.7</v>
      </c>
      <c r="D37" s="4">
        <v>14.9</v>
      </c>
      <c r="E37" s="17">
        <v>16</v>
      </c>
      <c r="F37" s="4">
        <v>4526</v>
      </c>
      <c r="G37" s="5">
        <v>72.790000000000006</v>
      </c>
      <c r="H37" s="5">
        <v>1</v>
      </c>
      <c r="I37" s="30">
        <v>143.97</v>
      </c>
      <c r="J37" s="26">
        <v>61356</v>
      </c>
      <c r="K37" s="25">
        <v>1700.9</v>
      </c>
    </row>
  </sheetData>
  <mergeCells count="3">
    <mergeCell ref="C2:M2"/>
    <mergeCell ref="D4:M4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9DFC-6B68-467F-985B-464711F4E0DE}">
  <dimension ref="A2:X60"/>
  <sheetViews>
    <sheetView zoomScaleNormal="100" workbookViewId="0">
      <selection activeCell="I5" sqref="I5"/>
    </sheetView>
  </sheetViews>
  <sheetFormatPr defaultRowHeight="14.4" x14ac:dyDescent="0.3"/>
  <cols>
    <col min="11" max="11" width="23.33203125" bestFit="1" customWidth="1"/>
    <col min="13" max="13" width="23.33203125" bestFit="1" customWidth="1"/>
    <col min="15" max="15" width="23.33203125" bestFit="1" customWidth="1"/>
    <col min="16" max="16" width="10.6640625" customWidth="1"/>
    <col min="17" max="17" width="23.33203125" bestFit="1" customWidth="1"/>
    <col min="19" max="19" width="23.33203125" bestFit="1" customWidth="1"/>
    <col min="21" max="21" width="17.44140625" customWidth="1"/>
    <col min="22" max="22" width="13.88671875" customWidth="1"/>
    <col min="23" max="23" width="29" bestFit="1" customWidth="1"/>
    <col min="25" max="25" width="17.88671875" customWidth="1"/>
    <col min="27" max="27" width="17.5546875" customWidth="1"/>
  </cols>
  <sheetData>
    <row r="2" spans="1:24" ht="15" thickBot="1" x14ac:dyDescent="0.35"/>
    <row r="3" spans="1:24" x14ac:dyDescent="0.3">
      <c r="A3" s="14" t="s">
        <v>65</v>
      </c>
      <c r="B3" s="4" t="s">
        <v>66</v>
      </c>
      <c r="C3" s="4" t="s">
        <v>67</v>
      </c>
      <c r="D3" s="4" t="s">
        <v>68</v>
      </c>
      <c r="E3" s="5" t="s">
        <v>69</v>
      </c>
      <c r="F3" s="83" t="s">
        <v>70</v>
      </c>
      <c r="G3" s="83"/>
      <c r="H3" s="83"/>
      <c r="I3" s="83"/>
      <c r="K3" s="40" t="s">
        <v>109</v>
      </c>
      <c r="L3" s="40"/>
      <c r="Q3" s="39" t="s">
        <v>112</v>
      </c>
      <c r="R3" s="39"/>
      <c r="W3" s="39" t="s">
        <v>115</v>
      </c>
      <c r="X3" s="39"/>
    </row>
    <row r="4" spans="1:24" x14ac:dyDescent="0.3">
      <c r="A4" s="14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6" t="s">
        <v>6</v>
      </c>
      <c r="G4" s="18" t="s">
        <v>71</v>
      </c>
      <c r="H4" s="18" t="s">
        <v>72</v>
      </c>
      <c r="I4" s="18" t="s">
        <v>73</v>
      </c>
    </row>
    <row r="5" spans="1:24" x14ac:dyDescent="0.3">
      <c r="A5" s="4">
        <v>1406.6</v>
      </c>
      <c r="B5" s="4">
        <v>24.2</v>
      </c>
      <c r="C5" s="17">
        <v>9.3000000000000007</v>
      </c>
      <c r="D5" s="4">
        <v>2121.8000000000002</v>
      </c>
      <c r="E5" s="4">
        <v>63.66</v>
      </c>
      <c r="F5" s="5">
        <v>1</v>
      </c>
      <c r="G5" s="21">
        <v>160.44999999999999</v>
      </c>
      <c r="H5" s="19">
        <v>43981</v>
      </c>
      <c r="I5" s="19">
        <v>3798.5</v>
      </c>
      <c r="K5" t="s">
        <v>95</v>
      </c>
      <c r="L5">
        <v>524.30666666666673</v>
      </c>
      <c r="Q5" t="s">
        <v>95</v>
      </c>
      <c r="R5">
        <v>5559.4100000000008</v>
      </c>
      <c r="W5" t="s">
        <v>95</v>
      </c>
      <c r="X5">
        <v>155.69133333333329</v>
      </c>
    </row>
    <row r="6" spans="1:24" x14ac:dyDescent="0.3">
      <c r="A6" s="4">
        <v>968.6</v>
      </c>
      <c r="B6" s="4">
        <v>16.2</v>
      </c>
      <c r="C6" s="17">
        <v>9</v>
      </c>
      <c r="D6" s="4">
        <v>3014.7</v>
      </c>
      <c r="E6" s="4">
        <v>80.569999999999993</v>
      </c>
      <c r="F6" s="5">
        <v>1</v>
      </c>
      <c r="G6" s="22">
        <v>150.38</v>
      </c>
      <c r="H6" s="20">
        <v>56366</v>
      </c>
      <c r="I6" s="20">
        <v>968.6</v>
      </c>
      <c r="K6" t="s">
        <v>96</v>
      </c>
      <c r="L6">
        <v>48.055544475005924</v>
      </c>
      <c r="Q6" t="s">
        <v>96</v>
      </c>
      <c r="R6">
        <v>1091.4259815504888</v>
      </c>
      <c r="W6" t="s">
        <v>96</v>
      </c>
      <c r="X6">
        <v>2.4620247593614515</v>
      </c>
    </row>
    <row r="7" spans="1:24" x14ac:dyDescent="0.3">
      <c r="A7" s="4">
        <v>1056.5</v>
      </c>
      <c r="B7" s="4">
        <v>9.15</v>
      </c>
      <c r="C7" s="17">
        <v>8.1</v>
      </c>
      <c r="D7" s="4">
        <v>170.6</v>
      </c>
      <c r="E7" s="4">
        <v>86.11</v>
      </c>
      <c r="F7" s="5">
        <v>1</v>
      </c>
      <c r="G7" s="23">
        <v>166.36</v>
      </c>
      <c r="H7" s="24">
        <v>88871</v>
      </c>
      <c r="I7" s="24">
        <v>2988</v>
      </c>
      <c r="K7" t="s">
        <v>97</v>
      </c>
      <c r="L7">
        <v>481.15</v>
      </c>
      <c r="Q7" t="s">
        <v>97</v>
      </c>
      <c r="R7">
        <v>3959.95</v>
      </c>
      <c r="W7" t="s">
        <v>97</v>
      </c>
      <c r="X7">
        <v>157.96499999999997</v>
      </c>
    </row>
    <row r="8" spans="1:24" x14ac:dyDescent="0.3">
      <c r="A8" s="4">
        <v>693.1</v>
      </c>
      <c r="B8" s="4">
        <v>16.3</v>
      </c>
      <c r="C8" s="17">
        <v>12.9</v>
      </c>
      <c r="D8" s="4">
        <v>2444.1999999999998</v>
      </c>
      <c r="E8" s="4">
        <v>83.75</v>
      </c>
      <c r="F8" s="5">
        <v>0</v>
      </c>
      <c r="G8" s="23">
        <v>139.69999999999999</v>
      </c>
      <c r="H8" s="24">
        <v>69014</v>
      </c>
      <c r="I8" s="24">
        <v>3104.4</v>
      </c>
      <c r="K8" t="s">
        <v>98</v>
      </c>
      <c r="L8" t="e">
        <v>#N/A</v>
      </c>
      <c r="Q8" t="s">
        <v>98</v>
      </c>
      <c r="R8" t="e">
        <v>#N/A</v>
      </c>
      <c r="W8" t="s">
        <v>98</v>
      </c>
      <c r="X8" t="e">
        <v>#N/A</v>
      </c>
    </row>
    <row r="9" spans="1:24" x14ac:dyDescent="0.3">
      <c r="A9" s="4">
        <v>256.3</v>
      </c>
      <c r="B9" s="4">
        <v>17</v>
      </c>
      <c r="C9" s="17">
        <v>11.7</v>
      </c>
      <c r="D9" s="4">
        <v>29303.200000000001</v>
      </c>
      <c r="E9" s="4">
        <v>100</v>
      </c>
      <c r="F9" s="5">
        <v>0</v>
      </c>
      <c r="G9" s="23">
        <v>136.18</v>
      </c>
      <c r="H9" s="24">
        <v>70663</v>
      </c>
      <c r="I9" s="24">
        <v>995.8</v>
      </c>
      <c r="K9" t="s">
        <v>99</v>
      </c>
      <c r="L9">
        <v>263.21105722153499</v>
      </c>
      <c r="Q9" t="s">
        <v>99</v>
      </c>
      <c r="R9">
        <v>5977.9862994242003</v>
      </c>
      <c r="W9" t="s">
        <v>99</v>
      </c>
      <c r="X9">
        <v>13.485064978384953</v>
      </c>
    </row>
    <row r="10" spans="1:24" x14ac:dyDescent="0.3">
      <c r="A10" s="4">
        <v>207.4</v>
      </c>
      <c r="B10" s="4">
        <v>20.9</v>
      </c>
      <c r="C10" s="17">
        <v>9.1</v>
      </c>
      <c r="D10" s="4">
        <v>12285.8</v>
      </c>
      <c r="E10" s="4">
        <v>81.69</v>
      </c>
      <c r="F10" s="5">
        <v>1</v>
      </c>
      <c r="G10" s="23">
        <v>151.19999999999999</v>
      </c>
      <c r="H10" s="24">
        <v>47860</v>
      </c>
      <c r="I10" s="24">
        <v>1134.8</v>
      </c>
      <c r="K10" t="s">
        <v>100</v>
      </c>
      <c r="L10">
        <v>69280.060643678153</v>
      </c>
      <c r="Q10" t="s">
        <v>100</v>
      </c>
      <c r="R10">
        <v>35736320.196103446</v>
      </c>
      <c r="W10" t="s">
        <v>100</v>
      </c>
      <c r="X10">
        <v>181.84697747126435</v>
      </c>
    </row>
    <row r="11" spans="1:24" x14ac:dyDescent="0.3">
      <c r="A11" s="4">
        <v>566.20000000000005</v>
      </c>
      <c r="B11" s="4">
        <v>31.8</v>
      </c>
      <c r="C11" s="17">
        <v>12</v>
      </c>
      <c r="D11" s="4">
        <v>4606.8</v>
      </c>
      <c r="E11" s="4">
        <v>68.709999999999994</v>
      </c>
      <c r="F11" s="5">
        <v>1</v>
      </c>
      <c r="G11" s="26">
        <v>137.36000000000001</v>
      </c>
      <c r="H11" s="25">
        <v>34762</v>
      </c>
      <c r="I11" s="25">
        <v>1318.9</v>
      </c>
      <c r="K11" t="s">
        <v>101</v>
      </c>
      <c r="L11">
        <v>3.5589154187790295</v>
      </c>
      <c r="Q11" t="s">
        <v>101</v>
      </c>
      <c r="R11">
        <v>8.099658292729961</v>
      </c>
      <c r="W11" t="s">
        <v>101</v>
      </c>
      <c r="X11">
        <v>-0.17723297078047162</v>
      </c>
    </row>
    <row r="12" spans="1:24" x14ac:dyDescent="0.3">
      <c r="A12" s="4">
        <v>588</v>
      </c>
      <c r="B12" s="4">
        <v>18</v>
      </c>
      <c r="C12" s="17">
        <v>6.9</v>
      </c>
      <c r="D12" s="4">
        <v>2091.1</v>
      </c>
      <c r="E12" s="4">
        <v>67.7</v>
      </c>
      <c r="F12" s="5">
        <v>1</v>
      </c>
      <c r="G12" s="23">
        <v>189.78</v>
      </c>
      <c r="H12" s="24">
        <v>52438</v>
      </c>
      <c r="I12" s="24">
        <v>3083</v>
      </c>
      <c r="K12" t="s">
        <v>102</v>
      </c>
      <c r="L12">
        <v>1.561208022217059</v>
      </c>
      <c r="Q12" t="s">
        <v>102</v>
      </c>
      <c r="R12">
        <v>2.5848416266931267</v>
      </c>
      <c r="W12" t="s">
        <v>102</v>
      </c>
      <c r="X12">
        <v>0.36580102318109436</v>
      </c>
    </row>
    <row r="13" spans="1:24" x14ac:dyDescent="0.3">
      <c r="A13" s="4">
        <v>498.8</v>
      </c>
      <c r="B13" s="4">
        <v>11.6</v>
      </c>
      <c r="C13" s="17">
        <v>7.8</v>
      </c>
      <c r="D13" s="4">
        <v>2836.9</v>
      </c>
      <c r="E13" s="4">
        <v>80.69</v>
      </c>
      <c r="F13" s="5">
        <v>0</v>
      </c>
      <c r="G13" s="23">
        <v>168</v>
      </c>
      <c r="H13" s="24">
        <v>68367</v>
      </c>
      <c r="I13" s="24">
        <v>2365.6</v>
      </c>
      <c r="K13" t="s">
        <v>103</v>
      </c>
      <c r="L13">
        <v>1243.0999999999999</v>
      </c>
      <c r="Q13" t="s">
        <v>103</v>
      </c>
      <c r="R13">
        <v>29132.600000000002</v>
      </c>
      <c r="W13" t="s">
        <v>103</v>
      </c>
      <c r="X13">
        <v>54.629999999999995</v>
      </c>
    </row>
    <row r="14" spans="1:24" x14ac:dyDescent="0.3">
      <c r="A14" s="4">
        <v>497.8</v>
      </c>
      <c r="B14" s="4">
        <v>20.3</v>
      </c>
      <c r="C14" s="17">
        <v>7.2</v>
      </c>
      <c r="D14" s="4">
        <v>7235.8</v>
      </c>
      <c r="E14" s="4">
        <v>74.760000000000005</v>
      </c>
      <c r="F14" s="5">
        <v>0</v>
      </c>
      <c r="G14" s="23">
        <v>158.49</v>
      </c>
      <c r="H14" s="27">
        <v>54124</v>
      </c>
      <c r="I14" s="24">
        <v>1493</v>
      </c>
      <c r="K14" t="s">
        <v>104</v>
      </c>
      <c r="L14">
        <v>163.5</v>
      </c>
      <c r="Q14" t="s">
        <v>104</v>
      </c>
      <c r="R14">
        <v>170.6</v>
      </c>
      <c r="W14" t="s">
        <v>104</v>
      </c>
      <c r="X14">
        <v>135.15</v>
      </c>
    </row>
    <row r="15" spans="1:24" x14ac:dyDescent="0.3">
      <c r="A15" s="4">
        <v>238.2</v>
      </c>
      <c r="B15" s="4">
        <v>14.7</v>
      </c>
      <c r="C15" s="17">
        <v>4.7</v>
      </c>
      <c r="D15" s="4">
        <v>1810.1</v>
      </c>
      <c r="E15" s="4">
        <v>74.180000000000007</v>
      </c>
      <c r="F15" s="5">
        <v>0</v>
      </c>
      <c r="G15" s="28">
        <v>157.63999999999999</v>
      </c>
      <c r="H15" s="24">
        <v>65880</v>
      </c>
      <c r="I15" s="24">
        <v>2419.6999999999998</v>
      </c>
      <c r="K15" t="s">
        <v>105</v>
      </c>
      <c r="L15">
        <v>1406.6</v>
      </c>
      <c r="Q15" t="s">
        <v>105</v>
      </c>
      <c r="R15">
        <v>29303.200000000001</v>
      </c>
      <c r="W15" t="s">
        <v>105</v>
      </c>
      <c r="X15">
        <v>189.78</v>
      </c>
    </row>
    <row r="16" spans="1:24" x14ac:dyDescent="0.3">
      <c r="A16" s="4">
        <v>421.3</v>
      </c>
      <c r="B16" s="4">
        <v>31.4</v>
      </c>
      <c r="C16" s="17">
        <v>9.3000000000000007</v>
      </c>
      <c r="D16" s="4">
        <v>4793.5</v>
      </c>
      <c r="E16" s="4">
        <v>75.98</v>
      </c>
      <c r="F16" s="5">
        <v>1</v>
      </c>
      <c r="G16" s="28">
        <v>162.71</v>
      </c>
      <c r="H16" s="24">
        <v>33678</v>
      </c>
      <c r="I16" s="24">
        <v>1788.2</v>
      </c>
      <c r="K16" t="s">
        <v>106</v>
      </c>
      <c r="L16">
        <v>15729.2</v>
      </c>
      <c r="Q16" t="s">
        <v>106</v>
      </c>
      <c r="R16">
        <v>166782.30000000002</v>
      </c>
      <c r="W16" t="s">
        <v>106</v>
      </c>
      <c r="X16">
        <v>4670.7399999999989</v>
      </c>
    </row>
    <row r="17" spans="1:24" x14ac:dyDescent="0.3">
      <c r="A17" s="4">
        <v>722.3</v>
      </c>
      <c r="B17" s="4">
        <v>16.3</v>
      </c>
      <c r="C17" s="17">
        <v>11.9</v>
      </c>
      <c r="D17" s="4">
        <v>5157</v>
      </c>
      <c r="E17" s="4">
        <v>70.739999999999995</v>
      </c>
      <c r="F17" s="5">
        <v>0</v>
      </c>
      <c r="G17" s="28">
        <v>136.87</v>
      </c>
      <c r="H17" s="24">
        <v>63916</v>
      </c>
      <c r="I17" s="24">
        <v>2331.5</v>
      </c>
      <c r="K17" t="s">
        <v>107</v>
      </c>
      <c r="L17">
        <v>30</v>
      </c>
      <c r="Q17" t="s">
        <v>107</v>
      </c>
      <c r="R17">
        <v>30</v>
      </c>
      <c r="W17" t="s">
        <v>107</v>
      </c>
      <c r="X17">
        <v>30</v>
      </c>
    </row>
    <row r="18" spans="1:24" ht="15" thickBot="1" x14ac:dyDescent="0.35">
      <c r="A18" s="4">
        <v>255</v>
      </c>
      <c r="B18" s="4">
        <v>25.5</v>
      </c>
      <c r="C18" s="17">
        <v>5.7</v>
      </c>
      <c r="D18" s="4">
        <v>1365.3</v>
      </c>
      <c r="E18" s="4">
        <v>74.150000000000006</v>
      </c>
      <c r="F18" s="5">
        <v>1</v>
      </c>
      <c r="G18" s="29">
        <v>158.33000000000001</v>
      </c>
      <c r="H18" s="27">
        <v>39403</v>
      </c>
      <c r="I18" s="27">
        <v>995.5</v>
      </c>
      <c r="K18" s="38" t="s">
        <v>108</v>
      </c>
      <c r="L18" s="38">
        <v>98.284624029108585</v>
      </c>
      <c r="Q18" s="38" t="s">
        <v>108</v>
      </c>
      <c r="R18" s="38">
        <v>2232.2167696608408</v>
      </c>
      <c r="W18" s="38" t="s">
        <v>108</v>
      </c>
      <c r="X18" s="38">
        <v>5.0354060175106765</v>
      </c>
    </row>
    <row r="19" spans="1:24" x14ac:dyDescent="0.3">
      <c r="A19" s="4">
        <v>479.2</v>
      </c>
      <c r="B19" s="4">
        <v>11.6</v>
      </c>
      <c r="C19" s="17">
        <v>8.4</v>
      </c>
      <c r="D19" s="4">
        <v>4674.3</v>
      </c>
      <c r="E19" s="4">
        <v>79.59</v>
      </c>
      <c r="F19" s="5">
        <v>1</v>
      </c>
      <c r="G19" s="29">
        <v>161.22</v>
      </c>
      <c r="H19" s="24">
        <v>78177</v>
      </c>
      <c r="I19" s="24">
        <v>3187.6</v>
      </c>
      <c r="K19" s="39" t="s">
        <v>110</v>
      </c>
      <c r="L19" s="39"/>
      <c r="Q19" s="39" t="s">
        <v>113</v>
      </c>
      <c r="R19" s="39"/>
      <c r="W19" s="39" t="s">
        <v>116</v>
      </c>
      <c r="X19" s="39"/>
    </row>
    <row r="20" spans="1:24" x14ac:dyDescent="0.3">
      <c r="A20" s="4">
        <v>625.4</v>
      </c>
      <c r="B20" s="4">
        <v>19.5</v>
      </c>
      <c r="C20" s="17">
        <v>9.6</v>
      </c>
      <c r="D20" s="4">
        <v>3501.5</v>
      </c>
      <c r="E20" s="4">
        <v>86.52</v>
      </c>
      <c r="F20" s="31">
        <v>0</v>
      </c>
      <c r="G20" s="23">
        <v>149.51</v>
      </c>
      <c r="H20" s="24">
        <v>56019</v>
      </c>
      <c r="I20" s="24">
        <v>2585.5</v>
      </c>
    </row>
    <row r="21" spans="1:24" x14ac:dyDescent="0.3">
      <c r="A21" s="4">
        <v>578.4</v>
      </c>
      <c r="B21" s="4">
        <v>15</v>
      </c>
      <c r="C21" s="17">
        <v>6.4</v>
      </c>
      <c r="D21" s="4">
        <v>1168.0999999999999</v>
      </c>
      <c r="E21" s="5">
        <v>71.739999999999995</v>
      </c>
      <c r="F21" s="32">
        <v>1</v>
      </c>
      <c r="G21" s="25">
        <v>164.63</v>
      </c>
      <c r="H21" s="25">
        <v>60042</v>
      </c>
      <c r="I21" s="33">
        <v>2419.6999999999998</v>
      </c>
      <c r="K21" t="s">
        <v>95</v>
      </c>
      <c r="L21">
        <v>18.051666666666669</v>
      </c>
      <c r="Q21" t="s">
        <v>95</v>
      </c>
      <c r="R21">
        <v>78.202333333333328</v>
      </c>
      <c r="W21" t="s">
        <v>95</v>
      </c>
      <c r="X21">
        <v>61379.933333333334</v>
      </c>
    </row>
    <row r="22" spans="1:24" x14ac:dyDescent="0.3">
      <c r="A22" s="4">
        <v>594.4</v>
      </c>
      <c r="B22" s="4">
        <v>22.9</v>
      </c>
      <c r="C22" s="17">
        <v>11.6</v>
      </c>
      <c r="D22" s="4">
        <v>4418.3999999999996</v>
      </c>
      <c r="E22" s="5">
        <v>73.27</v>
      </c>
      <c r="F22" s="32">
        <v>0</v>
      </c>
      <c r="G22" s="33">
        <v>148.74</v>
      </c>
      <c r="H22" s="34">
        <v>57211</v>
      </c>
      <c r="I22" s="27">
        <v>2474.6999999999998</v>
      </c>
      <c r="K22" t="s">
        <v>96</v>
      </c>
      <c r="L22">
        <v>1.0266463742583298</v>
      </c>
      <c r="Q22" t="s">
        <v>96</v>
      </c>
      <c r="R22">
        <v>1.6343778515648941</v>
      </c>
      <c r="W22" t="s">
        <v>96</v>
      </c>
      <c r="X22">
        <v>3402.652687270855</v>
      </c>
    </row>
    <row r="23" spans="1:24" x14ac:dyDescent="0.3">
      <c r="A23" s="4">
        <v>697.1</v>
      </c>
      <c r="B23" s="4">
        <v>24.1</v>
      </c>
      <c r="C23" s="17">
        <v>7.5</v>
      </c>
      <c r="D23" s="4">
        <v>6188.3</v>
      </c>
      <c r="E23" s="5">
        <v>72.38</v>
      </c>
      <c r="F23" s="5">
        <v>0</v>
      </c>
      <c r="G23" s="23">
        <v>158.29</v>
      </c>
      <c r="H23" s="35">
        <v>45318</v>
      </c>
      <c r="I23" s="24">
        <v>1902.4</v>
      </c>
      <c r="K23" t="s">
        <v>97</v>
      </c>
      <c r="L23">
        <v>16.5</v>
      </c>
      <c r="Q23" t="s">
        <v>97</v>
      </c>
      <c r="R23">
        <v>75.37</v>
      </c>
      <c r="W23" t="s">
        <v>97</v>
      </c>
      <c r="X23">
        <v>59018</v>
      </c>
    </row>
    <row r="24" spans="1:24" x14ac:dyDescent="0.3">
      <c r="A24" s="4">
        <v>461.5</v>
      </c>
      <c r="B24" s="4">
        <v>14.9</v>
      </c>
      <c r="C24" s="17">
        <v>6.5</v>
      </c>
      <c r="D24" s="4">
        <v>956.4</v>
      </c>
      <c r="E24" s="5">
        <v>73.78</v>
      </c>
      <c r="F24" s="5">
        <v>1</v>
      </c>
      <c r="G24" s="23">
        <v>171.34</v>
      </c>
      <c r="H24" s="35">
        <v>59679</v>
      </c>
      <c r="I24" s="24">
        <v>2848</v>
      </c>
      <c r="K24" t="s">
        <v>98</v>
      </c>
      <c r="L24">
        <v>16.3</v>
      </c>
      <c r="Q24" t="s">
        <v>98</v>
      </c>
      <c r="R24" t="e">
        <v>#N/A</v>
      </c>
      <c r="W24" t="s">
        <v>98</v>
      </c>
      <c r="X24" t="e">
        <v>#N/A</v>
      </c>
    </row>
    <row r="25" spans="1:24" x14ac:dyDescent="0.3">
      <c r="A25" s="4">
        <v>439.5</v>
      </c>
      <c r="B25" s="4">
        <v>10.3</v>
      </c>
      <c r="C25" s="17">
        <v>9.1</v>
      </c>
      <c r="D25" s="4">
        <v>17179.2</v>
      </c>
      <c r="E25" s="5">
        <v>100.79</v>
      </c>
      <c r="F25" s="5">
        <v>0</v>
      </c>
      <c r="G25" s="26">
        <v>145.06</v>
      </c>
      <c r="H25" s="36">
        <v>126187</v>
      </c>
      <c r="I25" s="25">
        <v>3003.8</v>
      </c>
      <c r="K25" t="s">
        <v>99</v>
      </c>
      <c r="L25">
        <v>5.6231737776217834</v>
      </c>
      <c r="Q25" t="s">
        <v>99</v>
      </c>
      <c r="R25">
        <v>8.9518561678892254</v>
      </c>
      <c r="W25" t="s">
        <v>99</v>
      </c>
      <c r="X25">
        <v>18637.09632173819</v>
      </c>
    </row>
    <row r="26" spans="1:24" x14ac:dyDescent="0.3">
      <c r="A26" s="4">
        <v>320.7</v>
      </c>
      <c r="B26" s="4">
        <v>23.8</v>
      </c>
      <c r="C26" s="17">
        <v>10.8</v>
      </c>
      <c r="D26" s="4">
        <v>2029.4</v>
      </c>
      <c r="E26" s="5">
        <v>78.58</v>
      </c>
      <c r="F26" s="32">
        <v>1</v>
      </c>
      <c r="G26" s="33">
        <v>145.18</v>
      </c>
      <c r="H26" s="34">
        <v>45594</v>
      </c>
      <c r="I26" s="33">
        <v>1591.6</v>
      </c>
      <c r="K26" t="s">
        <v>100</v>
      </c>
      <c r="L26">
        <v>31.620083333333241</v>
      </c>
      <c r="Q26" t="s">
        <v>100</v>
      </c>
      <c r="R26">
        <v>80.135728850576356</v>
      </c>
      <c r="W26" t="s">
        <v>100</v>
      </c>
      <c r="X26">
        <v>347341359.30574721</v>
      </c>
    </row>
    <row r="27" spans="1:24" x14ac:dyDescent="0.3">
      <c r="A27" s="4">
        <v>473.4</v>
      </c>
      <c r="B27" s="4">
        <v>15.2</v>
      </c>
      <c r="C27" s="17">
        <v>6.9</v>
      </c>
      <c r="D27" s="4">
        <v>1468.5</v>
      </c>
      <c r="E27" s="5">
        <v>69.790000000000006</v>
      </c>
      <c r="F27" s="5">
        <v>1</v>
      </c>
      <c r="G27" s="23">
        <v>176.78</v>
      </c>
      <c r="H27" s="35">
        <v>58357</v>
      </c>
      <c r="I27" s="24">
        <v>2234.6</v>
      </c>
      <c r="K27" t="s">
        <v>101</v>
      </c>
      <c r="L27">
        <v>0.54924480541212306</v>
      </c>
      <c r="Q27" t="s">
        <v>101</v>
      </c>
      <c r="R27">
        <v>0.7339736016963303</v>
      </c>
      <c r="W27" t="s">
        <v>101</v>
      </c>
      <c r="X27">
        <v>4.0496208662979818</v>
      </c>
    </row>
    <row r="28" spans="1:24" x14ac:dyDescent="0.3">
      <c r="A28" s="4">
        <v>483.1</v>
      </c>
      <c r="B28" s="4">
        <v>19.600000000000001</v>
      </c>
      <c r="C28" s="17">
        <v>7.1</v>
      </c>
      <c r="D28" s="4">
        <v>4885</v>
      </c>
      <c r="E28" s="5">
        <v>70.489999999999995</v>
      </c>
      <c r="F28" s="32">
        <v>1</v>
      </c>
      <c r="G28" s="33">
        <v>165.44</v>
      </c>
      <c r="H28" s="34">
        <v>48751</v>
      </c>
      <c r="I28" s="33">
        <v>2123.6</v>
      </c>
      <c r="K28" t="s">
        <v>102</v>
      </c>
      <c r="L28">
        <v>0.81408298331942996</v>
      </c>
      <c r="Q28" t="s">
        <v>102</v>
      </c>
      <c r="R28">
        <v>0.9481236213797285</v>
      </c>
      <c r="W28" t="s">
        <v>102</v>
      </c>
      <c r="X28">
        <v>1.5075387376397902</v>
      </c>
    </row>
    <row r="29" spans="1:24" x14ac:dyDescent="0.3">
      <c r="A29" s="4">
        <v>483.2</v>
      </c>
      <c r="B29" s="4">
        <v>10.9</v>
      </c>
      <c r="C29" s="17">
        <v>8</v>
      </c>
      <c r="D29" s="4">
        <v>2451.1999999999998</v>
      </c>
      <c r="E29" s="5">
        <v>78.900000000000006</v>
      </c>
      <c r="F29" s="5">
        <v>1</v>
      </c>
      <c r="G29" s="23">
        <v>172.52</v>
      </c>
      <c r="H29" s="35">
        <v>71957</v>
      </c>
      <c r="I29" s="24">
        <v>2615</v>
      </c>
      <c r="K29" t="s">
        <v>103</v>
      </c>
      <c r="L29">
        <v>22.65</v>
      </c>
      <c r="Q29" t="s">
        <v>103</v>
      </c>
      <c r="R29">
        <v>37.13000000000001</v>
      </c>
      <c r="W29" t="s">
        <v>103</v>
      </c>
      <c r="X29">
        <v>92509</v>
      </c>
    </row>
    <row r="30" spans="1:24" x14ac:dyDescent="0.3">
      <c r="A30" s="4">
        <v>444.9</v>
      </c>
      <c r="B30" s="4">
        <v>16.600000000000001</v>
      </c>
      <c r="C30" s="17">
        <v>12.6</v>
      </c>
      <c r="D30" s="4">
        <v>8304.2000000000007</v>
      </c>
      <c r="E30" s="5">
        <v>86.64</v>
      </c>
      <c r="F30" s="5">
        <v>0</v>
      </c>
      <c r="G30" s="23">
        <v>135.15</v>
      </c>
      <c r="H30" s="37">
        <v>69778</v>
      </c>
      <c r="I30" s="24">
        <v>2013</v>
      </c>
      <c r="K30" t="s">
        <v>104</v>
      </c>
      <c r="L30">
        <v>9.15</v>
      </c>
      <c r="Q30" t="s">
        <v>104</v>
      </c>
      <c r="R30">
        <v>63.66</v>
      </c>
      <c r="W30" t="s">
        <v>104</v>
      </c>
      <c r="X30">
        <v>33678</v>
      </c>
    </row>
    <row r="31" spans="1:24" x14ac:dyDescent="0.3">
      <c r="A31" s="4">
        <v>252.8</v>
      </c>
      <c r="B31" s="4">
        <v>17.100000000000001</v>
      </c>
      <c r="C31" s="17">
        <v>11</v>
      </c>
      <c r="D31" s="4">
        <v>12059.8</v>
      </c>
      <c r="E31" s="5">
        <v>86.42</v>
      </c>
      <c r="F31" s="5">
        <v>0</v>
      </c>
      <c r="G31" s="28">
        <v>142.86000000000001</v>
      </c>
      <c r="H31" s="23">
        <v>65781</v>
      </c>
      <c r="I31" s="24">
        <v>1174</v>
      </c>
      <c r="K31" t="s">
        <v>105</v>
      </c>
      <c r="L31">
        <v>31.8</v>
      </c>
      <c r="Q31" t="s">
        <v>105</v>
      </c>
      <c r="R31">
        <v>100.79</v>
      </c>
      <c r="W31" t="s">
        <v>105</v>
      </c>
      <c r="X31">
        <v>126187</v>
      </c>
    </row>
    <row r="32" spans="1:24" x14ac:dyDescent="0.3">
      <c r="A32" s="4">
        <v>163.5</v>
      </c>
      <c r="B32" s="4">
        <v>15.4</v>
      </c>
      <c r="C32" s="17">
        <v>7.2</v>
      </c>
      <c r="D32" s="4">
        <v>11280.7</v>
      </c>
      <c r="E32" s="5">
        <v>90.87</v>
      </c>
      <c r="F32" s="5">
        <v>0</v>
      </c>
      <c r="G32" s="28">
        <v>149.69999999999999</v>
      </c>
      <c r="H32" s="23">
        <v>93547</v>
      </c>
      <c r="I32" s="24">
        <v>1157.7</v>
      </c>
      <c r="K32" t="s">
        <v>106</v>
      </c>
      <c r="L32">
        <v>541.55000000000007</v>
      </c>
      <c r="Q32" t="s">
        <v>106</v>
      </c>
      <c r="R32">
        <v>2346.0699999999997</v>
      </c>
      <c r="W32" t="s">
        <v>106</v>
      </c>
      <c r="X32">
        <v>1841398</v>
      </c>
    </row>
    <row r="33" spans="1:24" x14ac:dyDescent="0.3">
      <c r="A33" s="4">
        <v>446.3</v>
      </c>
      <c r="B33" s="4">
        <v>16.399999999999999</v>
      </c>
      <c r="C33" s="17">
        <v>7</v>
      </c>
      <c r="D33" s="4">
        <v>2454.5</v>
      </c>
      <c r="E33" s="5">
        <v>70.83</v>
      </c>
      <c r="F33" s="5">
        <v>1</v>
      </c>
      <c r="G33" s="28">
        <v>166.9</v>
      </c>
      <c r="H33" s="23">
        <v>54321</v>
      </c>
      <c r="I33" s="24">
        <v>2160.9</v>
      </c>
      <c r="K33" t="s">
        <v>107</v>
      </c>
      <c r="L33">
        <v>30</v>
      </c>
      <c r="Q33" t="s">
        <v>107</v>
      </c>
      <c r="R33">
        <v>30</v>
      </c>
      <c r="W33" t="s">
        <v>107</v>
      </c>
      <c r="X33">
        <v>30</v>
      </c>
    </row>
    <row r="34" spans="1:24" ht="15" thickBot="1" x14ac:dyDescent="0.35">
      <c r="A34" s="4">
        <v>409.7</v>
      </c>
      <c r="B34" s="4">
        <v>14.9</v>
      </c>
      <c r="C34" s="17">
        <v>16</v>
      </c>
      <c r="D34" s="4">
        <v>4526</v>
      </c>
      <c r="E34" s="5">
        <v>72.790000000000006</v>
      </c>
      <c r="F34" s="5">
        <v>1</v>
      </c>
      <c r="G34" s="30">
        <v>143.97</v>
      </c>
      <c r="H34" s="26">
        <v>61356</v>
      </c>
      <c r="I34" s="25">
        <v>1700.9</v>
      </c>
      <c r="K34" s="38" t="s">
        <v>108</v>
      </c>
      <c r="L34" s="38">
        <v>2.0997275966212015</v>
      </c>
      <c r="Q34" s="38" t="s">
        <v>108</v>
      </c>
      <c r="R34" s="38">
        <v>3.3426780284656852</v>
      </c>
      <c r="W34" s="38" t="s">
        <v>108</v>
      </c>
      <c r="X34" s="38">
        <v>6959.206137888852</v>
      </c>
    </row>
    <row r="35" spans="1:24" x14ac:dyDescent="0.3">
      <c r="K35" s="39" t="s">
        <v>111</v>
      </c>
      <c r="L35" s="39"/>
      <c r="Q35" s="39" t="s">
        <v>114</v>
      </c>
      <c r="R35" s="39"/>
      <c r="W35" s="39" t="s">
        <v>117</v>
      </c>
      <c r="X35" s="39"/>
    </row>
    <row r="37" spans="1:24" x14ac:dyDescent="0.3">
      <c r="K37" t="s">
        <v>95</v>
      </c>
      <c r="L37">
        <v>9.0433333333333312</v>
      </c>
      <c r="Q37" t="s">
        <v>95</v>
      </c>
      <c r="R37">
        <v>0.56666666666666665</v>
      </c>
      <c r="W37" t="s">
        <v>95</v>
      </c>
      <c r="X37">
        <v>2132.6166666666663</v>
      </c>
    </row>
    <row r="38" spans="1:24" x14ac:dyDescent="0.3">
      <c r="K38" t="s">
        <v>96</v>
      </c>
      <c r="L38">
        <v>0.46428002185891981</v>
      </c>
      <c r="Q38" t="s">
        <v>96</v>
      </c>
      <c r="R38">
        <v>9.2018655446553729E-2</v>
      </c>
      <c r="W38" t="s">
        <v>96</v>
      </c>
      <c r="X38">
        <v>140.2155697557007</v>
      </c>
    </row>
    <row r="39" spans="1:24" x14ac:dyDescent="0.3">
      <c r="K39" t="s">
        <v>97</v>
      </c>
      <c r="L39">
        <v>8.6999999999999993</v>
      </c>
      <c r="Q39" t="s">
        <v>97</v>
      </c>
      <c r="R39">
        <v>1</v>
      </c>
      <c r="W39" t="s">
        <v>97</v>
      </c>
      <c r="X39">
        <v>2197.75</v>
      </c>
    </row>
    <row r="40" spans="1:24" x14ac:dyDescent="0.3">
      <c r="K40" t="s">
        <v>98</v>
      </c>
      <c r="L40">
        <v>9.3000000000000007</v>
      </c>
      <c r="Q40" t="s">
        <v>98</v>
      </c>
      <c r="R40">
        <v>1</v>
      </c>
      <c r="W40" t="s">
        <v>98</v>
      </c>
      <c r="X40">
        <v>2419.6999999999998</v>
      </c>
    </row>
    <row r="41" spans="1:24" x14ac:dyDescent="0.3">
      <c r="K41" t="s">
        <v>99</v>
      </c>
      <c r="L41">
        <v>2.5429664097112199</v>
      </c>
      <c r="Q41" t="s">
        <v>99</v>
      </c>
      <c r="R41">
        <v>0.50400693299373089</v>
      </c>
      <c r="W41" t="s">
        <v>99</v>
      </c>
      <c r="X41">
        <v>767.99230468636415</v>
      </c>
    </row>
    <row r="42" spans="1:24" x14ac:dyDescent="0.3">
      <c r="K42" t="s">
        <v>100</v>
      </c>
      <c r="L42">
        <v>6.4666781609195727</v>
      </c>
      <c r="Q42" t="s">
        <v>100</v>
      </c>
      <c r="R42">
        <v>0.25402298850574712</v>
      </c>
      <c r="W42" t="s">
        <v>100</v>
      </c>
      <c r="X42">
        <v>589812.18005747325</v>
      </c>
    </row>
    <row r="43" spans="1:24" x14ac:dyDescent="0.3">
      <c r="K43" t="s">
        <v>101</v>
      </c>
      <c r="L43">
        <v>0.37722778702659854</v>
      </c>
      <c r="Q43" t="s">
        <v>101</v>
      </c>
      <c r="R43">
        <v>-2.0620555914673551</v>
      </c>
      <c r="W43" t="s">
        <v>101</v>
      </c>
      <c r="X43">
        <v>-0.79982468574095344</v>
      </c>
    </row>
    <row r="44" spans="1:24" x14ac:dyDescent="0.3">
      <c r="K44" t="s">
        <v>102</v>
      </c>
      <c r="L44">
        <v>0.73378543234079474</v>
      </c>
      <c r="Q44" t="s">
        <v>102</v>
      </c>
      <c r="R44">
        <v>-0.28344281299582835</v>
      </c>
      <c r="W44" t="s">
        <v>102</v>
      </c>
      <c r="X44">
        <v>9.2081711546188605E-2</v>
      </c>
    </row>
    <row r="45" spans="1:24" x14ac:dyDescent="0.3">
      <c r="K45" t="s">
        <v>103</v>
      </c>
      <c r="L45">
        <v>11.3</v>
      </c>
      <c r="Q45" t="s">
        <v>103</v>
      </c>
      <c r="R45">
        <v>1</v>
      </c>
      <c r="W45" t="s">
        <v>103</v>
      </c>
      <c r="X45">
        <v>2829.9</v>
      </c>
    </row>
    <row r="46" spans="1:24" x14ac:dyDescent="0.3">
      <c r="K46" t="s">
        <v>104</v>
      </c>
      <c r="L46">
        <v>4.7</v>
      </c>
      <c r="Q46" t="s">
        <v>104</v>
      </c>
      <c r="R46">
        <v>0</v>
      </c>
      <c r="W46" t="s">
        <v>104</v>
      </c>
      <c r="X46">
        <v>968.6</v>
      </c>
    </row>
    <row r="47" spans="1:24" x14ac:dyDescent="0.3">
      <c r="K47" t="s">
        <v>105</v>
      </c>
      <c r="L47">
        <v>16</v>
      </c>
      <c r="Q47" t="s">
        <v>105</v>
      </c>
      <c r="R47">
        <v>1</v>
      </c>
      <c r="W47" t="s">
        <v>105</v>
      </c>
      <c r="X47">
        <v>3798.5</v>
      </c>
    </row>
    <row r="48" spans="1:24" x14ac:dyDescent="0.3">
      <c r="K48" t="s">
        <v>106</v>
      </c>
      <c r="L48">
        <v>271.29999999999995</v>
      </c>
      <c r="Q48" t="s">
        <v>106</v>
      </c>
      <c r="R48">
        <v>17</v>
      </c>
      <c r="W48" t="s">
        <v>106</v>
      </c>
      <c r="X48">
        <v>63978.499999999993</v>
      </c>
    </row>
    <row r="49" spans="1:24" x14ac:dyDescent="0.3">
      <c r="K49" t="s">
        <v>107</v>
      </c>
      <c r="L49">
        <v>30</v>
      </c>
      <c r="Q49" t="s">
        <v>107</v>
      </c>
      <c r="R49">
        <v>30</v>
      </c>
      <c r="W49" t="s">
        <v>107</v>
      </c>
      <c r="X49">
        <v>30</v>
      </c>
    </row>
    <row r="50" spans="1:24" ht="15" thickBot="1" x14ac:dyDescent="0.35">
      <c r="K50" s="38" t="s">
        <v>108</v>
      </c>
      <c r="L50" s="38">
        <v>0.94955926295588233</v>
      </c>
      <c r="Q50" s="38" t="s">
        <v>108</v>
      </c>
      <c r="R50" s="38">
        <v>0.18819928174848763</v>
      </c>
      <c r="W50" s="38" t="s">
        <v>108</v>
      </c>
      <c r="X50" s="38">
        <v>286.77303955288482</v>
      </c>
    </row>
    <row r="51" spans="1:24" x14ac:dyDescent="0.3">
      <c r="A51" s="41" t="s">
        <v>121</v>
      </c>
    </row>
    <row r="52" spans="1:24" x14ac:dyDescent="0.3">
      <c r="A52" t="s">
        <v>109</v>
      </c>
      <c r="D52" s="84" t="s">
        <v>122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</row>
    <row r="53" spans="1:24" x14ac:dyDescent="0.3">
      <c r="A53" t="s">
        <v>110</v>
      </c>
      <c r="D53" s="84" t="s">
        <v>124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</row>
    <row r="54" spans="1:24" x14ac:dyDescent="0.3">
      <c r="A54" t="s">
        <v>111</v>
      </c>
      <c r="D54" s="84" t="s">
        <v>123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</row>
    <row r="55" spans="1:24" x14ac:dyDescent="0.3">
      <c r="A55" t="s">
        <v>118</v>
      </c>
      <c r="D55" s="84" t="s">
        <v>125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</row>
    <row r="56" spans="1:24" x14ac:dyDescent="0.3">
      <c r="A56" t="s">
        <v>113</v>
      </c>
      <c r="D56" s="84" t="s">
        <v>126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</row>
    <row r="57" spans="1:24" x14ac:dyDescent="0.3">
      <c r="A57" t="s">
        <v>119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</row>
    <row r="58" spans="1:24" x14ac:dyDescent="0.3">
      <c r="A58" t="s">
        <v>115</v>
      </c>
      <c r="D58" s="84" t="s">
        <v>127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</row>
    <row r="59" spans="1:24" x14ac:dyDescent="0.3">
      <c r="A59" t="s">
        <v>120</v>
      </c>
      <c r="D59" s="84" t="s">
        <v>128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</row>
    <row r="60" spans="1:24" x14ac:dyDescent="0.3">
      <c r="A60" t="s">
        <v>117</v>
      </c>
      <c r="D60" s="84" t="s">
        <v>129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</row>
  </sheetData>
  <mergeCells count="10">
    <mergeCell ref="D56:S56"/>
    <mergeCell ref="D57:S57"/>
    <mergeCell ref="D58:S58"/>
    <mergeCell ref="D59:S59"/>
    <mergeCell ref="D60:S60"/>
    <mergeCell ref="F3:I3"/>
    <mergeCell ref="D52:S52"/>
    <mergeCell ref="D53:S53"/>
    <mergeCell ref="D54:S54"/>
    <mergeCell ref="D55:S5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B9FF-0008-4CE0-9854-6E96F341422A}">
  <dimension ref="B1:O45"/>
  <sheetViews>
    <sheetView topLeftCell="A27" workbookViewId="0">
      <selection activeCell="M36" sqref="M36:M38"/>
    </sheetView>
  </sheetViews>
  <sheetFormatPr defaultRowHeight="14.4" x14ac:dyDescent="0.3"/>
  <cols>
    <col min="2" max="2" width="14.88671875" customWidth="1"/>
    <col min="4" max="4" width="14.88671875" customWidth="1"/>
    <col min="5" max="5" width="11.6640625" customWidth="1"/>
    <col min="6" max="6" width="15.109375" customWidth="1"/>
    <col min="7" max="7" width="13" customWidth="1"/>
    <col min="8" max="8" width="14" customWidth="1"/>
    <col min="9" max="9" width="15.6640625" customWidth="1"/>
    <col min="10" max="10" width="13" customWidth="1"/>
    <col min="11" max="11" width="14.109375" customWidth="1"/>
    <col min="12" max="12" width="14.33203125" customWidth="1"/>
    <col min="13" max="13" width="11.6640625" customWidth="1"/>
  </cols>
  <sheetData>
    <row r="1" spans="2:8" ht="15" thickBot="1" x14ac:dyDescent="0.35"/>
    <row r="2" spans="2:8" x14ac:dyDescent="0.3">
      <c r="B2" s="98" t="s">
        <v>130</v>
      </c>
    </row>
    <row r="3" spans="2:8" x14ac:dyDescent="0.3">
      <c r="B3" s="99"/>
      <c r="D3" s="42"/>
      <c r="E3" s="42" t="s">
        <v>1</v>
      </c>
      <c r="G3" t="s">
        <v>166</v>
      </c>
      <c r="H3">
        <v>30</v>
      </c>
    </row>
    <row r="4" spans="2:8" x14ac:dyDescent="0.3">
      <c r="B4" s="99"/>
      <c r="D4" s="42" t="s">
        <v>2</v>
      </c>
      <c r="E4" s="4">
        <v>9.2026540588177035E-3</v>
      </c>
    </row>
    <row r="5" spans="2:8" x14ac:dyDescent="0.3">
      <c r="B5" s="99"/>
      <c r="D5" s="43" t="s">
        <v>3</v>
      </c>
      <c r="E5" s="4">
        <v>7.5937810606998696E-2</v>
      </c>
    </row>
    <row r="6" spans="2:8" x14ac:dyDescent="0.3">
      <c r="B6" s="99"/>
      <c r="D6" s="42" t="s">
        <v>4</v>
      </c>
      <c r="E6" s="4">
        <v>-0.38930072874612426</v>
      </c>
    </row>
    <row r="7" spans="2:8" x14ac:dyDescent="0.3">
      <c r="B7" s="99"/>
      <c r="D7" s="42" t="s">
        <v>5</v>
      </c>
      <c r="E7" s="4">
        <v>-0.31937493632247504</v>
      </c>
    </row>
    <row r="8" spans="2:8" x14ac:dyDescent="0.3">
      <c r="B8" s="99"/>
      <c r="D8" s="42" t="s">
        <v>6</v>
      </c>
      <c r="E8" s="4">
        <v>0.17984415323308214</v>
      </c>
    </row>
    <row r="9" spans="2:8" x14ac:dyDescent="0.3">
      <c r="B9" s="99"/>
      <c r="D9" s="42" t="s">
        <v>71</v>
      </c>
      <c r="E9" s="4">
        <v>0.13577650843803282</v>
      </c>
    </row>
    <row r="10" spans="2:8" x14ac:dyDescent="0.3">
      <c r="B10" s="99"/>
      <c r="D10" s="42" t="s">
        <v>72</v>
      </c>
      <c r="E10" s="4">
        <v>-9.0232831610522382E-2</v>
      </c>
    </row>
    <row r="11" spans="2:8" x14ac:dyDescent="0.3">
      <c r="B11" s="99"/>
      <c r="D11" s="42" t="s">
        <v>73</v>
      </c>
      <c r="E11" s="4">
        <v>0.53949262986423097</v>
      </c>
    </row>
    <row r="12" spans="2:8" x14ac:dyDescent="0.3">
      <c r="B12" s="99"/>
    </row>
    <row r="13" spans="2:8" x14ac:dyDescent="0.3">
      <c r="B13" s="99"/>
    </row>
    <row r="14" spans="2:8" x14ac:dyDescent="0.3">
      <c r="B14" s="99"/>
    </row>
    <row r="15" spans="2:8" ht="15" thickBot="1" x14ac:dyDescent="0.35">
      <c r="B15" s="100"/>
    </row>
    <row r="16" spans="2:8" ht="15" thickBot="1" x14ac:dyDescent="0.35"/>
    <row r="17" spans="2:15" ht="15" thickBot="1" x14ac:dyDescent="0.35">
      <c r="B17" s="44" t="s">
        <v>131</v>
      </c>
      <c r="C17" s="45"/>
      <c r="D17" s="46" t="s">
        <v>132</v>
      </c>
      <c r="E17" s="45"/>
      <c r="F17" s="45"/>
      <c r="G17" s="45" t="s">
        <v>133</v>
      </c>
      <c r="H17" s="47"/>
      <c r="I17" s="101"/>
      <c r="J17" s="102"/>
      <c r="K17" s="101"/>
      <c r="L17" s="102"/>
    </row>
    <row r="18" spans="2:15" ht="15" thickBot="1" x14ac:dyDescent="0.35"/>
    <row r="19" spans="2:15" ht="15" thickBot="1" x14ac:dyDescent="0.35">
      <c r="B19" s="44" t="s">
        <v>134</v>
      </c>
      <c r="C19" s="45"/>
      <c r="D19" s="45" t="s">
        <v>135</v>
      </c>
      <c r="E19" s="45"/>
      <c r="F19" s="46" t="s">
        <v>136</v>
      </c>
      <c r="G19" s="45"/>
      <c r="H19" s="47"/>
      <c r="J19" s="48" t="s">
        <v>137</v>
      </c>
      <c r="K19" s="48"/>
      <c r="L19" s="48"/>
      <c r="M19" s="48"/>
      <c r="N19" s="48"/>
      <c r="O19" s="48"/>
    </row>
    <row r="20" spans="2:15" ht="15" thickBot="1" x14ac:dyDescent="0.35"/>
    <row r="21" spans="2:15" ht="15" thickBot="1" x14ac:dyDescent="0.35">
      <c r="B21" s="44" t="s">
        <v>138</v>
      </c>
      <c r="C21" s="45"/>
      <c r="D21" s="45"/>
      <c r="E21" s="46" t="s">
        <v>139</v>
      </c>
      <c r="F21" s="45"/>
      <c r="G21" s="45"/>
      <c r="H21" s="47"/>
    </row>
    <row r="22" spans="2:15" ht="15" thickBot="1" x14ac:dyDescent="0.35">
      <c r="B22" s="41" t="s">
        <v>140</v>
      </c>
    </row>
    <row r="23" spans="2:15" ht="51" customHeight="1" x14ac:dyDescent="0.3">
      <c r="B23" s="49" t="s">
        <v>141</v>
      </c>
      <c r="C23" s="50"/>
      <c r="D23" s="50"/>
      <c r="E23" s="51" t="s">
        <v>142</v>
      </c>
      <c r="F23" s="51" t="s">
        <v>143</v>
      </c>
      <c r="G23" s="51"/>
      <c r="H23" s="51"/>
      <c r="I23" s="51"/>
      <c r="J23" s="51"/>
      <c r="K23" s="51"/>
      <c r="L23" s="51"/>
      <c r="M23" s="52"/>
    </row>
    <row r="24" spans="2:15" ht="24.75" customHeight="1" x14ac:dyDescent="0.3">
      <c r="B24" s="53" t="s">
        <v>144</v>
      </c>
      <c r="E24" s="4" t="s">
        <v>1</v>
      </c>
      <c r="F24" s="4" t="s">
        <v>2</v>
      </c>
      <c r="G24" s="4" t="s">
        <v>3</v>
      </c>
      <c r="H24" s="4" t="s">
        <v>4</v>
      </c>
      <c r="I24" s="4" t="s">
        <v>5</v>
      </c>
      <c r="J24" s="54" t="s">
        <v>6</v>
      </c>
      <c r="K24" s="54" t="s">
        <v>71</v>
      </c>
      <c r="L24" s="54" t="s">
        <v>72</v>
      </c>
      <c r="M24" s="54" t="s">
        <v>73</v>
      </c>
      <c r="O24" t="s">
        <v>145</v>
      </c>
    </row>
    <row r="25" spans="2:15" ht="42" customHeight="1" x14ac:dyDescent="0.3">
      <c r="B25" s="53" t="s">
        <v>146</v>
      </c>
      <c r="E25" s="55" t="s">
        <v>147</v>
      </c>
      <c r="F25" s="55" t="s">
        <v>147</v>
      </c>
      <c r="G25" s="55" t="s">
        <v>147</v>
      </c>
      <c r="H25" s="55" t="s">
        <v>147</v>
      </c>
      <c r="I25" s="55" t="s">
        <v>147</v>
      </c>
      <c r="J25" s="56" t="s">
        <v>148</v>
      </c>
      <c r="K25" s="56" t="s">
        <v>148</v>
      </c>
      <c r="L25" s="56" t="s">
        <v>148</v>
      </c>
      <c r="M25" s="56" t="s">
        <v>148</v>
      </c>
    </row>
    <row r="26" spans="2:15" ht="36" customHeight="1" x14ac:dyDescent="0.3">
      <c r="B26" s="57" t="s">
        <v>149</v>
      </c>
      <c r="E26" s="58"/>
      <c r="F26" s="4">
        <v>9.2026540588177001E-3</v>
      </c>
      <c r="G26" s="4">
        <v>7.5937810606998696E-2</v>
      </c>
      <c r="H26" s="4">
        <v>-0.38930072874612426</v>
      </c>
      <c r="I26" s="4">
        <v>-0.31937493632247504</v>
      </c>
      <c r="J26" s="4">
        <v>0.17984415323308214</v>
      </c>
      <c r="K26" s="4">
        <v>0.13577650843803282</v>
      </c>
      <c r="L26" s="4">
        <v>-9.0232831610522382E-2</v>
      </c>
      <c r="M26" s="4">
        <v>0.53949262986423085</v>
      </c>
    </row>
    <row r="27" spans="2:15" x14ac:dyDescent="0.3">
      <c r="B27" s="60"/>
      <c r="C27" s="61"/>
      <c r="D27" s="61"/>
      <c r="E27" s="58"/>
      <c r="F27" s="58"/>
      <c r="G27" s="58"/>
      <c r="H27" s="58"/>
      <c r="I27" s="58"/>
      <c r="J27" s="58"/>
      <c r="K27" s="58"/>
      <c r="L27" s="58"/>
      <c r="M27" s="62"/>
    </row>
    <row r="28" spans="2:15" ht="32.25" customHeight="1" x14ac:dyDescent="0.3">
      <c r="B28" s="53" t="s">
        <v>150</v>
      </c>
      <c r="E28" s="4"/>
      <c r="F28" s="4">
        <f>_xlfn.T.INV.2T(0.05, 30-2)</f>
        <v>2.0484071417952445</v>
      </c>
      <c r="G28" s="4">
        <f t="shared" ref="G28:M28" si="0">_xlfn.T.INV.2T(0.05, 30-2)</f>
        <v>2.0484071417952445</v>
      </c>
      <c r="H28" s="4">
        <f t="shared" si="0"/>
        <v>2.0484071417952445</v>
      </c>
      <c r="I28" s="4">
        <f t="shared" si="0"/>
        <v>2.0484071417952445</v>
      </c>
      <c r="J28" s="4">
        <f t="shared" si="0"/>
        <v>2.0484071417952445</v>
      </c>
      <c r="K28" s="4">
        <f t="shared" si="0"/>
        <v>2.0484071417952445</v>
      </c>
      <c r="L28" s="4">
        <f t="shared" si="0"/>
        <v>2.0484071417952445</v>
      </c>
      <c r="M28" s="4">
        <f t="shared" si="0"/>
        <v>2.0484071417952445</v>
      </c>
      <c r="O28" t="s">
        <v>151</v>
      </c>
    </row>
    <row r="29" spans="2:15" x14ac:dyDescent="0.3">
      <c r="B29" s="63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4"/>
    </row>
    <row r="30" spans="2:15" ht="36" customHeight="1" x14ac:dyDescent="0.3">
      <c r="B30" s="57" t="s">
        <v>152</v>
      </c>
      <c r="E30" s="4"/>
      <c r="F30" s="65">
        <f>E4*SQRT((H3-2)/(1-(E4)^2))</f>
        <v>4.869793021209446E-2</v>
      </c>
      <c r="G30" s="65">
        <f>E5*SQRT((H3-2)/(1-(E5)^2))</f>
        <v>0.40298873142368458</v>
      </c>
      <c r="H30" s="65">
        <f>E6*SQRT((H3-2)/(1-(E6)^2))</f>
        <v>-2.2364150167100338</v>
      </c>
      <c r="I30" s="65">
        <f>E7*SQRT((H3-2)/(1-(E7)^2))</f>
        <v>-1.7833712574472333</v>
      </c>
      <c r="J30" s="65">
        <f>E8*SQRT((H3-2)/(1-(E8)^2))</f>
        <v>0.96741947100294545</v>
      </c>
      <c r="K30" s="65">
        <f>E9*SQRT((H3-2)/(1-(E9)^2))</f>
        <v>0.72517726070579902</v>
      </c>
      <c r="L30" s="65">
        <f>E10*SQRT((H3-2)/(1-(E10)^2))</f>
        <v>-0.47942297632105457</v>
      </c>
      <c r="M30" s="65">
        <f>E11*SQRT((H3-2)/(1-(E11)^2))</f>
        <v>3.3904506868965907</v>
      </c>
      <c r="O30" t="s">
        <v>153</v>
      </c>
    </row>
    <row r="31" spans="2:15" x14ac:dyDescent="0.3">
      <c r="B31" s="63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4"/>
    </row>
    <row r="32" spans="2:15" ht="32.25" customHeight="1" x14ac:dyDescent="0.3">
      <c r="B32" s="53" t="s">
        <v>138</v>
      </c>
      <c r="E32" s="66"/>
      <c r="F32" s="4">
        <f>_xlfn.T.DIST.2T(ABS(F30),H3-2)</f>
        <v>0.96150573716670329</v>
      </c>
      <c r="G32" s="4">
        <f>_xlfn.T.DIST.2T(ABS(G30),H3-2)</f>
        <v>0.69001713808383069</v>
      </c>
      <c r="H32" s="4">
        <f>_xlfn.T.DIST.2T(ABS(H30),H3-2)</f>
        <v>3.3471512925266421E-2</v>
      </c>
      <c r="I32" s="4">
        <f>_xlfn.T.DIST.2T(ABS(I30),$H$3-2)</f>
        <v>8.5370403010933765E-2</v>
      </c>
      <c r="J32" s="4">
        <f>_xlfn.T.DIST.2T(ABS(J30),$H$3-2)</f>
        <v>0.34161684122946223</v>
      </c>
      <c r="K32" s="4">
        <f>_xlfn.T.DIST.2T(ABS(K30),$H$3-2)</f>
        <v>0.47436073492046993</v>
      </c>
      <c r="L32" s="4">
        <f>_xlfn.T.DIST.2T(ABS(L30),$H$3-2)</f>
        <v>0.6353612251027676</v>
      </c>
      <c r="M32" s="4">
        <f>_xlfn.T.DIST.2T(ABS(M30),$H$3-2)</f>
        <v>2.093435102698488E-3</v>
      </c>
    </row>
    <row r="33" spans="2:13" x14ac:dyDescent="0.3">
      <c r="B33" s="63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4"/>
    </row>
    <row r="34" spans="2:13" ht="32.25" customHeight="1" x14ac:dyDescent="0.3">
      <c r="B34" s="53" t="s">
        <v>154</v>
      </c>
      <c r="E34" s="4"/>
      <c r="F34" s="4" t="s">
        <v>171</v>
      </c>
      <c r="G34" s="4" t="s">
        <v>171</v>
      </c>
      <c r="H34" s="4" t="s">
        <v>170</v>
      </c>
      <c r="I34" s="4" t="s">
        <v>171</v>
      </c>
      <c r="J34" s="4" t="s">
        <v>171</v>
      </c>
      <c r="K34" s="4" t="s">
        <v>171</v>
      </c>
      <c r="L34" s="4" t="s">
        <v>171</v>
      </c>
      <c r="M34" s="59" t="s">
        <v>170</v>
      </c>
    </row>
    <row r="35" spans="2:13" x14ac:dyDescent="0.3">
      <c r="B35" s="53"/>
      <c r="M35" s="67"/>
    </row>
    <row r="36" spans="2:13" x14ac:dyDescent="0.3">
      <c r="B36" s="103" t="s">
        <v>155</v>
      </c>
      <c r="C36" s="104"/>
      <c r="D36" s="104"/>
      <c r="E36" s="85"/>
      <c r="F36" s="85" t="s">
        <v>167</v>
      </c>
      <c r="G36" s="85" t="s">
        <v>167</v>
      </c>
      <c r="H36" s="85" t="s">
        <v>168</v>
      </c>
      <c r="I36" s="85" t="s">
        <v>167</v>
      </c>
      <c r="J36" s="85" t="s">
        <v>169</v>
      </c>
      <c r="K36" s="85" t="s">
        <v>167</v>
      </c>
      <c r="L36" s="85" t="s">
        <v>167</v>
      </c>
      <c r="M36" s="87" t="s">
        <v>168</v>
      </c>
    </row>
    <row r="37" spans="2:13" x14ac:dyDescent="0.3">
      <c r="B37" s="103"/>
      <c r="C37" s="104"/>
      <c r="D37" s="104"/>
      <c r="E37" s="85"/>
      <c r="F37" s="85"/>
      <c r="G37" s="85"/>
      <c r="H37" s="85"/>
      <c r="I37" s="85"/>
      <c r="J37" s="85"/>
      <c r="K37" s="85"/>
      <c r="L37" s="85"/>
      <c r="M37" s="87"/>
    </row>
    <row r="38" spans="2:13" ht="15" thickBot="1" x14ac:dyDescent="0.35">
      <c r="B38" s="105"/>
      <c r="C38" s="106"/>
      <c r="D38" s="106"/>
      <c r="E38" s="86"/>
      <c r="F38" s="86"/>
      <c r="G38" s="86"/>
      <c r="H38" s="86"/>
      <c r="I38" s="86"/>
      <c r="J38" s="86"/>
      <c r="K38" s="86"/>
      <c r="L38" s="86"/>
      <c r="M38" s="88"/>
    </row>
    <row r="40" spans="2:13" ht="15" thickBot="1" x14ac:dyDescent="0.35">
      <c r="B40" t="s">
        <v>156</v>
      </c>
    </row>
    <row r="41" spans="2:13" x14ac:dyDescent="0.3">
      <c r="B41" s="89" t="s">
        <v>172</v>
      </c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1"/>
    </row>
    <row r="42" spans="2:13" x14ac:dyDescent="0.3">
      <c r="B42" s="9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4"/>
    </row>
    <row r="43" spans="2:13" x14ac:dyDescent="0.3">
      <c r="B43" s="92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4"/>
    </row>
    <row r="44" spans="2:13" x14ac:dyDescent="0.3">
      <c r="B44" s="92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4"/>
    </row>
    <row r="45" spans="2:13" ht="15" thickBot="1" x14ac:dyDescent="0.35">
      <c r="B45" s="95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7"/>
    </row>
  </sheetData>
  <mergeCells count="14">
    <mergeCell ref="K36:K38"/>
    <mergeCell ref="L36:L38"/>
    <mergeCell ref="M36:M38"/>
    <mergeCell ref="B41:M45"/>
    <mergeCell ref="B2:B15"/>
    <mergeCell ref="I17:J17"/>
    <mergeCell ref="K17:L17"/>
    <mergeCell ref="B36:D38"/>
    <mergeCell ref="E36:E38"/>
    <mergeCell ref="F36:F38"/>
    <mergeCell ref="G36:G38"/>
    <mergeCell ref="H36:H38"/>
    <mergeCell ref="I36:I38"/>
    <mergeCell ref="J36:J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3443-B130-41D0-A713-BC57A73CB9EF}">
  <dimension ref="A1:J10"/>
  <sheetViews>
    <sheetView workbookViewId="0">
      <selection activeCell="B3" sqref="B3"/>
    </sheetView>
  </sheetViews>
  <sheetFormatPr defaultRowHeight="14.4" x14ac:dyDescent="0.3"/>
  <sheetData>
    <row r="1" spans="1:10" x14ac:dyDescent="0.3">
      <c r="A1" s="39"/>
      <c r="B1" s="39" t="s">
        <v>157</v>
      </c>
      <c r="C1" s="39" t="s">
        <v>158</v>
      </c>
      <c r="D1" s="39" t="s">
        <v>159</v>
      </c>
      <c r="E1" s="39" t="s">
        <v>160</v>
      </c>
      <c r="F1" s="39" t="s">
        <v>161</v>
      </c>
      <c r="G1" s="39" t="s">
        <v>162</v>
      </c>
      <c r="H1" s="39" t="s">
        <v>163</v>
      </c>
      <c r="I1" s="39" t="s">
        <v>164</v>
      </c>
      <c r="J1" s="39" t="s">
        <v>165</v>
      </c>
    </row>
    <row r="2" spans="1:10" x14ac:dyDescent="0.3">
      <c r="A2" t="s">
        <v>157</v>
      </c>
      <c r="B2">
        <v>1</v>
      </c>
    </row>
    <row r="3" spans="1:10" x14ac:dyDescent="0.3">
      <c r="A3" t="s">
        <v>158</v>
      </c>
      <c r="B3">
        <v>9.2026540588177035E-3</v>
      </c>
      <c r="C3">
        <v>1</v>
      </c>
    </row>
    <row r="4" spans="1:10" x14ac:dyDescent="0.3">
      <c r="A4" t="s">
        <v>159</v>
      </c>
      <c r="B4">
        <v>7.5937810606998696E-2</v>
      </c>
      <c r="C4">
        <v>0.13749616452364458</v>
      </c>
      <c r="D4">
        <v>1</v>
      </c>
    </row>
    <row r="5" spans="1:10" x14ac:dyDescent="0.3">
      <c r="A5" t="s">
        <v>160</v>
      </c>
      <c r="B5">
        <v>-0.38930072874612426</v>
      </c>
      <c r="C5">
        <v>-5.5542161980300611E-2</v>
      </c>
      <c r="D5">
        <v>0.28887326232283528</v>
      </c>
      <c r="E5">
        <v>1</v>
      </c>
    </row>
    <row r="6" spans="1:10" x14ac:dyDescent="0.3">
      <c r="A6" t="s">
        <v>161</v>
      </c>
      <c r="B6">
        <v>-0.31937493632247504</v>
      </c>
      <c r="C6">
        <v>-0.40183870676945727</v>
      </c>
      <c r="D6">
        <v>0.20882993461704216</v>
      </c>
      <c r="E6">
        <v>0.71090885560115635</v>
      </c>
      <c r="F6">
        <v>1</v>
      </c>
    </row>
    <row r="7" spans="1:10" x14ac:dyDescent="0.3">
      <c r="A7" t="s">
        <v>162</v>
      </c>
      <c r="B7">
        <v>0.17984415323308214</v>
      </c>
      <c r="C7">
        <v>0.15295963683900174</v>
      </c>
      <c r="D7">
        <v>-0.1946988725879199</v>
      </c>
      <c r="E7">
        <v>-0.4514651443878982</v>
      </c>
      <c r="F7">
        <v>-0.49204080423135577</v>
      </c>
      <c r="G7">
        <v>1</v>
      </c>
    </row>
    <row r="8" spans="1:10" x14ac:dyDescent="0.3">
      <c r="A8" t="s">
        <v>163</v>
      </c>
      <c r="B8">
        <v>0.13577650843803282</v>
      </c>
      <c r="C8">
        <v>-0.18805120484898047</v>
      </c>
      <c r="D8">
        <v>-0.72792117315352234</v>
      </c>
      <c r="E8">
        <v>-0.50132435704190936</v>
      </c>
      <c r="F8">
        <v>-0.45537191638833885</v>
      </c>
      <c r="G8">
        <v>0.49618023565318869</v>
      </c>
      <c r="H8">
        <v>1</v>
      </c>
    </row>
    <row r="9" spans="1:10" x14ac:dyDescent="0.3">
      <c r="A9" t="s">
        <v>164</v>
      </c>
      <c r="B9">
        <v>-9.0232831610522382E-2</v>
      </c>
      <c r="C9">
        <v>-0.78231340838854813</v>
      </c>
      <c r="D9">
        <v>1.4514053826641593E-2</v>
      </c>
      <c r="E9">
        <v>0.37442212061867536</v>
      </c>
      <c r="F9">
        <v>0.7073513201615077</v>
      </c>
      <c r="G9">
        <v>-0.39597820172641146</v>
      </c>
      <c r="H9">
        <v>-0.13798963315532939</v>
      </c>
      <c r="I9">
        <v>1</v>
      </c>
    </row>
    <row r="10" spans="1:10" ht="15" thickBot="1" x14ac:dyDescent="0.35">
      <c r="A10" s="38" t="s">
        <v>165</v>
      </c>
      <c r="B10" s="38">
        <v>0.53949262986423085</v>
      </c>
      <c r="C10" s="38">
        <v>-0.35746570753288515</v>
      </c>
      <c r="D10" s="38">
        <v>-0.12575276914053676</v>
      </c>
      <c r="E10" s="38">
        <v>-0.39858518163241413</v>
      </c>
      <c r="F10" s="38">
        <v>-0.2008773602607242</v>
      </c>
      <c r="G10" s="38">
        <v>6.2619913596800109E-2</v>
      </c>
      <c r="H10" s="38">
        <v>0.40137359728881439</v>
      </c>
      <c r="I10" s="38">
        <v>0.27844723988953685</v>
      </c>
      <c r="J10" s="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3A09-2994-4458-8279-F8E3302090F1}">
  <dimension ref="A2:V43"/>
  <sheetViews>
    <sheetView tabSelected="1" topLeftCell="A4" workbookViewId="0">
      <selection activeCell="Q15" sqref="Q15"/>
    </sheetView>
  </sheetViews>
  <sheetFormatPr defaultRowHeight="14.4" x14ac:dyDescent="0.3"/>
  <cols>
    <col min="12" max="12" width="10.6640625" bestFit="1" customWidth="1"/>
    <col min="13" max="13" width="15.6640625" customWidth="1"/>
  </cols>
  <sheetData>
    <row r="2" spans="1:22" x14ac:dyDescent="0.3">
      <c r="B2" s="4"/>
      <c r="C2" s="14" t="s">
        <v>65</v>
      </c>
      <c r="D2" s="4" t="s">
        <v>66</v>
      </c>
      <c r="E2" s="4" t="s">
        <v>67</v>
      </c>
      <c r="F2" s="4" t="s">
        <v>68</v>
      </c>
      <c r="G2" s="5" t="s">
        <v>69</v>
      </c>
      <c r="H2" s="83" t="s">
        <v>70</v>
      </c>
      <c r="I2" s="83"/>
      <c r="J2" s="83"/>
      <c r="K2" s="83"/>
    </row>
    <row r="3" spans="1:22" x14ac:dyDescent="0.3">
      <c r="B3" s="4"/>
      <c r="C3" s="14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6" t="s">
        <v>6</v>
      </c>
      <c r="I3" s="18" t="s">
        <v>71</v>
      </c>
      <c r="J3" s="18" t="s">
        <v>72</v>
      </c>
      <c r="K3" s="18" t="s">
        <v>73</v>
      </c>
      <c r="M3" t="s">
        <v>173</v>
      </c>
    </row>
    <row r="4" spans="1:22" ht="15" thickBot="1" x14ac:dyDescent="0.35">
      <c r="A4">
        <v>1</v>
      </c>
      <c r="B4" s="4" t="s">
        <v>9</v>
      </c>
      <c r="C4" s="4">
        <v>1406.6</v>
      </c>
      <c r="D4" s="4">
        <v>24.2</v>
      </c>
      <c r="E4" s="17">
        <v>9.3000000000000007</v>
      </c>
      <c r="F4" s="4">
        <v>2121.8000000000002</v>
      </c>
      <c r="G4" s="4">
        <v>63.66</v>
      </c>
      <c r="H4" s="5">
        <v>1</v>
      </c>
      <c r="I4" s="21">
        <v>160.44999999999999</v>
      </c>
      <c r="J4" s="19">
        <v>43981</v>
      </c>
      <c r="K4" s="19">
        <v>3798.5</v>
      </c>
    </row>
    <row r="5" spans="1:22" x14ac:dyDescent="0.3">
      <c r="A5">
        <v>2</v>
      </c>
      <c r="B5" s="5" t="s">
        <v>10</v>
      </c>
      <c r="C5" s="4">
        <v>968.6</v>
      </c>
      <c r="D5" s="4">
        <v>16.2</v>
      </c>
      <c r="E5" s="17">
        <v>9</v>
      </c>
      <c r="F5" s="4">
        <v>3014.7</v>
      </c>
      <c r="G5" s="4">
        <v>80.569999999999993</v>
      </c>
      <c r="H5" s="5">
        <v>1</v>
      </c>
      <c r="I5" s="22">
        <v>150.38</v>
      </c>
      <c r="J5" s="20">
        <v>56366</v>
      </c>
      <c r="K5" s="20">
        <v>968.6</v>
      </c>
      <c r="M5" s="40" t="s">
        <v>174</v>
      </c>
      <c r="N5" s="40"/>
      <c r="P5" s="93" t="s">
        <v>199</v>
      </c>
      <c r="Q5" s="93"/>
      <c r="R5" s="93"/>
      <c r="S5" s="93"/>
      <c r="T5" s="93"/>
      <c r="U5" s="93"/>
      <c r="V5" s="93"/>
    </row>
    <row r="6" spans="1:22" x14ac:dyDescent="0.3">
      <c r="A6">
        <v>3</v>
      </c>
      <c r="B6" s="5" t="s">
        <v>14</v>
      </c>
      <c r="C6" s="4">
        <v>1056.5</v>
      </c>
      <c r="D6" s="4">
        <v>9.15</v>
      </c>
      <c r="E6" s="17">
        <v>8.1</v>
      </c>
      <c r="F6" s="4">
        <v>170.6</v>
      </c>
      <c r="G6" s="4">
        <v>86.11</v>
      </c>
      <c r="H6" s="5">
        <v>1</v>
      </c>
      <c r="I6" s="23">
        <v>166.36</v>
      </c>
      <c r="J6" s="24">
        <v>88871</v>
      </c>
      <c r="K6" s="24">
        <v>2988</v>
      </c>
      <c r="M6" t="s">
        <v>175</v>
      </c>
      <c r="N6">
        <v>0.63975191953648769</v>
      </c>
      <c r="P6" s="93"/>
      <c r="Q6" s="93"/>
      <c r="R6" s="93"/>
      <c r="S6" s="93"/>
      <c r="T6" s="93"/>
      <c r="U6" s="93"/>
      <c r="V6" s="93"/>
    </row>
    <row r="7" spans="1:22" x14ac:dyDescent="0.3">
      <c r="A7">
        <v>4</v>
      </c>
      <c r="B7" s="5" t="s">
        <v>15</v>
      </c>
      <c r="C7" s="4">
        <v>693.1</v>
      </c>
      <c r="D7" s="4">
        <v>16.3</v>
      </c>
      <c r="E7" s="17">
        <v>12.9</v>
      </c>
      <c r="F7" s="4">
        <v>2444.1999999999998</v>
      </c>
      <c r="G7" s="4">
        <v>83.75</v>
      </c>
      <c r="H7" s="5">
        <v>0</v>
      </c>
      <c r="I7" s="23">
        <v>139.69999999999999</v>
      </c>
      <c r="J7" s="24">
        <v>69014</v>
      </c>
      <c r="K7" s="24">
        <v>3104.4</v>
      </c>
      <c r="M7" t="s">
        <v>176</v>
      </c>
      <c r="N7">
        <v>0.40928251855062059</v>
      </c>
      <c r="P7" s="93"/>
      <c r="Q7" s="93"/>
      <c r="R7" s="93"/>
      <c r="S7" s="93"/>
      <c r="T7" s="93"/>
      <c r="U7" s="93"/>
      <c r="V7" s="93"/>
    </row>
    <row r="8" spans="1:22" x14ac:dyDescent="0.3">
      <c r="A8">
        <v>5</v>
      </c>
      <c r="B8" s="5" t="s">
        <v>39</v>
      </c>
      <c r="C8" s="4">
        <v>256.3</v>
      </c>
      <c r="D8" s="4">
        <v>17</v>
      </c>
      <c r="E8" s="17">
        <v>11.7</v>
      </c>
      <c r="F8" s="4">
        <v>29303.200000000001</v>
      </c>
      <c r="G8" s="4">
        <v>100</v>
      </c>
      <c r="H8" s="5">
        <v>0</v>
      </c>
      <c r="I8" s="23">
        <v>136.18</v>
      </c>
      <c r="J8" s="24">
        <v>70663</v>
      </c>
      <c r="K8" s="24">
        <v>995.8</v>
      </c>
      <c r="M8" t="s">
        <v>177</v>
      </c>
      <c r="N8">
        <v>0.18424728752228561</v>
      </c>
      <c r="P8" s="93"/>
      <c r="Q8" s="93"/>
      <c r="R8" s="93"/>
      <c r="S8" s="93"/>
      <c r="T8" s="93"/>
      <c r="U8" s="93"/>
      <c r="V8" s="93"/>
    </row>
    <row r="9" spans="1:22" x14ac:dyDescent="0.3">
      <c r="A9">
        <v>6</v>
      </c>
      <c r="B9" s="5" t="s">
        <v>40</v>
      </c>
      <c r="C9" s="4">
        <v>207.4</v>
      </c>
      <c r="D9" s="4">
        <v>20.9</v>
      </c>
      <c r="E9" s="17">
        <v>9.1</v>
      </c>
      <c r="F9" s="4">
        <v>12285.8</v>
      </c>
      <c r="G9" s="4">
        <v>81.69</v>
      </c>
      <c r="H9" s="5">
        <v>1</v>
      </c>
      <c r="I9" s="23">
        <v>151.19999999999999</v>
      </c>
      <c r="J9" s="24">
        <v>47860</v>
      </c>
      <c r="K9" s="24">
        <v>1134.8</v>
      </c>
      <c r="M9" t="s">
        <v>96</v>
      </c>
      <c r="N9">
        <v>237.72967292851982</v>
      </c>
      <c r="P9" s="93"/>
      <c r="Q9" s="93"/>
      <c r="R9" s="93"/>
      <c r="S9" s="93"/>
      <c r="T9" s="93"/>
      <c r="U9" s="93"/>
      <c r="V9" s="93"/>
    </row>
    <row r="10" spans="1:22" ht="15" thickBot="1" x14ac:dyDescent="0.35">
      <c r="A10">
        <v>7</v>
      </c>
      <c r="B10" s="5" t="s">
        <v>26</v>
      </c>
      <c r="C10" s="4">
        <v>566.20000000000005</v>
      </c>
      <c r="D10" s="4">
        <v>31.8</v>
      </c>
      <c r="E10" s="17">
        <v>12</v>
      </c>
      <c r="F10" s="4">
        <v>4606.8</v>
      </c>
      <c r="G10" s="4">
        <v>68.709999999999994</v>
      </c>
      <c r="H10" s="5">
        <v>1</v>
      </c>
      <c r="I10" s="26">
        <v>137.36000000000001</v>
      </c>
      <c r="J10" s="25">
        <v>34762</v>
      </c>
      <c r="K10" s="25">
        <v>1318.9</v>
      </c>
      <c r="M10" s="38" t="s">
        <v>178</v>
      </c>
      <c r="N10" s="38">
        <v>30</v>
      </c>
      <c r="P10" s="93"/>
      <c r="Q10" s="93"/>
      <c r="R10" s="93"/>
      <c r="S10" s="93"/>
      <c r="T10" s="93"/>
      <c r="U10" s="93"/>
      <c r="V10" s="93"/>
    </row>
    <row r="11" spans="1:22" x14ac:dyDescent="0.3">
      <c r="A11">
        <v>8</v>
      </c>
      <c r="B11" s="5" t="s">
        <v>16</v>
      </c>
      <c r="C11" s="4">
        <v>588</v>
      </c>
      <c r="D11" s="4">
        <v>18</v>
      </c>
      <c r="E11" s="17">
        <v>6.9</v>
      </c>
      <c r="F11" s="4">
        <v>2091.1</v>
      </c>
      <c r="G11" s="4">
        <v>67.7</v>
      </c>
      <c r="H11" s="5">
        <v>1</v>
      </c>
      <c r="I11" s="23">
        <v>189.78</v>
      </c>
      <c r="J11" s="24">
        <v>52438</v>
      </c>
      <c r="K11" s="24">
        <v>3083</v>
      </c>
      <c r="L11" t="s">
        <v>196</v>
      </c>
    </row>
    <row r="12" spans="1:22" ht="15" thickBot="1" x14ac:dyDescent="0.35">
      <c r="A12">
        <v>9</v>
      </c>
      <c r="B12" s="5" t="s">
        <v>47</v>
      </c>
      <c r="C12" s="4">
        <v>498.8</v>
      </c>
      <c r="D12" s="4">
        <v>11.6</v>
      </c>
      <c r="E12" s="17">
        <v>7.8</v>
      </c>
      <c r="F12" s="4">
        <v>2836.9</v>
      </c>
      <c r="G12" s="4">
        <v>80.69</v>
      </c>
      <c r="H12" s="5">
        <v>0</v>
      </c>
      <c r="I12" s="23">
        <v>168</v>
      </c>
      <c r="J12" s="24">
        <v>68367</v>
      </c>
      <c r="K12" s="24">
        <v>2365.6</v>
      </c>
      <c r="M12" t="s">
        <v>179</v>
      </c>
    </row>
    <row r="13" spans="1:22" x14ac:dyDescent="0.3">
      <c r="A13">
        <v>10</v>
      </c>
      <c r="B13" s="5" t="s">
        <v>27</v>
      </c>
      <c r="C13" s="4">
        <v>497.8</v>
      </c>
      <c r="D13" s="4">
        <v>20.3</v>
      </c>
      <c r="E13" s="17">
        <v>7.2</v>
      </c>
      <c r="F13" s="4">
        <v>7235.8</v>
      </c>
      <c r="G13" s="4">
        <v>74.760000000000005</v>
      </c>
      <c r="H13" s="5">
        <v>0</v>
      </c>
      <c r="I13" s="23">
        <v>158.49</v>
      </c>
      <c r="J13" s="27">
        <v>54124</v>
      </c>
      <c r="K13" s="24">
        <v>1493</v>
      </c>
      <c r="M13" s="39"/>
      <c r="N13" s="39" t="s">
        <v>184</v>
      </c>
      <c r="O13" s="39" t="s">
        <v>185</v>
      </c>
      <c r="P13" s="39" t="s">
        <v>186</v>
      </c>
      <c r="Q13" s="39" t="s">
        <v>187</v>
      </c>
      <c r="R13" s="39" t="s">
        <v>188</v>
      </c>
    </row>
    <row r="14" spans="1:22" x14ac:dyDescent="0.3">
      <c r="A14">
        <v>11</v>
      </c>
      <c r="B14" s="5" t="s">
        <v>17</v>
      </c>
      <c r="C14" s="4">
        <v>238.2</v>
      </c>
      <c r="D14" s="4">
        <v>14.7</v>
      </c>
      <c r="E14" s="17">
        <v>4.7</v>
      </c>
      <c r="F14" s="4">
        <v>1810.1</v>
      </c>
      <c r="G14" s="4">
        <v>74.180000000000007</v>
      </c>
      <c r="H14" s="5">
        <v>0</v>
      </c>
      <c r="I14" s="28">
        <v>157.63999999999999</v>
      </c>
      <c r="J14" s="24">
        <v>65880</v>
      </c>
      <c r="K14" s="24">
        <v>2419.6999999999998</v>
      </c>
      <c r="L14" s="69" t="s">
        <v>198</v>
      </c>
      <c r="M14" t="s">
        <v>180</v>
      </c>
      <c r="N14">
        <v>8</v>
      </c>
      <c r="O14">
        <v>822298.41346194549</v>
      </c>
      <c r="P14">
        <v>102787.30168274319</v>
      </c>
      <c r="Q14">
        <v>1.8187486318490562</v>
      </c>
      <c r="R14">
        <v>0.12986105800907272</v>
      </c>
    </row>
    <row r="15" spans="1:22" x14ac:dyDescent="0.3">
      <c r="A15">
        <v>12</v>
      </c>
      <c r="B15" s="5" t="s">
        <v>28</v>
      </c>
      <c r="C15" s="4">
        <v>421.3</v>
      </c>
      <c r="D15" s="4">
        <v>31.4</v>
      </c>
      <c r="E15" s="17">
        <v>9.3000000000000007</v>
      </c>
      <c r="F15" s="4">
        <v>4793.5</v>
      </c>
      <c r="G15" s="4">
        <v>75.98</v>
      </c>
      <c r="H15" s="5">
        <v>1</v>
      </c>
      <c r="I15" s="28">
        <v>162.71</v>
      </c>
      <c r="J15" s="24">
        <v>33678</v>
      </c>
      <c r="K15" s="24">
        <v>1788.2</v>
      </c>
      <c r="L15" s="69" t="s">
        <v>197</v>
      </c>
      <c r="M15" t="s">
        <v>181</v>
      </c>
      <c r="N15">
        <v>21</v>
      </c>
      <c r="O15">
        <v>1186823.3452047212</v>
      </c>
      <c r="P15">
        <v>56515.397390701008</v>
      </c>
    </row>
    <row r="16" spans="1:22" ht="15" thickBot="1" x14ac:dyDescent="0.35">
      <c r="A16">
        <v>13</v>
      </c>
      <c r="B16" s="5" t="s">
        <v>18</v>
      </c>
      <c r="C16" s="4">
        <v>722.3</v>
      </c>
      <c r="D16" s="4">
        <v>16.3</v>
      </c>
      <c r="E16" s="17">
        <v>11.9</v>
      </c>
      <c r="F16" s="4">
        <v>5157</v>
      </c>
      <c r="G16" s="4">
        <v>70.739999999999995</v>
      </c>
      <c r="H16" s="5">
        <v>0</v>
      </c>
      <c r="I16" s="28">
        <v>136.87</v>
      </c>
      <c r="J16" s="24">
        <v>63916</v>
      </c>
      <c r="K16" s="24">
        <v>2331.5</v>
      </c>
      <c r="M16" s="38" t="s">
        <v>182</v>
      </c>
      <c r="N16" s="38">
        <v>29</v>
      </c>
      <c r="O16" s="38">
        <v>2009121.7586666667</v>
      </c>
      <c r="P16" s="38"/>
      <c r="Q16" s="38"/>
      <c r="R16" s="38"/>
    </row>
    <row r="17" spans="1:21" ht="15" thickBot="1" x14ac:dyDescent="0.35">
      <c r="A17">
        <v>14</v>
      </c>
      <c r="B17" s="5" t="s">
        <v>29</v>
      </c>
      <c r="C17" s="4">
        <v>255</v>
      </c>
      <c r="D17" s="4">
        <v>25.5</v>
      </c>
      <c r="E17" s="17">
        <v>5.7</v>
      </c>
      <c r="F17" s="4">
        <v>1365.3</v>
      </c>
      <c r="G17" s="4">
        <v>74.150000000000006</v>
      </c>
      <c r="H17" s="5">
        <v>1</v>
      </c>
      <c r="I17" s="29">
        <v>158.33000000000001</v>
      </c>
      <c r="J17" s="27">
        <v>39403</v>
      </c>
      <c r="K17" s="27">
        <v>995.5</v>
      </c>
    </row>
    <row r="18" spans="1:21" x14ac:dyDescent="0.3">
      <c r="A18">
        <v>15</v>
      </c>
      <c r="B18" s="5" t="s">
        <v>19</v>
      </c>
      <c r="C18" s="4">
        <v>479.2</v>
      </c>
      <c r="D18" s="4">
        <v>11.6</v>
      </c>
      <c r="E18" s="17">
        <v>8.4</v>
      </c>
      <c r="F18" s="4">
        <v>4674.3</v>
      </c>
      <c r="G18" s="4">
        <v>79.59</v>
      </c>
      <c r="H18" s="5">
        <v>1</v>
      </c>
      <c r="I18" s="29">
        <v>161.22</v>
      </c>
      <c r="J18" s="24">
        <v>78177</v>
      </c>
      <c r="K18" s="24">
        <v>3187.6</v>
      </c>
      <c r="M18" s="39"/>
      <c r="N18" s="39" t="s">
        <v>189</v>
      </c>
      <c r="O18" s="39" t="s">
        <v>96</v>
      </c>
      <c r="P18" s="39" t="s">
        <v>190</v>
      </c>
      <c r="Q18" s="68" t="s">
        <v>191</v>
      </c>
      <c r="R18" s="39" t="s">
        <v>192</v>
      </c>
      <c r="S18" s="39" t="s">
        <v>193</v>
      </c>
      <c r="T18" s="39" t="s">
        <v>194</v>
      </c>
      <c r="U18" s="39" t="s">
        <v>195</v>
      </c>
    </row>
    <row r="19" spans="1:21" x14ac:dyDescent="0.3">
      <c r="A19">
        <v>16</v>
      </c>
      <c r="B19" s="5" t="s">
        <v>20</v>
      </c>
      <c r="C19" s="4">
        <v>625.4</v>
      </c>
      <c r="D19" s="4">
        <v>19.5</v>
      </c>
      <c r="E19" s="17">
        <v>9.6</v>
      </c>
      <c r="F19" s="4">
        <v>3501.5</v>
      </c>
      <c r="G19" s="4">
        <v>86.52</v>
      </c>
      <c r="H19" s="31">
        <v>0</v>
      </c>
      <c r="I19" s="23">
        <v>149.51</v>
      </c>
      <c r="J19" s="24">
        <v>56019</v>
      </c>
      <c r="K19" s="24">
        <v>2585.5</v>
      </c>
      <c r="M19" t="s">
        <v>183</v>
      </c>
      <c r="N19">
        <v>1053.7787032776887</v>
      </c>
      <c r="O19">
        <v>1714.5179340053749</v>
      </c>
      <c r="P19">
        <v>0.61462098609601667</v>
      </c>
      <c r="Q19">
        <v>0.54540753747813797</v>
      </c>
      <c r="R19">
        <v>-2511.7565293137877</v>
      </c>
      <c r="S19">
        <v>4619.3139358691651</v>
      </c>
      <c r="T19">
        <v>-2511.7565293137877</v>
      </c>
      <c r="U19">
        <v>4619.3139358691651</v>
      </c>
    </row>
    <row r="20" spans="1:21" x14ac:dyDescent="0.3">
      <c r="A20">
        <v>17</v>
      </c>
      <c r="B20" s="5" t="s">
        <v>38</v>
      </c>
      <c r="C20" s="4">
        <v>578.4</v>
      </c>
      <c r="D20" s="4">
        <v>15</v>
      </c>
      <c r="E20" s="17">
        <v>6.4</v>
      </c>
      <c r="F20" s="4">
        <v>1168.0999999999999</v>
      </c>
      <c r="G20" s="5">
        <v>71.739999999999995</v>
      </c>
      <c r="H20" s="32">
        <v>1</v>
      </c>
      <c r="I20" s="25">
        <v>164.63</v>
      </c>
      <c r="J20" s="25">
        <v>60042</v>
      </c>
      <c r="K20" s="33">
        <v>2419.6999999999998</v>
      </c>
      <c r="L20" s="41" t="s">
        <v>167</v>
      </c>
      <c r="M20" t="s">
        <v>2</v>
      </c>
      <c r="N20">
        <v>0.11856817591719858</v>
      </c>
      <c r="O20">
        <v>15.238699962621094</v>
      </c>
      <c r="P20">
        <v>7.7807277660189959E-3</v>
      </c>
      <c r="Q20">
        <v>0.9938653828064512</v>
      </c>
      <c r="R20">
        <v>-31.572043242000809</v>
      </c>
      <c r="S20">
        <v>31.809179593835204</v>
      </c>
      <c r="T20">
        <v>-31.572043242000809</v>
      </c>
      <c r="U20">
        <v>31.809179593835204</v>
      </c>
    </row>
    <row r="21" spans="1:21" x14ac:dyDescent="0.3">
      <c r="A21">
        <v>18</v>
      </c>
      <c r="B21" s="5" t="s">
        <v>21</v>
      </c>
      <c r="C21" s="4">
        <v>594.4</v>
      </c>
      <c r="D21" s="4">
        <v>22.9</v>
      </c>
      <c r="E21" s="17">
        <v>11.6</v>
      </c>
      <c r="F21" s="4">
        <v>4418.3999999999996</v>
      </c>
      <c r="G21" s="5">
        <v>73.27</v>
      </c>
      <c r="H21" s="32">
        <v>0</v>
      </c>
      <c r="I21" s="33">
        <v>148.74</v>
      </c>
      <c r="J21" s="34">
        <v>57211</v>
      </c>
      <c r="K21" s="27">
        <v>2474.6999999999998</v>
      </c>
      <c r="L21" s="41" t="s">
        <v>167</v>
      </c>
      <c r="M21" t="s">
        <v>3</v>
      </c>
      <c r="N21">
        <v>4.1265161011227036</v>
      </c>
      <c r="O21">
        <v>29.281075016135528</v>
      </c>
      <c r="P21">
        <v>0.14092775278396574</v>
      </c>
      <c r="Q21">
        <v>0.88927011169300263</v>
      </c>
      <c r="R21">
        <v>-56.766812890942518</v>
      </c>
      <c r="S21">
        <v>65.019845093187925</v>
      </c>
      <c r="T21">
        <v>-56.766812890942518</v>
      </c>
      <c r="U21">
        <v>65.019845093187925</v>
      </c>
    </row>
    <row r="22" spans="1:21" x14ac:dyDescent="0.3">
      <c r="A22">
        <v>19</v>
      </c>
      <c r="B22" s="5" t="s">
        <v>22</v>
      </c>
      <c r="C22" s="4">
        <v>697.1</v>
      </c>
      <c r="D22" s="4">
        <v>24.1</v>
      </c>
      <c r="E22" s="17">
        <v>7.5</v>
      </c>
      <c r="F22" s="4">
        <v>6188.3</v>
      </c>
      <c r="G22" s="5">
        <v>72.38</v>
      </c>
      <c r="H22" s="5">
        <v>0</v>
      </c>
      <c r="I22" s="23">
        <v>158.29</v>
      </c>
      <c r="J22" s="35">
        <v>45318</v>
      </c>
      <c r="K22" s="24">
        <v>1902.4</v>
      </c>
      <c r="L22" s="41" t="s">
        <v>167</v>
      </c>
      <c r="M22" t="s">
        <v>4</v>
      </c>
      <c r="N22">
        <v>-5.5116497744227121E-3</v>
      </c>
      <c r="O22">
        <v>1.2055359182741756E-2</v>
      </c>
      <c r="P22">
        <v>-0.45719498613638115</v>
      </c>
      <c r="Q22">
        <v>0.6522253875413766</v>
      </c>
      <c r="R22">
        <v>-3.0582141634017436E-2</v>
      </c>
      <c r="S22">
        <v>1.9558842085172015E-2</v>
      </c>
      <c r="T22">
        <v>-3.0582141634017436E-2</v>
      </c>
      <c r="U22">
        <v>1.9558842085172015E-2</v>
      </c>
    </row>
    <row r="23" spans="1:21" x14ac:dyDescent="0.3">
      <c r="A23">
        <v>20</v>
      </c>
      <c r="B23" s="5" t="s">
        <v>23</v>
      </c>
      <c r="C23" s="4">
        <v>461.5</v>
      </c>
      <c r="D23" s="4">
        <v>14.9</v>
      </c>
      <c r="E23" s="17">
        <v>6.5</v>
      </c>
      <c r="F23" s="4">
        <v>956.4</v>
      </c>
      <c r="G23" s="5">
        <v>73.78</v>
      </c>
      <c r="H23" s="5">
        <v>1</v>
      </c>
      <c r="I23" s="23">
        <v>171.34</v>
      </c>
      <c r="J23" s="35">
        <v>59679</v>
      </c>
      <c r="K23" s="24">
        <v>2848</v>
      </c>
      <c r="L23" s="41" t="s">
        <v>167</v>
      </c>
      <c r="M23" t="s">
        <v>5</v>
      </c>
      <c r="N23">
        <v>-1.3296012893564049</v>
      </c>
      <c r="O23">
        <v>10.354783658897327</v>
      </c>
      <c r="P23">
        <v>-0.12840454548888114</v>
      </c>
      <c r="Q23">
        <v>0.89905060584149776</v>
      </c>
      <c r="R23">
        <v>-22.863552745559229</v>
      </c>
      <c r="S23">
        <v>20.204350166846421</v>
      </c>
      <c r="T23">
        <v>-22.863552745559229</v>
      </c>
      <c r="U23">
        <v>20.204350166846421</v>
      </c>
    </row>
    <row r="24" spans="1:21" x14ac:dyDescent="0.3">
      <c r="A24">
        <v>21</v>
      </c>
      <c r="B24" s="5" t="s">
        <v>24</v>
      </c>
      <c r="C24" s="4">
        <v>439.5</v>
      </c>
      <c r="D24" s="4">
        <v>10.3</v>
      </c>
      <c r="E24" s="17">
        <v>9.1</v>
      </c>
      <c r="F24" s="4">
        <v>17179.2</v>
      </c>
      <c r="G24" s="5">
        <v>100.79</v>
      </c>
      <c r="H24" s="5">
        <v>0</v>
      </c>
      <c r="I24" s="26">
        <v>145.06</v>
      </c>
      <c r="J24" s="36">
        <v>126187</v>
      </c>
      <c r="K24" s="25">
        <v>3003.8</v>
      </c>
      <c r="L24" s="41" t="s">
        <v>167</v>
      </c>
      <c r="M24" t="s">
        <v>6</v>
      </c>
      <c r="N24">
        <v>68.092417200722835</v>
      </c>
      <c r="O24">
        <v>116.97284881010189</v>
      </c>
      <c r="P24">
        <v>0.58212155977552205</v>
      </c>
      <c r="Q24">
        <v>0.56668259915474595</v>
      </c>
      <c r="R24">
        <v>-175.1659386420028</v>
      </c>
      <c r="S24">
        <v>311.35077304344844</v>
      </c>
      <c r="T24">
        <v>-175.1659386420028</v>
      </c>
      <c r="U24">
        <v>311.35077304344844</v>
      </c>
    </row>
    <row r="25" spans="1:21" x14ac:dyDescent="0.3">
      <c r="A25">
        <v>22</v>
      </c>
      <c r="B25" s="5" t="s">
        <v>30</v>
      </c>
      <c r="C25" s="4">
        <v>320.7</v>
      </c>
      <c r="D25" s="4">
        <v>23.8</v>
      </c>
      <c r="E25" s="17">
        <v>10.8</v>
      </c>
      <c r="F25" s="4">
        <v>2029.4</v>
      </c>
      <c r="G25" s="5">
        <v>78.58</v>
      </c>
      <c r="H25" s="32">
        <v>1</v>
      </c>
      <c r="I25" s="33">
        <v>145.18</v>
      </c>
      <c r="J25" s="34">
        <v>45594</v>
      </c>
      <c r="K25" s="33">
        <v>1591.6</v>
      </c>
      <c r="L25" s="41" t="s">
        <v>167</v>
      </c>
      <c r="M25" t="s">
        <v>71</v>
      </c>
      <c r="N25">
        <v>-5.0489894811263181</v>
      </c>
      <c r="O25">
        <v>7.228910013649112</v>
      </c>
      <c r="P25">
        <v>-0.69844409068492708</v>
      </c>
      <c r="Q25">
        <v>0.4925623180951173</v>
      </c>
      <c r="R25">
        <v>-20.082330827801574</v>
      </c>
      <c r="S25">
        <v>9.9843518655489376</v>
      </c>
      <c r="T25">
        <v>-20.082330827801574</v>
      </c>
      <c r="U25">
        <v>9.9843518655489376</v>
      </c>
    </row>
    <row r="26" spans="1:21" x14ac:dyDescent="0.3">
      <c r="A26">
        <v>23</v>
      </c>
      <c r="B26" s="5" t="s">
        <v>48</v>
      </c>
      <c r="C26" s="4">
        <v>473.4</v>
      </c>
      <c r="D26" s="4">
        <v>15.2</v>
      </c>
      <c r="E26" s="17">
        <v>6.9</v>
      </c>
      <c r="F26" s="4">
        <v>1468.5</v>
      </c>
      <c r="G26" s="5">
        <v>69.790000000000006</v>
      </c>
      <c r="H26" s="5">
        <v>1</v>
      </c>
      <c r="I26" s="23">
        <v>176.78</v>
      </c>
      <c r="J26" s="35">
        <v>58357</v>
      </c>
      <c r="K26" s="24">
        <v>2234.6</v>
      </c>
      <c r="L26" s="41" t="s">
        <v>167</v>
      </c>
      <c r="M26" t="s">
        <v>72</v>
      </c>
      <c r="N26">
        <v>-2.3901994749507484E-3</v>
      </c>
      <c r="O26">
        <v>6.1330065639602889E-3</v>
      </c>
      <c r="P26">
        <v>0.40899999999999997</v>
      </c>
      <c r="Q26">
        <v>0.70066273964867687</v>
      </c>
      <c r="R26">
        <v>-1.5144484835168302E-2</v>
      </c>
      <c r="S26">
        <v>1.0364085885266806E-2</v>
      </c>
      <c r="T26">
        <v>-1.5144484835168302E-2</v>
      </c>
      <c r="U26">
        <v>1.0364085885266806E-2</v>
      </c>
    </row>
    <row r="27" spans="1:21" ht="15" thickBot="1" x14ac:dyDescent="0.35">
      <c r="A27">
        <v>24</v>
      </c>
      <c r="B27" s="5" t="s">
        <v>37</v>
      </c>
      <c r="C27" s="4">
        <v>483.1</v>
      </c>
      <c r="D27" s="4">
        <v>19.600000000000001</v>
      </c>
      <c r="E27" s="17">
        <v>7.1</v>
      </c>
      <c r="F27" s="4">
        <v>4885</v>
      </c>
      <c r="G27" s="5">
        <v>70.489999999999995</v>
      </c>
      <c r="H27" s="32">
        <v>1</v>
      </c>
      <c r="I27" s="33">
        <v>165.44</v>
      </c>
      <c r="J27" s="34">
        <v>48751</v>
      </c>
      <c r="K27" s="33">
        <v>2123.6</v>
      </c>
      <c r="L27" s="41" t="s">
        <v>168</v>
      </c>
      <c r="M27" s="38" t="s">
        <v>73</v>
      </c>
      <c r="N27" s="38">
        <v>0.21564966950301862</v>
      </c>
      <c r="O27" s="38">
        <v>8.5757589156346944E-2</v>
      </c>
      <c r="P27" s="38">
        <v>2.5146423963698648</v>
      </c>
      <c r="Q27" s="38">
        <v>2.0130590109466596E-2</v>
      </c>
      <c r="R27" s="38">
        <v>3.7306999803011137E-2</v>
      </c>
      <c r="S27" s="38">
        <v>0.39399233920302612</v>
      </c>
      <c r="T27" s="38">
        <v>3.7306999803011137E-2</v>
      </c>
      <c r="U27" s="38">
        <v>0.39399233920302612</v>
      </c>
    </row>
    <row r="28" spans="1:21" x14ac:dyDescent="0.3">
      <c r="A28">
        <v>25</v>
      </c>
      <c r="B28" s="5" t="s">
        <v>31</v>
      </c>
      <c r="C28" s="4">
        <v>483.2</v>
      </c>
      <c r="D28" s="4">
        <v>10.9</v>
      </c>
      <c r="E28" s="17">
        <v>8</v>
      </c>
      <c r="F28" s="4">
        <v>2451.1999999999998</v>
      </c>
      <c r="G28" s="5">
        <v>78.900000000000006</v>
      </c>
      <c r="H28" s="5">
        <v>1</v>
      </c>
      <c r="I28" s="23">
        <v>172.52</v>
      </c>
      <c r="J28" s="35">
        <v>71957</v>
      </c>
      <c r="K28" s="24">
        <v>2615</v>
      </c>
    </row>
    <row r="29" spans="1:21" x14ac:dyDescent="0.3">
      <c r="A29">
        <v>26</v>
      </c>
      <c r="B29" s="5" t="s">
        <v>32</v>
      </c>
      <c r="C29" s="4">
        <v>444.9</v>
      </c>
      <c r="D29" s="4">
        <v>16.600000000000001</v>
      </c>
      <c r="E29" s="17">
        <v>12.6</v>
      </c>
      <c r="F29" s="4">
        <v>8304.2000000000007</v>
      </c>
      <c r="G29" s="5">
        <v>86.64</v>
      </c>
      <c r="H29" s="5">
        <v>0</v>
      </c>
      <c r="I29" s="23">
        <v>135.15</v>
      </c>
      <c r="J29" s="37">
        <v>69778</v>
      </c>
      <c r="K29" s="24">
        <v>2013</v>
      </c>
    </row>
    <row r="30" spans="1:21" x14ac:dyDescent="0.3">
      <c r="A30">
        <v>27</v>
      </c>
      <c r="B30" s="5" t="s">
        <v>33</v>
      </c>
      <c r="C30" s="4">
        <v>252.8</v>
      </c>
      <c r="D30" s="4">
        <v>17.100000000000001</v>
      </c>
      <c r="E30" s="17">
        <v>11</v>
      </c>
      <c r="F30" s="4">
        <v>12059.8</v>
      </c>
      <c r="G30" s="5">
        <v>86.42</v>
      </c>
      <c r="H30" s="5">
        <v>0</v>
      </c>
      <c r="I30" s="28">
        <v>142.86000000000001</v>
      </c>
      <c r="J30" s="23">
        <v>65781</v>
      </c>
      <c r="K30" s="24">
        <v>1174</v>
      </c>
    </row>
    <row r="31" spans="1:21" x14ac:dyDescent="0.3">
      <c r="A31">
        <v>28</v>
      </c>
      <c r="B31" s="5" t="s">
        <v>34</v>
      </c>
      <c r="C31" s="4">
        <v>163.5</v>
      </c>
      <c r="D31" s="4">
        <v>15.4</v>
      </c>
      <c r="E31" s="17">
        <v>7.2</v>
      </c>
      <c r="F31" s="4">
        <v>11280.7</v>
      </c>
      <c r="G31" s="5">
        <v>90.87</v>
      </c>
      <c r="H31" s="5">
        <v>0</v>
      </c>
      <c r="I31" s="28">
        <v>149.69999999999999</v>
      </c>
      <c r="J31" s="23">
        <v>93547</v>
      </c>
      <c r="K31" s="24">
        <v>1157.7</v>
      </c>
    </row>
    <row r="32" spans="1:21" x14ac:dyDescent="0.3">
      <c r="A32">
        <v>29</v>
      </c>
      <c r="B32" s="5" t="s">
        <v>35</v>
      </c>
      <c r="C32" s="4">
        <v>446.3</v>
      </c>
      <c r="D32" s="4">
        <v>16.399999999999999</v>
      </c>
      <c r="E32" s="17">
        <v>7</v>
      </c>
      <c r="F32" s="4">
        <v>2454.5</v>
      </c>
      <c r="G32" s="5">
        <v>70.83</v>
      </c>
      <c r="H32" s="5">
        <v>1</v>
      </c>
      <c r="I32" s="28">
        <v>166.9</v>
      </c>
      <c r="J32" s="23">
        <v>54321</v>
      </c>
      <c r="K32" s="24">
        <v>2160.9</v>
      </c>
    </row>
    <row r="33" spans="1:11" x14ac:dyDescent="0.3">
      <c r="A33">
        <v>30</v>
      </c>
      <c r="B33" s="5" t="s">
        <v>36</v>
      </c>
      <c r="C33" s="4">
        <v>409.7</v>
      </c>
      <c r="D33" s="4">
        <v>14.9</v>
      </c>
      <c r="E33" s="17">
        <v>16</v>
      </c>
      <c r="F33" s="4">
        <v>4526</v>
      </c>
      <c r="G33" s="5">
        <v>72.790000000000006</v>
      </c>
      <c r="H33" s="5">
        <v>1</v>
      </c>
      <c r="I33" s="30">
        <v>143.97</v>
      </c>
      <c r="J33" s="26">
        <v>61356</v>
      </c>
      <c r="K33" s="25">
        <v>1700.9</v>
      </c>
    </row>
    <row r="35" spans="1:11" x14ac:dyDescent="0.3">
      <c r="B35" s="84" t="s">
        <v>200</v>
      </c>
      <c r="C35" s="84"/>
    </row>
    <row r="36" spans="1:11" x14ac:dyDescent="0.3">
      <c r="B36" s="84" t="s">
        <v>87</v>
      </c>
      <c r="C36" s="84"/>
    </row>
    <row r="37" spans="1:11" x14ac:dyDescent="0.3">
      <c r="B37" s="84" t="s">
        <v>88</v>
      </c>
      <c r="C37" s="84"/>
      <c r="D37" s="84"/>
    </row>
    <row r="38" spans="1:11" x14ac:dyDescent="0.3">
      <c r="B38" s="107" t="s">
        <v>89</v>
      </c>
      <c r="C38" s="107"/>
      <c r="D38" s="107"/>
    </row>
    <row r="39" spans="1:11" x14ac:dyDescent="0.3">
      <c r="B39" s="84" t="s">
        <v>90</v>
      </c>
      <c r="C39" s="84"/>
    </row>
    <row r="40" spans="1:11" x14ac:dyDescent="0.3">
      <c r="B40" s="107" t="s">
        <v>91</v>
      </c>
      <c r="C40" s="107"/>
      <c r="D40" s="107"/>
      <c r="E40" s="107"/>
      <c r="F40" s="107"/>
      <c r="G40" s="107"/>
    </row>
    <row r="41" spans="1:11" x14ac:dyDescent="0.3">
      <c r="B41" s="84" t="s">
        <v>92</v>
      </c>
      <c r="C41" s="84"/>
    </row>
    <row r="42" spans="1:11" x14ac:dyDescent="0.3">
      <c r="B42" s="84" t="s">
        <v>93</v>
      </c>
      <c r="C42" s="84"/>
      <c r="D42" s="84"/>
    </row>
    <row r="43" spans="1:11" x14ac:dyDescent="0.3">
      <c r="B43" s="107" t="s">
        <v>94</v>
      </c>
      <c r="C43" s="107"/>
    </row>
  </sheetData>
  <mergeCells count="11">
    <mergeCell ref="H2:K2"/>
    <mergeCell ref="P5:V10"/>
    <mergeCell ref="B35:C35"/>
    <mergeCell ref="B36:C36"/>
    <mergeCell ref="B37:D37"/>
    <mergeCell ref="B43:C43"/>
    <mergeCell ref="B38:D38"/>
    <mergeCell ref="B39:C39"/>
    <mergeCell ref="B40:G40"/>
    <mergeCell ref="B41:C41"/>
    <mergeCell ref="B42:D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C4DA-1882-421D-A4E8-08227A8C041C}">
  <dimension ref="A1:N42"/>
  <sheetViews>
    <sheetView workbookViewId="0">
      <selection activeCell="M11" sqref="M11"/>
    </sheetView>
  </sheetViews>
  <sheetFormatPr defaultRowHeight="14.4" x14ac:dyDescent="0.3"/>
  <cols>
    <col min="7" max="7" width="12.6640625" bestFit="1" customWidth="1"/>
    <col min="8" max="8" width="14.5546875" bestFit="1" customWidth="1"/>
    <col min="9" max="9" width="12" bestFit="1" customWidth="1"/>
    <col min="10" max="10" width="11.88671875" bestFit="1" customWidth="1"/>
    <col min="11" max="11" width="12.109375" customWidth="1"/>
    <col min="12" max="12" width="11.6640625" customWidth="1"/>
    <col min="13" max="13" width="11.44140625" customWidth="1"/>
    <col min="14" max="14" width="13.44140625" customWidth="1"/>
  </cols>
  <sheetData>
    <row r="1" spans="1:13" x14ac:dyDescent="0.3">
      <c r="A1" s="108" t="s">
        <v>200</v>
      </c>
      <c r="B1" s="108"/>
      <c r="C1" s="70"/>
      <c r="D1" s="70"/>
      <c r="E1" s="70"/>
      <c r="F1" s="70"/>
      <c r="G1" s="70" t="s">
        <v>201</v>
      </c>
      <c r="H1" s="70" t="s">
        <v>202</v>
      </c>
      <c r="I1" s="70" t="s">
        <v>191</v>
      </c>
      <c r="J1" s="41" t="s">
        <v>209</v>
      </c>
      <c r="K1" t="s">
        <v>203</v>
      </c>
      <c r="L1" t="s">
        <v>205</v>
      </c>
    </row>
    <row r="2" spans="1:13" x14ac:dyDescent="0.3">
      <c r="A2" s="84" t="s">
        <v>87</v>
      </c>
      <c r="B2" s="84"/>
      <c r="G2">
        <v>0.11856817591719858</v>
      </c>
      <c r="H2">
        <v>7.7807277660189959E-3</v>
      </c>
      <c r="I2">
        <v>0.9938653828064512</v>
      </c>
      <c r="J2" s="41" t="s">
        <v>167</v>
      </c>
      <c r="K2" t="s">
        <v>204</v>
      </c>
      <c r="L2" t="s">
        <v>206</v>
      </c>
    </row>
    <row r="3" spans="1:13" x14ac:dyDescent="0.3">
      <c r="A3" s="84" t="s">
        <v>88</v>
      </c>
      <c r="B3" s="84"/>
      <c r="C3" s="84"/>
      <c r="G3">
        <v>4.1265161011227036</v>
      </c>
      <c r="H3">
        <v>0.14092775278396574</v>
      </c>
      <c r="I3">
        <v>0.88927011169300263</v>
      </c>
      <c r="J3" s="41" t="s">
        <v>167</v>
      </c>
    </row>
    <row r="4" spans="1:13" x14ac:dyDescent="0.3">
      <c r="A4" s="107" t="s">
        <v>89</v>
      </c>
      <c r="B4" s="107"/>
      <c r="C4" s="107"/>
      <c r="G4">
        <v>-5.5116497744227121E-3</v>
      </c>
      <c r="H4">
        <v>-0.45719498613638115</v>
      </c>
      <c r="I4">
        <v>0.6522253875413766</v>
      </c>
      <c r="J4" s="41" t="s">
        <v>167</v>
      </c>
      <c r="K4" t="s">
        <v>207</v>
      </c>
    </row>
    <row r="5" spans="1:13" x14ac:dyDescent="0.3">
      <c r="A5" s="84" t="s">
        <v>90</v>
      </c>
      <c r="B5" s="84"/>
      <c r="G5">
        <v>-1.3296012893564049</v>
      </c>
      <c r="H5">
        <v>-0.12840454548888114</v>
      </c>
      <c r="I5">
        <v>0.89905060584149776</v>
      </c>
      <c r="J5" s="41" t="s">
        <v>167</v>
      </c>
      <c r="K5" t="s">
        <v>208</v>
      </c>
    </row>
    <row r="6" spans="1:13" x14ac:dyDescent="0.3">
      <c r="A6" s="107" t="s">
        <v>91</v>
      </c>
      <c r="B6" s="107"/>
      <c r="C6" s="107"/>
      <c r="D6" s="107"/>
      <c r="E6" s="107"/>
      <c r="F6" s="107"/>
      <c r="G6">
        <v>68.092417200722835</v>
      </c>
      <c r="H6">
        <v>0.58212155977552205</v>
      </c>
      <c r="I6">
        <v>0.56668259915474639</v>
      </c>
      <c r="J6" s="41" t="s">
        <v>167</v>
      </c>
    </row>
    <row r="7" spans="1:13" x14ac:dyDescent="0.3">
      <c r="A7" s="84" t="s">
        <v>92</v>
      </c>
      <c r="B7" s="84"/>
      <c r="G7">
        <v>-5.0489894811263181</v>
      </c>
      <c r="H7">
        <v>-0.69844409068492708</v>
      </c>
      <c r="I7">
        <v>0.4925623180951173</v>
      </c>
      <c r="J7" s="41" t="s">
        <v>167</v>
      </c>
    </row>
    <row r="8" spans="1:13" x14ac:dyDescent="0.3">
      <c r="A8" s="84" t="s">
        <v>93</v>
      </c>
      <c r="B8" s="84"/>
      <c r="C8" s="84"/>
      <c r="G8">
        <v>-2.3901994749507484E-3</v>
      </c>
      <c r="H8">
        <v>-0.38972719986905019</v>
      </c>
      <c r="I8">
        <v>0.70066273964867687</v>
      </c>
      <c r="J8" s="41" t="s">
        <v>167</v>
      </c>
    </row>
    <row r="9" spans="1:13" ht="15" thickBot="1" x14ac:dyDescent="0.35">
      <c r="A9" s="107" t="s">
        <v>94</v>
      </c>
      <c r="B9" s="107"/>
      <c r="G9" s="38">
        <v>0.21564966950301862</v>
      </c>
      <c r="H9" s="38">
        <v>2.5146423963698648</v>
      </c>
      <c r="I9" s="38">
        <v>2.0130590109466596E-2</v>
      </c>
      <c r="J9" s="41" t="s">
        <v>168</v>
      </c>
    </row>
    <row r="11" spans="1:13" x14ac:dyDescent="0.3">
      <c r="B11" s="4"/>
      <c r="C11" s="14" t="s">
        <v>65</v>
      </c>
      <c r="D11" s="4" t="s">
        <v>70</v>
      </c>
      <c r="F11" t="s">
        <v>173</v>
      </c>
      <c r="M11" t="s">
        <v>210</v>
      </c>
    </row>
    <row r="12" spans="1:13" ht="15" thickBot="1" x14ac:dyDescent="0.35">
      <c r="B12" s="4"/>
      <c r="C12" s="14" t="s">
        <v>1</v>
      </c>
      <c r="D12" s="71" t="s">
        <v>73</v>
      </c>
    </row>
    <row r="13" spans="1:13" x14ac:dyDescent="0.3">
      <c r="A13">
        <v>1</v>
      </c>
      <c r="B13" s="4" t="s">
        <v>9</v>
      </c>
      <c r="C13" s="4">
        <v>1406.6</v>
      </c>
      <c r="D13" s="72">
        <v>3798.5</v>
      </c>
      <c r="F13" s="39" t="s">
        <v>174</v>
      </c>
      <c r="G13" s="39"/>
    </row>
    <row r="14" spans="1:13" x14ac:dyDescent="0.3">
      <c r="A14">
        <v>2</v>
      </c>
      <c r="B14" s="5" t="s">
        <v>10</v>
      </c>
      <c r="C14" s="4">
        <v>968.6</v>
      </c>
      <c r="D14" s="73">
        <v>968.6</v>
      </c>
      <c r="F14" t="s">
        <v>175</v>
      </c>
      <c r="G14">
        <v>0.53949262986423085</v>
      </c>
    </row>
    <row r="15" spans="1:13" x14ac:dyDescent="0.3">
      <c r="A15">
        <v>3</v>
      </c>
      <c r="B15" s="5" t="s">
        <v>14</v>
      </c>
      <c r="C15" s="4">
        <v>1056.5</v>
      </c>
      <c r="D15" s="74">
        <v>2988</v>
      </c>
      <c r="F15" t="s">
        <v>176</v>
      </c>
      <c r="G15">
        <v>0.29105229767782398</v>
      </c>
    </row>
    <row r="16" spans="1:13" x14ac:dyDescent="0.3">
      <c r="A16">
        <v>4</v>
      </c>
      <c r="B16" s="5" t="s">
        <v>15</v>
      </c>
      <c r="C16" s="4">
        <v>693.1</v>
      </c>
      <c r="D16" s="74">
        <v>3104.4</v>
      </c>
      <c r="F16" t="s">
        <v>177</v>
      </c>
      <c r="G16">
        <v>0.26573273688060339</v>
      </c>
    </row>
    <row r="17" spans="1:14" x14ac:dyDescent="0.3">
      <c r="A17">
        <v>5</v>
      </c>
      <c r="B17" s="5" t="s">
        <v>39</v>
      </c>
      <c r="C17" s="4">
        <v>256.3</v>
      </c>
      <c r="D17" s="74">
        <v>995.8</v>
      </c>
      <c r="F17" t="s">
        <v>96</v>
      </c>
      <c r="G17">
        <v>225.54396581948137</v>
      </c>
    </row>
    <row r="18" spans="1:14" ht="15" thickBot="1" x14ac:dyDescent="0.35">
      <c r="A18">
        <v>6</v>
      </c>
      <c r="B18" s="5" t="s">
        <v>40</v>
      </c>
      <c r="C18" s="4">
        <v>207.4</v>
      </c>
      <c r="D18" s="74">
        <v>1134.8</v>
      </c>
      <c r="F18" s="38" t="s">
        <v>178</v>
      </c>
      <c r="G18" s="38">
        <v>30</v>
      </c>
    </row>
    <row r="19" spans="1:14" x14ac:dyDescent="0.3">
      <c r="A19">
        <v>7</v>
      </c>
      <c r="B19" s="5" t="s">
        <v>26</v>
      </c>
      <c r="C19" s="4">
        <v>566.20000000000005</v>
      </c>
      <c r="D19" s="75">
        <v>1318.9</v>
      </c>
    </row>
    <row r="20" spans="1:14" ht="15" thickBot="1" x14ac:dyDescent="0.35">
      <c r="A20">
        <v>8</v>
      </c>
      <c r="B20" s="5" t="s">
        <v>16</v>
      </c>
      <c r="C20" s="4">
        <v>588</v>
      </c>
      <c r="D20" s="74">
        <v>3083</v>
      </c>
      <c r="F20" t="s">
        <v>179</v>
      </c>
    </row>
    <row r="21" spans="1:14" x14ac:dyDescent="0.3">
      <c r="A21">
        <v>9</v>
      </c>
      <c r="B21" s="5" t="s">
        <v>47</v>
      </c>
      <c r="C21" s="4">
        <v>498.8</v>
      </c>
      <c r="D21" s="74">
        <v>2365.6</v>
      </c>
      <c r="F21" s="39"/>
      <c r="G21" s="39" t="s">
        <v>184</v>
      </c>
      <c r="H21" s="39" t="s">
        <v>185</v>
      </c>
      <c r="I21" s="39" t="s">
        <v>186</v>
      </c>
      <c r="J21" s="39" t="s">
        <v>187</v>
      </c>
      <c r="K21" s="39" t="s">
        <v>188</v>
      </c>
    </row>
    <row r="22" spans="1:14" x14ac:dyDescent="0.3">
      <c r="A22">
        <v>10</v>
      </c>
      <c r="B22" s="5" t="s">
        <v>27</v>
      </c>
      <c r="C22" s="4">
        <v>497.8</v>
      </c>
      <c r="D22" s="74">
        <v>1493</v>
      </c>
      <c r="F22" t="s">
        <v>180</v>
      </c>
      <c r="G22">
        <v>1</v>
      </c>
      <c r="H22">
        <v>584759.50417444389</v>
      </c>
      <c r="I22">
        <v>584759.50417444389</v>
      </c>
      <c r="J22">
        <v>11.495155860277558</v>
      </c>
      <c r="K22">
        <v>2.0934351026984876E-3</v>
      </c>
    </row>
    <row r="23" spans="1:14" x14ac:dyDescent="0.3">
      <c r="A23">
        <v>11</v>
      </c>
      <c r="B23" s="5" t="s">
        <v>17</v>
      </c>
      <c r="C23" s="4">
        <v>238.2</v>
      </c>
      <c r="D23" s="74">
        <v>2419.6999999999998</v>
      </c>
      <c r="F23" t="s">
        <v>181</v>
      </c>
      <c r="G23">
        <v>28</v>
      </c>
      <c r="H23">
        <v>1424362.2544922228</v>
      </c>
      <c r="I23">
        <v>50870.080517579387</v>
      </c>
    </row>
    <row r="24" spans="1:14" ht="15" thickBot="1" x14ac:dyDescent="0.35">
      <c r="A24">
        <v>12</v>
      </c>
      <c r="B24" s="5" t="s">
        <v>28</v>
      </c>
      <c r="C24" s="4">
        <v>421.3</v>
      </c>
      <c r="D24" s="74">
        <v>1788.2</v>
      </c>
      <c r="F24" s="38" t="s">
        <v>182</v>
      </c>
      <c r="G24" s="38">
        <v>29</v>
      </c>
      <c r="H24" s="38">
        <v>2009121.7586666667</v>
      </c>
      <c r="I24" s="38"/>
      <c r="J24" s="38"/>
      <c r="K24" s="38"/>
    </row>
    <row r="25" spans="1:14" ht="15" thickBot="1" x14ac:dyDescent="0.35">
      <c r="A25">
        <v>13</v>
      </c>
      <c r="B25" s="5" t="s">
        <v>18</v>
      </c>
      <c r="C25" s="4">
        <v>722.3</v>
      </c>
      <c r="D25" s="74">
        <v>2331.5</v>
      </c>
    </row>
    <row r="26" spans="1:14" x14ac:dyDescent="0.3">
      <c r="A26">
        <v>14</v>
      </c>
      <c r="B26" s="5" t="s">
        <v>29</v>
      </c>
      <c r="C26" s="4">
        <v>255</v>
      </c>
      <c r="D26" s="76">
        <v>995.5</v>
      </c>
      <c r="F26" s="39"/>
      <c r="G26" s="39" t="s">
        <v>189</v>
      </c>
      <c r="H26" s="39" t="s">
        <v>96</v>
      </c>
      <c r="I26" s="39" t="s">
        <v>190</v>
      </c>
      <c r="J26" s="68" t="s">
        <v>191</v>
      </c>
      <c r="K26" s="39" t="s">
        <v>192</v>
      </c>
      <c r="L26" s="39" t="s">
        <v>193</v>
      </c>
      <c r="M26" s="39" t="s">
        <v>194</v>
      </c>
      <c r="N26" s="39" t="s">
        <v>195</v>
      </c>
    </row>
    <row r="27" spans="1:14" x14ac:dyDescent="0.3">
      <c r="A27">
        <v>15</v>
      </c>
      <c r="B27" s="5" t="s">
        <v>19</v>
      </c>
      <c r="C27" s="4">
        <v>479.2</v>
      </c>
      <c r="D27" s="74">
        <v>3187.6</v>
      </c>
      <c r="F27" t="s">
        <v>183</v>
      </c>
      <c r="G27">
        <v>129.98959840606045</v>
      </c>
      <c r="H27">
        <v>123.37700114373652</v>
      </c>
      <c r="I27">
        <v>1.0535966768605449</v>
      </c>
      <c r="J27">
        <v>0.30107510005226573</v>
      </c>
      <c r="K27">
        <v>-122.73673187004948</v>
      </c>
      <c r="L27">
        <v>382.71592868217039</v>
      </c>
      <c r="M27">
        <v>-122.73673187004948</v>
      </c>
      <c r="N27">
        <v>382.71592868217039</v>
      </c>
    </row>
    <row r="28" spans="1:14" ht="15" thickBot="1" x14ac:dyDescent="0.35">
      <c r="A28">
        <v>16</v>
      </c>
      <c r="B28" s="5" t="s">
        <v>20</v>
      </c>
      <c r="C28" s="4">
        <v>625.4</v>
      </c>
      <c r="D28" s="74">
        <v>2585.5</v>
      </c>
      <c r="F28" s="38" t="s">
        <v>73</v>
      </c>
      <c r="G28" s="38">
        <v>0.1848982399996591</v>
      </c>
      <c r="H28" s="38">
        <v>5.4535003477341124E-2</v>
      </c>
      <c r="I28" s="38">
        <v>3.3904506868965893</v>
      </c>
      <c r="J28" s="38">
        <v>2.0934351026984906E-3</v>
      </c>
      <c r="K28" s="38">
        <v>7.318834939884504E-2</v>
      </c>
      <c r="L28" s="38">
        <v>0.29660813060047314</v>
      </c>
      <c r="M28" s="38">
        <v>7.318834939884504E-2</v>
      </c>
      <c r="N28" s="38">
        <v>0.29660813060047314</v>
      </c>
    </row>
    <row r="29" spans="1:14" x14ac:dyDescent="0.3">
      <c r="A29">
        <v>17</v>
      </c>
      <c r="B29" s="5" t="s">
        <v>38</v>
      </c>
      <c r="C29" s="4">
        <v>578.4</v>
      </c>
      <c r="D29" s="77">
        <v>2419.6999999999998</v>
      </c>
    </row>
    <row r="30" spans="1:14" x14ac:dyDescent="0.3">
      <c r="A30">
        <v>18</v>
      </c>
      <c r="B30" s="5" t="s">
        <v>21</v>
      </c>
      <c r="C30" s="4">
        <v>594.4</v>
      </c>
      <c r="D30" s="76">
        <v>2474.6999999999998</v>
      </c>
    </row>
    <row r="31" spans="1:14" x14ac:dyDescent="0.3">
      <c r="A31">
        <v>19</v>
      </c>
      <c r="B31" s="5" t="s">
        <v>22</v>
      </c>
      <c r="C31" s="4">
        <v>697.1</v>
      </c>
      <c r="D31" s="74">
        <v>1902.4</v>
      </c>
    </row>
    <row r="32" spans="1:14" x14ac:dyDescent="0.3">
      <c r="A32">
        <v>20</v>
      </c>
      <c r="B32" s="5" t="s">
        <v>23</v>
      </c>
      <c r="C32" s="4">
        <v>461.5</v>
      </c>
      <c r="D32" s="74">
        <v>2848</v>
      </c>
    </row>
    <row r="33" spans="1:4" x14ac:dyDescent="0.3">
      <c r="A33">
        <v>21</v>
      </c>
      <c r="B33" s="5" t="s">
        <v>24</v>
      </c>
      <c r="C33" s="4">
        <v>439.5</v>
      </c>
      <c r="D33" s="75">
        <v>3003.8</v>
      </c>
    </row>
    <row r="34" spans="1:4" x14ac:dyDescent="0.3">
      <c r="A34">
        <v>22</v>
      </c>
      <c r="B34" s="5" t="s">
        <v>30</v>
      </c>
      <c r="C34" s="4">
        <v>320.7</v>
      </c>
      <c r="D34" s="77">
        <v>1591.6</v>
      </c>
    </row>
    <row r="35" spans="1:4" x14ac:dyDescent="0.3">
      <c r="A35">
        <v>23</v>
      </c>
      <c r="B35" s="5" t="s">
        <v>48</v>
      </c>
      <c r="C35" s="4">
        <v>473.4</v>
      </c>
      <c r="D35" s="74">
        <v>2234.6</v>
      </c>
    </row>
    <row r="36" spans="1:4" x14ac:dyDescent="0.3">
      <c r="A36">
        <v>24</v>
      </c>
      <c r="B36" s="5" t="s">
        <v>37</v>
      </c>
      <c r="C36" s="4">
        <v>483.1</v>
      </c>
      <c r="D36" s="77">
        <v>2123.6</v>
      </c>
    </row>
    <row r="37" spans="1:4" x14ac:dyDescent="0.3">
      <c r="A37">
        <v>25</v>
      </c>
      <c r="B37" s="5" t="s">
        <v>31</v>
      </c>
      <c r="C37" s="4">
        <v>483.2</v>
      </c>
      <c r="D37" s="74">
        <v>2615</v>
      </c>
    </row>
    <row r="38" spans="1:4" x14ac:dyDescent="0.3">
      <c r="A38">
        <v>26</v>
      </c>
      <c r="B38" s="5" t="s">
        <v>32</v>
      </c>
      <c r="C38" s="4">
        <v>444.9</v>
      </c>
      <c r="D38" s="74">
        <v>2013</v>
      </c>
    </row>
    <row r="39" spans="1:4" x14ac:dyDescent="0.3">
      <c r="A39">
        <v>27</v>
      </c>
      <c r="B39" s="5" t="s">
        <v>33</v>
      </c>
      <c r="C39" s="4">
        <v>252.8</v>
      </c>
      <c r="D39" s="74">
        <v>1174</v>
      </c>
    </row>
    <row r="40" spans="1:4" x14ac:dyDescent="0.3">
      <c r="A40">
        <v>28</v>
      </c>
      <c r="B40" s="5" t="s">
        <v>34</v>
      </c>
      <c r="C40" s="4">
        <v>163.5</v>
      </c>
      <c r="D40" s="74">
        <v>1157.7</v>
      </c>
    </row>
    <row r="41" spans="1:4" x14ac:dyDescent="0.3">
      <c r="A41">
        <v>29</v>
      </c>
      <c r="B41" s="5" t="s">
        <v>35</v>
      </c>
      <c r="C41" s="4">
        <v>446.3</v>
      </c>
      <c r="D41" s="74">
        <v>2160.9</v>
      </c>
    </row>
    <row r="42" spans="1:4" x14ac:dyDescent="0.3">
      <c r="A42">
        <v>30</v>
      </c>
      <c r="B42" s="5" t="s">
        <v>36</v>
      </c>
      <c r="C42" s="4">
        <v>409.7</v>
      </c>
      <c r="D42" s="75">
        <v>1700.9</v>
      </c>
    </row>
  </sheetData>
  <mergeCells count="9">
    <mergeCell ref="A7:B7"/>
    <mergeCell ref="A8:C8"/>
    <mergeCell ref="A9:B9"/>
    <mergeCell ref="A1:B1"/>
    <mergeCell ref="A2:B2"/>
    <mergeCell ref="A3:C3"/>
    <mergeCell ref="A4:C4"/>
    <mergeCell ref="A5:B5"/>
    <mergeCell ref="A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775D-3399-4E7A-8145-F51981B6631B}">
  <dimension ref="A1:R33"/>
  <sheetViews>
    <sheetView workbookViewId="0">
      <pane xSplit="2" topLeftCell="C1" activePane="topRight" state="frozen"/>
      <selection pane="topRight" activeCell="G9" sqref="G9"/>
    </sheetView>
  </sheetViews>
  <sheetFormatPr defaultRowHeight="14.4" x14ac:dyDescent="0.3"/>
  <cols>
    <col min="2" max="2" width="19.6640625" bestFit="1" customWidth="1"/>
    <col min="3" max="3" width="15.109375" customWidth="1"/>
    <col min="4" max="4" width="9.109375" customWidth="1"/>
    <col min="5" max="5" width="15.33203125" style="1" customWidth="1"/>
    <col min="6" max="6" width="17.109375" customWidth="1"/>
    <col min="7" max="7" width="11.44140625" customWidth="1"/>
    <col min="8" max="8" width="27.5546875" customWidth="1"/>
    <col min="9" max="9" width="12" customWidth="1"/>
    <col min="10" max="10" width="18.88671875" customWidth="1"/>
    <col min="11" max="11" width="13.33203125" customWidth="1"/>
    <col min="12" max="12" width="24.33203125" customWidth="1"/>
  </cols>
  <sheetData>
    <row r="1" spans="1:18" x14ac:dyDescent="0.3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18" x14ac:dyDescent="0.3">
      <c r="B2" s="109" t="s">
        <v>7</v>
      </c>
      <c r="C2" s="104" t="s">
        <v>13</v>
      </c>
      <c r="D2" s="104" t="s">
        <v>12</v>
      </c>
      <c r="E2" s="111" t="s">
        <v>8</v>
      </c>
      <c r="F2" s="104" t="s">
        <v>42</v>
      </c>
      <c r="G2" s="104" t="s">
        <v>11</v>
      </c>
      <c r="H2" s="110" t="s">
        <v>46</v>
      </c>
      <c r="N2" s="2"/>
      <c r="O2" s="104"/>
      <c r="P2" s="104"/>
      <c r="Q2" s="104"/>
      <c r="R2" s="104"/>
    </row>
    <row r="3" spans="1:18" x14ac:dyDescent="0.3">
      <c r="B3" s="109"/>
      <c r="C3" s="104"/>
      <c r="D3" s="104"/>
      <c r="E3" s="111"/>
      <c r="F3" s="104"/>
      <c r="G3" s="104"/>
      <c r="H3" s="110"/>
      <c r="N3" s="2"/>
      <c r="O3" s="104"/>
      <c r="P3" s="104"/>
      <c r="Q3" s="104"/>
      <c r="R3" s="104"/>
    </row>
    <row r="4" spans="1:18" x14ac:dyDescent="0.3">
      <c r="A4">
        <v>1</v>
      </c>
      <c r="B4" t="s">
        <v>9</v>
      </c>
      <c r="C4">
        <v>1406.6</v>
      </c>
      <c r="D4">
        <v>24.2</v>
      </c>
      <c r="E4" s="1">
        <v>9.3000000000000007</v>
      </c>
      <c r="F4">
        <v>2121.8000000000002</v>
      </c>
      <c r="G4">
        <v>63.66</v>
      </c>
      <c r="H4">
        <v>1</v>
      </c>
    </row>
    <row r="5" spans="1:18" x14ac:dyDescent="0.3">
      <c r="A5">
        <v>2</v>
      </c>
      <c r="B5" t="s">
        <v>10</v>
      </c>
      <c r="C5">
        <v>968.6</v>
      </c>
      <c r="D5">
        <v>16.2</v>
      </c>
      <c r="E5" s="1">
        <v>9</v>
      </c>
      <c r="F5">
        <v>3014.7</v>
      </c>
      <c r="G5">
        <v>80.569999999999993</v>
      </c>
      <c r="H5">
        <v>1</v>
      </c>
    </row>
    <row r="6" spans="1:18" x14ac:dyDescent="0.3">
      <c r="A6">
        <v>3</v>
      </c>
      <c r="B6" t="s">
        <v>14</v>
      </c>
      <c r="C6">
        <v>1056.5</v>
      </c>
      <c r="D6">
        <v>9.15</v>
      </c>
      <c r="E6" s="1">
        <v>8.1</v>
      </c>
      <c r="F6">
        <v>170.6</v>
      </c>
      <c r="G6">
        <v>86.11</v>
      </c>
      <c r="H6">
        <v>1</v>
      </c>
    </row>
    <row r="7" spans="1:18" x14ac:dyDescent="0.3">
      <c r="A7">
        <v>4</v>
      </c>
      <c r="B7" t="s">
        <v>15</v>
      </c>
      <c r="C7">
        <v>693.1</v>
      </c>
      <c r="D7">
        <v>16.3</v>
      </c>
      <c r="E7" s="1">
        <v>12.9</v>
      </c>
      <c r="F7">
        <v>2444.1999999999998</v>
      </c>
      <c r="G7">
        <v>83.75</v>
      </c>
      <c r="H7">
        <v>0</v>
      </c>
    </row>
    <row r="8" spans="1:18" x14ac:dyDescent="0.3">
      <c r="A8">
        <v>5</v>
      </c>
      <c r="B8" t="s">
        <v>39</v>
      </c>
      <c r="C8">
        <v>256.3</v>
      </c>
      <c r="D8">
        <v>17</v>
      </c>
      <c r="E8" s="1">
        <v>11.7</v>
      </c>
      <c r="F8">
        <v>29303.200000000001</v>
      </c>
      <c r="G8">
        <v>100</v>
      </c>
      <c r="H8">
        <v>0</v>
      </c>
    </row>
    <row r="9" spans="1:18" x14ac:dyDescent="0.3">
      <c r="A9">
        <v>6</v>
      </c>
      <c r="B9" t="s">
        <v>40</v>
      </c>
      <c r="C9">
        <v>207.4</v>
      </c>
      <c r="D9">
        <v>20.9</v>
      </c>
      <c r="E9" s="1">
        <v>9.1</v>
      </c>
      <c r="F9">
        <v>12285.8</v>
      </c>
      <c r="G9">
        <v>81.69</v>
      </c>
      <c r="H9">
        <v>1</v>
      </c>
    </row>
    <row r="10" spans="1:18" x14ac:dyDescent="0.3">
      <c r="A10">
        <v>7</v>
      </c>
      <c r="B10" t="s">
        <v>26</v>
      </c>
      <c r="C10">
        <v>566.20000000000005</v>
      </c>
      <c r="D10">
        <v>31.8</v>
      </c>
      <c r="E10" s="1">
        <v>12</v>
      </c>
      <c r="F10">
        <v>4606.8</v>
      </c>
      <c r="G10">
        <v>68.709999999999994</v>
      </c>
      <c r="H10">
        <v>1</v>
      </c>
    </row>
    <row r="11" spans="1:18" x14ac:dyDescent="0.3">
      <c r="A11">
        <v>8</v>
      </c>
      <c r="B11" t="s">
        <v>16</v>
      </c>
      <c r="C11">
        <v>588</v>
      </c>
      <c r="D11">
        <v>18</v>
      </c>
      <c r="E11" s="1">
        <v>6.9</v>
      </c>
      <c r="F11">
        <v>2091.1</v>
      </c>
      <c r="G11">
        <v>67.7</v>
      </c>
      <c r="H11">
        <v>1</v>
      </c>
    </row>
    <row r="12" spans="1:18" x14ac:dyDescent="0.3">
      <c r="A12">
        <v>9</v>
      </c>
      <c r="B12" t="s">
        <v>47</v>
      </c>
      <c r="C12">
        <v>498.8</v>
      </c>
      <c r="D12">
        <v>11.6</v>
      </c>
      <c r="E12" s="1">
        <v>7.8</v>
      </c>
      <c r="F12">
        <v>2836.9</v>
      </c>
      <c r="G12">
        <v>80.69</v>
      </c>
      <c r="H12">
        <v>0</v>
      </c>
    </row>
    <row r="13" spans="1:18" x14ac:dyDescent="0.3">
      <c r="A13">
        <v>10</v>
      </c>
      <c r="B13" t="s">
        <v>27</v>
      </c>
      <c r="C13">
        <v>497.8</v>
      </c>
      <c r="D13">
        <v>20.3</v>
      </c>
      <c r="E13" s="1">
        <v>7.2</v>
      </c>
      <c r="F13">
        <v>7235.8</v>
      </c>
      <c r="G13">
        <v>74.760000000000005</v>
      </c>
      <c r="H13">
        <v>0</v>
      </c>
    </row>
    <row r="14" spans="1:18" x14ac:dyDescent="0.3">
      <c r="A14">
        <v>11</v>
      </c>
      <c r="B14" t="s">
        <v>17</v>
      </c>
      <c r="C14">
        <v>238.2</v>
      </c>
      <c r="D14">
        <v>14.7</v>
      </c>
      <c r="E14" s="1">
        <v>4.7</v>
      </c>
      <c r="F14">
        <v>1810.1</v>
      </c>
      <c r="G14">
        <v>74.180000000000007</v>
      </c>
      <c r="H14">
        <v>0</v>
      </c>
    </row>
    <row r="15" spans="1:18" x14ac:dyDescent="0.3">
      <c r="A15">
        <v>12</v>
      </c>
      <c r="B15" t="s">
        <v>28</v>
      </c>
      <c r="C15">
        <v>421.3</v>
      </c>
      <c r="D15">
        <v>31.4</v>
      </c>
      <c r="E15" s="1">
        <v>9.3000000000000007</v>
      </c>
      <c r="F15">
        <v>4793.5</v>
      </c>
      <c r="G15">
        <v>75.98</v>
      </c>
      <c r="H15">
        <v>1</v>
      </c>
    </row>
    <row r="16" spans="1:18" x14ac:dyDescent="0.3">
      <c r="A16">
        <v>13</v>
      </c>
      <c r="B16" t="s">
        <v>18</v>
      </c>
      <c r="C16">
        <v>722.3</v>
      </c>
      <c r="D16">
        <v>16.3</v>
      </c>
      <c r="E16" s="1">
        <v>11.9</v>
      </c>
      <c r="F16">
        <v>5157</v>
      </c>
      <c r="G16">
        <v>70.739999999999995</v>
      </c>
      <c r="H16">
        <v>0</v>
      </c>
    </row>
    <row r="17" spans="1:8" x14ac:dyDescent="0.3">
      <c r="A17">
        <v>14</v>
      </c>
      <c r="B17" t="s">
        <v>29</v>
      </c>
      <c r="C17">
        <v>255</v>
      </c>
      <c r="D17">
        <v>25.5</v>
      </c>
      <c r="E17" s="1">
        <v>5.7</v>
      </c>
      <c r="F17">
        <v>1365.3</v>
      </c>
      <c r="G17">
        <v>74.150000000000006</v>
      </c>
      <c r="H17">
        <v>1</v>
      </c>
    </row>
    <row r="18" spans="1:8" x14ac:dyDescent="0.3">
      <c r="A18">
        <v>15</v>
      </c>
      <c r="B18" t="s">
        <v>19</v>
      </c>
      <c r="C18">
        <v>479.2</v>
      </c>
      <c r="D18">
        <v>11.6</v>
      </c>
      <c r="E18" s="1">
        <v>8.4</v>
      </c>
      <c r="F18">
        <v>4674.3</v>
      </c>
      <c r="G18">
        <v>79.59</v>
      </c>
      <c r="H18">
        <v>1</v>
      </c>
    </row>
    <row r="19" spans="1:8" x14ac:dyDescent="0.3">
      <c r="A19">
        <v>16</v>
      </c>
      <c r="B19" t="s">
        <v>20</v>
      </c>
      <c r="C19">
        <v>625.4</v>
      </c>
      <c r="D19">
        <v>19.5</v>
      </c>
      <c r="E19" s="1">
        <v>9.6</v>
      </c>
      <c r="F19">
        <v>3501.5</v>
      </c>
      <c r="G19">
        <v>86.52</v>
      </c>
      <c r="H19">
        <v>0</v>
      </c>
    </row>
    <row r="20" spans="1:8" x14ac:dyDescent="0.3">
      <c r="A20">
        <v>17</v>
      </c>
      <c r="B20" t="s">
        <v>38</v>
      </c>
      <c r="C20">
        <v>578.4</v>
      </c>
      <c r="D20">
        <v>15</v>
      </c>
      <c r="E20" s="1">
        <v>6.4</v>
      </c>
      <c r="F20">
        <v>1168.0999999999999</v>
      </c>
      <c r="G20">
        <v>71.739999999999995</v>
      </c>
      <c r="H20">
        <v>1</v>
      </c>
    </row>
    <row r="21" spans="1:8" x14ac:dyDescent="0.3">
      <c r="A21">
        <v>18</v>
      </c>
      <c r="B21" t="s">
        <v>21</v>
      </c>
      <c r="C21">
        <v>594.4</v>
      </c>
      <c r="D21">
        <v>22.9</v>
      </c>
      <c r="E21" s="1">
        <v>11.6</v>
      </c>
      <c r="F21">
        <v>4418.3999999999996</v>
      </c>
      <c r="G21">
        <v>73.27</v>
      </c>
      <c r="H21">
        <v>0</v>
      </c>
    </row>
    <row r="22" spans="1:8" x14ac:dyDescent="0.3">
      <c r="A22">
        <v>19</v>
      </c>
      <c r="B22" t="s">
        <v>22</v>
      </c>
      <c r="C22">
        <v>697.1</v>
      </c>
      <c r="D22">
        <v>24.1</v>
      </c>
      <c r="E22" s="1">
        <v>7.5</v>
      </c>
      <c r="F22">
        <v>6188.3</v>
      </c>
      <c r="G22">
        <v>72.38</v>
      </c>
      <c r="H22">
        <v>0</v>
      </c>
    </row>
    <row r="23" spans="1:8" x14ac:dyDescent="0.3">
      <c r="A23">
        <v>20</v>
      </c>
      <c r="B23" t="s">
        <v>23</v>
      </c>
      <c r="C23">
        <v>461.5</v>
      </c>
      <c r="D23">
        <v>14.9</v>
      </c>
      <c r="E23" s="1">
        <v>6.5</v>
      </c>
      <c r="F23">
        <v>956.4</v>
      </c>
      <c r="G23">
        <v>73.78</v>
      </c>
      <c r="H23">
        <v>1</v>
      </c>
    </row>
    <row r="24" spans="1:8" x14ac:dyDescent="0.3">
      <c r="A24">
        <v>21</v>
      </c>
      <c r="B24" t="s">
        <v>24</v>
      </c>
      <c r="C24">
        <v>439.5</v>
      </c>
      <c r="D24">
        <v>10.3</v>
      </c>
      <c r="E24" s="1">
        <v>9.1</v>
      </c>
      <c r="F24">
        <v>17179.2</v>
      </c>
      <c r="G24">
        <v>100.79</v>
      </c>
      <c r="H24">
        <v>0</v>
      </c>
    </row>
    <row r="25" spans="1:8" x14ac:dyDescent="0.3">
      <c r="A25">
        <v>22</v>
      </c>
      <c r="B25" t="s">
        <v>30</v>
      </c>
      <c r="C25">
        <v>320.7</v>
      </c>
      <c r="D25">
        <v>23.8</v>
      </c>
      <c r="E25" s="1">
        <v>10.8</v>
      </c>
      <c r="F25">
        <v>2029.4</v>
      </c>
      <c r="G25">
        <v>78.58</v>
      </c>
      <c r="H25">
        <v>1</v>
      </c>
    </row>
    <row r="26" spans="1:8" x14ac:dyDescent="0.3">
      <c r="A26">
        <v>23</v>
      </c>
      <c r="B26" t="s">
        <v>48</v>
      </c>
      <c r="C26">
        <v>473.4</v>
      </c>
      <c r="D26">
        <v>15.2</v>
      </c>
      <c r="E26" s="1">
        <v>6.9</v>
      </c>
      <c r="F26">
        <v>1468.5</v>
      </c>
      <c r="G26">
        <v>69.790000000000006</v>
      </c>
      <c r="H26">
        <v>1</v>
      </c>
    </row>
    <row r="27" spans="1:8" x14ac:dyDescent="0.3">
      <c r="A27">
        <v>24</v>
      </c>
      <c r="B27" t="s">
        <v>37</v>
      </c>
      <c r="C27">
        <v>483.1</v>
      </c>
      <c r="D27">
        <v>19.600000000000001</v>
      </c>
      <c r="E27" s="1">
        <v>7.1</v>
      </c>
      <c r="F27">
        <v>4885</v>
      </c>
      <c r="G27">
        <v>70.489999999999995</v>
      </c>
      <c r="H27">
        <v>1</v>
      </c>
    </row>
    <row r="28" spans="1:8" x14ac:dyDescent="0.3">
      <c r="A28">
        <v>25</v>
      </c>
      <c r="B28" t="s">
        <v>31</v>
      </c>
      <c r="C28">
        <v>483.2</v>
      </c>
      <c r="D28">
        <v>10.9</v>
      </c>
      <c r="E28" s="1">
        <v>8</v>
      </c>
      <c r="F28">
        <v>2451.1999999999998</v>
      </c>
      <c r="G28">
        <v>78.900000000000006</v>
      </c>
      <c r="H28">
        <v>1</v>
      </c>
    </row>
    <row r="29" spans="1:8" x14ac:dyDescent="0.3">
      <c r="A29">
        <v>26</v>
      </c>
      <c r="B29" t="s">
        <v>32</v>
      </c>
      <c r="C29">
        <v>444.9</v>
      </c>
      <c r="D29">
        <v>16.600000000000001</v>
      </c>
      <c r="E29" s="1">
        <v>12.6</v>
      </c>
      <c r="F29">
        <v>8304.2000000000007</v>
      </c>
      <c r="G29">
        <v>86.64</v>
      </c>
      <c r="H29">
        <v>0</v>
      </c>
    </row>
    <row r="30" spans="1:8" x14ac:dyDescent="0.3">
      <c r="A30">
        <v>27</v>
      </c>
      <c r="B30" t="s">
        <v>33</v>
      </c>
      <c r="C30">
        <v>252.8</v>
      </c>
      <c r="D30">
        <v>17.100000000000001</v>
      </c>
      <c r="E30" s="1">
        <v>11</v>
      </c>
      <c r="F30">
        <v>12059.8</v>
      </c>
      <c r="G30">
        <v>86.42</v>
      </c>
      <c r="H30">
        <v>0</v>
      </c>
    </row>
    <row r="31" spans="1:8" x14ac:dyDescent="0.3">
      <c r="A31">
        <v>28</v>
      </c>
      <c r="B31" t="s">
        <v>34</v>
      </c>
      <c r="C31">
        <v>163.5</v>
      </c>
      <c r="D31">
        <v>15.4</v>
      </c>
      <c r="E31" s="1">
        <v>7.2</v>
      </c>
      <c r="F31">
        <v>11280.7</v>
      </c>
      <c r="G31">
        <v>90.87</v>
      </c>
      <c r="H31">
        <v>0</v>
      </c>
    </row>
    <row r="32" spans="1:8" x14ac:dyDescent="0.3">
      <c r="A32">
        <v>29</v>
      </c>
      <c r="B32" t="s">
        <v>35</v>
      </c>
      <c r="C32">
        <v>446.3</v>
      </c>
      <c r="D32">
        <v>16.399999999999999</v>
      </c>
      <c r="E32" s="1">
        <v>7</v>
      </c>
      <c r="F32">
        <v>2454.5</v>
      </c>
      <c r="G32">
        <v>70.83</v>
      </c>
      <c r="H32">
        <v>1</v>
      </c>
    </row>
    <row r="33" spans="1:8" x14ac:dyDescent="0.3">
      <c r="A33">
        <v>30</v>
      </c>
      <c r="B33" t="s">
        <v>36</v>
      </c>
      <c r="C33">
        <v>409.7</v>
      </c>
      <c r="D33">
        <v>14.9</v>
      </c>
      <c r="E33" s="1">
        <v>16</v>
      </c>
      <c r="F33">
        <v>4526</v>
      </c>
      <c r="G33">
        <v>72.790000000000006</v>
      </c>
      <c r="H33">
        <v>1</v>
      </c>
    </row>
  </sheetData>
  <mergeCells count="11">
    <mergeCell ref="R2:R3"/>
    <mergeCell ref="G2:G3"/>
    <mergeCell ref="P2:P3"/>
    <mergeCell ref="Q2:Q3"/>
    <mergeCell ref="B2:B3"/>
    <mergeCell ref="C2:C3"/>
    <mergeCell ref="D2:D3"/>
    <mergeCell ref="H2:H3"/>
    <mergeCell ref="O2:O3"/>
    <mergeCell ref="F2:F3"/>
    <mergeCell ref="E2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E36F-3E58-4508-AB0D-EA864B3ED9E6}">
  <dimension ref="A1:D33"/>
  <sheetViews>
    <sheetView workbookViewId="0"/>
  </sheetViews>
  <sheetFormatPr defaultRowHeight="14.4" x14ac:dyDescent="0.3"/>
  <sheetData>
    <row r="1" spans="1:4" x14ac:dyDescent="0.3">
      <c r="A1" t="s">
        <v>41</v>
      </c>
    </row>
    <row r="2" spans="1:4" x14ac:dyDescent="0.3">
      <c r="A2" s="104" t="s">
        <v>25</v>
      </c>
      <c r="B2" s="104" t="s">
        <v>43</v>
      </c>
      <c r="C2" s="104" t="s">
        <v>44</v>
      </c>
      <c r="D2" s="104" t="s">
        <v>45</v>
      </c>
    </row>
    <row r="3" spans="1:4" x14ac:dyDescent="0.3">
      <c r="A3" s="104"/>
      <c r="B3" s="104"/>
      <c r="C3" s="104"/>
      <c r="D3" s="104"/>
    </row>
    <row r="4" spans="1:4" x14ac:dyDescent="0.3">
      <c r="A4">
        <v>160.44999999999999</v>
      </c>
      <c r="B4">
        <v>43981</v>
      </c>
      <c r="C4">
        <v>3798.5</v>
      </c>
      <c r="D4">
        <v>11.6</v>
      </c>
    </row>
    <row r="5" spans="1:4" x14ac:dyDescent="0.3">
      <c r="A5">
        <v>150.38</v>
      </c>
      <c r="B5">
        <v>56366</v>
      </c>
      <c r="C5">
        <v>968.6</v>
      </c>
      <c r="D5">
        <v>11.3</v>
      </c>
    </row>
    <row r="6" spans="1:4" x14ac:dyDescent="0.3">
      <c r="A6">
        <v>166.36</v>
      </c>
      <c r="B6">
        <v>88871</v>
      </c>
      <c r="C6">
        <v>2988</v>
      </c>
      <c r="D6">
        <v>12</v>
      </c>
    </row>
    <row r="7" spans="1:4" x14ac:dyDescent="0.3">
      <c r="A7">
        <v>139.69999999999999</v>
      </c>
      <c r="B7">
        <v>69014</v>
      </c>
      <c r="C7">
        <v>3104.4</v>
      </c>
      <c r="D7">
        <v>8.6</v>
      </c>
    </row>
    <row r="8" spans="1:4" x14ac:dyDescent="0.3">
      <c r="A8">
        <v>136.18</v>
      </c>
      <c r="B8">
        <v>70663</v>
      </c>
      <c r="C8">
        <v>995.8</v>
      </c>
      <c r="D8">
        <v>8.3000000000000007</v>
      </c>
    </row>
    <row r="9" spans="1:4" x14ac:dyDescent="0.3">
      <c r="A9">
        <v>151.19999999999999</v>
      </c>
      <c r="B9">
        <v>47860</v>
      </c>
      <c r="C9">
        <v>1134.8</v>
      </c>
      <c r="D9">
        <v>13.2</v>
      </c>
    </row>
    <row r="10" spans="1:4" x14ac:dyDescent="0.3">
      <c r="A10">
        <v>137.36000000000001</v>
      </c>
      <c r="B10">
        <v>34762</v>
      </c>
      <c r="C10">
        <v>1318.9</v>
      </c>
      <c r="D10">
        <v>10.9</v>
      </c>
    </row>
    <row r="11" spans="1:4" x14ac:dyDescent="0.3">
      <c r="A11">
        <v>189.78</v>
      </c>
      <c r="B11">
        <v>52438</v>
      </c>
      <c r="C11">
        <v>3083</v>
      </c>
      <c r="D11">
        <v>14.1</v>
      </c>
    </row>
    <row r="12" spans="1:4" x14ac:dyDescent="0.3">
      <c r="A12">
        <v>168</v>
      </c>
      <c r="B12">
        <v>68367</v>
      </c>
      <c r="C12">
        <v>2365.6</v>
      </c>
      <c r="D12">
        <v>10.1</v>
      </c>
    </row>
    <row r="13" spans="1:4" x14ac:dyDescent="0.3">
      <c r="A13">
        <v>158.49</v>
      </c>
      <c r="B13">
        <v>54124</v>
      </c>
      <c r="C13">
        <v>1493</v>
      </c>
      <c r="D13">
        <v>10.199999999999999</v>
      </c>
    </row>
    <row r="14" spans="1:4" x14ac:dyDescent="0.3">
      <c r="A14">
        <v>157.63999999999999</v>
      </c>
      <c r="B14">
        <v>65880</v>
      </c>
      <c r="C14">
        <v>2419.6999999999998</v>
      </c>
      <c r="D14">
        <v>9.9</v>
      </c>
    </row>
    <row r="15" spans="1:4" x14ac:dyDescent="0.3">
      <c r="A15">
        <v>162.71</v>
      </c>
      <c r="B15">
        <v>33678</v>
      </c>
      <c r="C15">
        <v>1788.2</v>
      </c>
      <c r="D15">
        <v>12.1</v>
      </c>
    </row>
    <row r="16" spans="1:4" x14ac:dyDescent="0.3">
      <c r="A16">
        <v>136.87</v>
      </c>
      <c r="B16">
        <v>63916</v>
      </c>
      <c r="C16">
        <v>2331.5</v>
      </c>
      <c r="D16">
        <v>9.9</v>
      </c>
    </row>
    <row r="17" spans="1:4" x14ac:dyDescent="0.3">
      <c r="A17">
        <v>158.33000000000001</v>
      </c>
      <c r="B17">
        <v>39403</v>
      </c>
      <c r="C17">
        <v>995.5</v>
      </c>
      <c r="D17">
        <v>13.3</v>
      </c>
    </row>
    <row r="18" spans="1:4" x14ac:dyDescent="0.3">
      <c r="A18">
        <v>161.22</v>
      </c>
      <c r="B18">
        <v>78177</v>
      </c>
      <c r="C18">
        <v>3187.6</v>
      </c>
      <c r="D18">
        <v>10.8</v>
      </c>
    </row>
    <row r="19" spans="1:4" x14ac:dyDescent="0.3">
      <c r="A19">
        <v>149.51</v>
      </c>
      <c r="B19">
        <v>56019</v>
      </c>
      <c r="C19">
        <v>2585.5</v>
      </c>
      <c r="D19">
        <v>9.5</v>
      </c>
    </row>
    <row r="20" spans="1:4" x14ac:dyDescent="0.3">
      <c r="A20">
        <v>164.63</v>
      </c>
      <c r="B20">
        <v>60042</v>
      </c>
      <c r="C20">
        <v>2419.6999999999998</v>
      </c>
      <c r="D20">
        <v>13.3</v>
      </c>
    </row>
    <row r="21" spans="1:4" x14ac:dyDescent="0.3">
      <c r="A21">
        <v>148.74</v>
      </c>
      <c r="B21">
        <v>57211</v>
      </c>
      <c r="C21">
        <v>2474.6999999999998</v>
      </c>
      <c r="D21">
        <v>8.9</v>
      </c>
    </row>
    <row r="22" spans="1:4" x14ac:dyDescent="0.3">
      <c r="A22">
        <v>158.29</v>
      </c>
      <c r="B22">
        <v>45318</v>
      </c>
      <c r="C22">
        <v>1902.4</v>
      </c>
      <c r="D22">
        <v>10.4</v>
      </c>
    </row>
    <row r="23" spans="1:4" x14ac:dyDescent="0.3">
      <c r="A23">
        <v>171.34</v>
      </c>
      <c r="B23">
        <v>59679</v>
      </c>
      <c r="C23">
        <v>2848</v>
      </c>
      <c r="D23">
        <v>12.5</v>
      </c>
    </row>
    <row r="24" spans="1:4" x14ac:dyDescent="0.3">
      <c r="A24">
        <v>145.06</v>
      </c>
      <c r="B24">
        <v>126187</v>
      </c>
      <c r="C24">
        <v>3003.8</v>
      </c>
      <c r="D24">
        <v>7.3</v>
      </c>
    </row>
    <row r="25" spans="1:4" x14ac:dyDescent="0.3">
      <c r="A25">
        <v>145.18</v>
      </c>
      <c r="B25">
        <v>45594</v>
      </c>
      <c r="C25">
        <v>1591.6</v>
      </c>
      <c r="D25">
        <v>11</v>
      </c>
    </row>
    <row r="26" spans="1:4" x14ac:dyDescent="0.3">
      <c r="A26">
        <v>176.78</v>
      </c>
      <c r="B26">
        <v>58357</v>
      </c>
      <c r="C26">
        <v>2234.6</v>
      </c>
      <c r="D26">
        <v>12.1</v>
      </c>
    </row>
    <row r="27" spans="1:4" x14ac:dyDescent="0.3">
      <c r="A27">
        <v>165.44</v>
      </c>
      <c r="B27">
        <v>48751</v>
      </c>
      <c r="C27">
        <v>2123.6</v>
      </c>
      <c r="D27">
        <v>11.9</v>
      </c>
    </row>
    <row r="28" spans="1:4" x14ac:dyDescent="0.3">
      <c r="A28">
        <v>172.52</v>
      </c>
      <c r="B28">
        <v>71957</v>
      </c>
      <c r="C28">
        <v>2615</v>
      </c>
      <c r="D28">
        <v>13.5</v>
      </c>
    </row>
    <row r="29" spans="1:4" x14ac:dyDescent="0.3">
      <c r="A29">
        <v>135.15</v>
      </c>
      <c r="B29">
        <v>69778</v>
      </c>
      <c r="C29">
        <v>2013</v>
      </c>
      <c r="D29">
        <v>7.9</v>
      </c>
    </row>
    <row r="30" spans="1:4" x14ac:dyDescent="0.3">
      <c r="A30">
        <v>142.86000000000001</v>
      </c>
      <c r="B30">
        <v>65781</v>
      </c>
      <c r="C30">
        <v>1174</v>
      </c>
      <c r="D30">
        <v>8</v>
      </c>
    </row>
    <row r="31" spans="1:4" x14ac:dyDescent="0.3">
      <c r="A31">
        <v>149.69999999999999</v>
      </c>
      <c r="B31">
        <v>93547</v>
      </c>
      <c r="C31">
        <v>1157.7</v>
      </c>
      <c r="D31">
        <v>9.1</v>
      </c>
    </row>
    <row r="32" spans="1:4" x14ac:dyDescent="0.3">
      <c r="A32">
        <v>166.9</v>
      </c>
      <c r="B32">
        <v>54321</v>
      </c>
      <c r="C32">
        <v>2160.9</v>
      </c>
      <c r="D32">
        <v>12.2</v>
      </c>
    </row>
    <row r="33" spans="1:4" x14ac:dyDescent="0.3">
      <c r="A33">
        <v>143.97</v>
      </c>
      <c r="B33">
        <v>61356</v>
      </c>
      <c r="C33">
        <v>1700.9</v>
      </c>
      <c r="D33">
        <v>13.6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FCAF-9CDF-402A-B718-45913597C21F}">
  <dimension ref="A1:A17"/>
  <sheetViews>
    <sheetView workbookViewId="0"/>
  </sheetViews>
  <sheetFormatPr defaultRowHeight="14.4" x14ac:dyDescent="0.3"/>
  <sheetData>
    <row r="1" spans="1:1" x14ac:dyDescent="0.3">
      <c r="A1" t="s">
        <v>49</v>
      </c>
    </row>
    <row r="2" spans="1:1" x14ac:dyDescent="0.3">
      <c r="A2" t="s">
        <v>50</v>
      </c>
    </row>
    <row r="3" spans="1:1" x14ac:dyDescent="0.3">
      <c r="A3" t="s">
        <v>57</v>
      </c>
    </row>
    <row r="4" spans="1:1" x14ac:dyDescent="0.3">
      <c r="A4" t="s">
        <v>58</v>
      </c>
    </row>
    <row r="6" spans="1:1" x14ac:dyDescent="0.3">
      <c r="A6" t="s">
        <v>51</v>
      </c>
    </row>
    <row r="7" spans="1:1" x14ac:dyDescent="0.3">
      <c r="A7" t="s">
        <v>52</v>
      </c>
    </row>
    <row r="8" spans="1:1" x14ac:dyDescent="0.3">
      <c r="A8" t="s">
        <v>59</v>
      </c>
    </row>
    <row r="10" spans="1:1" x14ac:dyDescent="0.3">
      <c r="A10" t="s">
        <v>53</v>
      </c>
    </row>
    <row r="11" spans="1:1" x14ac:dyDescent="0.3">
      <c r="A11" t="s">
        <v>54</v>
      </c>
    </row>
    <row r="12" spans="1:1" x14ac:dyDescent="0.3">
      <c r="A12" t="s">
        <v>60</v>
      </c>
    </row>
    <row r="15" spans="1:1" x14ac:dyDescent="0.3">
      <c r="A15" t="s">
        <v>55</v>
      </c>
    </row>
    <row r="16" spans="1:1" x14ac:dyDescent="0.3">
      <c r="A16" t="s">
        <v>56</v>
      </c>
    </row>
    <row r="17" spans="1:1" x14ac:dyDescent="0.3">
      <c r="A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STEP I</vt:lpstr>
      <vt:lpstr>STEP II SUMMARY STATS_BOXPLOTS</vt:lpstr>
      <vt:lpstr>STEP III CORRELATIONS</vt:lpstr>
      <vt:lpstr>CORRELATION NUMBERS</vt:lpstr>
      <vt:lpstr>STEP IV GENERAL MODEL</vt:lpstr>
      <vt:lpstr>STEP V SECOND MODEL</vt:lpstr>
      <vt:lpstr>Topic 1-USA Crime Rates</vt:lpstr>
      <vt:lpstr>Other Potential Variables</vt:lpstr>
      <vt:lpstr>Link to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Addison</dc:creator>
  <cp:lastModifiedBy>Mark Addison</cp:lastModifiedBy>
  <dcterms:created xsi:type="dcterms:W3CDTF">2023-10-19T19:39:26Z</dcterms:created>
  <dcterms:modified xsi:type="dcterms:W3CDTF">2023-12-16T01:53:54Z</dcterms:modified>
</cp:coreProperties>
</file>