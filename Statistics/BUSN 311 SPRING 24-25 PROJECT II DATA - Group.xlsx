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https://d.docs.live.net/00A911638B29A820/Documents/3rd College Year 2024-25/Spring 2025 Semester/BUSN-311 - Applied Business Stats/"/>
    </mc:Choice>
  </mc:AlternateContent>
  <xr:revisionPtr revIDLastSave="893" documentId="8_{B3E225B5-5974-4024-A914-AB151BC39A58}" xr6:coauthVersionLast="47" xr6:coauthVersionMax="47" xr10:uidLastSave="{5D34B10B-4B77-49C6-B0E2-D8F0663A128B}"/>
  <bookViews>
    <workbookView xWindow="-120" yWindow="-120" windowWidth="29040" windowHeight="15720" xr2:uid="{00000000-000D-0000-FFFF-FFFF00000000}"/>
  </bookViews>
  <sheets>
    <sheet name="PROJECT 2 PROBLEM DATA" sheetId="1" r:id="rId1"/>
    <sheet name="PROJ 2 PROB A" sheetId="5" r:id="rId2"/>
    <sheet name="PROJ 2 PROB B_C_D" sheetId="15" r:id="rId3"/>
    <sheet name="PROJ 2 PROB E" sheetId="6" r:id="rId4"/>
    <sheet name="PROJ 2 PROB F" sheetId="7" r:id="rId5"/>
    <sheet name="PROJ 2 PROB G" sheetId="10" r:id="rId6"/>
    <sheet name="PROJ 2 PROB H" sheetId="8" r:id="rId7"/>
    <sheet name="PROJ 2 PROB I_J BEST MODEL" sheetId="9" r:id="rId8"/>
    <sheet name="PROJ 2 PROB K" sheetId="12" r:id="rId9"/>
    <sheet name="PROJ 2 PROB L" sheetId="13" r:id="rId10"/>
  </sheets>
  <calcPr calcId="191029"/>
  <pivotCaches>
    <pivotCache cacheId="0"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37" i="13" l="1"/>
  <c r="V35" i="13"/>
  <c r="U35" i="13"/>
  <c r="E119" i="13"/>
  <c r="G119" i="13"/>
  <c r="G30" i="13"/>
  <c r="G31" i="13"/>
  <c r="G32" i="13"/>
  <c r="G33" i="13"/>
  <c r="G34" i="13"/>
  <c r="G35" i="13"/>
  <c r="G36" i="13"/>
  <c r="G37" i="13"/>
  <c r="G38" i="13"/>
  <c r="G39" i="13"/>
  <c r="G40" i="13"/>
  <c r="G41" i="13"/>
  <c r="G42" i="13"/>
  <c r="G43" i="13"/>
  <c r="G44" i="13"/>
  <c r="G45" i="13"/>
  <c r="G46" i="13"/>
  <c r="G47" i="13"/>
  <c r="G48" i="13"/>
  <c r="G49" i="13"/>
  <c r="G50" i="13"/>
  <c r="G51" i="13"/>
  <c r="G52" i="13"/>
  <c r="G53" i="13"/>
  <c r="G54" i="13"/>
  <c r="G55" i="13"/>
  <c r="G56" i="13"/>
  <c r="G57" i="13"/>
  <c r="G58" i="13"/>
  <c r="G59" i="13"/>
  <c r="G60" i="13"/>
  <c r="G61" i="13"/>
  <c r="G62" i="13"/>
  <c r="G63" i="13"/>
  <c r="G64" i="13"/>
  <c r="G65" i="13"/>
  <c r="G66" i="13"/>
  <c r="G67" i="13"/>
  <c r="G68" i="13"/>
  <c r="G69" i="13"/>
  <c r="G70" i="13"/>
  <c r="G71" i="13"/>
  <c r="G72" i="13"/>
  <c r="G73" i="13"/>
  <c r="G74" i="13"/>
  <c r="G75" i="13"/>
  <c r="G76" i="13"/>
  <c r="G77" i="13"/>
  <c r="G78" i="13"/>
  <c r="G79" i="13"/>
  <c r="G80" i="13"/>
  <c r="G81" i="13"/>
  <c r="G82" i="13"/>
  <c r="G83" i="13"/>
  <c r="G84" i="13"/>
  <c r="G85" i="13"/>
  <c r="G86" i="13"/>
  <c r="G87" i="13"/>
  <c r="G88" i="13"/>
  <c r="G89" i="13"/>
  <c r="G90" i="13"/>
  <c r="G91" i="13"/>
  <c r="G92" i="13"/>
  <c r="G93" i="13"/>
  <c r="G94" i="13"/>
  <c r="G95" i="13"/>
  <c r="G96" i="13"/>
  <c r="G97" i="13"/>
  <c r="G98" i="13"/>
  <c r="G99" i="13"/>
  <c r="G100" i="13"/>
  <c r="G101" i="13"/>
  <c r="G102" i="13"/>
  <c r="G103" i="13"/>
  <c r="G104" i="13"/>
  <c r="G105" i="13"/>
  <c r="G106" i="13"/>
  <c r="G107" i="13"/>
  <c r="G108" i="13"/>
  <c r="G109" i="13"/>
  <c r="G110" i="13"/>
  <c r="G111" i="13"/>
  <c r="G112" i="13"/>
  <c r="G113" i="13"/>
  <c r="G114" i="13"/>
  <c r="G115" i="13"/>
  <c r="G116" i="13"/>
  <c r="G117" i="13"/>
  <c r="G29" i="13"/>
  <c r="F30" i="13"/>
  <c r="F31" i="13"/>
  <c r="F32" i="13"/>
  <c r="F33" i="13"/>
  <c r="F34" i="13"/>
  <c r="F35" i="13"/>
  <c r="F36" i="13"/>
  <c r="F37" i="13"/>
  <c r="F38" i="13"/>
  <c r="F39" i="13"/>
  <c r="F40" i="13"/>
  <c r="F41" i="13"/>
  <c r="F42" i="13"/>
  <c r="F43" i="13"/>
  <c r="F44" i="13"/>
  <c r="F45" i="13"/>
  <c r="F46" i="13"/>
  <c r="F47" i="13"/>
  <c r="F48" i="13"/>
  <c r="F49" i="13"/>
  <c r="F50" i="13"/>
  <c r="F51" i="13"/>
  <c r="F52" i="13"/>
  <c r="F53" i="13"/>
  <c r="F54" i="13"/>
  <c r="F55" i="13"/>
  <c r="F56" i="13"/>
  <c r="F57" i="13"/>
  <c r="F58" i="13"/>
  <c r="F59" i="13"/>
  <c r="F60" i="13"/>
  <c r="F61" i="13"/>
  <c r="F62" i="13"/>
  <c r="F63" i="13"/>
  <c r="F64" i="13"/>
  <c r="F65" i="13"/>
  <c r="F66" i="13"/>
  <c r="F67" i="13"/>
  <c r="F68" i="13"/>
  <c r="F69" i="13"/>
  <c r="F70" i="13"/>
  <c r="F71" i="13"/>
  <c r="F72" i="13"/>
  <c r="F73" i="13"/>
  <c r="F74" i="13"/>
  <c r="F75" i="13"/>
  <c r="F76" i="13"/>
  <c r="F77" i="13"/>
  <c r="F78" i="13"/>
  <c r="F79" i="13"/>
  <c r="F80" i="13"/>
  <c r="F81" i="13"/>
  <c r="F82" i="13"/>
  <c r="F83" i="13"/>
  <c r="F84" i="13"/>
  <c r="F85" i="13"/>
  <c r="F86" i="13"/>
  <c r="F87" i="13"/>
  <c r="F88" i="13"/>
  <c r="F89" i="13"/>
  <c r="F90" i="13"/>
  <c r="F91" i="13"/>
  <c r="F92" i="13"/>
  <c r="F93" i="13"/>
  <c r="F94" i="13"/>
  <c r="F95" i="13"/>
  <c r="F96" i="13"/>
  <c r="F97" i="13"/>
  <c r="F98" i="13"/>
  <c r="F99" i="13"/>
  <c r="F100" i="13"/>
  <c r="F101" i="13"/>
  <c r="F102" i="13"/>
  <c r="F103" i="13"/>
  <c r="F104" i="13"/>
  <c r="F105" i="13"/>
  <c r="F106" i="13"/>
  <c r="F107" i="13"/>
  <c r="F108" i="13"/>
  <c r="F109" i="13"/>
  <c r="F110" i="13"/>
  <c r="F111" i="13"/>
  <c r="F112" i="13"/>
  <c r="F113" i="13"/>
  <c r="F114" i="13"/>
  <c r="F115" i="13"/>
  <c r="F116" i="13"/>
  <c r="F117" i="13"/>
  <c r="F29" i="13"/>
  <c r="J54" i="13"/>
  <c r="J57" i="13" s="1"/>
  <c r="J52" i="13"/>
  <c r="J51" i="13"/>
  <c r="I57" i="13" l="1"/>
  <c r="E30" i="13" l="1"/>
  <c r="E31" i="13"/>
  <c r="E32" i="13"/>
  <c r="E33" i="13"/>
  <c r="E34" i="13"/>
  <c r="E35" i="13"/>
  <c r="E36" i="13"/>
  <c r="E37" i="13"/>
  <c r="E38" i="13"/>
  <c r="E39" i="13"/>
  <c r="E40" i="13"/>
  <c r="E41" i="13"/>
  <c r="E42" i="13"/>
  <c r="E43" i="13"/>
  <c r="E44" i="13"/>
  <c r="E45" i="13"/>
  <c r="E46" i="13"/>
  <c r="E47" i="13"/>
  <c r="E48" i="13"/>
  <c r="E49" i="13"/>
  <c r="E50" i="13"/>
  <c r="E51" i="13"/>
  <c r="E52" i="13"/>
  <c r="E53" i="13"/>
  <c r="E54" i="13"/>
  <c r="E55" i="13"/>
  <c r="E56" i="13"/>
  <c r="E57" i="13"/>
  <c r="E58" i="13"/>
  <c r="E59" i="13"/>
  <c r="E60" i="13"/>
  <c r="E61" i="13"/>
  <c r="E62" i="13"/>
  <c r="E63" i="13"/>
  <c r="E64" i="13"/>
  <c r="E65" i="13"/>
  <c r="E66" i="13"/>
  <c r="E67" i="13"/>
  <c r="E68" i="13"/>
  <c r="E69" i="13"/>
  <c r="E70" i="13"/>
  <c r="E71" i="13"/>
  <c r="E72" i="13"/>
  <c r="E73" i="13"/>
  <c r="E74" i="13"/>
  <c r="E75" i="13"/>
  <c r="E76" i="13"/>
  <c r="E77" i="13"/>
  <c r="E78" i="13"/>
  <c r="E79" i="13"/>
  <c r="E80" i="13"/>
  <c r="E81" i="13"/>
  <c r="E82" i="13"/>
  <c r="E83" i="13"/>
  <c r="E84" i="13"/>
  <c r="E85" i="13"/>
  <c r="E86" i="13"/>
  <c r="E87" i="13"/>
  <c r="E88" i="13"/>
  <c r="E89" i="13"/>
  <c r="E90" i="13"/>
  <c r="E91" i="13"/>
  <c r="E92" i="13"/>
  <c r="E93" i="13"/>
  <c r="E94" i="13"/>
  <c r="E95" i="13"/>
  <c r="E96" i="13"/>
  <c r="E97" i="13"/>
  <c r="E98" i="13"/>
  <c r="E99" i="13"/>
  <c r="E100" i="13"/>
  <c r="E101" i="13"/>
  <c r="E102" i="13"/>
  <c r="E103" i="13"/>
  <c r="E104" i="13"/>
  <c r="E105" i="13"/>
  <c r="E106" i="13"/>
  <c r="E107" i="13"/>
  <c r="E108" i="13"/>
  <c r="E109" i="13"/>
  <c r="E110" i="13"/>
  <c r="E111" i="13"/>
  <c r="E112" i="13"/>
  <c r="E113" i="13"/>
  <c r="E114" i="13"/>
  <c r="E115" i="13"/>
  <c r="E116" i="13"/>
  <c r="E117" i="13"/>
  <c r="E118" i="13"/>
  <c r="E29" i="13"/>
  <c r="K78" i="9"/>
  <c r="K77" i="9"/>
  <c r="K80" i="9"/>
  <c r="K35" i="9"/>
  <c r="K49" i="9"/>
  <c r="K63" i="9"/>
  <c r="K61" i="9"/>
  <c r="K60" i="9"/>
  <c r="J63" i="9"/>
  <c r="J49" i="9"/>
  <c r="J35" i="9"/>
  <c r="K47" i="9"/>
  <c r="K46" i="9"/>
  <c r="J80" i="9" l="1"/>
  <c r="K33" i="9" l="1"/>
  <c r="K32" i="9"/>
  <c r="K10" i="9"/>
  <c r="K9" i="9"/>
  <c r="F33" i="5"/>
  <c r="E33" i="5"/>
  <c r="H22" i="5"/>
  <c r="H21" i="5"/>
  <c r="H17" i="5"/>
  <c r="H18" i="5"/>
  <c r="H19" i="5"/>
  <c r="H20" i="5"/>
  <c r="H16" i="5"/>
  <c r="G21" i="5"/>
  <c r="G17" i="5"/>
  <c r="G18" i="5"/>
  <c r="G19" i="5"/>
  <c r="G20" i="5"/>
  <c r="G16" i="5"/>
  <c r="F21" i="5"/>
</calcChain>
</file>

<file path=xl/sharedStrings.xml><?xml version="1.0" encoding="utf-8"?>
<sst xmlns="http://schemas.openxmlformats.org/spreadsheetml/2006/main" count="403" uniqueCount="126">
  <si>
    <t>OBS</t>
  </si>
  <si>
    <t>Willingness to Export</t>
  </si>
  <si>
    <t>Interest in Gov assistance</t>
  </si>
  <si>
    <r>
      <t>X</t>
    </r>
    <r>
      <rPr>
        <b/>
        <vertAlign val="subscript"/>
        <sz val="10"/>
        <color theme="1"/>
        <rFont val="Times New Roman"/>
        <family val="1"/>
      </rPr>
      <t>1</t>
    </r>
    <r>
      <rPr>
        <b/>
        <sz val="10"/>
        <color theme="1"/>
        <rFont val="Times New Roman"/>
        <family val="1"/>
      </rPr>
      <t>=Employee size</t>
    </r>
  </si>
  <si>
    <r>
      <t>X</t>
    </r>
    <r>
      <rPr>
        <b/>
        <vertAlign val="subscript"/>
        <sz val="10"/>
        <color theme="1"/>
        <rFont val="Times New Roman"/>
        <family val="1"/>
      </rPr>
      <t>2</t>
    </r>
    <r>
      <rPr>
        <b/>
        <sz val="10"/>
        <color theme="1"/>
        <rFont val="Times New Roman"/>
        <family val="1"/>
      </rPr>
      <t xml:space="preserve">=Firm revenue </t>
    </r>
  </si>
  <si>
    <r>
      <t>X</t>
    </r>
    <r>
      <rPr>
        <b/>
        <vertAlign val="subscript"/>
        <sz val="10"/>
        <color theme="1"/>
        <rFont val="Times New Roman"/>
        <family val="1"/>
      </rPr>
      <t>3</t>
    </r>
    <r>
      <rPr>
        <b/>
        <sz val="10"/>
        <color theme="1"/>
        <rFont val="Times New Roman"/>
        <family val="1"/>
      </rPr>
      <t>= Years of operation in the domestic market.</t>
    </r>
  </si>
  <si>
    <r>
      <t>X</t>
    </r>
    <r>
      <rPr>
        <b/>
        <vertAlign val="subscript"/>
        <sz val="10"/>
        <color theme="1"/>
        <rFont val="Times New Roman"/>
        <family val="1"/>
      </rPr>
      <t>4</t>
    </r>
    <r>
      <rPr>
        <b/>
        <sz val="10"/>
        <color theme="1"/>
        <rFont val="Times New Roman"/>
        <family val="1"/>
      </rPr>
      <t>=Number of products currently produced by the firm</t>
    </r>
  </si>
  <si>
    <r>
      <t>X</t>
    </r>
    <r>
      <rPr>
        <b/>
        <vertAlign val="subscript"/>
        <sz val="10"/>
        <color theme="1"/>
        <rFont val="Times New Roman"/>
        <family val="1"/>
      </rPr>
      <t>5</t>
    </r>
    <r>
      <rPr>
        <b/>
        <sz val="10"/>
        <color theme="1"/>
        <rFont val="Times New Roman"/>
        <family val="1"/>
      </rPr>
      <t>=Employee training 0 if no training program and 1 if there is a formal training program.</t>
    </r>
  </si>
  <si>
    <r>
      <t>X</t>
    </r>
    <r>
      <rPr>
        <b/>
        <vertAlign val="subscript"/>
        <sz val="10"/>
        <color theme="1"/>
        <rFont val="Times New Roman"/>
        <family val="1"/>
      </rPr>
      <t>6</t>
    </r>
    <r>
      <rPr>
        <b/>
        <sz val="10"/>
        <color theme="1"/>
        <rFont val="Times New Roman"/>
        <family val="1"/>
      </rPr>
      <t>=Management experience in international program 0 if no experience in upper management and 1 if there is some, even rudimentary, experience in upper management.</t>
    </r>
  </si>
  <si>
    <t>Names of group members</t>
  </si>
  <si>
    <t>PROJECT 2</t>
  </si>
  <si>
    <t>STEP NUMBER</t>
  </si>
  <si>
    <t>Row Labels</t>
  </si>
  <si>
    <t>Grand Total</t>
  </si>
  <si>
    <t>Count of Interest in Gov assistance</t>
  </si>
  <si>
    <t>Expected Prob</t>
  </si>
  <si>
    <t>Expected Freq</t>
  </si>
  <si>
    <t>Test Stat</t>
  </si>
  <si>
    <t>p-value</t>
  </si>
  <si>
    <t>Test Hypothesis at both Alpha 1% and 5%</t>
  </si>
  <si>
    <t>Ho: P(1) = 0.2, P(2) = 0.2, P(3) = 0.2, P(4) = 0.2, P(5) = 0.2</t>
  </si>
  <si>
    <t>Ha: The distribution has chnaged</t>
  </si>
  <si>
    <t>DR: Reject Ho if the alpha &gt; p-value</t>
  </si>
  <si>
    <t>TS: 8.77778</t>
  </si>
  <si>
    <t>p-value = 0.0669</t>
  </si>
  <si>
    <t>alpha = 1%</t>
  </si>
  <si>
    <t>Do not Reject Ho: At both 1% and 5%, we have evidence that the distriution is equal</t>
  </si>
  <si>
    <t>X1=Employee size</t>
  </si>
  <si>
    <t xml:space="preserve">X2=Firm revenue </t>
  </si>
  <si>
    <t>X3= Years of operation in the domestic market.</t>
  </si>
  <si>
    <t>X4=Number of products currently produced by the firm</t>
  </si>
  <si>
    <t>Based on the correlation,  X1,  X2,  X3,  and X4 are not significanty correlated to Y since each correlation value is &lt; 0.04.</t>
  </si>
  <si>
    <t>Based on the correlation, Interest in Gov assistance is significantly correlated to Y since the correlation value of 0.568 is greater than 0.04</t>
  </si>
  <si>
    <t>d)</t>
  </si>
  <si>
    <t>c)</t>
  </si>
  <si>
    <t>Based on the correlation, none of the independent variables are multicollinear since their correlation values are &lt; 0.7</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</si>
  <si>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</si>
  <si>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</si>
  <si>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</si>
  <si>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</si>
  <si>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</si>
  <si>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</si>
  <si>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</si>
  <si>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</si>
  <si>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</si>
  <si>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</si>
  <si>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</si>
  <si>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</si>
  <si>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</si>
  <si>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</si>
  <si>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</si>
  <si>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</si>
  <si>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</si>
  <si>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</si>
  <si>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</si>
  <si>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</si>
  <si>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</si>
  <si>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</si>
  <si>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</si>
  <si>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</si>
  <si>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RESIDUAL OUTPUT</t>
  </si>
  <si>
    <t>Observation</t>
  </si>
  <si>
    <t>Predicted Willingness to Export</t>
  </si>
  <si>
    <t>Residuals</t>
  </si>
  <si>
    <t>X5=Employee training 0 if no training program and 1 if there is a formal training program.</t>
  </si>
  <si>
    <t>X6=Management experience in international program 0 if no experience in upper management and 1 if there is some, even rudimentary, experience in upper management.</t>
  </si>
  <si>
    <t>Part E</t>
  </si>
  <si>
    <t>Part F</t>
  </si>
  <si>
    <t>Part G</t>
  </si>
  <si>
    <t>Chisq test of goodness of fit</t>
  </si>
  <si>
    <t>Conclusion: Part G is the best model because the adjusted R^2 of 0.315 is higher than the other models and the standard error of 0.9987 is lower than the other models.</t>
  </si>
  <si>
    <t>Testing the Significance of the Model</t>
  </si>
  <si>
    <t>Ho: The model is insignificant</t>
  </si>
  <si>
    <t>Ha: At least one of the variables affects willingness to export</t>
  </si>
  <si>
    <t>DR: Reject Ho if alpha &gt; p-value</t>
  </si>
  <si>
    <t xml:space="preserve">TS: </t>
  </si>
  <si>
    <t>F stat</t>
  </si>
  <si>
    <t>Testing Individual Factors</t>
  </si>
  <si>
    <t>Ho: Beta = 0</t>
  </si>
  <si>
    <t>Ha: Beta &gt; 0</t>
  </si>
  <si>
    <t>DR: Reject Ho is alpha &gt; p-value</t>
  </si>
  <si>
    <t>X2= Firm Revenue</t>
  </si>
  <si>
    <t>TS: t-stat</t>
  </si>
  <si>
    <t>Reject Ho: We have evidence that the Firm Revenue is significant</t>
  </si>
  <si>
    <t>X3= Employee training</t>
  </si>
  <si>
    <t>Ha: Beta &lt; 0</t>
  </si>
  <si>
    <t>Reject Ho: We have evidence that Employee training is significant</t>
  </si>
  <si>
    <t>At alpha 1% we do not reject Ho, as we have evidence that management experience in international program is insignificant</t>
  </si>
  <si>
    <t>At alpha 5%, we Reject Ho: We have evidence that manegement experience in international program is significant</t>
  </si>
  <si>
    <t>At both alpha 1% and 5%, we do not reject Ho as we have evidence that years of operation in domestic market is insignificant</t>
  </si>
  <si>
    <t>X3= Years of operation in the domestic market</t>
  </si>
  <si>
    <t>X5= Management experience in international program</t>
  </si>
  <si>
    <t>Residuals (e)</t>
  </si>
  <si>
    <t>RSSQ = e^2</t>
  </si>
  <si>
    <t>Test of Heteroskedasticity</t>
  </si>
  <si>
    <t>Ho: No evidence of Heteroskedasticity</t>
  </si>
  <si>
    <t>Ha: V(e) depends on Yhat == Heteroskedasticity</t>
  </si>
  <si>
    <t>DR: Reject Ho if the TS &gt; CHISQ(1 df)</t>
  </si>
  <si>
    <t>Critical Value</t>
  </si>
  <si>
    <t>Alpha 1%</t>
  </si>
  <si>
    <t>Alpha 5%</t>
  </si>
  <si>
    <t>TS: CHISQ = n*regr</t>
  </si>
  <si>
    <t>Do not Reject Ho: At both 1% and 5%, We have evidence that there is no heteroskedasticity</t>
  </si>
  <si>
    <t>e(t+1)</t>
  </si>
  <si>
    <t>(e(t+1)-(e(t))^2</t>
  </si>
  <si>
    <t>Numerator of d</t>
  </si>
  <si>
    <t>Denominator of d</t>
  </si>
  <si>
    <t>Test of Autocorrelation</t>
  </si>
  <si>
    <t>Ho: There is no evidence of autocorrelation</t>
  </si>
  <si>
    <t>Ha: Error terms today are related to error terms tomorrow</t>
  </si>
  <si>
    <t>DR: Durbin Watson Test (d)</t>
  </si>
  <si>
    <t>n= 90</t>
  </si>
  <si>
    <t>k=4</t>
  </si>
  <si>
    <t>dl</t>
  </si>
  <si>
    <t>du</t>
  </si>
  <si>
    <t>4-du</t>
  </si>
  <si>
    <t>4-dl</t>
  </si>
  <si>
    <t>TS: d=</t>
  </si>
  <si>
    <t>Do not reject Ho: We have no evidence of first order autocorrelation</t>
  </si>
  <si>
    <t>Reject Ho: p-value is much smaller than any alpha we use.</t>
  </si>
  <si>
    <t>Reject Ho: We have evidence that at least one of the variables affects willingness</t>
  </si>
  <si>
    <t>Comment: Based on the distribution of the data, it looks like there is an inherent pattern. Because there is an inherent pattern in the data, there could be the presence of negative autocorrelation. The inherent pattern looks like zig zags across the zero line, which is an indication of negative autocorrelation. Since this is an just an oberservation without any testing, there will need to be a hypothesis test for first order autocorrelation.</t>
  </si>
  <si>
    <t>Brock Obmascik</t>
  </si>
  <si>
    <t>Ronish Sangachhe</t>
  </si>
  <si>
    <t>Basil Chattha</t>
  </si>
  <si>
    <t>Mark Addison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</si>
</sst>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0"/>
      <color theme="1"/>
      <name val="Times New Roman"/>
      <family val="1"/>
    </font>
    <font>
      <b/>
      <vertAlign val="subscript"/>
      <sz val="10"/>
      <color theme="1"/>
      <name val="Times New Roman"/>
      <family val="1"/>
    </font>
    <font>
      <sz val="10"/>
      <color theme="1"/>
      <name val="Times New Roman"/>
      <family val="1"/>
    </font>
    <font>
      <i/>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00B0F0"/>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bottom style="thin">
        <color indexed="64"/>
      </bottom>
      <diagonal/>
    </border>
    <border>
      <left/>
      <right/>
      <top/>
      <bottom style="medium">
        <color indexed="64"/>
      </bottom>
      <diagonal/>
    </border>
    <border>
      <left/>
      <right/>
      <top style="medium">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medium">
        <color indexed="64"/>
      </top>
      <bottom style="thin">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right style="thin">
        <color indexed="64"/>
      </right>
      <top/>
      <bottom style="medium">
        <color indexed="64"/>
      </bottom>
      <diagonal/>
    </border>
  </borders>
  <cellStyleXfs count="1">
    <xf numFmtId="0" fontId="0" fillId="0" borderId="0"/>
  </cellStyleXfs>
  <cellXfs count="67">
    <xf numFmtId="0" fontId="0" fillId="0" borderId="0" xfId="0"/>
    <xf numFmtId="0" fontId="0" fillId="0" borderId="0" xfId="0" applyAlignment="1">
      <alignment wrapText="1"/>
    </xf>
    <xf numFmtId="0" fontId="1" fillId="2" borderId="1" xfId="0" applyFont="1" applyFill="1" applyBorder="1" applyAlignment="1">
      <alignment vertical="center" wrapText="1"/>
    </xf>
    <xf numFmtId="0" fontId="2" fillId="2" borderId="1" xfId="0" applyFont="1" applyFill="1" applyBorder="1" applyAlignment="1">
      <alignment vertical="center" wrapText="1"/>
    </xf>
    <xf numFmtId="0" fontId="0" fillId="0" borderId="1" xfId="0" applyBorder="1"/>
    <xf numFmtId="0" fontId="4" fillId="0" borderId="1" xfId="0" applyFont="1" applyBorder="1" applyAlignment="1">
      <alignment vertical="center"/>
    </xf>
    <xf numFmtId="0" fontId="1" fillId="0" borderId="1" xfId="0" applyFont="1" applyBorder="1"/>
    <xf numFmtId="0" fontId="0" fillId="0" borderId="2" xfId="0" applyBorder="1" applyAlignment="1">
      <alignment vertical="center"/>
    </xf>
    <xf numFmtId="0" fontId="0" fillId="0" borderId="3" xfId="0" applyBorder="1" applyAlignment="1">
      <alignment vertical="center"/>
    </xf>
    <xf numFmtId="0" fontId="0" fillId="0" borderId="3" xfId="0" applyBorder="1"/>
    <xf numFmtId="0" fontId="0" fillId="0" borderId="4" xfId="0" applyBorder="1"/>
    <xf numFmtId="0" fontId="1" fillId="0" borderId="5" xfId="0" applyFont="1" applyBorder="1"/>
    <xf numFmtId="0" fontId="0" fillId="0" borderId="6" xfId="0" applyBorder="1"/>
    <xf numFmtId="0" fontId="1" fillId="0" borderId="7" xfId="0" applyFont="1" applyBorder="1"/>
    <xf numFmtId="0" fontId="1" fillId="0" borderId="8" xfId="0" applyFont="1" applyBorder="1"/>
    <xf numFmtId="0" fontId="0" fillId="0" borderId="0" xfId="0" pivotButton="1"/>
    <xf numFmtId="0" fontId="0" fillId="0" borderId="0" xfId="0" applyAlignment="1">
      <alignment horizontal="left"/>
    </xf>
    <xf numFmtId="0" fontId="0" fillId="2" borderId="0" xfId="0" applyFill="1"/>
    <xf numFmtId="0" fontId="0" fillId="0" borderId="12" xfId="0" applyBorder="1"/>
    <xf numFmtId="0" fontId="0" fillId="0" borderId="13" xfId="0" applyBorder="1"/>
    <xf numFmtId="0" fontId="5" fillId="0" borderId="14" xfId="0" applyFont="1" applyBorder="1" applyAlignment="1">
      <alignment horizontal="center"/>
    </xf>
    <xf numFmtId="0" fontId="0" fillId="2" borderId="0" xfId="0" applyFill="1" applyAlignment="1">
      <alignment horizontal="right"/>
    </xf>
    <xf numFmtId="0" fontId="0" fillId="2" borderId="13" xfId="0" applyFill="1" applyBorder="1"/>
    <xf numFmtId="0" fontId="0" fillId="3" borderId="0" xfId="0" applyFill="1" applyAlignment="1">
      <alignment horizontal="right"/>
    </xf>
    <xf numFmtId="0" fontId="0" fillId="3" borderId="0" xfId="0" applyFill="1"/>
    <xf numFmtId="0" fontId="0" fillId="3" borderId="13" xfId="0" applyFill="1" applyBorder="1"/>
    <xf numFmtId="0" fontId="5" fillId="0" borderId="14" xfId="0" applyFont="1" applyBorder="1" applyAlignment="1">
      <alignment horizontal="centerContinuous"/>
    </xf>
    <xf numFmtId="0" fontId="5" fillId="0" borderId="0" xfId="0" applyFont="1" applyAlignment="1">
      <alignment horizontal="center"/>
    </xf>
    <xf numFmtId="0" fontId="2" fillId="0" borderId="0" xfId="0" applyFont="1" applyAlignment="1">
      <alignment vertical="center" wrapText="1"/>
    </xf>
    <xf numFmtId="0" fontId="4" fillId="0" borderId="0" xfId="0" applyFont="1" applyAlignment="1">
      <alignment vertical="center"/>
    </xf>
    <xf numFmtId="0" fontId="1" fillId="0" borderId="0" xfId="0" applyFont="1"/>
    <xf numFmtId="0" fontId="0" fillId="0" borderId="15" xfId="0" applyBorder="1"/>
    <xf numFmtId="0" fontId="0" fillId="0" borderId="16" xfId="0" applyBorder="1"/>
    <xf numFmtId="0" fontId="0" fillId="0" borderId="15" xfId="0" applyBorder="1" applyAlignment="1">
      <alignment horizontal="left"/>
    </xf>
    <xf numFmtId="0" fontId="0" fillId="0" borderId="17" xfId="0" applyBorder="1"/>
    <xf numFmtId="0" fontId="0" fillId="0" borderId="18" xfId="0" applyBorder="1"/>
    <xf numFmtId="0" fontId="5" fillId="2" borderId="14" xfId="0" applyFont="1" applyFill="1" applyBorder="1" applyAlignment="1">
      <alignment horizontal="center"/>
    </xf>
    <xf numFmtId="0" fontId="0" fillId="0" borderId="0" xfId="0" applyAlignment="1">
      <alignment vertical="top" wrapText="1"/>
    </xf>
    <xf numFmtId="0" fontId="5" fillId="0" borderId="25" xfId="0" applyFont="1" applyBorder="1" applyAlignment="1">
      <alignment horizontal="centerContinuous"/>
    </xf>
    <xf numFmtId="0" fontId="0" fillId="0" borderId="26" xfId="0" applyBorder="1"/>
    <xf numFmtId="0" fontId="5" fillId="0" borderId="25" xfId="0" applyFont="1" applyBorder="1" applyAlignment="1">
      <alignment horizontal="center"/>
    </xf>
    <xf numFmtId="0" fontId="5" fillId="0" borderId="27" xfId="0" applyFont="1" applyBorder="1" applyAlignment="1">
      <alignment horizontal="center"/>
    </xf>
    <xf numFmtId="0" fontId="0" fillId="0" borderId="28" xfId="0" applyBorder="1"/>
    <xf numFmtId="0" fontId="1" fillId="2" borderId="19" xfId="0" applyFont="1" applyFill="1" applyBorder="1"/>
    <xf numFmtId="0" fontId="1" fillId="2" borderId="20" xfId="0" applyFont="1" applyFill="1" applyBorder="1"/>
    <xf numFmtId="0" fontId="1" fillId="2" borderId="21" xfId="0" applyFont="1" applyFill="1" applyBorder="1"/>
    <xf numFmtId="0" fontId="0" fillId="0" borderId="3" xfId="0" applyBorder="1" applyAlignment="1">
      <alignment horizontal="left" wrapText="1"/>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2" borderId="19" xfId="0" applyFill="1" applyBorder="1" applyAlignment="1">
      <alignment horizontal="center"/>
    </xf>
    <xf numFmtId="0" fontId="0" fillId="2" borderId="20" xfId="0" applyFill="1" applyBorder="1" applyAlignment="1">
      <alignment horizontal="center"/>
    </xf>
    <xf numFmtId="0" fontId="0" fillId="2" borderId="21" xfId="0" applyFill="1" applyBorder="1" applyAlignment="1">
      <alignment horizontal="center"/>
    </xf>
    <xf numFmtId="0" fontId="0" fillId="0" borderId="15" xfId="0" applyBorder="1" applyAlignment="1">
      <alignment horizontal="left" wrapText="1"/>
    </xf>
    <xf numFmtId="0" fontId="0" fillId="0" borderId="0" xfId="0" applyAlignment="1">
      <alignment horizontal="left" wrapText="1"/>
    </xf>
    <xf numFmtId="0" fontId="0" fillId="0" borderId="16" xfId="0" applyBorder="1" applyAlignment="1">
      <alignment horizontal="left" wrapText="1"/>
    </xf>
    <xf numFmtId="0" fontId="0" fillId="0" borderId="17" xfId="0" applyBorder="1" applyAlignment="1">
      <alignment horizontal="left" wrapText="1"/>
    </xf>
    <xf numFmtId="0" fontId="0" fillId="0" borderId="12" xfId="0" applyBorder="1" applyAlignment="1">
      <alignment horizontal="left" wrapText="1"/>
    </xf>
    <xf numFmtId="0" fontId="0" fillId="0" borderId="18" xfId="0" applyBorder="1" applyAlignment="1">
      <alignment horizontal="left" wrapText="1"/>
    </xf>
    <xf numFmtId="0" fontId="0" fillId="2" borderId="22" xfId="0" applyFill="1" applyBorder="1" applyAlignment="1">
      <alignment horizontal="center"/>
    </xf>
    <xf numFmtId="0" fontId="0" fillId="2" borderId="23" xfId="0" applyFill="1" applyBorder="1" applyAlignment="1">
      <alignment horizontal="center"/>
    </xf>
    <xf numFmtId="0" fontId="0" fillId="2" borderId="24" xfId="0" applyFill="1" applyBorder="1" applyAlignment="1">
      <alignment horizontal="center"/>
    </xf>
    <xf numFmtId="0" fontId="0" fillId="0" borderId="0" xfId="0" applyAlignment="1">
      <alignment horizontal="left" vertical="top" wrapText="1"/>
    </xf>
    <xf numFmtId="0" fontId="1" fillId="2" borderId="19" xfId="0" applyFont="1" applyFill="1" applyBorder="1" applyAlignment="1">
      <alignment horizontal="center"/>
    </xf>
    <xf numFmtId="0" fontId="1" fillId="2" borderId="20" xfId="0" applyFont="1" applyFill="1" applyBorder="1" applyAlignment="1">
      <alignment horizontal="center"/>
    </xf>
    <xf numFmtId="0" fontId="1" fillId="2" borderId="21" xfId="0" applyFont="1" applyFill="1" applyBorder="1" applyAlignment="1">
      <alignment horizontal="center"/>
    </xf>
    <xf numFmtId="0" fontId="0" fillId="0" borderId="0"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'PROJ 2 PROB K'!$D$4</c:f>
              <c:strCache>
                <c:ptCount val="1"/>
                <c:pt idx="0">
                  <c:v>Residuals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yVal>
            <c:numRef>
              <c:f>'PROJ 2 PROB K'!$D$5:$D$94</c:f>
              <c:numCache>
                <c:formatCode>General</c:formatCode>
                <c:ptCount val="90"/>
                <c:pt idx="0">
                  <c:v>0.48715731221900249</c:v>
                </c:pt>
                <c:pt idx="1">
                  <c:v>-0.74294678056861629</c:v>
                </c:pt>
                <c:pt idx="2">
                  <c:v>-1.7148383378187559</c:v>
                </c:pt>
                <c:pt idx="3">
                  <c:v>0.94109671306524634</c:v>
                </c:pt>
                <c:pt idx="4">
                  <c:v>0.83696971238786766</c:v>
                </c:pt>
                <c:pt idx="5">
                  <c:v>-1.4515202464988608</c:v>
                </c:pt>
                <c:pt idx="6">
                  <c:v>-0.4515202464988608</c:v>
                </c:pt>
                <c:pt idx="7">
                  <c:v>-0.13205374036444972</c:v>
                </c:pt>
                <c:pt idx="8">
                  <c:v>0.40793753975183833</c:v>
                </c:pt>
                <c:pt idx="9">
                  <c:v>-0.59206246024816167</c:v>
                </c:pt>
                <c:pt idx="10">
                  <c:v>0.32290184554660062</c:v>
                </c:pt>
                <c:pt idx="11">
                  <c:v>-1.1083404874413487</c:v>
                </c:pt>
                <c:pt idx="12">
                  <c:v>0.46632340585094756</c:v>
                </c:pt>
                <c:pt idx="13">
                  <c:v>-2.5336765941490524</c:v>
                </c:pt>
                <c:pt idx="14">
                  <c:v>0.52101320602173073</c:v>
                </c:pt>
                <c:pt idx="15">
                  <c:v>1.6068656196002489</c:v>
                </c:pt>
                <c:pt idx="16">
                  <c:v>-0.81321788744326717</c:v>
                </c:pt>
                <c:pt idx="17">
                  <c:v>0.46632340585094756</c:v>
                </c:pt>
                <c:pt idx="18">
                  <c:v>-1.0589032869347537</c:v>
                </c:pt>
                <c:pt idx="19">
                  <c:v>1.2399287785231285</c:v>
                </c:pt>
                <c:pt idx="20">
                  <c:v>-9.4302314941868914E-2</c:v>
                </c:pt>
                <c:pt idx="21">
                  <c:v>-0.11739831418321511</c:v>
                </c:pt>
                <c:pt idx="22">
                  <c:v>0.40793753975183833</c:v>
                </c:pt>
                <c:pt idx="23">
                  <c:v>-1.3228632735251007</c:v>
                </c:pt>
                <c:pt idx="24">
                  <c:v>1.7814631928438036</c:v>
                </c:pt>
                <c:pt idx="25">
                  <c:v>0.94109671306524634</c:v>
                </c:pt>
                <c:pt idx="26">
                  <c:v>0.46632340585094756</c:v>
                </c:pt>
                <c:pt idx="27">
                  <c:v>-0.46340548727440201</c:v>
                </c:pt>
                <c:pt idx="28">
                  <c:v>9.3106379599859235E-2</c:v>
                </c:pt>
                <c:pt idx="29">
                  <c:v>-0.76635140665083945</c:v>
                </c:pt>
                <c:pt idx="30">
                  <c:v>1.6187508603757896</c:v>
                </c:pt>
                <c:pt idx="31">
                  <c:v>-0.52179135337351124</c:v>
                </c:pt>
                <c:pt idx="32">
                  <c:v>0.74216863321683535</c:v>
                </c:pt>
                <c:pt idx="33">
                  <c:v>-0.18756025990851377</c:v>
                </c:pt>
                <c:pt idx="34">
                  <c:v>-0.2919958874267703</c:v>
                </c:pt>
                <c:pt idx="35">
                  <c:v>0.23364859334916055</c:v>
                </c:pt>
                <c:pt idx="36">
                  <c:v>2.0935241675900884</c:v>
                </c:pt>
                <c:pt idx="37">
                  <c:v>1.4782086466264888</c:v>
                </c:pt>
                <c:pt idx="38">
                  <c:v>1.848546326322531</c:v>
                </c:pt>
                <c:pt idx="39">
                  <c:v>-1.432120313185842</c:v>
                </c:pt>
                <c:pt idx="40">
                  <c:v>0.81243974009148623</c:v>
                </c:pt>
                <c:pt idx="41">
                  <c:v>-1.2578313667831647</c:v>
                </c:pt>
                <c:pt idx="42">
                  <c:v>-0.52179135337351124</c:v>
                </c:pt>
                <c:pt idx="43">
                  <c:v>-1.0470180461592129</c:v>
                </c:pt>
                <c:pt idx="44">
                  <c:v>-0.5726625269351433</c:v>
                </c:pt>
                <c:pt idx="45">
                  <c:v>-0.90689362040014077</c:v>
                </c:pt>
                <c:pt idx="46">
                  <c:v>-0.38124913962421036</c:v>
                </c:pt>
                <c:pt idx="47">
                  <c:v>-0.66233356712281255</c:v>
                </c:pt>
                <c:pt idx="48">
                  <c:v>0.4273374730648567</c:v>
                </c:pt>
                <c:pt idx="49">
                  <c:v>-1.3228632735251007</c:v>
                </c:pt>
                <c:pt idx="50">
                  <c:v>0.53659451272559799</c:v>
                </c:pt>
                <c:pt idx="51">
                  <c:v>0.60686561960024887</c:v>
                </c:pt>
                <c:pt idx="52">
                  <c:v>-0.11728915303386334</c:v>
                </c:pt>
                <c:pt idx="53">
                  <c:v>-0.61798587352318268</c:v>
                </c:pt>
                <c:pt idx="54">
                  <c:v>-0.81321788744326717</c:v>
                </c:pt>
                <c:pt idx="55">
                  <c:v>-1.3228632735251007</c:v>
                </c:pt>
                <c:pt idx="56">
                  <c:v>1.4663234058509476</c:v>
                </c:pt>
                <c:pt idx="57">
                  <c:v>0.32732432630603414</c:v>
                </c:pt>
                <c:pt idx="58">
                  <c:v>-5.8903286934753663E-2</c:v>
                </c:pt>
                <c:pt idx="59">
                  <c:v>4.6239898807431956E-2</c:v>
                </c:pt>
                <c:pt idx="60">
                  <c:v>0.81767894022420062</c:v>
                </c:pt>
                <c:pt idx="61">
                  <c:v>0.91830934066477798</c:v>
                </c:pt>
                <c:pt idx="62">
                  <c:v>0.92293128711573758</c:v>
                </c:pt>
                <c:pt idx="63">
                  <c:v>-0.23299276764590537</c:v>
                </c:pt>
                <c:pt idx="64">
                  <c:v>0.24167137841904207</c:v>
                </c:pt>
                <c:pt idx="65">
                  <c:v>0.23406638133938951</c:v>
                </c:pt>
                <c:pt idx="66">
                  <c:v>0.28653824136471928</c:v>
                </c:pt>
                <c:pt idx="67">
                  <c:v>0.33232248022754929</c:v>
                </c:pt>
                <c:pt idx="68">
                  <c:v>0.83727833922874595</c:v>
                </c:pt>
                <c:pt idx="69">
                  <c:v>0.7323346191780864</c:v>
                </c:pt>
                <c:pt idx="70">
                  <c:v>2.1477961797706424</c:v>
                </c:pt>
                <c:pt idx="71">
                  <c:v>-0.83754839404812254</c:v>
                </c:pt>
                <c:pt idx="72">
                  <c:v>-0.6617163134410573</c:v>
                </c:pt>
                <c:pt idx="73">
                  <c:v>0.18781715422871725</c:v>
                </c:pt>
                <c:pt idx="74">
                  <c:v>-2.1982109933205445</c:v>
                </c:pt>
                <c:pt idx="75">
                  <c:v>8.2147019346951122E-2</c:v>
                </c:pt>
                <c:pt idx="76">
                  <c:v>-0.76604277980996205</c:v>
                </c:pt>
                <c:pt idx="77">
                  <c:v>-1.3931343803997511</c:v>
                </c:pt>
                <c:pt idx="78">
                  <c:v>1.3573749930310837</c:v>
                </c:pt>
                <c:pt idx="79">
                  <c:v>-0.49776947360953328</c:v>
                </c:pt>
                <c:pt idx="80">
                  <c:v>1.3616883126411654</c:v>
                </c:pt>
                <c:pt idx="81">
                  <c:v>1.5019218995495893</c:v>
                </c:pt>
                <c:pt idx="82">
                  <c:v>-1.1522703930507499</c:v>
                </c:pt>
                <c:pt idx="83">
                  <c:v>-0.85189519338848019</c:v>
                </c:pt>
                <c:pt idx="84">
                  <c:v>-0.89907030102178531</c:v>
                </c:pt>
                <c:pt idx="85">
                  <c:v>-8.1999286176099417E-2</c:v>
                </c:pt>
                <c:pt idx="86">
                  <c:v>0.41688620534435206</c:v>
                </c:pt>
                <c:pt idx="87">
                  <c:v>-0.23237551396414968</c:v>
                </c:pt>
                <c:pt idx="88">
                  <c:v>-0.40871568710361883</c:v>
                </c:pt>
                <c:pt idx="89">
                  <c:v>1.033277826791279E-2</c:v>
                </c:pt>
              </c:numCache>
            </c:numRef>
          </c:yVal>
          <c:smooth val="1"/>
          <c:extLst>
            <c:ext xmlns:c16="http://schemas.microsoft.com/office/drawing/2014/chart" uri="{C3380CC4-5D6E-409C-BE32-E72D297353CC}">
              <c16:uniqueId val="{00000000-534A-469E-A479-9950F5EC9BDB}"/>
            </c:ext>
          </c:extLst>
        </c:ser>
        <c:dLbls>
          <c:showLegendKey val="0"/>
          <c:showVal val="0"/>
          <c:showCatName val="0"/>
          <c:showSerName val="0"/>
          <c:showPercent val="0"/>
          <c:showBubbleSize val="0"/>
        </c:dLbls>
        <c:axId val="400105151"/>
        <c:axId val="400106111"/>
      </c:scatterChart>
      <c:valAx>
        <c:axId val="400105151"/>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106111"/>
        <c:crosses val="autoZero"/>
        <c:crossBetween val="midCat"/>
      </c:valAx>
      <c:valAx>
        <c:axId val="400106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10515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9525</xdr:colOff>
      <xdr:row>3</xdr:row>
      <xdr:rowOff>118110</xdr:rowOff>
    </xdr:from>
    <xdr:to>
      <xdr:col>14</xdr:col>
      <xdr:colOff>314325</xdr:colOff>
      <xdr:row>18</xdr:row>
      <xdr:rowOff>3810</xdr:rowOff>
    </xdr:to>
    <xdr:graphicFrame macro="">
      <xdr:nvGraphicFramePr>
        <xdr:cNvPr id="3" name="Chart 2">
          <a:extLst>
            <a:ext uri="{FF2B5EF4-FFF2-40B4-BE49-F238E27FC236}">
              <a16:creationId xmlns:a16="http://schemas.microsoft.com/office/drawing/2014/main" id="{57D98E03-8D31-49B8-84F7-E538A3FB7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 Addison" refreshedDate="45790.369229745367" createdVersion="8" refreshedVersion="8" minRefreshableVersion="3" recordCount="90" xr:uid="{760E1378-B9B0-445B-9537-C2D7972F03B7}">
  <cacheSource type="worksheet">
    <worksheetSource ref="B2:B92" sheet="PROJ 2 PROB A"/>
  </cacheSource>
  <cacheFields count="1">
    <cacheField name="Interest in Gov assistance" numFmtId="0">
      <sharedItems containsSemiMixedTypes="0" containsString="0" containsNumber="1" containsInteger="1" minValue="1" maxValue="5" count="5">
        <n v="4"/>
        <n v="5"/>
        <n v="3"/>
        <n v="2"/>
        <n v="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
  <r>
    <x v="0"/>
  </r>
  <r>
    <x v="0"/>
  </r>
  <r>
    <x v="1"/>
  </r>
  <r>
    <x v="2"/>
  </r>
  <r>
    <x v="0"/>
  </r>
  <r>
    <x v="3"/>
  </r>
  <r>
    <x v="4"/>
  </r>
  <r>
    <x v="2"/>
  </r>
  <r>
    <x v="3"/>
  </r>
  <r>
    <x v="2"/>
  </r>
  <r>
    <x v="4"/>
  </r>
  <r>
    <x v="3"/>
  </r>
  <r>
    <x v="1"/>
  </r>
  <r>
    <x v="0"/>
  </r>
  <r>
    <x v="4"/>
  </r>
  <r>
    <x v="0"/>
  </r>
  <r>
    <x v="0"/>
  </r>
  <r>
    <x v="1"/>
  </r>
  <r>
    <x v="4"/>
  </r>
  <r>
    <x v="4"/>
  </r>
  <r>
    <x v="2"/>
  </r>
  <r>
    <x v="3"/>
  </r>
  <r>
    <x v="0"/>
  </r>
  <r>
    <x v="1"/>
  </r>
  <r>
    <x v="0"/>
  </r>
  <r>
    <x v="2"/>
  </r>
  <r>
    <x v="2"/>
  </r>
  <r>
    <x v="0"/>
  </r>
  <r>
    <x v="3"/>
  </r>
  <r>
    <x v="0"/>
  </r>
  <r>
    <x v="0"/>
  </r>
  <r>
    <x v="3"/>
  </r>
  <r>
    <x v="2"/>
  </r>
  <r>
    <x v="3"/>
  </r>
  <r>
    <x v="2"/>
  </r>
  <r>
    <x v="2"/>
  </r>
  <r>
    <x v="0"/>
  </r>
  <r>
    <x v="0"/>
  </r>
  <r>
    <x v="1"/>
  </r>
  <r>
    <x v="4"/>
  </r>
  <r>
    <x v="2"/>
  </r>
  <r>
    <x v="4"/>
  </r>
  <r>
    <x v="3"/>
  </r>
  <r>
    <x v="4"/>
  </r>
  <r>
    <x v="3"/>
  </r>
  <r>
    <x v="3"/>
  </r>
  <r>
    <x v="3"/>
  </r>
  <r>
    <x v="3"/>
  </r>
  <r>
    <x v="2"/>
  </r>
  <r>
    <x v="3"/>
  </r>
  <r>
    <x v="0"/>
  </r>
  <r>
    <x v="0"/>
  </r>
  <r>
    <x v="3"/>
  </r>
  <r>
    <x v="2"/>
  </r>
  <r>
    <x v="2"/>
  </r>
  <r>
    <x v="3"/>
  </r>
  <r>
    <x v="1"/>
  </r>
  <r>
    <x v="0"/>
  </r>
  <r>
    <x v="2"/>
  </r>
  <r>
    <x v="0"/>
  </r>
  <r>
    <x v="2"/>
  </r>
  <r>
    <x v="3"/>
  </r>
  <r>
    <x v="2"/>
  </r>
  <r>
    <x v="0"/>
  </r>
  <r>
    <x v="4"/>
  </r>
  <r>
    <x v="3"/>
  </r>
  <r>
    <x v="2"/>
  </r>
  <r>
    <x v="3"/>
  </r>
  <r>
    <x v="1"/>
  </r>
  <r>
    <x v="1"/>
  </r>
  <r>
    <x v="1"/>
  </r>
  <r>
    <x v="4"/>
  </r>
  <r>
    <x v="4"/>
  </r>
  <r>
    <x v="4"/>
  </r>
  <r>
    <x v="3"/>
  </r>
  <r>
    <x v="2"/>
  </r>
  <r>
    <x v="3"/>
  </r>
  <r>
    <x v="3"/>
  </r>
  <r>
    <x v="2"/>
  </r>
  <r>
    <x v="3"/>
  </r>
  <r>
    <x v="0"/>
  </r>
  <r>
    <x v="0"/>
  </r>
  <r>
    <x v="4"/>
  </r>
  <r>
    <x v="3"/>
  </r>
  <r>
    <x v="3"/>
  </r>
  <r>
    <x v="3"/>
  </r>
  <r>
    <x v="1"/>
  </r>
  <r>
    <x v="0"/>
  </r>
  <r>
    <x v="2"/>
  </r>
  <r>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52B218-4015-4EEA-B903-32E8BDA926C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E13" firstHeaderRow="1" firstDataRow="1" firstDataCol="1"/>
  <pivotFields count="1">
    <pivotField axis="axisRow" dataField="1" showAll="0">
      <items count="6">
        <item x="4"/>
        <item x="3"/>
        <item x="2"/>
        <item x="0"/>
        <item x="1"/>
        <item t="default"/>
      </items>
    </pivotField>
  </pivotFields>
  <rowFields count="1">
    <field x="0"/>
  </rowFields>
  <rowItems count="6">
    <i>
      <x/>
    </i>
    <i>
      <x v="1"/>
    </i>
    <i>
      <x v="2"/>
    </i>
    <i>
      <x v="3"/>
    </i>
    <i>
      <x v="4"/>
    </i>
    <i t="grand">
      <x/>
    </i>
  </rowItems>
  <colItems count="1">
    <i/>
  </colItems>
  <dataFields count="1">
    <dataField name="Count of Interest in Gov assistanc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J92"/>
  <sheetViews>
    <sheetView tabSelected="1" workbookViewId="0">
      <selection activeCell="M2" sqref="M2"/>
    </sheetView>
  </sheetViews>
  <sheetFormatPr defaultRowHeight="15" x14ac:dyDescent="0.25"/>
  <cols>
    <col min="3" max="3" width="11.28515625" customWidth="1"/>
    <col min="4" max="4" width="14.42578125" customWidth="1"/>
    <col min="5" max="5" width="16.85546875" customWidth="1"/>
    <col min="6" max="6" width="16.28515625" customWidth="1"/>
    <col min="7" max="7" width="24.42578125" customWidth="1"/>
    <col min="8" max="8" width="26" customWidth="1"/>
    <col min="9" max="9" width="28.42578125" customWidth="1"/>
    <col min="10" max="10" width="32.5703125" customWidth="1"/>
  </cols>
  <sheetData>
    <row r="2" spans="2:10" ht="67.900000000000006" customHeight="1" x14ac:dyDescent="0.25">
      <c r="B2" s="1" t="s">
        <v>0</v>
      </c>
      <c r="C2" s="2" t="s">
        <v>1</v>
      </c>
      <c r="D2" s="2" t="s">
        <v>2</v>
      </c>
      <c r="E2" s="3" t="s">
        <v>3</v>
      </c>
      <c r="F2" s="3" t="s">
        <v>4</v>
      </c>
      <c r="G2" s="3" t="s">
        <v>5</v>
      </c>
      <c r="H2" s="3" t="s">
        <v>6</v>
      </c>
      <c r="I2" s="3" t="s">
        <v>7</v>
      </c>
      <c r="J2" s="3" t="s">
        <v>8</v>
      </c>
    </row>
    <row r="3" spans="2:10" x14ac:dyDescent="0.25">
      <c r="B3">
        <v>1</v>
      </c>
      <c r="C3" s="4">
        <v>5</v>
      </c>
      <c r="D3" s="4">
        <v>4</v>
      </c>
      <c r="E3" s="5">
        <v>54</v>
      </c>
      <c r="F3" s="4">
        <v>4</v>
      </c>
      <c r="G3" s="4">
        <v>6.5</v>
      </c>
      <c r="H3" s="4">
        <v>7</v>
      </c>
      <c r="I3" s="4">
        <v>1</v>
      </c>
      <c r="J3" s="4">
        <v>1</v>
      </c>
    </row>
    <row r="4" spans="2:10" x14ac:dyDescent="0.25">
      <c r="B4">
        <v>2</v>
      </c>
      <c r="C4" s="4">
        <v>3</v>
      </c>
      <c r="D4" s="4">
        <v>4</v>
      </c>
      <c r="E4" s="4">
        <v>45</v>
      </c>
      <c r="F4" s="4">
        <v>2</v>
      </c>
      <c r="G4" s="4">
        <v>6</v>
      </c>
      <c r="H4" s="4">
        <v>6</v>
      </c>
      <c r="I4" s="4">
        <v>1</v>
      </c>
      <c r="J4" s="4">
        <v>1</v>
      </c>
    </row>
    <row r="5" spans="2:10" x14ac:dyDescent="0.25">
      <c r="B5">
        <v>3</v>
      </c>
      <c r="C5" s="4">
        <v>2</v>
      </c>
      <c r="D5" s="4">
        <v>5</v>
      </c>
      <c r="E5" s="5">
        <v>44</v>
      </c>
      <c r="F5" s="4">
        <v>2</v>
      </c>
      <c r="G5" s="4">
        <v>5.8</v>
      </c>
      <c r="H5" s="4">
        <v>11</v>
      </c>
      <c r="I5" s="4">
        <v>1</v>
      </c>
      <c r="J5" s="4">
        <v>1</v>
      </c>
    </row>
    <row r="6" spans="2:10" x14ac:dyDescent="0.25">
      <c r="B6">
        <v>4</v>
      </c>
      <c r="C6" s="4">
        <v>4</v>
      </c>
      <c r="D6" s="4">
        <v>3</v>
      </c>
      <c r="E6" s="4">
        <v>46</v>
      </c>
      <c r="F6" s="4">
        <v>1</v>
      </c>
      <c r="G6" s="4">
        <v>7</v>
      </c>
      <c r="H6" s="4">
        <v>3</v>
      </c>
      <c r="I6" s="4">
        <v>1</v>
      </c>
      <c r="J6" s="4">
        <v>0</v>
      </c>
    </row>
    <row r="7" spans="2:10" x14ac:dyDescent="0.25">
      <c r="B7">
        <v>5</v>
      </c>
      <c r="C7" s="4">
        <v>5</v>
      </c>
      <c r="D7" s="4">
        <v>4</v>
      </c>
      <c r="E7" s="4">
        <v>46</v>
      </c>
      <c r="F7" s="4">
        <v>3</v>
      </c>
      <c r="G7" s="4">
        <v>6.5</v>
      </c>
      <c r="H7" s="4">
        <v>8</v>
      </c>
      <c r="I7" s="4">
        <v>1</v>
      </c>
      <c r="J7" s="4">
        <v>1</v>
      </c>
    </row>
    <row r="8" spans="2:10" x14ac:dyDescent="0.25">
      <c r="B8">
        <v>6</v>
      </c>
      <c r="C8" s="4">
        <v>1</v>
      </c>
      <c r="D8" s="4">
        <v>2</v>
      </c>
      <c r="E8" s="4">
        <v>37</v>
      </c>
      <c r="F8" s="4">
        <v>0.9</v>
      </c>
      <c r="G8" s="4">
        <v>5</v>
      </c>
      <c r="H8" s="4">
        <v>2</v>
      </c>
      <c r="I8" s="4">
        <v>0</v>
      </c>
      <c r="J8" s="4">
        <v>1</v>
      </c>
    </row>
    <row r="9" spans="2:10" x14ac:dyDescent="0.25">
      <c r="B9">
        <v>7</v>
      </c>
      <c r="C9" s="4">
        <v>2</v>
      </c>
      <c r="D9" s="4">
        <v>1</v>
      </c>
      <c r="E9" s="4">
        <v>42</v>
      </c>
      <c r="F9" s="4">
        <v>0.9</v>
      </c>
      <c r="G9" s="4">
        <v>5</v>
      </c>
      <c r="H9" s="4">
        <v>2</v>
      </c>
      <c r="I9" s="4">
        <v>0</v>
      </c>
      <c r="J9" s="4">
        <v>1</v>
      </c>
    </row>
    <row r="10" spans="2:10" x14ac:dyDescent="0.25">
      <c r="B10">
        <v>8</v>
      </c>
      <c r="C10" s="4">
        <v>3</v>
      </c>
      <c r="D10" s="4">
        <v>3</v>
      </c>
      <c r="E10" s="4">
        <v>29</v>
      </c>
      <c r="F10" s="4">
        <v>3.6</v>
      </c>
      <c r="G10" s="4">
        <v>6.5</v>
      </c>
      <c r="H10" s="4">
        <v>3</v>
      </c>
      <c r="I10" s="4">
        <v>0</v>
      </c>
      <c r="J10" s="4">
        <v>0</v>
      </c>
    </row>
    <row r="11" spans="2:10" x14ac:dyDescent="0.25">
      <c r="B11">
        <v>9</v>
      </c>
      <c r="C11" s="4">
        <v>3</v>
      </c>
      <c r="D11" s="4">
        <v>2</v>
      </c>
      <c r="E11" s="4">
        <v>46</v>
      </c>
      <c r="F11" s="4">
        <v>0.9</v>
      </c>
      <c r="G11" s="4">
        <v>6</v>
      </c>
      <c r="H11" s="4">
        <v>5</v>
      </c>
      <c r="I11" s="4">
        <v>0</v>
      </c>
      <c r="J11" s="4">
        <v>1</v>
      </c>
    </row>
    <row r="12" spans="2:10" x14ac:dyDescent="0.25">
      <c r="B12">
        <v>10</v>
      </c>
      <c r="C12" s="4">
        <v>2</v>
      </c>
      <c r="D12" s="4">
        <v>3</v>
      </c>
      <c r="E12" s="4">
        <v>28</v>
      </c>
      <c r="F12" s="4">
        <v>0.9</v>
      </c>
      <c r="G12" s="4">
        <v>6</v>
      </c>
      <c r="H12" s="4">
        <v>2</v>
      </c>
      <c r="I12" s="4">
        <v>0</v>
      </c>
      <c r="J12" s="4">
        <v>1</v>
      </c>
    </row>
    <row r="13" spans="2:10" x14ac:dyDescent="0.25">
      <c r="B13">
        <v>11</v>
      </c>
      <c r="C13" s="4">
        <v>4</v>
      </c>
      <c r="D13" s="4">
        <v>1</v>
      </c>
      <c r="E13" s="4">
        <v>39</v>
      </c>
      <c r="F13" s="4">
        <v>3.6</v>
      </c>
      <c r="G13" s="4">
        <v>7</v>
      </c>
      <c r="H13" s="4">
        <v>3</v>
      </c>
      <c r="I13" s="4">
        <v>0</v>
      </c>
      <c r="J13" s="4">
        <v>1</v>
      </c>
    </row>
    <row r="14" spans="2:10" x14ac:dyDescent="0.25">
      <c r="B14">
        <v>12</v>
      </c>
      <c r="C14" s="4">
        <v>3</v>
      </c>
      <c r="D14" s="4">
        <v>2</v>
      </c>
      <c r="E14" s="4">
        <v>31</v>
      </c>
      <c r="F14" s="4">
        <v>4</v>
      </c>
      <c r="G14" s="4">
        <v>7</v>
      </c>
      <c r="H14" s="4">
        <v>3</v>
      </c>
      <c r="I14" s="4">
        <v>1</v>
      </c>
      <c r="J14" s="4">
        <v>0</v>
      </c>
    </row>
    <row r="15" spans="2:10" x14ac:dyDescent="0.25">
      <c r="B15">
        <v>13</v>
      </c>
      <c r="C15" s="4">
        <v>4</v>
      </c>
      <c r="D15" s="4">
        <v>5</v>
      </c>
      <c r="E15" s="4">
        <v>65</v>
      </c>
      <c r="F15" s="4">
        <v>1</v>
      </c>
      <c r="G15" s="4">
        <v>7</v>
      </c>
      <c r="H15" s="4">
        <v>9</v>
      </c>
      <c r="I15" s="4">
        <v>1</v>
      </c>
      <c r="J15" s="4">
        <v>1</v>
      </c>
    </row>
    <row r="16" spans="2:10" x14ac:dyDescent="0.25">
      <c r="B16">
        <v>14</v>
      </c>
      <c r="C16" s="4">
        <v>1</v>
      </c>
      <c r="D16" s="4">
        <v>4</v>
      </c>
      <c r="E16" s="4">
        <v>50</v>
      </c>
      <c r="F16" s="4">
        <v>1</v>
      </c>
      <c r="G16" s="4">
        <v>7</v>
      </c>
      <c r="H16" s="4">
        <v>9</v>
      </c>
      <c r="I16" s="4">
        <v>1</v>
      </c>
      <c r="J16" s="4">
        <v>1</v>
      </c>
    </row>
    <row r="17" spans="2:10" x14ac:dyDescent="0.25">
      <c r="B17">
        <v>15</v>
      </c>
      <c r="C17" s="4">
        <v>4</v>
      </c>
      <c r="D17" s="4">
        <v>1</v>
      </c>
      <c r="E17" s="4">
        <v>30</v>
      </c>
      <c r="F17" s="4">
        <v>2</v>
      </c>
      <c r="G17" s="4">
        <v>7.5</v>
      </c>
      <c r="H17" s="4">
        <v>3</v>
      </c>
      <c r="I17" s="4">
        <v>1</v>
      </c>
      <c r="J17" s="4">
        <v>0</v>
      </c>
    </row>
    <row r="18" spans="2:10" x14ac:dyDescent="0.25">
      <c r="B18">
        <v>16</v>
      </c>
      <c r="C18" s="4">
        <v>5</v>
      </c>
      <c r="D18" s="4">
        <v>4</v>
      </c>
      <c r="E18" s="4">
        <v>58</v>
      </c>
      <c r="F18" s="4">
        <v>1</v>
      </c>
      <c r="G18" s="4">
        <v>6</v>
      </c>
      <c r="H18" s="4">
        <v>5</v>
      </c>
      <c r="I18" s="4">
        <v>1</v>
      </c>
      <c r="J18" s="4">
        <v>1</v>
      </c>
    </row>
    <row r="19" spans="2:10" x14ac:dyDescent="0.25">
      <c r="B19">
        <v>17</v>
      </c>
      <c r="C19" s="4">
        <v>3</v>
      </c>
      <c r="D19" s="4">
        <v>4</v>
      </c>
      <c r="E19" s="4">
        <v>54</v>
      </c>
      <c r="F19" s="4">
        <v>2</v>
      </c>
      <c r="G19" s="4">
        <v>6.5</v>
      </c>
      <c r="H19" s="4">
        <v>4</v>
      </c>
      <c r="I19" s="4">
        <v>1</v>
      </c>
      <c r="J19" s="4">
        <v>1</v>
      </c>
    </row>
    <row r="20" spans="2:10" x14ac:dyDescent="0.25">
      <c r="B20">
        <v>18</v>
      </c>
      <c r="C20" s="4">
        <v>4</v>
      </c>
      <c r="D20" s="4">
        <v>5</v>
      </c>
      <c r="E20" s="4">
        <v>58</v>
      </c>
      <c r="F20" s="4">
        <v>1</v>
      </c>
      <c r="G20" s="4">
        <v>7</v>
      </c>
      <c r="H20" s="4">
        <v>9</v>
      </c>
      <c r="I20" s="4">
        <v>1</v>
      </c>
      <c r="J20" s="4">
        <v>1</v>
      </c>
    </row>
    <row r="21" spans="2:10" x14ac:dyDescent="0.25">
      <c r="B21">
        <v>19</v>
      </c>
      <c r="C21" s="4">
        <v>2</v>
      </c>
      <c r="D21" s="4">
        <v>1</v>
      </c>
      <c r="E21" s="4">
        <v>37</v>
      </c>
      <c r="F21" s="4">
        <v>1</v>
      </c>
      <c r="G21" s="4">
        <v>7</v>
      </c>
      <c r="H21" s="4">
        <v>9</v>
      </c>
      <c r="I21" s="4">
        <v>1</v>
      </c>
      <c r="J21" s="4">
        <v>0</v>
      </c>
    </row>
    <row r="22" spans="2:10" x14ac:dyDescent="0.25">
      <c r="B22">
        <v>20</v>
      </c>
      <c r="C22" s="4">
        <v>5</v>
      </c>
      <c r="D22" s="4">
        <v>1</v>
      </c>
      <c r="E22" s="4">
        <v>35</v>
      </c>
      <c r="F22" s="4">
        <v>2</v>
      </c>
      <c r="G22" s="4">
        <v>9.5</v>
      </c>
      <c r="H22" s="4">
        <v>5</v>
      </c>
      <c r="I22" s="4">
        <v>1</v>
      </c>
      <c r="J22" s="4">
        <v>0</v>
      </c>
    </row>
    <row r="23" spans="2:10" x14ac:dyDescent="0.25">
      <c r="B23">
        <v>21</v>
      </c>
      <c r="C23" s="4">
        <v>4</v>
      </c>
      <c r="D23" s="4">
        <v>3</v>
      </c>
      <c r="E23" s="4">
        <v>49</v>
      </c>
      <c r="F23" s="4">
        <v>2</v>
      </c>
      <c r="G23" s="4">
        <v>8.5</v>
      </c>
      <c r="H23" s="4">
        <v>4</v>
      </c>
      <c r="I23" s="4">
        <v>1</v>
      </c>
      <c r="J23" s="4">
        <v>1</v>
      </c>
    </row>
    <row r="24" spans="2:10" x14ac:dyDescent="0.25">
      <c r="B24">
        <v>22</v>
      </c>
      <c r="C24" s="4">
        <v>3</v>
      </c>
      <c r="D24" s="4">
        <v>2</v>
      </c>
      <c r="E24" s="4">
        <v>37</v>
      </c>
      <c r="F24" s="4">
        <v>2</v>
      </c>
      <c r="G24" s="4">
        <v>7</v>
      </c>
      <c r="H24" s="4">
        <v>2</v>
      </c>
      <c r="I24" s="4">
        <v>0</v>
      </c>
      <c r="J24" s="4">
        <v>1</v>
      </c>
    </row>
    <row r="25" spans="2:10" x14ac:dyDescent="0.25">
      <c r="B25">
        <v>23</v>
      </c>
      <c r="C25" s="4">
        <v>3</v>
      </c>
      <c r="D25" s="4">
        <v>4</v>
      </c>
      <c r="E25" s="4">
        <v>34</v>
      </c>
      <c r="F25" s="4">
        <v>0.9</v>
      </c>
      <c r="G25" s="4">
        <v>6</v>
      </c>
      <c r="H25" s="4">
        <v>5</v>
      </c>
      <c r="I25" s="4">
        <v>0</v>
      </c>
      <c r="J25" s="4">
        <v>1</v>
      </c>
    </row>
    <row r="26" spans="2:10" x14ac:dyDescent="0.25">
      <c r="B26">
        <v>24</v>
      </c>
      <c r="C26" s="4">
        <v>2</v>
      </c>
      <c r="D26" s="4">
        <v>5</v>
      </c>
      <c r="E26" s="4">
        <v>66</v>
      </c>
      <c r="F26" s="4">
        <v>1</v>
      </c>
      <c r="G26" s="4">
        <v>5.5</v>
      </c>
      <c r="H26" s="4">
        <v>10</v>
      </c>
      <c r="I26" s="4">
        <v>1</v>
      </c>
      <c r="J26" s="4">
        <v>1</v>
      </c>
    </row>
    <row r="27" spans="2:10" x14ac:dyDescent="0.25">
      <c r="B27">
        <v>25</v>
      </c>
      <c r="C27" s="4">
        <v>5</v>
      </c>
      <c r="D27" s="4">
        <v>4</v>
      </c>
      <c r="E27" s="4">
        <v>50</v>
      </c>
      <c r="F27" s="4">
        <v>0.3</v>
      </c>
      <c r="G27" s="4">
        <v>6.5</v>
      </c>
      <c r="H27" s="4">
        <v>6</v>
      </c>
      <c r="I27" s="4">
        <v>1</v>
      </c>
      <c r="J27" s="4">
        <v>1</v>
      </c>
    </row>
    <row r="28" spans="2:10" x14ac:dyDescent="0.25">
      <c r="B28">
        <v>26</v>
      </c>
      <c r="C28" s="4">
        <v>4</v>
      </c>
      <c r="D28" s="4">
        <v>3</v>
      </c>
      <c r="E28" s="4">
        <v>43</v>
      </c>
      <c r="F28" s="4">
        <v>1</v>
      </c>
      <c r="G28" s="4">
        <v>7</v>
      </c>
      <c r="H28" s="4">
        <v>3</v>
      </c>
      <c r="I28" s="4">
        <v>1</v>
      </c>
      <c r="J28" s="4">
        <v>0</v>
      </c>
    </row>
    <row r="29" spans="2:10" x14ac:dyDescent="0.25">
      <c r="B29">
        <v>27</v>
      </c>
      <c r="C29" s="4">
        <v>4</v>
      </c>
      <c r="D29" s="4">
        <v>3</v>
      </c>
      <c r="E29" s="4">
        <v>54</v>
      </c>
      <c r="F29" s="4">
        <v>1</v>
      </c>
      <c r="G29" s="4">
        <v>7</v>
      </c>
      <c r="H29" s="4">
        <v>4</v>
      </c>
      <c r="I29" s="4">
        <v>1</v>
      </c>
      <c r="J29" s="4">
        <v>1</v>
      </c>
    </row>
    <row r="30" spans="2:10" x14ac:dyDescent="0.25">
      <c r="B30">
        <v>28</v>
      </c>
      <c r="C30" s="4">
        <v>3</v>
      </c>
      <c r="D30" s="4">
        <v>4</v>
      </c>
      <c r="E30" s="4">
        <v>49</v>
      </c>
      <c r="F30" s="4">
        <v>1</v>
      </c>
      <c r="G30" s="4">
        <v>6.5</v>
      </c>
      <c r="H30" s="4">
        <v>7</v>
      </c>
      <c r="I30" s="4">
        <v>1</v>
      </c>
      <c r="J30" s="4">
        <v>1</v>
      </c>
    </row>
    <row r="31" spans="2:10" x14ac:dyDescent="0.25">
      <c r="B31">
        <v>29</v>
      </c>
      <c r="C31" s="4">
        <v>3</v>
      </c>
      <c r="D31" s="4">
        <v>2</v>
      </c>
      <c r="E31" s="4">
        <v>43</v>
      </c>
      <c r="F31" s="4">
        <v>1.8</v>
      </c>
      <c r="G31" s="4">
        <v>6</v>
      </c>
      <c r="H31" s="4">
        <v>2</v>
      </c>
      <c r="I31" s="4">
        <v>0</v>
      </c>
      <c r="J31" s="4">
        <v>1</v>
      </c>
    </row>
    <row r="32" spans="2:10" x14ac:dyDescent="0.25">
      <c r="B32">
        <v>30</v>
      </c>
      <c r="C32" s="4">
        <v>2</v>
      </c>
      <c r="D32" s="4">
        <v>4</v>
      </c>
      <c r="E32" s="4">
        <v>52</v>
      </c>
      <c r="F32" s="4">
        <v>1.8</v>
      </c>
      <c r="G32" s="4">
        <v>5</v>
      </c>
      <c r="H32" s="4">
        <v>7</v>
      </c>
      <c r="I32" s="4">
        <v>0</v>
      </c>
      <c r="J32" s="4">
        <v>1</v>
      </c>
    </row>
    <row r="33" spans="2:10" x14ac:dyDescent="0.25">
      <c r="B33">
        <v>31</v>
      </c>
      <c r="C33" s="4">
        <v>4</v>
      </c>
      <c r="D33" s="4">
        <v>4</v>
      </c>
      <c r="E33" s="4">
        <v>29</v>
      </c>
      <c r="F33" s="4">
        <v>0.9</v>
      </c>
      <c r="G33" s="4">
        <v>4.5</v>
      </c>
      <c r="H33" s="4">
        <v>11</v>
      </c>
      <c r="I33" s="4">
        <v>0</v>
      </c>
      <c r="J33" s="4">
        <v>1</v>
      </c>
    </row>
    <row r="34" spans="2:10" x14ac:dyDescent="0.25">
      <c r="B34">
        <v>32</v>
      </c>
      <c r="C34" s="4">
        <v>2</v>
      </c>
      <c r="D34" s="4">
        <v>2</v>
      </c>
      <c r="E34" s="4">
        <v>37</v>
      </c>
      <c r="F34" s="4">
        <v>0.9</v>
      </c>
      <c r="G34" s="4">
        <v>5.5</v>
      </c>
      <c r="H34" s="4">
        <v>2</v>
      </c>
      <c r="I34" s="4">
        <v>0</v>
      </c>
      <c r="J34" s="4">
        <v>1</v>
      </c>
    </row>
    <row r="35" spans="2:10" x14ac:dyDescent="0.25">
      <c r="B35">
        <v>33</v>
      </c>
      <c r="C35" s="4">
        <v>3</v>
      </c>
      <c r="D35" s="4">
        <v>3</v>
      </c>
      <c r="E35" s="4">
        <v>27</v>
      </c>
      <c r="F35" s="4">
        <v>0.9</v>
      </c>
      <c r="G35" s="4">
        <v>7</v>
      </c>
      <c r="H35" s="4">
        <v>3</v>
      </c>
      <c r="I35" s="4">
        <v>0</v>
      </c>
      <c r="J35" s="4">
        <v>0</v>
      </c>
    </row>
    <row r="36" spans="2:10" x14ac:dyDescent="0.25">
      <c r="B36">
        <v>34</v>
      </c>
      <c r="C36" s="4">
        <v>2</v>
      </c>
      <c r="D36" s="4">
        <v>2</v>
      </c>
      <c r="E36" s="4">
        <v>32</v>
      </c>
      <c r="F36" s="4">
        <v>0.9</v>
      </c>
      <c r="G36" s="4">
        <v>6.5</v>
      </c>
      <c r="H36" s="4">
        <v>3</v>
      </c>
      <c r="I36" s="4">
        <v>0</v>
      </c>
      <c r="J36" s="4">
        <v>0</v>
      </c>
    </row>
    <row r="37" spans="2:10" x14ac:dyDescent="0.25">
      <c r="B37">
        <v>35</v>
      </c>
      <c r="C37" s="4">
        <v>3</v>
      </c>
      <c r="D37" s="4">
        <v>3</v>
      </c>
      <c r="E37" s="4">
        <v>34</v>
      </c>
      <c r="F37" s="4">
        <v>2.7</v>
      </c>
      <c r="G37" s="4">
        <v>6.5</v>
      </c>
      <c r="H37" s="4">
        <v>2</v>
      </c>
      <c r="I37" s="4">
        <v>0</v>
      </c>
      <c r="J37" s="4">
        <v>1</v>
      </c>
    </row>
    <row r="38" spans="2:10" x14ac:dyDescent="0.25">
      <c r="B38">
        <v>36</v>
      </c>
      <c r="C38" s="4">
        <v>3</v>
      </c>
      <c r="D38" s="4">
        <v>3</v>
      </c>
      <c r="E38" s="4">
        <v>48</v>
      </c>
      <c r="F38" s="4">
        <v>1.8</v>
      </c>
      <c r="G38" s="4">
        <v>5</v>
      </c>
      <c r="H38" s="4">
        <v>4</v>
      </c>
      <c r="I38" s="4">
        <v>0</v>
      </c>
      <c r="J38" s="4">
        <v>1</v>
      </c>
    </row>
    <row r="39" spans="2:10" x14ac:dyDescent="0.25">
      <c r="B39">
        <v>37</v>
      </c>
      <c r="C39" s="4">
        <v>4</v>
      </c>
      <c r="D39" s="4">
        <v>4</v>
      </c>
      <c r="E39" s="4">
        <v>53</v>
      </c>
      <c r="F39" s="4">
        <v>0.9</v>
      </c>
      <c r="G39" s="4">
        <v>4.5</v>
      </c>
      <c r="H39" s="4">
        <v>5</v>
      </c>
      <c r="I39" s="4">
        <v>0</v>
      </c>
      <c r="J39" s="4">
        <v>0</v>
      </c>
    </row>
    <row r="40" spans="2:10" x14ac:dyDescent="0.25">
      <c r="B40">
        <v>38</v>
      </c>
      <c r="C40" s="4">
        <v>4</v>
      </c>
      <c r="D40" s="4">
        <v>4</v>
      </c>
      <c r="E40" s="4">
        <v>41</v>
      </c>
      <c r="F40" s="4">
        <v>0.9</v>
      </c>
      <c r="G40" s="4">
        <v>5.5</v>
      </c>
      <c r="H40" s="4">
        <v>2</v>
      </c>
      <c r="I40" s="4">
        <v>0</v>
      </c>
      <c r="J40" s="4">
        <v>1</v>
      </c>
    </row>
    <row r="41" spans="2:10" x14ac:dyDescent="0.25">
      <c r="B41">
        <v>39</v>
      </c>
      <c r="C41" s="4">
        <v>5</v>
      </c>
      <c r="D41" s="4">
        <v>5</v>
      </c>
      <c r="E41" s="4">
        <v>47</v>
      </c>
      <c r="F41" s="4">
        <v>2.7</v>
      </c>
      <c r="G41" s="4">
        <v>5.5</v>
      </c>
      <c r="H41" s="4">
        <v>4</v>
      </c>
      <c r="I41" s="4">
        <v>0</v>
      </c>
      <c r="J41" s="4">
        <v>1</v>
      </c>
    </row>
    <row r="42" spans="2:10" x14ac:dyDescent="0.25">
      <c r="B42">
        <v>40</v>
      </c>
      <c r="C42" s="4">
        <v>1</v>
      </c>
      <c r="D42" s="4">
        <v>1</v>
      </c>
      <c r="E42" s="4">
        <v>31</v>
      </c>
      <c r="F42" s="4">
        <v>1.8</v>
      </c>
      <c r="G42" s="4">
        <v>6</v>
      </c>
      <c r="H42" s="4">
        <v>4</v>
      </c>
      <c r="I42" s="4">
        <v>0</v>
      </c>
      <c r="J42" s="4">
        <v>0</v>
      </c>
    </row>
    <row r="43" spans="2:10" x14ac:dyDescent="0.25">
      <c r="B43">
        <v>41</v>
      </c>
      <c r="C43" s="4">
        <v>3</v>
      </c>
      <c r="D43" s="4">
        <v>3</v>
      </c>
      <c r="E43" s="4">
        <v>34</v>
      </c>
      <c r="F43" s="4">
        <v>0.9</v>
      </c>
      <c r="G43" s="4">
        <v>6.5</v>
      </c>
      <c r="H43" s="4">
        <v>3</v>
      </c>
      <c r="I43" s="4">
        <v>0</v>
      </c>
      <c r="J43" s="4">
        <v>0</v>
      </c>
    </row>
    <row r="44" spans="2:10" x14ac:dyDescent="0.25">
      <c r="B44">
        <v>42</v>
      </c>
      <c r="C44" s="4">
        <v>1</v>
      </c>
      <c r="D44" s="4">
        <v>1</v>
      </c>
      <c r="E44" s="4">
        <v>28</v>
      </c>
      <c r="F44" s="4">
        <v>0.9</v>
      </c>
      <c r="G44" s="4">
        <v>7</v>
      </c>
      <c r="H44" s="4">
        <v>2</v>
      </c>
      <c r="I44" s="4">
        <v>0</v>
      </c>
      <c r="J44" s="4">
        <v>0</v>
      </c>
    </row>
    <row r="45" spans="2:10" x14ac:dyDescent="0.25">
      <c r="B45">
        <v>43</v>
      </c>
      <c r="C45" s="4">
        <v>2</v>
      </c>
      <c r="D45" s="4">
        <v>2</v>
      </c>
      <c r="E45" s="4">
        <v>39</v>
      </c>
      <c r="F45" s="4">
        <v>0.9</v>
      </c>
      <c r="G45" s="4">
        <v>5.5</v>
      </c>
      <c r="H45" s="4">
        <v>2</v>
      </c>
      <c r="I45" s="4">
        <v>0</v>
      </c>
      <c r="J45" s="4">
        <v>1</v>
      </c>
    </row>
    <row r="46" spans="2:10" x14ac:dyDescent="0.25">
      <c r="B46">
        <v>44</v>
      </c>
      <c r="C46" s="4">
        <v>1</v>
      </c>
      <c r="D46" s="4">
        <v>1</v>
      </c>
      <c r="E46" s="4">
        <v>45</v>
      </c>
      <c r="F46" s="4">
        <v>0.9</v>
      </c>
      <c r="G46" s="4">
        <v>5.5</v>
      </c>
      <c r="H46" s="4">
        <v>4</v>
      </c>
      <c r="I46" s="4">
        <v>0</v>
      </c>
      <c r="J46" s="4">
        <v>0</v>
      </c>
    </row>
    <row r="47" spans="2:10" x14ac:dyDescent="0.25">
      <c r="B47">
        <v>45</v>
      </c>
      <c r="C47" s="4">
        <v>2</v>
      </c>
      <c r="D47" s="4">
        <v>2</v>
      </c>
      <c r="E47" s="4">
        <v>29</v>
      </c>
      <c r="F47" s="4">
        <v>1.8</v>
      </c>
      <c r="G47" s="4">
        <v>7</v>
      </c>
      <c r="H47" s="4">
        <v>2</v>
      </c>
      <c r="I47" s="4">
        <v>0</v>
      </c>
      <c r="J47" s="4">
        <v>0</v>
      </c>
    </row>
    <row r="48" spans="2:10" x14ac:dyDescent="0.25">
      <c r="B48">
        <v>46</v>
      </c>
      <c r="C48" s="4">
        <v>2</v>
      </c>
      <c r="D48" s="4">
        <v>2</v>
      </c>
      <c r="E48" s="4">
        <v>37</v>
      </c>
      <c r="F48" s="4">
        <v>1.8</v>
      </c>
      <c r="G48" s="4">
        <v>6</v>
      </c>
      <c r="H48" s="4">
        <v>3</v>
      </c>
      <c r="I48" s="4">
        <v>0</v>
      </c>
      <c r="J48" s="4">
        <v>1</v>
      </c>
    </row>
    <row r="49" spans="2:10" x14ac:dyDescent="0.25">
      <c r="B49">
        <v>47</v>
      </c>
      <c r="C49" s="4">
        <v>2</v>
      </c>
      <c r="D49" s="4">
        <v>2</v>
      </c>
      <c r="E49" s="4">
        <v>49</v>
      </c>
      <c r="F49" s="4">
        <v>0.9</v>
      </c>
      <c r="G49" s="4">
        <v>4.5</v>
      </c>
      <c r="H49" s="4">
        <v>9</v>
      </c>
      <c r="I49" s="4">
        <v>0</v>
      </c>
      <c r="J49" s="4">
        <v>1</v>
      </c>
    </row>
    <row r="50" spans="2:10" x14ac:dyDescent="0.25">
      <c r="B50">
        <v>48</v>
      </c>
      <c r="C50" s="4">
        <v>2</v>
      </c>
      <c r="D50" s="4">
        <v>2</v>
      </c>
      <c r="E50" s="4">
        <v>33</v>
      </c>
      <c r="F50" s="4">
        <v>0.9</v>
      </c>
      <c r="G50" s="4">
        <v>6.5</v>
      </c>
      <c r="H50" s="4">
        <v>2</v>
      </c>
      <c r="I50" s="4">
        <v>0</v>
      </c>
      <c r="J50" s="4">
        <v>1</v>
      </c>
    </row>
    <row r="51" spans="2:10" x14ac:dyDescent="0.25">
      <c r="B51">
        <v>49</v>
      </c>
      <c r="C51" s="4">
        <v>3</v>
      </c>
      <c r="D51" s="4">
        <v>3</v>
      </c>
      <c r="E51" s="4">
        <v>27</v>
      </c>
      <c r="F51" s="4">
        <v>1.8</v>
      </c>
      <c r="G51" s="4">
        <v>7</v>
      </c>
      <c r="H51" s="4">
        <v>3</v>
      </c>
      <c r="I51" s="4">
        <v>0</v>
      </c>
      <c r="J51" s="4">
        <v>0</v>
      </c>
    </row>
    <row r="52" spans="2:10" x14ac:dyDescent="0.25">
      <c r="B52">
        <v>50</v>
      </c>
      <c r="C52" s="4">
        <v>2</v>
      </c>
      <c r="D52" s="4">
        <v>2</v>
      </c>
      <c r="E52" s="4">
        <v>49</v>
      </c>
      <c r="F52" s="4">
        <v>1</v>
      </c>
      <c r="G52" s="4">
        <v>5.5</v>
      </c>
      <c r="H52" s="4">
        <v>6</v>
      </c>
      <c r="I52" s="4">
        <v>1</v>
      </c>
      <c r="J52" s="4">
        <v>1</v>
      </c>
    </row>
    <row r="53" spans="2:10" x14ac:dyDescent="0.25">
      <c r="B53">
        <v>51</v>
      </c>
      <c r="C53" s="4">
        <v>4</v>
      </c>
      <c r="D53" s="4">
        <v>4</v>
      </c>
      <c r="E53" s="4">
        <v>46</v>
      </c>
      <c r="F53" s="4">
        <v>1</v>
      </c>
      <c r="G53" s="4">
        <v>6.5</v>
      </c>
      <c r="H53" s="4">
        <v>4</v>
      </c>
      <c r="I53" s="4">
        <v>1</v>
      </c>
      <c r="J53" s="4">
        <v>1</v>
      </c>
    </row>
    <row r="54" spans="2:10" x14ac:dyDescent="0.25">
      <c r="B54">
        <v>52</v>
      </c>
      <c r="C54" s="4">
        <v>4</v>
      </c>
      <c r="D54" s="4">
        <v>4</v>
      </c>
      <c r="E54" s="4">
        <v>54</v>
      </c>
      <c r="F54" s="4">
        <v>1</v>
      </c>
      <c r="G54" s="4">
        <v>6</v>
      </c>
      <c r="H54" s="4">
        <v>7</v>
      </c>
      <c r="I54" s="4">
        <v>1</v>
      </c>
      <c r="J54" s="4">
        <v>1</v>
      </c>
    </row>
    <row r="55" spans="2:10" x14ac:dyDescent="0.25">
      <c r="B55">
        <v>53</v>
      </c>
      <c r="C55" s="4">
        <v>2</v>
      </c>
      <c r="D55" s="4">
        <v>2</v>
      </c>
      <c r="E55" s="4">
        <v>31</v>
      </c>
      <c r="F55" s="4">
        <v>0.9</v>
      </c>
      <c r="G55" s="4">
        <v>6</v>
      </c>
      <c r="H55" s="4">
        <v>3</v>
      </c>
      <c r="I55" s="4">
        <v>0</v>
      </c>
      <c r="J55" s="4">
        <v>0</v>
      </c>
    </row>
    <row r="56" spans="2:10" x14ac:dyDescent="0.25">
      <c r="B56">
        <v>54</v>
      </c>
      <c r="C56" s="4">
        <v>3</v>
      </c>
      <c r="D56" s="4">
        <v>3</v>
      </c>
      <c r="E56" s="4">
        <v>31</v>
      </c>
      <c r="F56" s="4">
        <v>3</v>
      </c>
      <c r="G56" s="4">
        <v>6</v>
      </c>
      <c r="H56" s="4">
        <v>5</v>
      </c>
      <c r="I56" s="4">
        <v>1</v>
      </c>
      <c r="J56" s="4">
        <v>0</v>
      </c>
    </row>
    <row r="57" spans="2:10" x14ac:dyDescent="0.25">
      <c r="B57">
        <v>55</v>
      </c>
      <c r="C57" s="4">
        <v>3</v>
      </c>
      <c r="D57" s="4">
        <v>3</v>
      </c>
      <c r="E57" s="4">
        <v>50</v>
      </c>
      <c r="F57" s="4">
        <v>2</v>
      </c>
      <c r="G57" s="4">
        <v>6.5</v>
      </c>
      <c r="H57" s="4">
        <v>7</v>
      </c>
      <c r="I57" s="4">
        <v>1</v>
      </c>
      <c r="J57" s="4">
        <v>1</v>
      </c>
    </row>
    <row r="58" spans="2:10" x14ac:dyDescent="0.25">
      <c r="B58">
        <v>56</v>
      </c>
      <c r="C58" s="4">
        <v>2</v>
      </c>
      <c r="D58" s="4">
        <v>2</v>
      </c>
      <c r="E58" s="4">
        <v>69</v>
      </c>
      <c r="F58" s="4">
        <v>1</v>
      </c>
      <c r="G58" s="4">
        <v>5.5</v>
      </c>
      <c r="H58" s="4">
        <v>9</v>
      </c>
      <c r="I58" s="4">
        <v>1</v>
      </c>
      <c r="J58" s="4">
        <v>1</v>
      </c>
    </row>
    <row r="59" spans="2:10" x14ac:dyDescent="0.25">
      <c r="B59">
        <v>57</v>
      </c>
      <c r="C59" s="4">
        <v>5</v>
      </c>
      <c r="D59" s="4">
        <v>5</v>
      </c>
      <c r="E59" s="4">
        <v>34</v>
      </c>
      <c r="F59" s="4">
        <v>1</v>
      </c>
      <c r="G59" s="4">
        <v>7</v>
      </c>
      <c r="H59" s="4">
        <v>6</v>
      </c>
      <c r="I59" s="4">
        <v>1</v>
      </c>
      <c r="J59" s="4">
        <v>1</v>
      </c>
    </row>
    <row r="60" spans="2:10" x14ac:dyDescent="0.25">
      <c r="B60">
        <v>58</v>
      </c>
      <c r="C60" s="4">
        <v>4</v>
      </c>
      <c r="D60" s="4">
        <v>4</v>
      </c>
      <c r="E60" s="4">
        <v>62</v>
      </c>
      <c r="F60" s="4">
        <v>2</v>
      </c>
      <c r="G60" s="4">
        <v>5.5</v>
      </c>
      <c r="H60" s="4">
        <v>7</v>
      </c>
      <c r="I60" s="4">
        <v>1</v>
      </c>
      <c r="J60" s="4">
        <v>1</v>
      </c>
    </row>
    <row r="61" spans="2:10" x14ac:dyDescent="0.25">
      <c r="B61">
        <v>59</v>
      </c>
      <c r="C61" s="4">
        <v>3</v>
      </c>
      <c r="D61" s="4">
        <v>3</v>
      </c>
      <c r="E61" s="4">
        <v>49</v>
      </c>
      <c r="F61" s="4">
        <v>1</v>
      </c>
      <c r="G61" s="4">
        <v>7</v>
      </c>
      <c r="H61" s="4">
        <v>5</v>
      </c>
      <c r="I61" s="4">
        <v>1</v>
      </c>
      <c r="J61" s="4">
        <v>0</v>
      </c>
    </row>
    <row r="62" spans="2:10" x14ac:dyDescent="0.25">
      <c r="B62">
        <v>60</v>
      </c>
      <c r="C62" s="4">
        <v>4</v>
      </c>
      <c r="D62" s="4">
        <v>4</v>
      </c>
      <c r="E62" s="4">
        <v>43</v>
      </c>
      <c r="F62" s="4">
        <v>2</v>
      </c>
      <c r="G62" s="4">
        <v>7.5</v>
      </c>
      <c r="H62" s="4">
        <v>4</v>
      </c>
      <c r="I62" s="4">
        <v>1</v>
      </c>
      <c r="J62" s="4">
        <v>1</v>
      </c>
    </row>
    <row r="63" spans="2:10" x14ac:dyDescent="0.25">
      <c r="B63">
        <v>61</v>
      </c>
      <c r="C63" s="4">
        <v>4</v>
      </c>
      <c r="D63" s="4">
        <v>3</v>
      </c>
      <c r="E63" s="4">
        <v>23</v>
      </c>
      <c r="F63" s="4">
        <v>1</v>
      </c>
      <c r="G63" s="4">
        <v>4.5</v>
      </c>
      <c r="H63" s="4">
        <v>11</v>
      </c>
      <c r="I63" s="4">
        <v>1</v>
      </c>
      <c r="J63" s="4">
        <v>1</v>
      </c>
    </row>
    <row r="64" spans="2:10" x14ac:dyDescent="0.25">
      <c r="B64">
        <v>62</v>
      </c>
      <c r="C64" s="4">
        <v>3</v>
      </c>
      <c r="D64" s="4">
        <v>2</v>
      </c>
      <c r="E64" s="4">
        <v>37</v>
      </c>
      <c r="F64" s="4">
        <v>1.2</v>
      </c>
      <c r="G64" s="4">
        <v>5</v>
      </c>
      <c r="H64" s="4">
        <v>4</v>
      </c>
      <c r="I64" s="4">
        <v>0</v>
      </c>
      <c r="J64" s="4">
        <v>0</v>
      </c>
    </row>
    <row r="65" spans="2:10" x14ac:dyDescent="0.25">
      <c r="B65">
        <v>63</v>
      </c>
      <c r="C65" s="4">
        <v>4</v>
      </c>
      <c r="D65" s="4">
        <v>3</v>
      </c>
      <c r="E65" s="4">
        <v>29</v>
      </c>
      <c r="F65" s="4">
        <v>0.9</v>
      </c>
      <c r="G65" s="4">
        <v>4</v>
      </c>
      <c r="H65" s="4">
        <v>2</v>
      </c>
      <c r="I65" s="4">
        <v>1</v>
      </c>
      <c r="J65" s="4">
        <v>1</v>
      </c>
    </row>
    <row r="66" spans="2:10" x14ac:dyDescent="0.25">
      <c r="B66">
        <v>64</v>
      </c>
      <c r="C66" s="4">
        <v>4</v>
      </c>
      <c r="D66" s="4">
        <v>4</v>
      </c>
      <c r="E66" s="4">
        <v>25</v>
      </c>
      <c r="F66" s="4">
        <v>3.2</v>
      </c>
      <c r="G66" s="4">
        <v>6.5</v>
      </c>
      <c r="H66" s="4">
        <v>3</v>
      </c>
      <c r="I66" s="4">
        <v>1</v>
      </c>
      <c r="J66" s="4">
        <v>1</v>
      </c>
    </row>
    <row r="67" spans="2:10" x14ac:dyDescent="0.25">
      <c r="B67">
        <v>65</v>
      </c>
      <c r="C67" s="4">
        <v>5</v>
      </c>
      <c r="D67" s="4">
        <v>1</v>
      </c>
      <c r="E67" s="4">
        <v>25</v>
      </c>
      <c r="F67" s="4">
        <v>4.3</v>
      </c>
      <c r="G67" s="4">
        <v>7.5</v>
      </c>
      <c r="H67" s="4">
        <v>1</v>
      </c>
      <c r="I67" s="4">
        <v>1</v>
      </c>
      <c r="J67" s="4">
        <v>1</v>
      </c>
    </row>
    <row r="68" spans="2:10" x14ac:dyDescent="0.25">
      <c r="B68">
        <v>66</v>
      </c>
      <c r="C68" s="4">
        <v>2</v>
      </c>
      <c r="D68" s="4">
        <v>2</v>
      </c>
      <c r="E68" s="4">
        <v>22</v>
      </c>
      <c r="F68" s="4">
        <v>0.9</v>
      </c>
      <c r="G68" s="4">
        <v>3.5</v>
      </c>
      <c r="H68" s="4">
        <v>1</v>
      </c>
      <c r="I68" s="4">
        <v>0</v>
      </c>
      <c r="J68" s="4">
        <v>0</v>
      </c>
    </row>
    <row r="69" spans="2:10" x14ac:dyDescent="0.25">
      <c r="B69">
        <v>67</v>
      </c>
      <c r="C69" s="4">
        <v>2</v>
      </c>
      <c r="D69" s="4">
        <v>3</v>
      </c>
      <c r="E69" s="4">
        <v>12</v>
      </c>
      <c r="F69" s="4">
        <v>0.75</v>
      </c>
      <c r="G69" s="4">
        <v>3.5</v>
      </c>
      <c r="H69" s="4">
        <v>2</v>
      </c>
      <c r="I69" s="4">
        <v>0</v>
      </c>
      <c r="J69" s="4">
        <v>0</v>
      </c>
    </row>
    <row r="70" spans="2:10" x14ac:dyDescent="0.25">
      <c r="B70">
        <v>68</v>
      </c>
      <c r="C70" s="4">
        <v>2</v>
      </c>
      <c r="D70" s="4">
        <v>2</v>
      </c>
      <c r="E70" s="4">
        <v>16</v>
      </c>
      <c r="F70" s="4">
        <v>0.82</v>
      </c>
      <c r="G70" s="4">
        <v>3</v>
      </c>
      <c r="H70" s="4">
        <v>1</v>
      </c>
      <c r="I70" s="4">
        <v>0</v>
      </c>
      <c r="J70" s="4">
        <v>0</v>
      </c>
    </row>
    <row r="71" spans="2:10" x14ac:dyDescent="0.25">
      <c r="B71">
        <v>69</v>
      </c>
      <c r="C71" s="4">
        <v>5</v>
      </c>
      <c r="D71" s="4">
        <v>5</v>
      </c>
      <c r="E71" s="4">
        <v>43</v>
      </c>
      <c r="F71" s="4">
        <v>3.2</v>
      </c>
      <c r="G71" s="4">
        <v>6</v>
      </c>
      <c r="H71" s="4">
        <v>3</v>
      </c>
      <c r="I71" s="4">
        <v>1</v>
      </c>
      <c r="J71" s="4">
        <v>1</v>
      </c>
    </row>
    <row r="72" spans="2:10" x14ac:dyDescent="0.25">
      <c r="B72">
        <v>70</v>
      </c>
      <c r="C72" s="4">
        <v>5</v>
      </c>
      <c r="D72" s="4">
        <v>5</v>
      </c>
      <c r="E72" s="4">
        <v>30</v>
      </c>
      <c r="F72" s="4">
        <v>3.5</v>
      </c>
      <c r="G72" s="4">
        <v>6</v>
      </c>
      <c r="H72" s="4">
        <v>3</v>
      </c>
      <c r="I72" s="4">
        <v>1</v>
      </c>
      <c r="J72" s="4">
        <v>1</v>
      </c>
    </row>
    <row r="73" spans="2:10" x14ac:dyDescent="0.25">
      <c r="B73">
        <v>71</v>
      </c>
      <c r="C73" s="4">
        <v>5</v>
      </c>
      <c r="D73" s="4">
        <v>5</v>
      </c>
      <c r="E73" s="4">
        <v>34</v>
      </c>
      <c r="F73" s="4">
        <v>2.8</v>
      </c>
      <c r="G73" s="4">
        <v>6.5</v>
      </c>
      <c r="H73" s="4">
        <v>3</v>
      </c>
      <c r="I73" s="4">
        <v>0</v>
      </c>
      <c r="J73" s="4">
        <v>0</v>
      </c>
    </row>
    <row r="74" spans="2:10" x14ac:dyDescent="0.25">
      <c r="B74">
        <v>72</v>
      </c>
      <c r="C74" s="4">
        <v>2</v>
      </c>
      <c r="D74" s="4">
        <v>1</v>
      </c>
      <c r="E74" s="4">
        <v>28</v>
      </c>
      <c r="F74" s="4">
        <v>1.2</v>
      </c>
      <c r="G74" s="4">
        <v>7</v>
      </c>
      <c r="H74" s="4">
        <v>2</v>
      </c>
      <c r="I74" s="4">
        <v>0</v>
      </c>
      <c r="J74" s="4">
        <v>1</v>
      </c>
    </row>
    <row r="75" spans="2:10" x14ac:dyDescent="0.25">
      <c r="B75">
        <v>73</v>
      </c>
      <c r="C75" s="4">
        <v>2</v>
      </c>
      <c r="D75" s="4">
        <v>1</v>
      </c>
      <c r="E75" s="4">
        <v>39</v>
      </c>
      <c r="F75" s="4">
        <v>1.3</v>
      </c>
      <c r="G75" s="4">
        <v>5.5</v>
      </c>
      <c r="H75" s="4">
        <v>2</v>
      </c>
      <c r="I75" s="4">
        <v>0</v>
      </c>
      <c r="J75" s="4">
        <v>1</v>
      </c>
    </row>
    <row r="76" spans="2:10" x14ac:dyDescent="0.25">
      <c r="B76">
        <v>74</v>
      </c>
      <c r="C76" s="4">
        <v>3</v>
      </c>
      <c r="D76" s="4">
        <v>1</v>
      </c>
      <c r="E76" s="4">
        <v>42</v>
      </c>
      <c r="F76" s="4">
        <v>1.5</v>
      </c>
      <c r="G76" s="4">
        <v>4</v>
      </c>
      <c r="H76" s="4">
        <v>3</v>
      </c>
      <c r="I76" s="4">
        <v>1</v>
      </c>
      <c r="J76" s="4">
        <v>0</v>
      </c>
    </row>
    <row r="77" spans="2:10" x14ac:dyDescent="0.25">
      <c r="B77">
        <v>75</v>
      </c>
      <c r="C77" s="4">
        <v>1</v>
      </c>
      <c r="D77" s="4">
        <v>2</v>
      </c>
      <c r="E77" s="4">
        <v>29</v>
      </c>
      <c r="F77" s="4">
        <v>1.8</v>
      </c>
      <c r="G77" s="4">
        <v>6</v>
      </c>
      <c r="H77" s="4">
        <v>1</v>
      </c>
      <c r="I77" s="4">
        <v>1</v>
      </c>
      <c r="J77" s="4">
        <v>0</v>
      </c>
    </row>
    <row r="78" spans="2:10" x14ac:dyDescent="0.25">
      <c r="B78">
        <v>76</v>
      </c>
      <c r="C78" s="4">
        <v>4</v>
      </c>
      <c r="D78" s="4">
        <v>3</v>
      </c>
      <c r="E78" s="4">
        <v>35</v>
      </c>
      <c r="F78" s="4">
        <v>2.5</v>
      </c>
      <c r="G78" s="4">
        <v>6</v>
      </c>
      <c r="H78" s="4">
        <v>4</v>
      </c>
      <c r="I78" s="4">
        <v>1</v>
      </c>
      <c r="J78" s="4">
        <v>1</v>
      </c>
    </row>
    <row r="79" spans="2:10" x14ac:dyDescent="0.25">
      <c r="B79">
        <v>77</v>
      </c>
      <c r="C79" s="4">
        <v>2</v>
      </c>
      <c r="D79" s="4">
        <v>2</v>
      </c>
      <c r="E79" s="4">
        <v>40</v>
      </c>
      <c r="F79" s="4">
        <v>2</v>
      </c>
      <c r="G79" s="4">
        <v>4.5</v>
      </c>
      <c r="H79" s="4">
        <v>1</v>
      </c>
      <c r="I79" s="4">
        <v>0</v>
      </c>
      <c r="J79" s="4">
        <v>1</v>
      </c>
    </row>
    <row r="80" spans="2:10" x14ac:dyDescent="0.25">
      <c r="B80">
        <v>78</v>
      </c>
      <c r="C80" s="4">
        <v>2</v>
      </c>
      <c r="D80" s="4">
        <v>2</v>
      </c>
      <c r="E80" s="4">
        <v>35</v>
      </c>
      <c r="F80" s="4">
        <v>1</v>
      </c>
      <c r="G80" s="4">
        <v>6</v>
      </c>
      <c r="H80" s="4">
        <v>1</v>
      </c>
      <c r="I80" s="4">
        <v>1</v>
      </c>
      <c r="J80" s="4">
        <v>1</v>
      </c>
    </row>
    <row r="81" spans="2:10" x14ac:dyDescent="0.25">
      <c r="B81">
        <v>79</v>
      </c>
      <c r="C81" s="4">
        <v>4</v>
      </c>
      <c r="D81" s="4">
        <v>3</v>
      </c>
      <c r="E81" s="4">
        <v>28</v>
      </c>
      <c r="F81" s="4">
        <v>2</v>
      </c>
      <c r="G81" s="4">
        <v>7</v>
      </c>
      <c r="H81" s="4">
        <v>3</v>
      </c>
      <c r="I81" s="4">
        <v>0</v>
      </c>
      <c r="J81" s="4">
        <v>0</v>
      </c>
    </row>
    <row r="82" spans="2:10" x14ac:dyDescent="0.25">
      <c r="B82">
        <v>80</v>
      </c>
      <c r="C82" s="4">
        <v>3</v>
      </c>
      <c r="D82" s="4">
        <v>2</v>
      </c>
      <c r="E82" s="4">
        <v>50</v>
      </c>
      <c r="F82" s="4">
        <v>1.5</v>
      </c>
      <c r="G82" s="4">
        <v>5.5</v>
      </c>
      <c r="H82" s="4">
        <v>6</v>
      </c>
      <c r="I82" s="4">
        <v>1</v>
      </c>
      <c r="J82" s="4">
        <v>1</v>
      </c>
    </row>
    <row r="83" spans="2:10" x14ac:dyDescent="0.25">
      <c r="B83">
        <v>81</v>
      </c>
      <c r="C83" s="4">
        <v>5</v>
      </c>
      <c r="D83" s="4">
        <v>4</v>
      </c>
      <c r="E83" s="4">
        <v>47</v>
      </c>
      <c r="F83" s="4">
        <v>1.5</v>
      </c>
      <c r="G83" s="4">
        <v>6.5</v>
      </c>
      <c r="H83" s="4">
        <v>4</v>
      </c>
      <c r="I83" s="4">
        <v>1</v>
      </c>
      <c r="J83" s="4">
        <v>1</v>
      </c>
    </row>
    <row r="84" spans="2:10" x14ac:dyDescent="0.25">
      <c r="B84">
        <v>82</v>
      </c>
      <c r="C84" s="4">
        <v>5</v>
      </c>
      <c r="D84" s="4">
        <v>4</v>
      </c>
      <c r="E84" s="4">
        <v>55</v>
      </c>
      <c r="F84" s="4">
        <v>1.3</v>
      </c>
      <c r="G84" s="4">
        <v>6</v>
      </c>
      <c r="H84" s="4">
        <v>7</v>
      </c>
      <c r="I84" s="4">
        <v>1</v>
      </c>
      <c r="J84" s="4">
        <v>1</v>
      </c>
    </row>
    <row r="85" spans="2:10" x14ac:dyDescent="0.25">
      <c r="B85">
        <v>83</v>
      </c>
      <c r="C85" s="4">
        <v>1</v>
      </c>
      <c r="D85" s="4">
        <v>1</v>
      </c>
      <c r="E85" s="4">
        <v>32</v>
      </c>
      <c r="F85" s="4">
        <v>1</v>
      </c>
      <c r="G85" s="4">
        <v>6</v>
      </c>
      <c r="H85" s="4">
        <v>3</v>
      </c>
      <c r="I85" s="4">
        <v>0</v>
      </c>
      <c r="J85" s="4">
        <v>0</v>
      </c>
    </row>
    <row r="86" spans="2:10" x14ac:dyDescent="0.25">
      <c r="B86">
        <v>84</v>
      </c>
      <c r="C86" s="4">
        <v>2</v>
      </c>
      <c r="D86" s="4">
        <v>2</v>
      </c>
      <c r="E86" s="4">
        <v>31</v>
      </c>
      <c r="F86" s="4">
        <v>3</v>
      </c>
      <c r="G86" s="4">
        <v>6</v>
      </c>
      <c r="H86" s="4">
        <v>5</v>
      </c>
      <c r="I86" s="4">
        <v>0</v>
      </c>
      <c r="J86" s="4">
        <v>0</v>
      </c>
    </row>
    <row r="87" spans="2:10" x14ac:dyDescent="0.25">
      <c r="B87">
        <v>85</v>
      </c>
      <c r="C87" s="4">
        <v>3</v>
      </c>
      <c r="D87" s="4">
        <v>2</v>
      </c>
      <c r="E87" s="4">
        <v>47</v>
      </c>
      <c r="F87" s="4">
        <v>3</v>
      </c>
      <c r="G87" s="4">
        <v>8</v>
      </c>
      <c r="H87" s="4">
        <v>2</v>
      </c>
      <c r="I87" s="4">
        <v>1</v>
      </c>
      <c r="J87" s="4">
        <v>0</v>
      </c>
    </row>
    <row r="88" spans="2:10" x14ac:dyDescent="0.25">
      <c r="B88">
        <v>86</v>
      </c>
      <c r="C88" s="4">
        <v>2</v>
      </c>
      <c r="D88" s="4">
        <v>2</v>
      </c>
      <c r="E88" s="4">
        <v>69</v>
      </c>
      <c r="F88" s="4">
        <v>1</v>
      </c>
      <c r="G88" s="4">
        <v>5.5</v>
      </c>
      <c r="H88" s="4">
        <v>9</v>
      </c>
      <c r="I88" s="4">
        <v>0</v>
      </c>
      <c r="J88" s="4">
        <v>0</v>
      </c>
    </row>
    <row r="89" spans="2:10" x14ac:dyDescent="0.25">
      <c r="B89">
        <v>87</v>
      </c>
      <c r="C89" s="4">
        <v>5</v>
      </c>
      <c r="D89" s="4">
        <v>5</v>
      </c>
      <c r="E89" s="4">
        <v>34</v>
      </c>
      <c r="F89" s="4">
        <v>4</v>
      </c>
      <c r="G89" s="4">
        <v>7</v>
      </c>
      <c r="H89" s="4">
        <v>6</v>
      </c>
      <c r="I89" s="4">
        <v>1</v>
      </c>
      <c r="J89" s="4">
        <v>1</v>
      </c>
    </row>
    <row r="90" spans="2:10" x14ac:dyDescent="0.25">
      <c r="B90">
        <v>88</v>
      </c>
      <c r="C90" s="4">
        <v>4</v>
      </c>
      <c r="D90" s="4">
        <v>4</v>
      </c>
      <c r="E90" s="4">
        <v>62</v>
      </c>
      <c r="F90" s="4">
        <v>3.6</v>
      </c>
      <c r="G90" s="4">
        <v>5.5</v>
      </c>
      <c r="H90" s="4">
        <v>7</v>
      </c>
      <c r="I90" s="4">
        <v>1</v>
      </c>
      <c r="J90" s="4">
        <v>1</v>
      </c>
    </row>
    <row r="91" spans="2:10" x14ac:dyDescent="0.25">
      <c r="B91">
        <v>89</v>
      </c>
      <c r="C91" s="4">
        <v>3</v>
      </c>
      <c r="D91" s="4">
        <v>3</v>
      </c>
      <c r="E91" s="4">
        <v>49</v>
      </c>
      <c r="F91" s="4">
        <v>2</v>
      </c>
      <c r="G91" s="4">
        <v>7</v>
      </c>
      <c r="H91" s="4">
        <v>5</v>
      </c>
      <c r="I91" s="4">
        <v>1</v>
      </c>
      <c r="J91" s="4">
        <v>0</v>
      </c>
    </row>
    <row r="92" spans="2:10" x14ac:dyDescent="0.25">
      <c r="B92">
        <v>90</v>
      </c>
      <c r="C92" s="4">
        <v>4</v>
      </c>
      <c r="D92" s="4">
        <v>4</v>
      </c>
      <c r="E92" s="4">
        <v>43</v>
      </c>
      <c r="F92" s="4">
        <v>1.5</v>
      </c>
      <c r="G92" s="4">
        <v>9</v>
      </c>
      <c r="H92" s="4">
        <v>4</v>
      </c>
      <c r="I92" s="4">
        <v>1</v>
      </c>
      <c r="J92" s="4">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92"/>
  <sheetViews>
    <sheetView workbookViewId="0">
      <selection activeCell="K30" sqref="K30"/>
    </sheetView>
  </sheetViews>
  <sheetFormatPr defaultRowHeight="15" x14ac:dyDescent="0.25"/>
  <cols>
    <col min="4" max="4" width="12.5703125" bestFit="1" customWidth="1"/>
    <col min="5" max="5" width="30.42578125" bestFit="1" customWidth="1"/>
    <col min="6" max="6" width="12.7109375" bestFit="1" customWidth="1"/>
    <col min="7" max="7" width="12.42578125" bestFit="1" customWidth="1"/>
  </cols>
  <sheetData>
    <row r="1" spans="1:11" ht="15.75" thickBot="1" x14ac:dyDescent="0.3"/>
    <row r="2" spans="1:11" ht="60" x14ac:dyDescent="0.25">
      <c r="A2" s="1" t="s">
        <v>0</v>
      </c>
      <c r="B2" s="2" t="s">
        <v>2</v>
      </c>
      <c r="D2" s="7" t="s">
        <v>9</v>
      </c>
      <c r="E2" s="8"/>
      <c r="F2" s="46" t="s">
        <v>122</v>
      </c>
      <c r="G2" s="46" t="s">
        <v>123</v>
      </c>
      <c r="H2" s="46" t="s">
        <v>124</v>
      </c>
      <c r="I2" s="46" t="s">
        <v>125</v>
      </c>
      <c r="J2" s="9"/>
      <c r="K2" s="10"/>
    </row>
    <row r="3" spans="1:11" x14ac:dyDescent="0.25">
      <c r="A3">
        <v>1</v>
      </c>
      <c r="B3" s="4">
        <v>4</v>
      </c>
      <c r="D3" s="11" t="s">
        <v>10</v>
      </c>
      <c r="E3" s="6"/>
      <c r="F3" s="4"/>
      <c r="G3" s="4"/>
      <c r="H3" s="4"/>
      <c r="I3" s="4"/>
      <c r="J3" s="4"/>
      <c r="K3" s="12"/>
    </row>
    <row r="4" spans="1:11" ht="15.75" thickBot="1" x14ac:dyDescent="0.3">
      <c r="A4">
        <v>2</v>
      </c>
      <c r="B4" s="4">
        <v>4</v>
      </c>
      <c r="D4" s="13" t="s">
        <v>11</v>
      </c>
      <c r="E4" s="14"/>
      <c r="F4" s="47"/>
      <c r="G4" s="48"/>
      <c r="H4" s="48"/>
      <c r="I4" s="48"/>
      <c r="J4" s="48"/>
      <c r="K4" s="49"/>
    </row>
    <row r="5" spans="1:11" x14ac:dyDescent="0.25">
      <c r="A5">
        <v>3</v>
      </c>
      <c r="B5" s="4">
        <v>5</v>
      </c>
    </row>
    <row r="6" spans="1:11" x14ac:dyDescent="0.25">
      <c r="A6">
        <v>4</v>
      </c>
      <c r="B6" s="4">
        <v>3</v>
      </c>
    </row>
    <row r="7" spans="1:11" x14ac:dyDescent="0.25">
      <c r="A7">
        <v>5</v>
      </c>
      <c r="B7" s="4">
        <v>4</v>
      </c>
      <c r="D7" s="15" t="s">
        <v>12</v>
      </c>
      <c r="E7" t="s">
        <v>14</v>
      </c>
      <c r="G7" t="s">
        <v>69</v>
      </c>
    </row>
    <row r="8" spans="1:11" x14ac:dyDescent="0.25">
      <c r="A8">
        <v>6</v>
      </c>
      <c r="B8" s="4">
        <v>2</v>
      </c>
      <c r="D8" s="16">
        <v>1</v>
      </c>
      <c r="E8">
        <v>13</v>
      </c>
    </row>
    <row r="9" spans="1:11" x14ac:dyDescent="0.25">
      <c r="A9">
        <v>7</v>
      </c>
      <c r="B9" s="4">
        <v>1</v>
      </c>
      <c r="D9" s="16">
        <v>2</v>
      </c>
      <c r="E9">
        <v>25</v>
      </c>
    </row>
    <row r="10" spans="1:11" x14ac:dyDescent="0.25">
      <c r="A10">
        <v>8</v>
      </c>
      <c r="B10" s="4">
        <v>3</v>
      </c>
      <c r="D10" s="16">
        <v>3</v>
      </c>
      <c r="E10">
        <v>20</v>
      </c>
    </row>
    <row r="11" spans="1:11" x14ac:dyDescent="0.25">
      <c r="A11">
        <v>9</v>
      </c>
      <c r="B11" s="4">
        <v>2</v>
      </c>
      <c r="D11" s="16">
        <v>4</v>
      </c>
      <c r="E11">
        <v>22</v>
      </c>
    </row>
    <row r="12" spans="1:11" x14ac:dyDescent="0.25">
      <c r="A12">
        <v>10</v>
      </c>
      <c r="B12" s="4">
        <v>3</v>
      </c>
      <c r="D12" s="16">
        <v>5</v>
      </c>
      <c r="E12">
        <v>10</v>
      </c>
    </row>
    <row r="13" spans="1:11" x14ac:dyDescent="0.25">
      <c r="A13">
        <v>11</v>
      </c>
      <c r="B13" s="4">
        <v>1</v>
      </c>
      <c r="D13" s="16" t="s">
        <v>13</v>
      </c>
      <c r="E13">
        <v>90</v>
      </c>
    </row>
    <row r="14" spans="1:11" x14ac:dyDescent="0.25">
      <c r="A14">
        <v>12</v>
      </c>
      <c r="B14" s="4">
        <v>2</v>
      </c>
    </row>
    <row r="15" spans="1:11" x14ac:dyDescent="0.25">
      <c r="A15">
        <v>13</v>
      </c>
      <c r="B15" s="4">
        <v>5</v>
      </c>
      <c r="D15" t="s">
        <v>12</v>
      </c>
      <c r="E15" t="s">
        <v>14</v>
      </c>
      <c r="F15" t="s">
        <v>15</v>
      </c>
      <c r="G15" t="s">
        <v>16</v>
      </c>
      <c r="H15" t="s">
        <v>17</v>
      </c>
    </row>
    <row r="16" spans="1:11" x14ac:dyDescent="0.25">
      <c r="A16">
        <v>14</v>
      </c>
      <c r="B16" s="4">
        <v>4</v>
      </c>
      <c r="D16">
        <v>1</v>
      </c>
      <c r="E16">
        <v>13</v>
      </c>
      <c r="F16">
        <v>0.2</v>
      </c>
      <c r="G16">
        <f>$E$21*F16</f>
        <v>18</v>
      </c>
      <c r="H16">
        <f>(E16-G16)^2/G16</f>
        <v>1.3888888888888888</v>
      </c>
    </row>
    <row r="17" spans="1:9" x14ac:dyDescent="0.25">
      <c r="A17">
        <v>15</v>
      </c>
      <c r="B17" s="4">
        <v>1</v>
      </c>
      <c r="D17">
        <v>2</v>
      </c>
      <c r="E17">
        <v>25</v>
      </c>
      <c r="F17">
        <v>0.2</v>
      </c>
      <c r="G17">
        <f t="shared" ref="G17:G20" si="0">$E$21*F17</f>
        <v>18</v>
      </c>
      <c r="H17">
        <f t="shared" ref="H17:H20" si="1">(E17-G17)^2/G17</f>
        <v>2.7222222222222223</v>
      </c>
    </row>
    <row r="18" spans="1:9" x14ac:dyDescent="0.25">
      <c r="A18">
        <v>16</v>
      </c>
      <c r="B18" s="4">
        <v>4</v>
      </c>
      <c r="D18">
        <v>3</v>
      </c>
      <c r="E18">
        <v>20</v>
      </c>
      <c r="F18">
        <v>0.2</v>
      </c>
      <c r="G18">
        <f t="shared" si="0"/>
        <v>18</v>
      </c>
      <c r="H18">
        <f t="shared" si="1"/>
        <v>0.22222222222222221</v>
      </c>
    </row>
    <row r="19" spans="1:9" x14ac:dyDescent="0.25">
      <c r="A19">
        <v>17</v>
      </c>
      <c r="B19" s="4">
        <v>4</v>
      </c>
      <c r="D19">
        <v>4</v>
      </c>
      <c r="E19">
        <v>22</v>
      </c>
      <c r="F19">
        <v>0.2</v>
      </c>
      <c r="G19">
        <f t="shared" si="0"/>
        <v>18</v>
      </c>
      <c r="H19">
        <f t="shared" si="1"/>
        <v>0.88888888888888884</v>
      </c>
    </row>
    <row r="20" spans="1:9" x14ac:dyDescent="0.25">
      <c r="A20">
        <v>18</v>
      </c>
      <c r="B20" s="4">
        <v>5</v>
      </c>
      <c r="D20" s="18">
        <v>5</v>
      </c>
      <c r="E20" s="18">
        <v>10</v>
      </c>
      <c r="F20" s="18">
        <v>0.2</v>
      </c>
      <c r="G20" s="18">
        <f t="shared" si="0"/>
        <v>18</v>
      </c>
      <c r="H20" s="18">
        <f t="shared" si="1"/>
        <v>3.5555555555555554</v>
      </c>
    </row>
    <row r="21" spans="1:9" x14ac:dyDescent="0.25">
      <c r="A21">
        <v>19</v>
      </c>
      <c r="B21" s="4">
        <v>1</v>
      </c>
      <c r="D21" t="s">
        <v>13</v>
      </c>
      <c r="E21">
        <v>90</v>
      </c>
      <c r="F21">
        <f>SUM(F16:F20)</f>
        <v>1</v>
      </c>
      <c r="G21">
        <f>SUM(G16:G20)</f>
        <v>90</v>
      </c>
      <c r="H21" s="17">
        <f>SUM(H16:H20)</f>
        <v>8.7777777777777768</v>
      </c>
      <c r="I21" t="s">
        <v>17</v>
      </c>
    </row>
    <row r="22" spans="1:9" x14ac:dyDescent="0.25">
      <c r="A22">
        <v>20</v>
      </c>
      <c r="B22" s="4">
        <v>1</v>
      </c>
      <c r="H22">
        <f>_xlfn.CHISQ.DIST.RT(H21, (5-1))</f>
        <v>6.6900444456060776E-2</v>
      </c>
      <c r="I22" t="s">
        <v>18</v>
      </c>
    </row>
    <row r="23" spans="1:9" x14ac:dyDescent="0.25">
      <c r="A23">
        <v>21</v>
      </c>
      <c r="B23" s="4">
        <v>3</v>
      </c>
      <c r="E23" s="50" t="s">
        <v>19</v>
      </c>
      <c r="F23" s="51"/>
      <c r="G23" s="51"/>
      <c r="H23" s="51"/>
      <c r="I23" s="52"/>
    </row>
    <row r="24" spans="1:9" x14ac:dyDescent="0.25">
      <c r="A24">
        <v>22</v>
      </c>
      <c r="B24" s="4">
        <v>2</v>
      </c>
      <c r="E24" s="31" t="s">
        <v>20</v>
      </c>
      <c r="F24" s="66"/>
      <c r="G24" s="66"/>
      <c r="H24" s="66"/>
      <c r="I24" s="32"/>
    </row>
    <row r="25" spans="1:9" x14ac:dyDescent="0.25">
      <c r="A25">
        <v>23</v>
      </c>
      <c r="B25" s="4">
        <v>4</v>
      </c>
      <c r="E25" s="31" t="s">
        <v>21</v>
      </c>
      <c r="F25" s="66"/>
      <c r="G25" s="66"/>
      <c r="H25" s="66"/>
      <c r="I25" s="32"/>
    </row>
    <row r="26" spans="1:9" x14ac:dyDescent="0.25">
      <c r="A26">
        <v>24</v>
      </c>
      <c r="B26" s="4">
        <v>5</v>
      </c>
      <c r="E26" s="31"/>
      <c r="F26" s="66"/>
      <c r="G26" s="66"/>
      <c r="H26" s="66"/>
      <c r="I26" s="32"/>
    </row>
    <row r="27" spans="1:9" x14ac:dyDescent="0.25">
      <c r="A27">
        <v>25</v>
      </c>
      <c r="B27" s="4">
        <v>4</v>
      </c>
      <c r="E27" s="31" t="s">
        <v>22</v>
      </c>
      <c r="F27" s="66"/>
      <c r="G27" s="66"/>
      <c r="H27" s="66"/>
      <c r="I27" s="32"/>
    </row>
    <row r="28" spans="1:9" x14ac:dyDescent="0.25">
      <c r="A28">
        <v>26</v>
      </c>
      <c r="B28" s="4">
        <v>3</v>
      </c>
      <c r="E28" s="31"/>
      <c r="F28" s="66"/>
      <c r="G28" s="66"/>
      <c r="H28" s="66"/>
      <c r="I28" s="32"/>
    </row>
    <row r="29" spans="1:9" x14ac:dyDescent="0.25">
      <c r="A29">
        <v>27</v>
      </c>
      <c r="B29" s="4">
        <v>3</v>
      </c>
      <c r="E29" s="31" t="s">
        <v>23</v>
      </c>
      <c r="F29" s="66"/>
      <c r="G29" s="66"/>
      <c r="H29" s="66"/>
      <c r="I29" s="32"/>
    </row>
    <row r="30" spans="1:9" x14ac:dyDescent="0.25">
      <c r="A30">
        <v>28</v>
      </c>
      <c r="B30" s="4">
        <v>4</v>
      </c>
      <c r="E30" s="31" t="s">
        <v>24</v>
      </c>
      <c r="F30" s="66"/>
      <c r="G30" s="66"/>
      <c r="H30" s="66"/>
      <c r="I30" s="32"/>
    </row>
    <row r="31" spans="1:9" x14ac:dyDescent="0.25">
      <c r="A31">
        <v>29</v>
      </c>
      <c r="B31" s="4">
        <v>2</v>
      </c>
      <c r="E31" s="31"/>
      <c r="F31" s="66"/>
      <c r="G31" s="66"/>
      <c r="H31" s="66"/>
      <c r="I31" s="32"/>
    </row>
    <row r="32" spans="1:9" x14ac:dyDescent="0.25">
      <c r="A32">
        <v>30</v>
      </c>
      <c r="B32" s="4">
        <v>4</v>
      </c>
      <c r="E32" s="31" t="s">
        <v>25</v>
      </c>
      <c r="F32" s="66"/>
      <c r="G32" s="66"/>
      <c r="H32" s="66"/>
      <c r="I32" s="32"/>
    </row>
    <row r="33" spans="1:9" x14ac:dyDescent="0.25">
      <c r="A33">
        <v>31</v>
      </c>
      <c r="B33" s="4">
        <v>4</v>
      </c>
      <c r="E33" s="31" t="str">
        <f>IF(0.01 &gt;H22, "REJECT Ho", "Do not REJECT Ho")</f>
        <v>Do not REJECT Ho</v>
      </c>
      <c r="F33" s="66" t="str">
        <f>IF(0.05 &gt;H22, "REJECT Ho", "Do not REJECT Ho")</f>
        <v>Do not REJECT Ho</v>
      </c>
      <c r="G33" s="66"/>
      <c r="H33" s="66"/>
      <c r="I33" s="32"/>
    </row>
    <row r="34" spans="1:9" x14ac:dyDescent="0.25">
      <c r="A34">
        <v>32</v>
      </c>
      <c r="B34" s="4">
        <v>2</v>
      </c>
      <c r="E34" s="31"/>
      <c r="F34" s="66"/>
      <c r="G34" s="66"/>
      <c r="H34" s="66"/>
      <c r="I34" s="32"/>
    </row>
    <row r="35" spans="1:9" x14ac:dyDescent="0.25">
      <c r="A35">
        <v>33</v>
      </c>
      <c r="B35" s="4">
        <v>3</v>
      </c>
      <c r="E35" s="34" t="s">
        <v>26</v>
      </c>
      <c r="F35" s="18"/>
      <c r="G35" s="18"/>
      <c r="H35" s="18"/>
      <c r="I35" s="35"/>
    </row>
    <row r="36" spans="1:9" x14ac:dyDescent="0.25">
      <c r="A36">
        <v>34</v>
      </c>
      <c r="B36" s="4">
        <v>2</v>
      </c>
    </row>
    <row r="37" spans="1:9" x14ac:dyDescent="0.25">
      <c r="A37">
        <v>35</v>
      </c>
      <c r="B37" s="4">
        <v>3</v>
      </c>
    </row>
    <row r="38" spans="1:9" x14ac:dyDescent="0.25">
      <c r="A38">
        <v>36</v>
      </c>
      <c r="B38" s="4">
        <v>3</v>
      </c>
    </row>
    <row r="39" spans="1:9" x14ac:dyDescent="0.25">
      <c r="A39">
        <v>37</v>
      </c>
      <c r="B39" s="4">
        <v>4</v>
      </c>
    </row>
    <row r="40" spans="1:9" x14ac:dyDescent="0.25">
      <c r="A40">
        <v>38</v>
      </c>
      <c r="B40" s="4">
        <v>4</v>
      </c>
    </row>
    <row r="41" spans="1:9" x14ac:dyDescent="0.25">
      <c r="A41">
        <v>39</v>
      </c>
      <c r="B41" s="4">
        <v>5</v>
      </c>
    </row>
    <row r="42" spans="1:9" x14ac:dyDescent="0.25">
      <c r="A42">
        <v>40</v>
      </c>
      <c r="B42" s="4">
        <v>1</v>
      </c>
    </row>
    <row r="43" spans="1:9" x14ac:dyDescent="0.25">
      <c r="A43">
        <v>41</v>
      </c>
      <c r="B43" s="4">
        <v>3</v>
      </c>
    </row>
    <row r="44" spans="1:9" x14ac:dyDescent="0.25">
      <c r="A44">
        <v>42</v>
      </c>
      <c r="B44" s="4">
        <v>1</v>
      </c>
    </row>
    <row r="45" spans="1:9" x14ac:dyDescent="0.25">
      <c r="A45">
        <v>43</v>
      </c>
      <c r="B45" s="4">
        <v>2</v>
      </c>
    </row>
    <row r="46" spans="1:9" x14ac:dyDescent="0.25">
      <c r="A46">
        <v>44</v>
      </c>
      <c r="B46" s="4">
        <v>1</v>
      </c>
    </row>
    <row r="47" spans="1:9" x14ac:dyDescent="0.25">
      <c r="A47">
        <v>45</v>
      </c>
      <c r="B47" s="4">
        <v>2</v>
      </c>
    </row>
    <row r="48" spans="1:9" x14ac:dyDescent="0.25">
      <c r="A48">
        <v>46</v>
      </c>
      <c r="B48" s="4">
        <v>2</v>
      </c>
    </row>
    <row r="49" spans="1:2" x14ac:dyDescent="0.25">
      <c r="A49">
        <v>47</v>
      </c>
      <c r="B49" s="4">
        <v>2</v>
      </c>
    </row>
    <row r="50" spans="1:2" x14ac:dyDescent="0.25">
      <c r="A50">
        <v>48</v>
      </c>
      <c r="B50" s="4">
        <v>2</v>
      </c>
    </row>
    <row r="51" spans="1:2" x14ac:dyDescent="0.25">
      <c r="A51">
        <v>49</v>
      </c>
      <c r="B51" s="4">
        <v>3</v>
      </c>
    </row>
    <row r="52" spans="1:2" x14ac:dyDescent="0.25">
      <c r="A52">
        <v>50</v>
      </c>
      <c r="B52" s="4">
        <v>2</v>
      </c>
    </row>
    <row r="53" spans="1:2" x14ac:dyDescent="0.25">
      <c r="A53">
        <v>51</v>
      </c>
      <c r="B53" s="4">
        <v>4</v>
      </c>
    </row>
    <row r="54" spans="1:2" x14ac:dyDescent="0.25">
      <c r="A54">
        <v>52</v>
      </c>
      <c r="B54" s="4">
        <v>4</v>
      </c>
    </row>
    <row r="55" spans="1:2" x14ac:dyDescent="0.25">
      <c r="A55">
        <v>53</v>
      </c>
      <c r="B55" s="4">
        <v>2</v>
      </c>
    </row>
    <row r="56" spans="1:2" x14ac:dyDescent="0.25">
      <c r="A56">
        <v>54</v>
      </c>
      <c r="B56" s="4">
        <v>3</v>
      </c>
    </row>
    <row r="57" spans="1:2" x14ac:dyDescent="0.25">
      <c r="A57">
        <v>55</v>
      </c>
      <c r="B57" s="4">
        <v>3</v>
      </c>
    </row>
    <row r="58" spans="1:2" x14ac:dyDescent="0.25">
      <c r="A58">
        <v>56</v>
      </c>
      <c r="B58" s="4">
        <v>2</v>
      </c>
    </row>
    <row r="59" spans="1:2" x14ac:dyDescent="0.25">
      <c r="A59">
        <v>57</v>
      </c>
      <c r="B59" s="4">
        <v>5</v>
      </c>
    </row>
    <row r="60" spans="1:2" x14ac:dyDescent="0.25">
      <c r="A60">
        <v>58</v>
      </c>
      <c r="B60" s="4">
        <v>4</v>
      </c>
    </row>
    <row r="61" spans="1:2" x14ac:dyDescent="0.25">
      <c r="A61">
        <v>59</v>
      </c>
      <c r="B61" s="4">
        <v>3</v>
      </c>
    </row>
    <row r="62" spans="1:2" x14ac:dyDescent="0.25">
      <c r="A62">
        <v>60</v>
      </c>
      <c r="B62" s="4">
        <v>4</v>
      </c>
    </row>
    <row r="63" spans="1:2" x14ac:dyDescent="0.25">
      <c r="A63">
        <v>61</v>
      </c>
      <c r="B63" s="4">
        <v>3</v>
      </c>
    </row>
    <row r="64" spans="1:2" x14ac:dyDescent="0.25">
      <c r="A64">
        <v>62</v>
      </c>
      <c r="B64" s="4">
        <v>2</v>
      </c>
    </row>
    <row r="65" spans="1:2" x14ac:dyDescent="0.25">
      <c r="A65">
        <v>63</v>
      </c>
      <c r="B65" s="4">
        <v>3</v>
      </c>
    </row>
    <row r="66" spans="1:2" x14ac:dyDescent="0.25">
      <c r="A66">
        <v>64</v>
      </c>
      <c r="B66" s="4">
        <v>4</v>
      </c>
    </row>
    <row r="67" spans="1:2" x14ac:dyDescent="0.25">
      <c r="A67">
        <v>65</v>
      </c>
      <c r="B67" s="4">
        <v>1</v>
      </c>
    </row>
    <row r="68" spans="1:2" x14ac:dyDescent="0.25">
      <c r="A68">
        <v>66</v>
      </c>
      <c r="B68" s="4">
        <v>2</v>
      </c>
    </row>
    <row r="69" spans="1:2" x14ac:dyDescent="0.25">
      <c r="A69">
        <v>67</v>
      </c>
      <c r="B69" s="4">
        <v>3</v>
      </c>
    </row>
    <row r="70" spans="1:2" x14ac:dyDescent="0.25">
      <c r="A70">
        <v>68</v>
      </c>
      <c r="B70" s="4">
        <v>2</v>
      </c>
    </row>
    <row r="71" spans="1:2" x14ac:dyDescent="0.25">
      <c r="A71">
        <v>69</v>
      </c>
      <c r="B71" s="4">
        <v>5</v>
      </c>
    </row>
    <row r="72" spans="1:2" x14ac:dyDescent="0.25">
      <c r="A72">
        <v>70</v>
      </c>
      <c r="B72" s="4">
        <v>5</v>
      </c>
    </row>
    <row r="73" spans="1:2" x14ac:dyDescent="0.25">
      <c r="A73">
        <v>71</v>
      </c>
      <c r="B73" s="4">
        <v>5</v>
      </c>
    </row>
    <row r="74" spans="1:2" x14ac:dyDescent="0.25">
      <c r="A74">
        <v>72</v>
      </c>
      <c r="B74" s="4">
        <v>1</v>
      </c>
    </row>
    <row r="75" spans="1:2" x14ac:dyDescent="0.25">
      <c r="A75">
        <v>73</v>
      </c>
      <c r="B75" s="4">
        <v>1</v>
      </c>
    </row>
    <row r="76" spans="1:2" x14ac:dyDescent="0.25">
      <c r="A76">
        <v>74</v>
      </c>
      <c r="B76" s="4">
        <v>1</v>
      </c>
    </row>
    <row r="77" spans="1:2" x14ac:dyDescent="0.25">
      <c r="A77">
        <v>75</v>
      </c>
      <c r="B77" s="4">
        <v>2</v>
      </c>
    </row>
    <row r="78" spans="1:2" x14ac:dyDescent="0.25">
      <c r="A78">
        <v>76</v>
      </c>
      <c r="B78" s="4">
        <v>3</v>
      </c>
    </row>
    <row r="79" spans="1:2" x14ac:dyDescent="0.25">
      <c r="A79">
        <v>77</v>
      </c>
      <c r="B79" s="4">
        <v>2</v>
      </c>
    </row>
    <row r="80" spans="1:2" x14ac:dyDescent="0.25">
      <c r="A80">
        <v>78</v>
      </c>
      <c r="B80" s="4">
        <v>2</v>
      </c>
    </row>
    <row r="81" spans="1:2" x14ac:dyDescent="0.25">
      <c r="A81">
        <v>79</v>
      </c>
      <c r="B81" s="4">
        <v>3</v>
      </c>
    </row>
    <row r="82" spans="1:2" x14ac:dyDescent="0.25">
      <c r="A82">
        <v>80</v>
      </c>
      <c r="B82" s="4">
        <v>2</v>
      </c>
    </row>
    <row r="83" spans="1:2" x14ac:dyDescent="0.25">
      <c r="A83">
        <v>81</v>
      </c>
      <c r="B83" s="4">
        <v>4</v>
      </c>
    </row>
    <row r="84" spans="1:2" x14ac:dyDescent="0.25">
      <c r="A84">
        <v>82</v>
      </c>
      <c r="B84" s="4">
        <v>4</v>
      </c>
    </row>
    <row r="85" spans="1:2" x14ac:dyDescent="0.25">
      <c r="A85">
        <v>83</v>
      </c>
      <c r="B85" s="4">
        <v>1</v>
      </c>
    </row>
    <row r="86" spans="1:2" x14ac:dyDescent="0.25">
      <c r="A86">
        <v>84</v>
      </c>
      <c r="B86" s="4">
        <v>2</v>
      </c>
    </row>
    <row r="87" spans="1:2" x14ac:dyDescent="0.25">
      <c r="A87">
        <v>85</v>
      </c>
      <c r="B87" s="4">
        <v>2</v>
      </c>
    </row>
    <row r="88" spans="1:2" x14ac:dyDescent="0.25">
      <c r="A88">
        <v>86</v>
      </c>
      <c r="B88" s="4">
        <v>2</v>
      </c>
    </row>
    <row r="89" spans="1:2" x14ac:dyDescent="0.25">
      <c r="A89">
        <v>87</v>
      </c>
      <c r="B89" s="4">
        <v>5</v>
      </c>
    </row>
    <row r="90" spans="1:2" x14ac:dyDescent="0.25">
      <c r="A90">
        <v>88</v>
      </c>
      <c r="B90" s="4">
        <v>4</v>
      </c>
    </row>
    <row r="91" spans="1:2" x14ac:dyDescent="0.25">
      <c r="A91">
        <v>89</v>
      </c>
      <c r="B91" s="4">
        <v>3</v>
      </c>
    </row>
    <row r="92" spans="1:2" x14ac:dyDescent="0.25">
      <c r="A92">
        <v>90</v>
      </c>
      <c r="B92" s="4">
        <v>4</v>
      </c>
    </row>
  </sheetData>
  <mergeCells count="2">
    <mergeCell ref="F4:K4"/>
    <mergeCell ref="E23:I2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3FE6B-56E2-431A-9EBC-50E903B65116}">
  <dimension ref="B2:O92"/>
  <sheetViews>
    <sheetView topLeftCell="A2" workbookViewId="0">
      <selection activeCell="L10" sqref="L10"/>
    </sheetView>
  </sheetViews>
  <sheetFormatPr defaultRowHeight="15" x14ac:dyDescent="0.25"/>
  <cols>
    <col min="9" max="9" width="46.28515625" bestFit="1" customWidth="1"/>
    <col min="10" max="10" width="18.7109375" bestFit="1" customWidth="1"/>
    <col min="11" max="11" width="22.42578125" bestFit="1" customWidth="1"/>
    <col min="12" max="12" width="16.140625" bestFit="1" customWidth="1"/>
    <col min="13" max="13" width="15.7109375" bestFit="1" customWidth="1"/>
    <col min="14" max="14" width="9.28515625" customWidth="1"/>
    <col min="15" max="15" width="19.28515625" customWidth="1"/>
    <col min="16" max="16" width="8.85546875" customWidth="1"/>
  </cols>
  <sheetData>
    <row r="2" spans="2:15" ht="91.5" thickBot="1" x14ac:dyDescent="0.3">
      <c r="B2" s="2" t="s">
        <v>1</v>
      </c>
      <c r="C2" s="2" t="s">
        <v>2</v>
      </c>
      <c r="D2" s="3" t="s">
        <v>3</v>
      </c>
      <c r="E2" s="3" t="s">
        <v>4</v>
      </c>
      <c r="F2" s="3" t="s">
        <v>5</v>
      </c>
      <c r="G2" s="3" t="s">
        <v>6</v>
      </c>
    </row>
    <row r="3" spans="2:15" x14ac:dyDescent="0.25">
      <c r="B3" s="4">
        <v>5</v>
      </c>
      <c r="C3" s="4">
        <v>4</v>
      </c>
      <c r="D3" s="5">
        <v>54</v>
      </c>
      <c r="E3" s="4">
        <v>4</v>
      </c>
      <c r="F3" s="4">
        <v>6.5</v>
      </c>
      <c r="G3" s="4">
        <v>7</v>
      </c>
      <c r="I3" s="20"/>
      <c r="J3" s="20" t="s">
        <v>1</v>
      </c>
      <c r="K3" s="20" t="s">
        <v>2</v>
      </c>
      <c r="L3" s="20" t="s">
        <v>27</v>
      </c>
      <c r="M3" s="20" t="s">
        <v>28</v>
      </c>
      <c r="N3" s="20" t="s">
        <v>29</v>
      </c>
      <c r="O3" s="20" t="s">
        <v>30</v>
      </c>
    </row>
    <row r="4" spans="2:15" x14ac:dyDescent="0.25">
      <c r="B4" s="4">
        <v>3</v>
      </c>
      <c r="C4" s="4">
        <v>4</v>
      </c>
      <c r="D4" s="4">
        <v>45</v>
      </c>
      <c r="E4" s="4">
        <v>2</v>
      </c>
      <c r="F4" s="4">
        <v>6</v>
      </c>
      <c r="G4" s="4">
        <v>6</v>
      </c>
      <c r="I4" t="s">
        <v>1</v>
      </c>
      <c r="J4">
        <v>1</v>
      </c>
    </row>
    <row r="5" spans="2:15" x14ac:dyDescent="0.25">
      <c r="B5" s="4">
        <v>2</v>
      </c>
      <c r="C5" s="4">
        <v>5</v>
      </c>
      <c r="D5" s="5">
        <v>44</v>
      </c>
      <c r="E5" s="4">
        <v>2</v>
      </c>
      <c r="F5" s="4">
        <v>5.8</v>
      </c>
      <c r="G5" s="4">
        <v>11</v>
      </c>
      <c r="I5" t="s">
        <v>2</v>
      </c>
      <c r="J5" s="17">
        <v>0.56871181690774297</v>
      </c>
      <c r="K5">
        <v>1</v>
      </c>
    </row>
    <row r="6" spans="2:15" x14ac:dyDescent="0.25">
      <c r="B6" s="4">
        <v>4</v>
      </c>
      <c r="C6" s="4">
        <v>3</v>
      </c>
      <c r="D6" s="4">
        <v>46</v>
      </c>
      <c r="E6" s="4">
        <v>1</v>
      </c>
      <c r="F6" s="4">
        <v>7</v>
      </c>
      <c r="G6" s="4">
        <v>3</v>
      </c>
      <c r="I6" t="s">
        <v>27</v>
      </c>
      <c r="J6" s="17">
        <v>0.1770133925458354</v>
      </c>
      <c r="K6" s="24">
        <v>0.34277655462861489</v>
      </c>
      <c r="L6">
        <v>1</v>
      </c>
    </row>
    <row r="7" spans="2:15" x14ac:dyDescent="0.25">
      <c r="B7" s="4">
        <v>5</v>
      </c>
      <c r="C7" s="4">
        <v>4</v>
      </c>
      <c r="D7" s="4">
        <v>46</v>
      </c>
      <c r="E7" s="4">
        <v>3</v>
      </c>
      <c r="F7" s="4">
        <v>6.5</v>
      </c>
      <c r="G7" s="4">
        <v>8</v>
      </c>
      <c r="I7" t="s">
        <v>28</v>
      </c>
      <c r="J7" s="17">
        <v>0.38805036102906898</v>
      </c>
      <c r="K7" s="24">
        <v>0.13943411629941227</v>
      </c>
      <c r="L7" s="24">
        <v>-9.3993944011507721E-2</v>
      </c>
      <c r="M7">
        <v>1</v>
      </c>
    </row>
    <row r="8" spans="2:15" x14ac:dyDescent="0.25">
      <c r="B8" s="4">
        <v>1</v>
      </c>
      <c r="C8" s="4">
        <v>2</v>
      </c>
      <c r="D8" s="4">
        <v>37</v>
      </c>
      <c r="E8" s="4">
        <v>0.9</v>
      </c>
      <c r="F8" s="4">
        <v>5</v>
      </c>
      <c r="G8" s="4">
        <v>2</v>
      </c>
      <c r="I8" t="s">
        <v>29</v>
      </c>
      <c r="J8" s="17">
        <v>0.30850394747703086</v>
      </c>
      <c r="K8" s="24">
        <v>5.1070469123421329E-2</v>
      </c>
      <c r="L8" s="24">
        <v>9.3297407164465218E-2</v>
      </c>
      <c r="M8" s="24">
        <v>0.28776315753486059</v>
      </c>
      <c r="N8">
        <v>1</v>
      </c>
    </row>
    <row r="9" spans="2:15" ht="15.75" thickBot="1" x14ac:dyDescent="0.3">
      <c r="B9" s="4">
        <v>2</v>
      </c>
      <c r="C9" s="4">
        <v>1</v>
      </c>
      <c r="D9" s="4">
        <v>42</v>
      </c>
      <c r="E9" s="4">
        <v>0.9</v>
      </c>
      <c r="F9" s="4">
        <v>5</v>
      </c>
      <c r="G9" s="4">
        <v>2</v>
      </c>
      <c r="I9" s="19" t="s">
        <v>30</v>
      </c>
      <c r="J9" s="22">
        <v>0.1542820008151399</v>
      </c>
      <c r="K9" s="25">
        <v>0.43344578611209428</v>
      </c>
      <c r="L9" s="25">
        <v>0.56086180711151623</v>
      </c>
      <c r="M9" s="25">
        <v>-9.2159902752022307E-2</v>
      </c>
      <c r="N9" s="25">
        <v>-2.003397538329595E-2</v>
      </c>
      <c r="O9" s="19">
        <v>1</v>
      </c>
    </row>
    <row r="10" spans="2:15" x14ac:dyDescent="0.25">
      <c r="B10" s="4">
        <v>3</v>
      </c>
      <c r="C10" s="4">
        <v>3</v>
      </c>
      <c r="D10" s="4">
        <v>29</v>
      </c>
      <c r="E10" s="4">
        <v>3.6</v>
      </c>
      <c r="F10" s="4">
        <v>6.5</v>
      </c>
      <c r="G10" s="4">
        <v>3</v>
      </c>
    </row>
    <row r="11" spans="2:15" x14ac:dyDescent="0.25">
      <c r="B11" s="4">
        <v>3</v>
      </c>
      <c r="C11" s="4">
        <v>2</v>
      </c>
      <c r="D11" s="4">
        <v>46</v>
      </c>
      <c r="E11" s="4">
        <v>0.9</v>
      </c>
      <c r="F11" s="4">
        <v>6</v>
      </c>
      <c r="G11" s="4">
        <v>5</v>
      </c>
      <c r="H11" s="21" t="s">
        <v>34</v>
      </c>
      <c r="I11" t="s">
        <v>31</v>
      </c>
    </row>
    <row r="12" spans="2:15" x14ac:dyDescent="0.25">
      <c r="B12" s="4">
        <v>2</v>
      </c>
      <c r="C12" s="4">
        <v>3</v>
      </c>
      <c r="D12" s="4">
        <v>28</v>
      </c>
      <c r="E12" s="4">
        <v>0.9</v>
      </c>
      <c r="F12" s="4">
        <v>6</v>
      </c>
      <c r="G12" s="4">
        <v>2</v>
      </c>
      <c r="I12" t="s">
        <v>32</v>
      </c>
    </row>
    <row r="13" spans="2:15" x14ac:dyDescent="0.25">
      <c r="B13" s="4">
        <v>4</v>
      </c>
      <c r="C13" s="4">
        <v>1</v>
      </c>
      <c r="D13" s="4">
        <v>39</v>
      </c>
      <c r="E13" s="4">
        <v>3.6</v>
      </c>
      <c r="F13" s="4">
        <v>7</v>
      </c>
      <c r="G13" s="4">
        <v>3</v>
      </c>
    </row>
    <row r="14" spans="2:15" x14ac:dyDescent="0.25">
      <c r="B14" s="4">
        <v>3</v>
      </c>
      <c r="C14" s="4">
        <v>2</v>
      </c>
      <c r="D14" s="4">
        <v>31</v>
      </c>
      <c r="E14" s="4">
        <v>4</v>
      </c>
      <c r="F14" s="4">
        <v>7</v>
      </c>
      <c r="G14" s="4">
        <v>3</v>
      </c>
      <c r="H14" s="23" t="s">
        <v>33</v>
      </c>
      <c r="I14" t="s">
        <v>35</v>
      </c>
    </row>
    <row r="15" spans="2:15" x14ac:dyDescent="0.25">
      <c r="B15" s="4">
        <v>4</v>
      </c>
      <c r="C15" s="4">
        <v>5</v>
      </c>
      <c r="D15" s="4">
        <v>65</v>
      </c>
      <c r="E15" s="4">
        <v>1</v>
      </c>
      <c r="F15" s="4">
        <v>7</v>
      </c>
      <c r="G15" s="4">
        <v>9</v>
      </c>
    </row>
    <row r="16" spans="2:15" x14ac:dyDescent="0.25">
      <c r="B16" s="4">
        <v>1</v>
      </c>
      <c r="C16" s="4">
        <v>4</v>
      </c>
      <c r="D16" s="4">
        <v>50</v>
      </c>
      <c r="E16" s="4">
        <v>1</v>
      </c>
      <c r="F16" s="4">
        <v>7</v>
      </c>
      <c r="G16" s="4">
        <v>9</v>
      </c>
    </row>
    <row r="17" spans="2:7" x14ac:dyDescent="0.25">
      <c r="B17" s="4">
        <v>4</v>
      </c>
      <c r="C17" s="4">
        <v>1</v>
      </c>
      <c r="D17" s="4">
        <v>30</v>
      </c>
      <c r="E17" s="4">
        <v>2</v>
      </c>
      <c r="F17" s="4">
        <v>7.5</v>
      </c>
      <c r="G17" s="4">
        <v>3</v>
      </c>
    </row>
    <row r="18" spans="2:7" x14ac:dyDescent="0.25">
      <c r="B18" s="4">
        <v>5</v>
      </c>
      <c r="C18" s="4">
        <v>4</v>
      </c>
      <c r="D18" s="4">
        <v>58</v>
      </c>
      <c r="E18" s="4">
        <v>1</v>
      </c>
      <c r="F18" s="4">
        <v>6</v>
      </c>
      <c r="G18" s="4">
        <v>5</v>
      </c>
    </row>
    <row r="19" spans="2:7" x14ac:dyDescent="0.25">
      <c r="B19" s="4">
        <v>3</v>
      </c>
      <c r="C19" s="4">
        <v>4</v>
      </c>
      <c r="D19" s="4">
        <v>54</v>
      </c>
      <c r="E19" s="4">
        <v>2</v>
      </c>
      <c r="F19" s="4">
        <v>6.5</v>
      </c>
      <c r="G19" s="4">
        <v>4</v>
      </c>
    </row>
    <row r="20" spans="2:7" x14ac:dyDescent="0.25">
      <c r="B20" s="4">
        <v>4</v>
      </c>
      <c r="C20" s="4">
        <v>5</v>
      </c>
      <c r="D20" s="4">
        <v>58</v>
      </c>
      <c r="E20" s="4">
        <v>1</v>
      </c>
      <c r="F20" s="4">
        <v>7</v>
      </c>
      <c r="G20" s="4">
        <v>9</v>
      </c>
    </row>
    <row r="21" spans="2:7" x14ac:dyDescent="0.25">
      <c r="B21" s="4">
        <v>2</v>
      </c>
      <c r="C21" s="4">
        <v>1</v>
      </c>
      <c r="D21" s="4">
        <v>37</v>
      </c>
      <c r="E21" s="4">
        <v>1</v>
      </c>
      <c r="F21" s="4">
        <v>7</v>
      </c>
      <c r="G21" s="4">
        <v>9</v>
      </c>
    </row>
    <row r="22" spans="2:7" x14ac:dyDescent="0.25">
      <c r="B22" s="4">
        <v>5</v>
      </c>
      <c r="C22" s="4">
        <v>1</v>
      </c>
      <c r="D22" s="4">
        <v>35</v>
      </c>
      <c r="E22" s="4">
        <v>2</v>
      </c>
      <c r="F22" s="4">
        <v>9.5</v>
      </c>
      <c r="G22" s="4">
        <v>5</v>
      </c>
    </row>
    <row r="23" spans="2:7" x14ac:dyDescent="0.25">
      <c r="B23" s="4">
        <v>4</v>
      </c>
      <c r="C23" s="4">
        <v>3</v>
      </c>
      <c r="D23" s="4">
        <v>49</v>
      </c>
      <c r="E23" s="4">
        <v>2</v>
      </c>
      <c r="F23" s="4">
        <v>8.5</v>
      </c>
      <c r="G23" s="4">
        <v>4</v>
      </c>
    </row>
    <row r="24" spans="2:7" x14ac:dyDescent="0.25">
      <c r="B24" s="4">
        <v>3</v>
      </c>
      <c r="C24" s="4">
        <v>2</v>
      </c>
      <c r="D24" s="4">
        <v>37</v>
      </c>
      <c r="E24" s="4">
        <v>2</v>
      </c>
      <c r="F24" s="4">
        <v>7</v>
      </c>
      <c r="G24" s="4">
        <v>2</v>
      </c>
    </row>
    <row r="25" spans="2:7" x14ac:dyDescent="0.25">
      <c r="B25" s="4">
        <v>3</v>
      </c>
      <c r="C25" s="4">
        <v>4</v>
      </c>
      <c r="D25" s="4">
        <v>34</v>
      </c>
      <c r="E25" s="4">
        <v>0.9</v>
      </c>
      <c r="F25" s="4">
        <v>6</v>
      </c>
      <c r="G25" s="4">
        <v>5</v>
      </c>
    </row>
    <row r="26" spans="2:7" x14ac:dyDescent="0.25">
      <c r="B26" s="4">
        <v>2</v>
      </c>
      <c r="C26" s="4">
        <v>5</v>
      </c>
      <c r="D26" s="4">
        <v>66</v>
      </c>
      <c r="E26" s="4">
        <v>1</v>
      </c>
      <c r="F26" s="4">
        <v>5.5</v>
      </c>
      <c r="G26" s="4">
        <v>10</v>
      </c>
    </row>
    <row r="27" spans="2:7" x14ac:dyDescent="0.25">
      <c r="B27" s="4">
        <v>5</v>
      </c>
      <c r="C27" s="4">
        <v>4</v>
      </c>
      <c r="D27" s="4">
        <v>50</v>
      </c>
      <c r="E27" s="4">
        <v>0.3</v>
      </c>
      <c r="F27" s="4">
        <v>6.5</v>
      </c>
      <c r="G27" s="4">
        <v>6</v>
      </c>
    </row>
    <row r="28" spans="2:7" x14ac:dyDescent="0.25">
      <c r="B28" s="4">
        <v>4</v>
      </c>
      <c r="C28" s="4">
        <v>3</v>
      </c>
      <c r="D28" s="4">
        <v>43</v>
      </c>
      <c r="E28" s="4">
        <v>1</v>
      </c>
      <c r="F28" s="4">
        <v>7</v>
      </c>
      <c r="G28" s="4">
        <v>3</v>
      </c>
    </row>
    <row r="29" spans="2:7" x14ac:dyDescent="0.25">
      <c r="B29" s="4">
        <v>4</v>
      </c>
      <c r="C29" s="4">
        <v>3</v>
      </c>
      <c r="D29" s="4">
        <v>54</v>
      </c>
      <c r="E29" s="4">
        <v>1</v>
      </c>
      <c r="F29" s="4">
        <v>7</v>
      </c>
      <c r="G29" s="4">
        <v>4</v>
      </c>
    </row>
    <row r="30" spans="2:7" x14ac:dyDescent="0.25">
      <c r="B30" s="4">
        <v>3</v>
      </c>
      <c r="C30" s="4">
        <v>4</v>
      </c>
      <c r="D30" s="4">
        <v>49</v>
      </c>
      <c r="E30" s="4">
        <v>1</v>
      </c>
      <c r="F30" s="4">
        <v>6.5</v>
      </c>
      <c r="G30" s="4">
        <v>7</v>
      </c>
    </row>
    <row r="31" spans="2:7" x14ac:dyDescent="0.25">
      <c r="B31" s="4">
        <v>3</v>
      </c>
      <c r="C31" s="4">
        <v>2</v>
      </c>
      <c r="D31" s="4">
        <v>43</v>
      </c>
      <c r="E31" s="4">
        <v>1.8</v>
      </c>
      <c r="F31" s="4">
        <v>6</v>
      </c>
      <c r="G31" s="4">
        <v>2</v>
      </c>
    </row>
    <row r="32" spans="2:7" x14ac:dyDescent="0.25">
      <c r="B32" s="4">
        <v>2</v>
      </c>
      <c r="C32" s="4">
        <v>4</v>
      </c>
      <c r="D32" s="4">
        <v>52</v>
      </c>
      <c r="E32" s="4">
        <v>1.8</v>
      </c>
      <c r="F32" s="4">
        <v>5</v>
      </c>
      <c r="G32" s="4">
        <v>7</v>
      </c>
    </row>
    <row r="33" spans="2:7" x14ac:dyDescent="0.25">
      <c r="B33" s="4">
        <v>4</v>
      </c>
      <c r="C33" s="4">
        <v>4</v>
      </c>
      <c r="D33" s="4">
        <v>29</v>
      </c>
      <c r="E33" s="4">
        <v>0.9</v>
      </c>
      <c r="F33" s="4">
        <v>4.5</v>
      </c>
      <c r="G33" s="4">
        <v>11</v>
      </c>
    </row>
    <row r="34" spans="2:7" x14ac:dyDescent="0.25">
      <c r="B34" s="4">
        <v>2</v>
      </c>
      <c r="C34" s="4">
        <v>2</v>
      </c>
      <c r="D34" s="4">
        <v>37</v>
      </c>
      <c r="E34" s="4">
        <v>0.9</v>
      </c>
      <c r="F34" s="4">
        <v>5.5</v>
      </c>
      <c r="G34" s="4">
        <v>2</v>
      </c>
    </row>
    <row r="35" spans="2:7" x14ac:dyDescent="0.25">
      <c r="B35" s="4">
        <v>3</v>
      </c>
      <c r="C35" s="4">
        <v>3</v>
      </c>
      <c r="D35" s="4">
        <v>27</v>
      </c>
      <c r="E35" s="4">
        <v>0.9</v>
      </c>
      <c r="F35" s="4">
        <v>7</v>
      </c>
      <c r="G35" s="4">
        <v>3</v>
      </c>
    </row>
    <row r="36" spans="2:7" x14ac:dyDescent="0.25">
      <c r="B36" s="4">
        <v>2</v>
      </c>
      <c r="C36" s="4">
        <v>2</v>
      </c>
      <c r="D36" s="4">
        <v>32</v>
      </c>
      <c r="E36" s="4">
        <v>0.9</v>
      </c>
      <c r="F36" s="4">
        <v>6.5</v>
      </c>
      <c r="G36" s="4">
        <v>3</v>
      </c>
    </row>
    <row r="37" spans="2:7" x14ac:dyDescent="0.25">
      <c r="B37" s="4">
        <v>3</v>
      </c>
      <c r="C37" s="4">
        <v>3</v>
      </c>
      <c r="D37" s="4">
        <v>34</v>
      </c>
      <c r="E37" s="4">
        <v>2.7</v>
      </c>
      <c r="F37" s="4">
        <v>6.5</v>
      </c>
      <c r="G37" s="4">
        <v>2</v>
      </c>
    </row>
    <row r="38" spans="2:7" x14ac:dyDescent="0.25">
      <c r="B38" s="4">
        <v>3</v>
      </c>
      <c r="C38" s="4">
        <v>3</v>
      </c>
      <c r="D38" s="4">
        <v>48</v>
      </c>
      <c r="E38" s="4">
        <v>1.8</v>
      </c>
      <c r="F38" s="4">
        <v>5</v>
      </c>
      <c r="G38" s="4">
        <v>4</v>
      </c>
    </row>
    <row r="39" spans="2:7" x14ac:dyDescent="0.25">
      <c r="B39" s="4">
        <v>4</v>
      </c>
      <c r="C39" s="4">
        <v>4</v>
      </c>
      <c r="D39" s="4">
        <v>53</v>
      </c>
      <c r="E39" s="4">
        <v>0.9</v>
      </c>
      <c r="F39" s="4">
        <v>4.5</v>
      </c>
      <c r="G39" s="4">
        <v>5</v>
      </c>
    </row>
    <row r="40" spans="2:7" x14ac:dyDescent="0.25">
      <c r="B40" s="4">
        <v>4</v>
      </c>
      <c r="C40" s="4">
        <v>4</v>
      </c>
      <c r="D40" s="4">
        <v>41</v>
      </c>
      <c r="E40" s="4">
        <v>0.9</v>
      </c>
      <c r="F40" s="4">
        <v>5.5</v>
      </c>
      <c r="G40" s="4">
        <v>2</v>
      </c>
    </row>
    <row r="41" spans="2:7" x14ac:dyDescent="0.25">
      <c r="B41" s="4">
        <v>5</v>
      </c>
      <c r="C41" s="4">
        <v>5</v>
      </c>
      <c r="D41" s="4">
        <v>47</v>
      </c>
      <c r="E41" s="4">
        <v>2.7</v>
      </c>
      <c r="F41" s="4">
        <v>5.5</v>
      </c>
      <c r="G41" s="4">
        <v>4</v>
      </c>
    </row>
    <row r="42" spans="2:7" x14ac:dyDescent="0.25">
      <c r="B42" s="4">
        <v>1</v>
      </c>
      <c r="C42" s="4">
        <v>1</v>
      </c>
      <c r="D42" s="4">
        <v>31</v>
      </c>
      <c r="E42" s="4">
        <v>1.8</v>
      </c>
      <c r="F42" s="4">
        <v>6</v>
      </c>
      <c r="G42" s="4">
        <v>4</v>
      </c>
    </row>
    <row r="43" spans="2:7" x14ac:dyDescent="0.25">
      <c r="B43" s="4">
        <v>3</v>
      </c>
      <c r="C43" s="4">
        <v>3</v>
      </c>
      <c r="D43" s="4">
        <v>34</v>
      </c>
      <c r="E43" s="4">
        <v>0.9</v>
      </c>
      <c r="F43" s="4">
        <v>6.5</v>
      </c>
      <c r="G43" s="4">
        <v>3</v>
      </c>
    </row>
    <row r="44" spans="2:7" x14ac:dyDescent="0.25">
      <c r="B44" s="4">
        <v>1</v>
      </c>
      <c r="C44" s="4">
        <v>1</v>
      </c>
      <c r="D44" s="4">
        <v>28</v>
      </c>
      <c r="E44" s="4">
        <v>0.9</v>
      </c>
      <c r="F44" s="4">
        <v>7</v>
      </c>
      <c r="G44" s="4">
        <v>2</v>
      </c>
    </row>
    <row r="45" spans="2:7" x14ac:dyDescent="0.25">
      <c r="B45" s="4">
        <v>2</v>
      </c>
      <c r="C45" s="4">
        <v>2</v>
      </c>
      <c r="D45" s="4">
        <v>39</v>
      </c>
      <c r="E45" s="4">
        <v>0.9</v>
      </c>
      <c r="F45" s="4">
        <v>5.5</v>
      </c>
      <c r="G45" s="4">
        <v>2</v>
      </c>
    </row>
    <row r="46" spans="2:7" x14ac:dyDescent="0.25">
      <c r="B46" s="4">
        <v>1</v>
      </c>
      <c r="C46" s="4">
        <v>1</v>
      </c>
      <c r="D46" s="4">
        <v>45</v>
      </c>
      <c r="E46" s="4">
        <v>0.9</v>
      </c>
      <c r="F46" s="4">
        <v>5.5</v>
      </c>
      <c r="G46" s="4">
        <v>4</v>
      </c>
    </row>
    <row r="47" spans="2:7" x14ac:dyDescent="0.25">
      <c r="B47" s="4">
        <v>2</v>
      </c>
      <c r="C47" s="4">
        <v>2</v>
      </c>
      <c r="D47" s="4">
        <v>29</v>
      </c>
      <c r="E47" s="4">
        <v>1.8</v>
      </c>
      <c r="F47" s="4">
        <v>7</v>
      </c>
      <c r="G47" s="4">
        <v>2</v>
      </c>
    </row>
    <row r="48" spans="2:7" x14ac:dyDescent="0.25">
      <c r="B48" s="4">
        <v>2</v>
      </c>
      <c r="C48" s="4">
        <v>2</v>
      </c>
      <c r="D48" s="4">
        <v>37</v>
      </c>
      <c r="E48" s="4">
        <v>1.8</v>
      </c>
      <c r="F48" s="4">
        <v>6</v>
      </c>
      <c r="G48" s="4">
        <v>3</v>
      </c>
    </row>
    <row r="49" spans="2:7" x14ac:dyDescent="0.25">
      <c r="B49" s="4">
        <v>2</v>
      </c>
      <c r="C49" s="4">
        <v>2</v>
      </c>
      <c r="D49" s="4">
        <v>49</v>
      </c>
      <c r="E49" s="4">
        <v>0.9</v>
      </c>
      <c r="F49" s="4">
        <v>4.5</v>
      </c>
      <c r="G49" s="4">
        <v>9</v>
      </c>
    </row>
    <row r="50" spans="2:7" x14ac:dyDescent="0.25">
      <c r="B50" s="4">
        <v>2</v>
      </c>
      <c r="C50" s="4">
        <v>2</v>
      </c>
      <c r="D50" s="4">
        <v>33</v>
      </c>
      <c r="E50" s="4">
        <v>0.9</v>
      </c>
      <c r="F50" s="4">
        <v>6.5</v>
      </c>
      <c r="G50" s="4">
        <v>2</v>
      </c>
    </row>
    <row r="51" spans="2:7" x14ac:dyDescent="0.25">
      <c r="B51" s="4">
        <v>3</v>
      </c>
      <c r="C51" s="4">
        <v>3</v>
      </c>
      <c r="D51" s="4">
        <v>27</v>
      </c>
      <c r="E51" s="4">
        <v>1.8</v>
      </c>
      <c r="F51" s="4">
        <v>7</v>
      </c>
      <c r="G51" s="4">
        <v>3</v>
      </c>
    </row>
    <row r="52" spans="2:7" x14ac:dyDescent="0.25">
      <c r="B52" s="4">
        <v>2</v>
      </c>
      <c r="C52" s="4">
        <v>2</v>
      </c>
      <c r="D52" s="4">
        <v>49</v>
      </c>
      <c r="E52" s="4">
        <v>1</v>
      </c>
      <c r="F52" s="4">
        <v>5.5</v>
      </c>
      <c r="G52" s="4">
        <v>6</v>
      </c>
    </row>
    <row r="53" spans="2:7" x14ac:dyDescent="0.25">
      <c r="B53" s="4">
        <v>4</v>
      </c>
      <c r="C53" s="4">
        <v>4</v>
      </c>
      <c r="D53" s="4">
        <v>46</v>
      </c>
      <c r="E53" s="4">
        <v>1</v>
      </c>
      <c r="F53" s="4">
        <v>6.5</v>
      </c>
      <c r="G53" s="4">
        <v>4</v>
      </c>
    </row>
    <row r="54" spans="2:7" x14ac:dyDescent="0.25">
      <c r="B54" s="4">
        <v>4</v>
      </c>
      <c r="C54" s="4">
        <v>4</v>
      </c>
      <c r="D54" s="4">
        <v>54</v>
      </c>
      <c r="E54" s="4">
        <v>1</v>
      </c>
      <c r="F54" s="4">
        <v>6</v>
      </c>
      <c r="G54" s="4">
        <v>7</v>
      </c>
    </row>
    <row r="55" spans="2:7" x14ac:dyDescent="0.25">
      <c r="B55" s="4">
        <v>2</v>
      </c>
      <c r="C55" s="4">
        <v>2</v>
      </c>
      <c r="D55" s="4">
        <v>31</v>
      </c>
      <c r="E55" s="4">
        <v>0.9</v>
      </c>
      <c r="F55" s="4">
        <v>6</v>
      </c>
      <c r="G55" s="4">
        <v>3</v>
      </c>
    </row>
    <row r="56" spans="2:7" x14ac:dyDescent="0.25">
      <c r="B56" s="4">
        <v>3</v>
      </c>
      <c r="C56" s="4">
        <v>3</v>
      </c>
      <c r="D56" s="4">
        <v>31</v>
      </c>
      <c r="E56" s="4">
        <v>3</v>
      </c>
      <c r="F56" s="4">
        <v>6</v>
      </c>
      <c r="G56" s="4">
        <v>5</v>
      </c>
    </row>
    <row r="57" spans="2:7" x14ac:dyDescent="0.25">
      <c r="B57" s="4">
        <v>3</v>
      </c>
      <c r="C57" s="4">
        <v>3</v>
      </c>
      <c r="D57" s="4">
        <v>50</v>
      </c>
      <c r="E57" s="4">
        <v>2</v>
      </c>
      <c r="F57" s="4">
        <v>6.5</v>
      </c>
      <c r="G57" s="4">
        <v>7</v>
      </c>
    </row>
    <row r="58" spans="2:7" x14ac:dyDescent="0.25">
      <c r="B58" s="4">
        <v>2</v>
      </c>
      <c r="C58" s="4">
        <v>2</v>
      </c>
      <c r="D58" s="4">
        <v>69</v>
      </c>
      <c r="E58" s="4">
        <v>1</v>
      </c>
      <c r="F58" s="4">
        <v>5.5</v>
      </c>
      <c r="G58" s="4">
        <v>9</v>
      </c>
    </row>
    <row r="59" spans="2:7" x14ac:dyDescent="0.25">
      <c r="B59" s="4">
        <v>5</v>
      </c>
      <c r="C59" s="4">
        <v>5</v>
      </c>
      <c r="D59" s="4">
        <v>34</v>
      </c>
      <c r="E59" s="4">
        <v>1</v>
      </c>
      <c r="F59" s="4">
        <v>7</v>
      </c>
      <c r="G59" s="4">
        <v>6</v>
      </c>
    </row>
    <row r="60" spans="2:7" x14ac:dyDescent="0.25">
      <c r="B60" s="4">
        <v>4</v>
      </c>
      <c r="C60" s="4">
        <v>4</v>
      </c>
      <c r="D60" s="4">
        <v>62</v>
      </c>
      <c r="E60" s="4">
        <v>2</v>
      </c>
      <c r="F60" s="4">
        <v>5.5</v>
      </c>
      <c r="G60" s="4">
        <v>7</v>
      </c>
    </row>
    <row r="61" spans="2:7" x14ac:dyDescent="0.25">
      <c r="B61" s="4">
        <v>3</v>
      </c>
      <c r="C61" s="4">
        <v>3</v>
      </c>
      <c r="D61" s="4">
        <v>49</v>
      </c>
      <c r="E61" s="4">
        <v>1</v>
      </c>
      <c r="F61" s="4">
        <v>7</v>
      </c>
      <c r="G61" s="4">
        <v>5</v>
      </c>
    </row>
    <row r="62" spans="2:7" x14ac:dyDescent="0.25">
      <c r="B62" s="4">
        <v>4</v>
      </c>
      <c r="C62" s="4">
        <v>4</v>
      </c>
      <c r="D62" s="4">
        <v>43</v>
      </c>
      <c r="E62" s="4">
        <v>2</v>
      </c>
      <c r="F62" s="4">
        <v>7.5</v>
      </c>
      <c r="G62" s="4">
        <v>4</v>
      </c>
    </row>
    <row r="63" spans="2:7" x14ac:dyDescent="0.25">
      <c r="B63" s="4">
        <v>4</v>
      </c>
      <c r="C63" s="4">
        <v>3</v>
      </c>
      <c r="D63" s="4">
        <v>23</v>
      </c>
      <c r="E63" s="4">
        <v>1</v>
      </c>
      <c r="F63" s="4">
        <v>4.5</v>
      </c>
      <c r="G63" s="4">
        <v>11</v>
      </c>
    </row>
    <row r="64" spans="2:7" x14ac:dyDescent="0.25">
      <c r="B64" s="4">
        <v>3</v>
      </c>
      <c r="C64" s="4">
        <v>2</v>
      </c>
      <c r="D64" s="4">
        <v>37</v>
      </c>
      <c r="E64" s="4">
        <v>1.2</v>
      </c>
      <c r="F64" s="4">
        <v>5</v>
      </c>
      <c r="G64" s="4">
        <v>4</v>
      </c>
    </row>
    <row r="65" spans="2:7" x14ac:dyDescent="0.25">
      <c r="B65" s="4">
        <v>4</v>
      </c>
      <c r="C65" s="4">
        <v>3</v>
      </c>
      <c r="D65" s="4">
        <v>29</v>
      </c>
      <c r="E65" s="4">
        <v>0.9</v>
      </c>
      <c r="F65" s="4">
        <v>4</v>
      </c>
      <c r="G65" s="4">
        <v>2</v>
      </c>
    </row>
    <row r="66" spans="2:7" x14ac:dyDescent="0.25">
      <c r="B66" s="4">
        <v>4</v>
      </c>
      <c r="C66" s="4">
        <v>4</v>
      </c>
      <c r="D66" s="4">
        <v>25</v>
      </c>
      <c r="E66" s="4">
        <v>3.2</v>
      </c>
      <c r="F66" s="4">
        <v>6.5</v>
      </c>
      <c r="G66" s="4">
        <v>3</v>
      </c>
    </row>
    <row r="67" spans="2:7" x14ac:dyDescent="0.25">
      <c r="B67" s="4">
        <v>5</v>
      </c>
      <c r="C67" s="4">
        <v>1</v>
      </c>
      <c r="D67" s="4">
        <v>25</v>
      </c>
      <c r="E67" s="4">
        <v>4.3</v>
      </c>
      <c r="F67" s="4">
        <v>7.5</v>
      </c>
      <c r="G67" s="4">
        <v>1</v>
      </c>
    </row>
    <row r="68" spans="2:7" x14ac:dyDescent="0.25">
      <c r="B68" s="4">
        <v>2</v>
      </c>
      <c r="C68" s="4">
        <v>2</v>
      </c>
      <c r="D68" s="4">
        <v>22</v>
      </c>
      <c r="E68" s="4">
        <v>0.9</v>
      </c>
      <c r="F68" s="4">
        <v>3.5</v>
      </c>
      <c r="G68" s="4">
        <v>1</v>
      </c>
    </row>
    <row r="69" spans="2:7" x14ac:dyDescent="0.25">
      <c r="B69" s="4">
        <v>2</v>
      </c>
      <c r="C69" s="4">
        <v>3</v>
      </c>
      <c r="D69" s="4">
        <v>12</v>
      </c>
      <c r="E69" s="4">
        <v>0.75</v>
      </c>
      <c r="F69" s="4">
        <v>3.5</v>
      </c>
      <c r="G69" s="4">
        <v>2</v>
      </c>
    </row>
    <row r="70" spans="2:7" x14ac:dyDescent="0.25">
      <c r="B70" s="4">
        <v>2</v>
      </c>
      <c r="C70" s="4">
        <v>2</v>
      </c>
      <c r="D70" s="4">
        <v>16</v>
      </c>
      <c r="E70" s="4">
        <v>0.82</v>
      </c>
      <c r="F70" s="4">
        <v>3</v>
      </c>
      <c r="G70" s="4">
        <v>1</v>
      </c>
    </row>
    <row r="71" spans="2:7" x14ac:dyDescent="0.25">
      <c r="B71" s="4">
        <v>5</v>
      </c>
      <c r="C71" s="4">
        <v>5</v>
      </c>
      <c r="D71" s="4">
        <v>43</v>
      </c>
      <c r="E71" s="4">
        <v>3.2</v>
      </c>
      <c r="F71" s="4">
        <v>6</v>
      </c>
      <c r="G71" s="4">
        <v>3</v>
      </c>
    </row>
    <row r="72" spans="2:7" x14ac:dyDescent="0.25">
      <c r="B72" s="4">
        <v>5</v>
      </c>
      <c r="C72" s="4">
        <v>5</v>
      </c>
      <c r="D72" s="4">
        <v>30</v>
      </c>
      <c r="E72" s="4">
        <v>3.5</v>
      </c>
      <c r="F72" s="4">
        <v>6</v>
      </c>
      <c r="G72" s="4">
        <v>3</v>
      </c>
    </row>
    <row r="73" spans="2:7" x14ac:dyDescent="0.25">
      <c r="B73" s="4">
        <v>5</v>
      </c>
      <c r="C73" s="4">
        <v>5</v>
      </c>
      <c r="D73" s="4">
        <v>34</v>
      </c>
      <c r="E73" s="4">
        <v>2.8</v>
      </c>
      <c r="F73" s="4">
        <v>6.5</v>
      </c>
      <c r="G73" s="4">
        <v>3</v>
      </c>
    </row>
    <row r="74" spans="2:7" x14ac:dyDescent="0.25">
      <c r="B74" s="4">
        <v>2</v>
      </c>
      <c r="C74" s="4">
        <v>1</v>
      </c>
      <c r="D74" s="4">
        <v>28</v>
      </c>
      <c r="E74" s="4">
        <v>1.2</v>
      </c>
      <c r="F74" s="4">
        <v>7</v>
      </c>
      <c r="G74" s="4">
        <v>2</v>
      </c>
    </row>
    <row r="75" spans="2:7" x14ac:dyDescent="0.25">
      <c r="B75" s="4">
        <v>2</v>
      </c>
      <c r="C75" s="4">
        <v>1</v>
      </c>
      <c r="D75" s="4">
        <v>39</v>
      </c>
      <c r="E75" s="4">
        <v>1.3</v>
      </c>
      <c r="F75" s="4">
        <v>5.5</v>
      </c>
      <c r="G75" s="4">
        <v>2</v>
      </c>
    </row>
    <row r="76" spans="2:7" x14ac:dyDescent="0.25">
      <c r="B76" s="4">
        <v>3</v>
      </c>
      <c r="C76" s="4">
        <v>1</v>
      </c>
      <c r="D76" s="4">
        <v>42</v>
      </c>
      <c r="E76" s="4">
        <v>1.5</v>
      </c>
      <c r="F76" s="4">
        <v>4</v>
      </c>
      <c r="G76" s="4">
        <v>3</v>
      </c>
    </row>
    <row r="77" spans="2:7" x14ac:dyDescent="0.25">
      <c r="B77" s="4">
        <v>1</v>
      </c>
      <c r="C77" s="4">
        <v>2</v>
      </c>
      <c r="D77" s="4">
        <v>29</v>
      </c>
      <c r="E77" s="4">
        <v>1.8</v>
      </c>
      <c r="F77" s="4">
        <v>6</v>
      </c>
      <c r="G77" s="4">
        <v>1</v>
      </c>
    </row>
    <row r="78" spans="2:7" x14ac:dyDescent="0.25">
      <c r="B78" s="4">
        <v>4</v>
      </c>
      <c r="C78" s="4">
        <v>3</v>
      </c>
      <c r="D78" s="4">
        <v>35</v>
      </c>
      <c r="E78" s="4">
        <v>2.5</v>
      </c>
      <c r="F78" s="4">
        <v>6</v>
      </c>
      <c r="G78" s="4">
        <v>4</v>
      </c>
    </row>
    <row r="79" spans="2:7" x14ac:dyDescent="0.25">
      <c r="B79" s="4">
        <v>2</v>
      </c>
      <c r="C79" s="4">
        <v>2</v>
      </c>
      <c r="D79" s="4">
        <v>40</v>
      </c>
      <c r="E79" s="4">
        <v>2</v>
      </c>
      <c r="F79" s="4">
        <v>4.5</v>
      </c>
      <c r="G79" s="4">
        <v>1</v>
      </c>
    </row>
    <row r="80" spans="2:7" x14ac:dyDescent="0.25">
      <c r="B80" s="4">
        <v>2</v>
      </c>
      <c r="C80" s="4">
        <v>2</v>
      </c>
      <c r="D80" s="4">
        <v>35</v>
      </c>
      <c r="E80" s="4">
        <v>1</v>
      </c>
      <c r="F80" s="4">
        <v>6</v>
      </c>
      <c r="G80" s="4">
        <v>1</v>
      </c>
    </row>
    <row r="81" spans="2:7" x14ac:dyDescent="0.25">
      <c r="B81" s="4">
        <v>4</v>
      </c>
      <c r="C81" s="4">
        <v>3</v>
      </c>
      <c r="D81" s="4">
        <v>28</v>
      </c>
      <c r="E81" s="4">
        <v>2</v>
      </c>
      <c r="F81" s="4">
        <v>7</v>
      </c>
      <c r="G81" s="4">
        <v>3</v>
      </c>
    </row>
    <row r="82" spans="2:7" x14ac:dyDescent="0.25">
      <c r="B82" s="4">
        <v>3</v>
      </c>
      <c r="C82" s="4">
        <v>2</v>
      </c>
      <c r="D82" s="4">
        <v>50</v>
      </c>
      <c r="E82" s="4">
        <v>1.5</v>
      </c>
      <c r="F82" s="4">
        <v>5.5</v>
      </c>
      <c r="G82" s="4">
        <v>6</v>
      </c>
    </row>
    <row r="83" spans="2:7" x14ac:dyDescent="0.25">
      <c r="B83" s="4">
        <v>5</v>
      </c>
      <c r="C83" s="4">
        <v>4</v>
      </c>
      <c r="D83" s="4">
        <v>47</v>
      </c>
      <c r="E83" s="4">
        <v>1.5</v>
      </c>
      <c r="F83" s="4">
        <v>6.5</v>
      </c>
      <c r="G83" s="4">
        <v>4</v>
      </c>
    </row>
    <row r="84" spans="2:7" x14ac:dyDescent="0.25">
      <c r="B84" s="4">
        <v>5</v>
      </c>
      <c r="C84" s="4">
        <v>4</v>
      </c>
      <c r="D84" s="4">
        <v>55</v>
      </c>
      <c r="E84" s="4">
        <v>1.3</v>
      </c>
      <c r="F84" s="4">
        <v>6</v>
      </c>
      <c r="G84" s="4">
        <v>7</v>
      </c>
    </row>
    <row r="85" spans="2:7" x14ac:dyDescent="0.25">
      <c r="B85" s="4">
        <v>1</v>
      </c>
      <c r="C85" s="4">
        <v>1</v>
      </c>
      <c r="D85" s="4">
        <v>32</v>
      </c>
      <c r="E85" s="4">
        <v>1</v>
      </c>
      <c r="F85" s="4">
        <v>6</v>
      </c>
      <c r="G85" s="4">
        <v>3</v>
      </c>
    </row>
    <row r="86" spans="2:7" x14ac:dyDescent="0.25">
      <c r="B86" s="4">
        <v>2</v>
      </c>
      <c r="C86" s="4">
        <v>2</v>
      </c>
      <c r="D86" s="4">
        <v>31</v>
      </c>
      <c r="E86" s="4">
        <v>3</v>
      </c>
      <c r="F86" s="4">
        <v>6</v>
      </c>
      <c r="G86" s="4">
        <v>5</v>
      </c>
    </row>
    <row r="87" spans="2:7" x14ac:dyDescent="0.25">
      <c r="B87" s="4">
        <v>3</v>
      </c>
      <c r="C87" s="4">
        <v>2</v>
      </c>
      <c r="D87" s="4">
        <v>47</v>
      </c>
      <c r="E87" s="4">
        <v>3</v>
      </c>
      <c r="F87" s="4">
        <v>8</v>
      </c>
      <c r="G87" s="4">
        <v>2</v>
      </c>
    </row>
    <row r="88" spans="2:7" x14ac:dyDescent="0.25">
      <c r="B88" s="4">
        <v>2</v>
      </c>
      <c r="C88" s="4">
        <v>2</v>
      </c>
      <c r="D88" s="4">
        <v>69</v>
      </c>
      <c r="E88" s="4">
        <v>1</v>
      </c>
      <c r="F88" s="4">
        <v>5.5</v>
      </c>
      <c r="G88" s="4">
        <v>9</v>
      </c>
    </row>
    <row r="89" spans="2:7" x14ac:dyDescent="0.25">
      <c r="B89" s="4">
        <v>5</v>
      </c>
      <c r="C89" s="4">
        <v>5</v>
      </c>
      <c r="D89" s="4">
        <v>34</v>
      </c>
      <c r="E89" s="4">
        <v>4</v>
      </c>
      <c r="F89" s="4">
        <v>7</v>
      </c>
      <c r="G89" s="4">
        <v>6</v>
      </c>
    </row>
    <row r="90" spans="2:7" x14ac:dyDescent="0.25">
      <c r="B90" s="4">
        <v>4</v>
      </c>
      <c r="C90" s="4">
        <v>4</v>
      </c>
      <c r="D90" s="4">
        <v>62</v>
      </c>
      <c r="E90" s="4">
        <v>3.6</v>
      </c>
      <c r="F90" s="4">
        <v>5.5</v>
      </c>
      <c r="G90" s="4">
        <v>7</v>
      </c>
    </row>
    <row r="91" spans="2:7" x14ac:dyDescent="0.25">
      <c r="B91" s="4">
        <v>3</v>
      </c>
      <c r="C91" s="4">
        <v>3</v>
      </c>
      <c r="D91" s="4">
        <v>49</v>
      </c>
      <c r="E91" s="4">
        <v>2</v>
      </c>
      <c r="F91" s="4">
        <v>7</v>
      </c>
      <c r="G91" s="4">
        <v>5</v>
      </c>
    </row>
    <row r="92" spans="2:7" x14ac:dyDescent="0.25">
      <c r="B92" s="4">
        <v>4</v>
      </c>
      <c r="C92" s="4">
        <v>4</v>
      </c>
      <c r="D92" s="4">
        <v>43</v>
      </c>
      <c r="E92" s="4">
        <v>1.5</v>
      </c>
      <c r="F92" s="4">
        <v>9</v>
      </c>
      <c r="G92" s="4">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R120"/>
  <sheetViews>
    <sheetView topLeftCell="D62" workbookViewId="0">
      <selection activeCell="J20" sqref="J20"/>
    </sheetView>
  </sheetViews>
  <sheetFormatPr defaultRowHeight="15" x14ac:dyDescent="0.25"/>
  <cols>
    <col min="10" max="10" width="46.28515625" bestFit="1" customWidth="1"/>
  </cols>
  <sheetData>
    <row r="2" spans="2:15" ht="90.75" x14ac:dyDescent="0.25">
      <c r="B2" s="1" t="s">
        <v>0</v>
      </c>
      <c r="C2" s="2" t="s">
        <v>1</v>
      </c>
      <c r="D2" s="3" t="s">
        <v>3</v>
      </c>
      <c r="E2" s="3" t="s">
        <v>4</v>
      </c>
      <c r="F2" s="3" t="s">
        <v>5</v>
      </c>
      <c r="G2" s="3" t="s">
        <v>6</v>
      </c>
    </row>
    <row r="3" spans="2:15" x14ac:dyDescent="0.25">
      <c r="B3">
        <v>1</v>
      </c>
      <c r="C3" s="4">
        <v>5</v>
      </c>
      <c r="D3" s="5">
        <v>54</v>
      </c>
      <c r="E3" s="4">
        <v>4</v>
      </c>
      <c r="F3" s="4">
        <v>6.5</v>
      </c>
      <c r="G3" s="4">
        <v>7</v>
      </c>
    </row>
    <row r="4" spans="2:15" x14ac:dyDescent="0.25">
      <c r="B4">
        <v>2</v>
      </c>
      <c r="C4" s="4">
        <v>3</v>
      </c>
      <c r="D4" s="4">
        <v>45</v>
      </c>
      <c r="E4" s="4">
        <v>2</v>
      </c>
      <c r="F4" s="4">
        <v>6</v>
      </c>
      <c r="G4" s="4">
        <v>6</v>
      </c>
      <c r="J4" t="s">
        <v>36</v>
      </c>
    </row>
    <row r="5" spans="2:15" ht="15.75" thickBot="1" x14ac:dyDescent="0.3">
      <c r="B5">
        <v>3</v>
      </c>
      <c r="C5" s="4">
        <v>2</v>
      </c>
      <c r="D5" s="5">
        <v>44</v>
      </c>
      <c r="E5" s="4">
        <v>2</v>
      </c>
      <c r="F5" s="4">
        <v>5.8</v>
      </c>
      <c r="G5" s="4">
        <v>11</v>
      </c>
    </row>
    <row r="6" spans="2:15" x14ac:dyDescent="0.25">
      <c r="B6">
        <v>4</v>
      </c>
      <c r="C6" s="4">
        <v>4</v>
      </c>
      <c r="D6" s="4">
        <v>46</v>
      </c>
      <c r="E6" s="4">
        <v>1</v>
      </c>
      <c r="F6" s="4">
        <v>7</v>
      </c>
      <c r="G6" s="4">
        <v>3</v>
      </c>
      <c r="J6" s="26" t="s">
        <v>37</v>
      </c>
      <c r="K6" s="26"/>
    </row>
    <row r="7" spans="2:15" x14ac:dyDescent="0.25">
      <c r="B7">
        <v>5</v>
      </c>
      <c r="C7" s="4">
        <v>5</v>
      </c>
      <c r="D7" s="4">
        <v>46</v>
      </c>
      <c r="E7" s="4">
        <v>3</v>
      </c>
      <c r="F7" s="4">
        <v>6.5</v>
      </c>
      <c r="G7" s="4">
        <v>8</v>
      </c>
      <c r="J7" t="s">
        <v>38</v>
      </c>
      <c r="K7">
        <v>0.48883719627681266</v>
      </c>
    </row>
    <row r="8" spans="2:15" x14ac:dyDescent="0.25">
      <c r="B8">
        <v>6</v>
      </c>
      <c r="C8" s="4">
        <v>1</v>
      </c>
      <c r="D8" s="4">
        <v>37</v>
      </c>
      <c r="E8" s="4">
        <v>0.9</v>
      </c>
      <c r="F8" s="4">
        <v>5</v>
      </c>
      <c r="G8" s="4">
        <v>2</v>
      </c>
      <c r="J8" t="s">
        <v>39</v>
      </c>
      <c r="K8">
        <v>0.23896180446377505</v>
      </c>
    </row>
    <row r="9" spans="2:15" x14ac:dyDescent="0.25">
      <c r="B9">
        <v>7</v>
      </c>
      <c r="C9" s="4">
        <v>2</v>
      </c>
      <c r="D9" s="4">
        <v>42</v>
      </c>
      <c r="E9" s="4">
        <v>0.9</v>
      </c>
      <c r="F9" s="4">
        <v>5</v>
      </c>
      <c r="G9" s="4">
        <v>2</v>
      </c>
      <c r="J9" t="s">
        <v>40</v>
      </c>
      <c r="K9">
        <v>0.20314824232089387</v>
      </c>
    </row>
    <row r="10" spans="2:15" x14ac:dyDescent="0.25">
      <c r="B10">
        <v>8</v>
      </c>
      <c r="C10" s="4">
        <v>3</v>
      </c>
      <c r="D10" s="4">
        <v>29</v>
      </c>
      <c r="E10" s="4">
        <v>3.6</v>
      </c>
      <c r="F10" s="4">
        <v>6.5</v>
      </c>
      <c r="G10" s="4">
        <v>3</v>
      </c>
      <c r="J10" t="s">
        <v>41</v>
      </c>
      <c r="K10">
        <v>1.0774306585644704</v>
      </c>
    </row>
    <row r="11" spans="2:15" ht="15.75" thickBot="1" x14ac:dyDescent="0.3">
      <c r="B11">
        <v>9</v>
      </c>
      <c r="C11" s="4">
        <v>3</v>
      </c>
      <c r="D11" s="4">
        <v>46</v>
      </c>
      <c r="E11" s="4">
        <v>0.9</v>
      </c>
      <c r="F11" s="4">
        <v>6</v>
      </c>
      <c r="G11" s="4">
        <v>5</v>
      </c>
      <c r="J11" s="19" t="s">
        <v>42</v>
      </c>
      <c r="K11" s="19">
        <v>90</v>
      </c>
    </row>
    <row r="12" spans="2:15" x14ac:dyDescent="0.25">
      <c r="B12">
        <v>10</v>
      </c>
      <c r="C12" s="4">
        <v>2</v>
      </c>
      <c r="D12" s="4">
        <v>28</v>
      </c>
      <c r="E12" s="4">
        <v>0.9</v>
      </c>
      <c r="F12" s="4">
        <v>6</v>
      </c>
      <c r="G12" s="4">
        <v>2</v>
      </c>
    </row>
    <row r="13" spans="2:15" ht="15.75" thickBot="1" x14ac:dyDescent="0.3">
      <c r="B13">
        <v>11</v>
      </c>
      <c r="C13" s="4">
        <v>4</v>
      </c>
      <c r="D13" s="4">
        <v>39</v>
      </c>
      <c r="E13" s="4">
        <v>3.6</v>
      </c>
      <c r="F13" s="4">
        <v>7</v>
      </c>
      <c r="G13" s="4">
        <v>3</v>
      </c>
      <c r="J13" t="s">
        <v>43</v>
      </c>
    </row>
    <row r="14" spans="2:15" x14ac:dyDescent="0.25">
      <c r="B14">
        <v>12</v>
      </c>
      <c r="C14" s="4">
        <v>3</v>
      </c>
      <c r="D14" s="4">
        <v>31</v>
      </c>
      <c r="E14" s="4">
        <v>4</v>
      </c>
      <c r="F14" s="4">
        <v>7</v>
      </c>
      <c r="G14" s="4">
        <v>3</v>
      </c>
      <c r="J14" s="20"/>
      <c r="K14" s="20" t="s">
        <v>48</v>
      </c>
      <c r="L14" s="20" t="s">
        <v>49</v>
      </c>
      <c r="M14" s="20" t="s">
        <v>50</v>
      </c>
      <c r="N14" s="20" t="s">
        <v>51</v>
      </c>
      <c r="O14" s="20" t="s">
        <v>52</v>
      </c>
    </row>
    <row r="15" spans="2:15" x14ac:dyDescent="0.25">
      <c r="B15">
        <v>13</v>
      </c>
      <c r="C15" s="4">
        <v>4</v>
      </c>
      <c r="D15" s="4">
        <v>65</v>
      </c>
      <c r="E15" s="4">
        <v>1</v>
      </c>
      <c r="F15" s="4">
        <v>7</v>
      </c>
      <c r="G15" s="4">
        <v>9</v>
      </c>
      <c r="J15" t="s">
        <v>44</v>
      </c>
      <c r="K15">
        <v>4</v>
      </c>
      <c r="L15">
        <v>30.982725514308797</v>
      </c>
      <c r="M15">
        <v>7.7456813785771992</v>
      </c>
      <c r="N15">
        <v>6.6723830349636017</v>
      </c>
      <c r="O15">
        <v>1.0168994216782997E-4</v>
      </c>
    </row>
    <row r="16" spans="2:15" x14ac:dyDescent="0.25">
      <c r="B16">
        <v>14</v>
      </c>
      <c r="C16" s="4">
        <v>1</v>
      </c>
      <c r="D16" s="4">
        <v>50</v>
      </c>
      <c r="E16" s="4">
        <v>1</v>
      </c>
      <c r="F16" s="4">
        <v>7</v>
      </c>
      <c r="G16" s="4">
        <v>9</v>
      </c>
      <c r="J16" t="s">
        <v>45</v>
      </c>
      <c r="K16">
        <v>85</v>
      </c>
      <c r="L16">
        <v>98.672830041246797</v>
      </c>
      <c r="M16">
        <v>1.1608568240146682</v>
      </c>
    </row>
    <row r="17" spans="2:18" ht="15.75" thickBot="1" x14ac:dyDescent="0.3">
      <c r="B17">
        <v>15</v>
      </c>
      <c r="C17" s="4">
        <v>4</v>
      </c>
      <c r="D17" s="4">
        <v>30</v>
      </c>
      <c r="E17" s="4">
        <v>2</v>
      </c>
      <c r="F17" s="4">
        <v>7.5</v>
      </c>
      <c r="G17" s="4">
        <v>3</v>
      </c>
      <c r="J17" s="19" t="s">
        <v>46</v>
      </c>
      <c r="K17" s="19">
        <v>89</v>
      </c>
      <c r="L17" s="19">
        <v>129.65555555555559</v>
      </c>
      <c r="M17" s="19"/>
      <c r="N17" s="19"/>
      <c r="O17" s="19"/>
    </row>
    <row r="18" spans="2:18" ht="15.75" thickBot="1" x14ac:dyDescent="0.3">
      <c r="B18">
        <v>16</v>
      </c>
      <c r="C18" s="4">
        <v>5</v>
      </c>
      <c r="D18" s="4">
        <v>58</v>
      </c>
      <c r="E18" s="4">
        <v>1</v>
      </c>
      <c r="F18" s="4">
        <v>6</v>
      </c>
      <c r="G18" s="4">
        <v>5</v>
      </c>
    </row>
    <row r="19" spans="2:18" x14ac:dyDescent="0.25">
      <c r="B19">
        <v>17</v>
      </c>
      <c r="C19" s="4">
        <v>3</v>
      </c>
      <c r="D19" s="4">
        <v>54</v>
      </c>
      <c r="E19" s="4">
        <v>2</v>
      </c>
      <c r="F19" s="4">
        <v>6.5</v>
      </c>
      <c r="G19" s="4">
        <v>4</v>
      </c>
      <c r="J19" s="20"/>
      <c r="K19" s="20" t="s">
        <v>53</v>
      </c>
      <c r="L19" s="20" t="s">
        <v>41</v>
      </c>
      <c r="M19" s="20" t="s">
        <v>54</v>
      </c>
      <c r="N19" s="20" t="s">
        <v>55</v>
      </c>
      <c r="O19" s="20" t="s">
        <v>56</v>
      </c>
      <c r="P19" s="20" t="s">
        <v>57</v>
      </c>
      <c r="Q19" s="20" t="s">
        <v>58</v>
      </c>
      <c r="R19" s="20" t="s">
        <v>59</v>
      </c>
    </row>
    <row r="20" spans="2:18" x14ac:dyDescent="0.25">
      <c r="B20">
        <v>18</v>
      </c>
      <c r="C20" s="4">
        <v>4</v>
      </c>
      <c r="D20" s="4">
        <v>58</v>
      </c>
      <c r="E20" s="4">
        <v>1</v>
      </c>
      <c r="F20" s="4">
        <v>7</v>
      </c>
      <c r="G20" s="4">
        <v>9</v>
      </c>
      <c r="J20" t="s">
        <v>47</v>
      </c>
      <c r="K20">
        <v>0.28266516297231181</v>
      </c>
      <c r="L20">
        <v>0.72795097078421489</v>
      </c>
      <c r="M20">
        <v>0.38830247409080204</v>
      </c>
      <c r="N20">
        <v>0.69876305418580453</v>
      </c>
      <c r="O20">
        <v>-1.1646963904548338</v>
      </c>
      <c r="P20">
        <v>1.7300267163994574</v>
      </c>
      <c r="Q20">
        <v>-1.1646963904548338</v>
      </c>
      <c r="R20">
        <v>1.7300267163994574</v>
      </c>
    </row>
    <row r="21" spans="2:18" x14ac:dyDescent="0.25">
      <c r="B21">
        <v>19</v>
      </c>
      <c r="C21" s="4">
        <v>2</v>
      </c>
      <c r="D21" s="4">
        <v>37</v>
      </c>
      <c r="E21" s="4">
        <v>1</v>
      </c>
      <c r="F21" s="4">
        <v>7</v>
      </c>
      <c r="G21" s="4">
        <v>9</v>
      </c>
      <c r="J21" t="s">
        <v>27</v>
      </c>
      <c r="K21">
        <v>1.2696786791173463E-2</v>
      </c>
      <c r="L21">
        <v>1.1872738264274327E-2</v>
      </c>
      <c r="M21">
        <v>1.0694067795109019</v>
      </c>
      <c r="N21">
        <v>0.28791391578530562</v>
      </c>
      <c r="O21">
        <v>-1.0909397673560034E-2</v>
      </c>
      <c r="P21">
        <v>3.6302971255906959E-2</v>
      </c>
      <c r="Q21">
        <v>-1.0909397673560034E-2</v>
      </c>
      <c r="R21">
        <v>3.6302971255906959E-2</v>
      </c>
    </row>
    <row r="22" spans="2:18" x14ac:dyDescent="0.25">
      <c r="B22">
        <v>20</v>
      </c>
      <c r="C22" s="4">
        <v>5</v>
      </c>
      <c r="D22" s="4">
        <v>35</v>
      </c>
      <c r="E22" s="4">
        <v>2</v>
      </c>
      <c r="F22" s="4">
        <v>9.5</v>
      </c>
      <c r="G22" s="4">
        <v>5</v>
      </c>
      <c r="J22" t="s">
        <v>28</v>
      </c>
      <c r="K22">
        <v>0.4500638343553231</v>
      </c>
      <c r="L22">
        <v>0.12665305232920704</v>
      </c>
      <c r="M22">
        <v>3.5535174721686147</v>
      </c>
      <c r="N22">
        <v>6.2335235419401589E-4</v>
      </c>
      <c r="O22">
        <v>0.19824363502512715</v>
      </c>
      <c r="P22">
        <v>0.70188403368551899</v>
      </c>
      <c r="Q22">
        <v>0.19824363502512715</v>
      </c>
      <c r="R22">
        <v>0.70188403368551899</v>
      </c>
    </row>
    <row r="23" spans="2:18" x14ac:dyDescent="0.25">
      <c r="B23">
        <v>21</v>
      </c>
      <c r="C23" s="4">
        <v>4</v>
      </c>
      <c r="D23" s="4">
        <v>49</v>
      </c>
      <c r="E23" s="4">
        <v>2</v>
      </c>
      <c r="F23" s="4">
        <v>8.5</v>
      </c>
      <c r="G23" s="4">
        <v>4</v>
      </c>
      <c r="J23" t="s">
        <v>29</v>
      </c>
      <c r="K23">
        <v>0.21493174066298534</v>
      </c>
      <c r="L23">
        <v>0.10870451378356726</v>
      </c>
      <c r="M23">
        <v>1.9772108184110782</v>
      </c>
      <c r="N23">
        <v>5.1258877183164089E-2</v>
      </c>
      <c r="O23">
        <v>-1.201955490797102E-3</v>
      </c>
      <c r="P23">
        <v>0.43106543681676779</v>
      </c>
      <c r="Q23">
        <v>-1.201955490797102E-3</v>
      </c>
      <c r="R23">
        <v>0.43106543681676779</v>
      </c>
    </row>
    <row r="24" spans="2:18" ht="15.75" thickBot="1" x14ac:dyDescent="0.3">
      <c r="B24">
        <v>22</v>
      </c>
      <c r="C24" s="4">
        <v>3</v>
      </c>
      <c r="D24" s="4">
        <v>37</v>
      </c>
      <c r="E24" s="4">
        <v>2</v>
      </c>
      <c r="F24" s="4">
        <v>7</v>
      </c>
      <c r="G24" s="4">
        <v>2</v>
      </c>
      <c r="J24" s="19" t="s">
        <v>30</v>
      </c>
      <c r="K24" s="19">
        <v>5.6361060265846537E-2</v>
      </c>
      <c r="L24" s="19">
        <v>5.3250052395023062E-2</v>
      </c>
      <c r="M24" s="19">
        <v>1.0584226255355618</v>
      </c>
      <c r="N24" s="19">
        <v>0.29286143156310745</v>
      </c>
      <c r="O24" s="19">
        <v>-4.9514309982658565E-2</v>
      </c>
      <c r="P24" s="19">
        <v>0.16223643051435163</v>
      </c>
      <c r="Q24" s="19">
        <v>-4.9514309982658565E-2</v>
      </c>
      <c r="R24" s="19">
        <v>0.16223643051435163</v>
      </c>
    </row>
    <row r="25" spans="2:18" x14ac:dyDescent="0.25">
      <c r="B25">
        <v>23</v>
      </c>
      <c r="C25" s="4">
        <v>3</v>
      </c>
      <c r="D25" s="4">
        <v>34</v>
      </c>
      <c r="E25" s="4">
        <v>0.9</v>
      </c>
      <c r="F25" s="4">
        <v>6</v>
      </c>
      <c r="G25" s="4">
        <v>5</v>
      </c>
    </row>
    <row r="26" spans="2:18" x14ac:dyDescent="0.25">
      <c r="B26">
        <v>24</v>
      </c>
      <c r="C26" s="4">
        <v>2</v>
      </c>
      <c r="D26" s="4">
        <v>66</v>
      </c>
      <c r="E26" s="4">
        <v>1</v>
      </c>
      <c r="F26" s="4">
        <v>5.5</v>
      </c>
      <c r="G26" s="4">
        <v>10</v>
      </c>
    </row>
    <row r="27" spans="2:18" x14ac:dyDescent="0.25">
      <c r="B27">
        <v>25</v>
      </c>
      <c r="C27" s="4">
        <v>5</v>
      </c>
      <c r="D27" s="4">
        <v>50</v>
      </c>
      <c r="E27" s="4">
        <v>0.3</v>
      </c>
      <c r="F27" s="4">
        <v>6.5</v>
      </c>
      <c r="G27" s="4">
        <v>6</v>
      </c>
    </row>
    <row r="28" spans="2:18" x14ac:dyDescent="0.25">
      <c r="B28">
        <v>26</v>
      </c>
      <c r="C28" s="4">
        <v>4</v>
      </c>
      <c r="D28" s="4">
        <v>43</v>
      </c>
      <c r="E28" s="4">
        <v>1</v>
      </c>
      <c r="F28" s="4">
        <v>7</v>
      </c>
      <c r="G28" s="4">
        <v>3</v>
      </c>
      <c r="J28" t="s">
        <v>60</v>
      </c>
    </row>
    <row r="29" spans="2:18" ht="15.75" thickBot="1" x14ac:dyDescent="0.3">
      <c r="B29">
        <v>27</v>
      </c>
      <c r="C29" s="4">
        <v>4</v>
      </c>
      <c r="D29" s="4">
        <v>54</v>
      </c>
      <c r="E29" s="4">
        <v>1</v>
      </c>
      <c r="F29" s="4">
        <v>7</v>
      </c>
      <c r="G29" s="4">
        <v>4</v>
      </c>
    </row>
    <row r="30" spans="2:18" x14ac:dyDescent="0.25">
      <c r="B30">
        <v>28</v>
      </c>
      <c r="C30" s="4">
        <v>3</v>
      </c>
      <c r="D30" s="4">
        <v>49</v>
      </c>
      <c r="E30" s="4">
        <v>1</v>
      </c>
      <c r="F30" s="4">
        <v>6.5</v>
      </c>
      <c r="G30" s="4">
        <v>7</v>
      </c>
      <c r="J30" s="20" t="s">
        <v>61</v>
      </c>
      <c r="K30" s="20" t="s">
        <v>62</v>
      </c>
      <c r="L30" s="20" t="s">
        <v>63</v>
      </c>
    </row>
    <row r="31" spans="2:18" x14ac:dyDescent="0.25">
      <c r="B31">
        <v>29</v>
      </c>
      <c r="C31" s="4">
        <v>3</v>
      </c>
      <c r="D31" s="4">
        <v>43</v>
      </c>
      <c r="E31" s="4">
        <v>1.8</v>
      </c>
      <c r="F31" s="4">
        <v>6</v>
      </c>
      <c r="G31" s="4">
        <v>2</v>
      </c>
      <c r="J31">
        <v>1</v>
      </c>
      <c r="K31">
        <v>4.5601307232873021</v>
      </c>
      <c r="L31">
        <v>0.43986927671269793</v>
      </c>
    </row>
    <row r="32" spans="2:18" x14ac:dyDescent="0.25">
      <c r="B32">
        <v>30</v>
      </c>
      <c r="C32" s="4">
        <v>2</v>
      </c>
      <c r="D32" s="4">
        <v>52</v>
      </c>
      <c r="E32" s="4">
        <v>1.8</v>
      </c>
      <c r="F32" s="4">
        <v>5</v>
      </c>
      <c r="G32" s="4">
        <v>7</v>
      </c>
      <c r="J32">
        <v>2</v>
      </c>
      <c r="K32">
        <v>3.3819050428587554</v>
      </c>
      <c r="L32">
        <v>-0.38190504285875537</v>
      </c>
    </row>
    <row r="33" spans="2:12" x14ac:dyDescent="0.25">
      <c r="B33">
        <v>31</v>
      </c>
      <c r="C33" s="4">
        <v>4</v>
      </c>
      <c r="D33" s="4">
        <v>29</v>
      </c>
      <c r="E33" s="4">
        <v>0.9</v>
      </c>
      <c r="F33" s="4">
        <v>4.5</v>
      </c>
      <c r="G33" s="4">
        <v>11</v>
      </c>
      <c r="J33">
        <v>3</v>
      </c>
      <c r="K33">
        <v>3.6080272092642174</v>
      </c>
      <c r="L33">
        <v>-1.6080272092642174</v>
      </c>
    </row>
    <row r="34" spans="2:12" x14ac:dyDescent="0.25">
      <c r="B34">
        <v>32</v>
      </c>
      <c r="C34" s="4">
        <v>2</v>
      </c>
      <c r="D34" s="4">
        <v>37</v>
      </c>
      <c r="E34" s="4">
        <v>0.9</v>
      </c>
      <c r="F34" s="4">
        <v>5.5</v>
      </c>
      <c r="G34" s="4">
        <v>2</v>
      </c>
      <c r="J34">
        <v>4</v>
      </c>
      <c r="K34">
        <v>2.9903865551600513</v>
      </c>
      <c r="L34">
        <v>1.0096134448399487</v>
      </c>
    </row>
    <row r="35" spans="2:12" x14ac:dyDescent="0.25">
      <c r="B35">
        <v>33</v>
      </c>
      <c r="C35" s="4">
        <v>3</v>
      </c>
      <c r="D35" s="4">
        <v>27</v>
      </c>
      <c r="E35" s="4">
        <v>0.9</v>
      </c>
      <c r="F35" s="4">
        <v>7</v>
      </c>
      <c r="G35" s="4">
        <v>3</v>
      </c>
      <c r="J35">
        <v>5</v>
      </c>
      <c r="K35">
        <v>4.064853654868438</v>
      </c>
      <c r="L35">
        <v>0.93514634513156203</v>
      </c>
    </row>
    <row r="36" spans="2:12" x14ac:dyDescent="0.25">
      <c r="B36">
        <v>34</v>
      </c>
      <c r="C36" s="4">
        <v>2</v>
      </c>
      <c r="D36" s="4">
        <v>32</v>
      </c>
      <c r="E36" s="4">
        <v>0.9</v>
      </c>
      <c r="F36" s="4">
        <v>6.5</v>
      </c>
      <c r="G36" s="4">
        <v>3</v>
      </c>
      <c r="J36">
        <v>6</v>
      </c>
      <c r="K36">
        <v>2.3448845490121406</v>
      </c>
      <c r="L36">
        <v>-1.3448845490121406</v>
      </c>
    </row>
    <row r="37" spans="2:12" x14ac:dyDescent="0.25">
      <c r="B37">
        <v>35</v>
      </c>
      <c r="C37" s="4">
        <v>3</v>
      </c>
      <c r="D37" s="4">
        <v>34</v>
      </c>
      <c r="E37" s="4">
        <v>2.7</v>
      </c>
      <c r="F37" s="4">
        <v>6.5</v>
      </c>
      <c r="G37" s="4">
        <v>2</v>
      </c>
      <c r="J37">
        <v>7</v>
      </c>
      <c r="K37">
        <v>2.4083684829680077</v>
      </c>
      <c r="L37">
        <v>-0.40836848296800765</v>
      </c>
    </row>
    <row r="38" spans="2:12" x14ac:dyDescent="0.25">
      <c r="B38">
        <v>36</v>
      </c>
      <c r="C38" s="4">
        <v>3</v>
      </c>
      <c r="D38" s="4">
        <v>48</v>
      </c>
      <c r="E38" s="4">
        <v>1.8</v>
      </c>
      <c r="F38" s="4">
        <v>5</v>
      </c>
      <c r="G38" s="4">
        <v>4</v>
      </c>
      <c r="J38">
        <v>8</v>
      </c>
      <c r="K38">
        <v>3.8372412787024501</v>
      </c>
      <c r="L38">
        <v>-0.83724127870245013</v>
      </c>
    </row>
    <row r="39" spans="2:12" x14ac:dyDescent="0.25">
      <c r="B39">
        <v>37</v>
      </c>
      <c r="C39" s="4">
        <v>4</v>
      </c>
      <c r="D39" s="4">
        <v>53</v>
      </c>
      <c r="E39" s="4">
        <v>0.9</v>
      </c>
      <c r="F39" s="4">
        <v>4.5</v>
      </c>
      <c r="G39" s="4">
        <v>5</v>
      </c>
      <c r="J39">
        <v>9</v>
      </c>
      <c r="K39">
        <v>2.8431705515932264</v>
      </c>
      <c r="L39">
        <v>0.1568294484067736</v>
      </c>
    </row>
    <row r="40" spans="2:12" x14ac:dyDescent="0.25">
      <c r="B40">
        <v>38</v>
      </c>
      <c r="C40" s="4">
        <v>4</v>
      </c>
      <c r="D40" s="4">
        <v>41</v>
      </c>
      <c r="E40" s="4">
        <v>0.9</v>
      </c>
      <c r="F40" s="4">
        <v>5.5</v>
      </c>
      <c r="G40" s="4">
        <v>2</v>
      </c>
      <c r="J40">
        <v>10</v>
      </c>
      <c r="K40">
        <v>2.4455452085545648</v>
      </c>
      <c r="L40">
        <v>-0.44554520855456481</v>
      </c>
    </row>
    <row r="41" spans="2:12" x14ac:dyDescent="0.25">
      <c r="B41">
        <v>39</v>
      </c>
      <c r="C41" s="4">
        <v>5</v>
      </c>
      <c r="D41" s="4">
        <v>47</v>
      </c>
      <c r="E41" s="4">
        <v>2.7</v>
      </c>
      <c r="F41" s="4">
        <v>5.5</v>
      </c>
      <c r="G41" s="4">
        <v>4</v>
      </c>
      <c r="J41">
        <v>11</v>
      </c>
      <c r="K41">
        <v>4.0716750169456768</v>
      </c>
      <c r="L41">
        <v>-7.1675016945676795E-2</v>
      </c>
    </row>
    <row r="42" spans="2:12" x14ac:dyDescent="0.25">
      <c r="B42">
        <v>40</v>
      </c>
      <c r="C42" s="4">
        <v>1</v>
      </c>
      <c r="D42" s="4">
        <v>31</v>
      </c>
      <c r="E42" s="4">
        <v>1.8</v>
      </c>
      <c r="F42" s="4">
        <v>6</v>
      </c>
      <c r="G42" s="4">
        <v>4</v>
      </c>
      <c r="J42">
        <v>12</v>
      </c>
      <c r="K42">
        <v>4.1501262563584183</v>
      </c>
      <c r="L42">
        <v>-1.1501262563584183</v>
      </c>
    </row>
    <row r="43" spans="2:12" x14ac:dyDescent="0.25">
      <c r="B43">
        <v>41</v>
      </c>
      <c r="C43" s="4">
        <v>3</v>
      </c>
      <c r="D43" s="4">
        <v>34</v>
      </c>
      <c r="E43" s="4">
        <v>0.9</v>
      </c>
      <c r="F43" s="4">
        <v>6.5</v>
      </c>
      <c r="G43" s="4">
        <v>3</v>
      </c>
      <c r="J43">
        <v>13</v>
      </c>
      <c r="K43">
        <v>3.5697918657874261</v>
      </c>
      <c r="L43">
        <v>0.43020813421257387</v>
      </c>
    </row>
    <row r="44" spans="2:12" x14ac:dyDescent="0.25">
      <c r="B44">
        <v>42</v>
      </c>
      <c r="C44" s="4">
        <v>1</v>
      </c>
      <c r="D44" s="4">
        <v>28</v>
      </c>
      <c r="E44" s="4">
        <v>0.9</v>
      </c>
      <c r="F44" s="4">
        <v>7</v>
      </c>
      <c r="G44" s="4">
        <v>2</v>
      </c>
      <c r="J44">
        <v>14</v>
      </c>
      <c r="K44">
        <v>3.3793400639198241</v>
      </c>
      <c r="L44">
        <v>-2.3793400639198241</v>
      </c>
    </row>
    <row r="45" spans="2:12" x14ac:dyDescent="0.25">
      <c r="B45">
        <v>43</v>
      </c>
      <c r="C45" s="4">
        <v>2</v>
      </c>
      <c r="D45" s="4">
        <v>39</v>
      </c>
      <c r="E45" s="4">
        <v>0.9</v>
      </c>
      <c r="F45" s="4">
        <v>5.5</v>
      </c>
      <c r="G45" s="4">
        <v>2</v>
      </c>
      <c r="J45">
        <v>15</v>
      </c>
      <c r="K45">
        <v>3.3447676711880914</v>
      </c>
      <c r="L45">
        <v>0.65523232881190863</v>
      </c>
    </row>
    <row r="46" spans="2:12" x14ac:dyDescent="0.25">
      <c r="B46">
        <v>44</v>
      </c>
      <c r="C46" s="4">
        <v>1</v>
      </c>
      <c r="D46" s="4">
        <v>45</v>
      </c>
      <c r="E46" s="4">
        <v>0.9</v>
      </c>
      <c r="F46" s="4">
        <v>5.5</v>
      </c>
      <c r="G46" s="4">
        <v>4</v>
      </c>
      <c r="J46">
        <v>16</v>
      </c>
      <c r="K46">
        <v>3.0405383765228406</v>
      </c>
      <c r="L46">
        <v>1.9594616234771594</v>
      </c>
    </row>
    <row r="47" spans="2:12" x14ac:dyDescent="0.25">
      <c r="B47">
        <v>45</v>
      </c>
      <c r="C47" s="4">
        <v>2</v>
      </c>
      <c r="D47" s="4">
        <v>29</v>
      </c>
      <c r="E47" s="4">
        <v>1.8</v>
      </c>
      <c r="F47" s="4">
        <v>7</v>
      </c>
      <c r="G47" s="4">
        <v>2</v>
      </c>
      <c r="J47">
        <v>17</v>
      </c>
      <c r="K47">
        <v>3.4909198737791161</v>
      </c>
      <c r="L47">
        <v>-0.49091987377911606</v>
      </c>
    </row>
    <row r="48" spans="2:12" x14ac:dyDescent="0.25">
      <c r="B48">
        <v>46</v>
      </c>
      <c r="C48" s="4">
        <v>2</v>
      </c>
      <c r="D48" s="4">
        <v>37</v>
      </c>
      <c r="E48" s="4">
        <v>1.8</v>
      </c>
      <c r="F48" s="4">
        <v>6</v>
      </c>
      <c r="G48" s="4">
        <v>3</v>
      </c>
      <c r="J48">
        <v>18</v>
      </c>
      <c r="K48">
        <v>3.4809143582492119</v>
      </c>
      <c r="L48">
        <v>0.51908564175078808</v>
      </c>
    </row>
    <row r="49" spans="2:12" x14ac:dyDescent="0.25">
      <c r="B49">
        <v>47</v>
      </c>
      <c r="C49" s="4">
        <v>2</v>
      </c>
      <c r="D49" s="4">
        <v>49</v>
      </c>
      <c r="E49" s="4">
        <v>0.9</v>
      </c>
      <c r="F49" s="4">
        <v>4.5</v>
      </c>
      <c r="G49" s="4">
        <v>9</v>
      </c>
      <c r="J49">
        <v>19</v>
      </c>
      <c r="K49">
        <v>3.2142818356345693</v>
      </c>
      <c r="L49">
        <v>-1.2142818356345693</v>
      </c>
    </row>
    <row r="50" spans="2:12" x14ac:dyDescent="0.25">
      <c r="B50">
        <v>48</v>
      </c>
      <c r="C50" s="4">
        <v>2</v>
      </c>
      <c r="D50" s="4">
        <v>33</v>
      </c>
      <c r="E50" s="4">
        <v>0.9</v>
      </c>
      <c r="F50" s="4">
        <v>6.5</v>
      </c>
      <c r="G50" s="4">
        <v>2</v>
      </c>
      <c r="J50">
        <v>20</v>
      </c>
      <c r="K50">
        <v>3.9508372070016224</v>
      </c>
      <c r="L50">
        <v>1.0491627929983776</v>
      </c>
    </row>
    <row r="51" spans="2:12" x14ac:dyDescent="0.25">
      <c r="B51">
        <v>49</v>
      </c>
      <c r="C51" s="4">
        <v>3</v>
      </c>
      <c r="D51" s="4">
        <v>27</v>
      </c>
      <c r="E51" s="4">
        <v>1.8</v>
      </c>
      <c r="F51" s="4">
        <v>7</v>
      </c>
      <c r="G51" s="4">
        <v>3</v>
      </c>
      <c r="J51">
        <v>21</v>
      </c>
      <c r="K51">
        <v>3.8572994211492193</v>
      </c>
      <c r="L51">
        <v>0.14270057885078069</v>
      </c>
    </row>
    <row r="52" spans="2:12" x14ac:dyDescent="0.25">
      <c r="B52">
        <v>50</v>
      </c>
      <c r="C52" s="4">
        <v>2</v>
      </c>
      <c r="D52" s="4">
        <v>49</v>
      </c>
      <c r="E52" s="4">
        <v>1</v>
      </c>
      <c r="F52" s="4">
        <v>5.5</v>
      </c>
      <c r="G52" s="4">
        <v>6</v>
      </c>
      <c r="J52">
        <v>22</v>
      </c>
      <c r="K52">
        <v>3.2698182481289666</v>
      </c>
      <c r="L52">
        <v>-0.2698182481289666</v>
      </c>
    </row>
    <row r="53" spans="2:12" x14ac:dyDescent="0.25">
      <c r="B53">
        <v>51</v>
      </c>
      <c r="C53" s="4">
        <v>4</v>
      </c>
      <c r="D53" s="4">
        <v>46</v>
      </c>
      <c r="E53" s="4">
        <v>1</v>
      </c>
      <c r="F53" s="4">
        <v>6.5</v>
      </c>
      <c r="G53" s="4">
        <v>4</v>
      </c>
      <c r="J53">
        <v>23</v>
      </c>
      <c r="K53">
        <v>2.6908091100991451</v>
      </c>
      <c r="L53">
        <v>0.30919088990085486</v>
      </c>
    </row>
    <row r="54" spans="2:12" x14ac:dyDescent="0.25">
      <c r="B54">
        <v>52</v>
      </c>
      <c r="C54" s="4">
        <v>4</v>
      </c>
      <c r="D54" s="4">
        <v>54</v>
      </c>
      <c r="E54" s="4">
        <v>1</v>
      </c>
      <c r="F54" s="4">
        <v>6</v>
      </c>
      <c r="G54" s="4">
        <v>7</v>
      </c>
      <c r="J54">
        <v>24</v>
      </c>
      <c r="K54">
        <v>3.3164521018499689</v>
      </c>
      <c r="L54">
        <v>-1.3164521018499689</v>
      </c>
    </row>
    <row r="55" spans="2:12" x14ac:dyDescent="0.25">
      <c r="B55">
        <v>53</v>
      </c>
      <c r="C55" s="4">
        <v>2</v>
      </c>
      <c r="D55" s="4">
        <v>31</v>
      </c>
      <c r="E55" s="4">
        <v>0.9</v>
      </c>
      <c r="F55" s="4">
        <v>6</v>
      </c>
      <c r="G55" s="4">
        <v>3</v>
      </c>
      <c r="J55">
        <v>25</v>
      </c>
      <c r="K55">
        <v>2.7877463287420658</v>
      </c>
      <c r="L55">
        <v>2.2122536712579342</v>
      </c>
    </row>
    <row r="56" spans="2:12" x14ac:dyDescent="0.25">
      <c r="B56">
        <v>54</v>
      </c>
      <c r="C56" s="4">
        <v>3</v>
      </c>
      <c r="D56" s="4">
        <v>31</v>
      </c>
      <c r="E56" s="4">
        <v>3</v>
      </c>
      <c r="F56" s="4">
        <v>6</v>
      </c>
      <c r="G56" s="4">
        <v>5</v>
      </c>
      <c r="J56">
        <v>26</v>
      </c>
      <c r="K56">
        <v>2.9522961947865309</v>
      </c>
      <c r="L56">
        <v>1.0477038052134691</v>
      </c>
    </row>
    <row r="57" spans="2:12" x14ac:dyDescent="0.25">
      <c r="B57">
        <v>55</v>
      </c>
      <c r="C57" s="4">
        <v>3</v>
      </c>
      <c r="D57" s="4">
        <v>50</v>
      </c>
      <c r="E57" s="4">
        <v>2</v>
      </c>
      <c r="F57" s="4">
        <v>6.5</v>
      </c>
      <c r="G57" s="4">
        <v>7</v>
      </c>
      <c r="J57">
        <v>27</v>
      </c>
      <c r="K57">
        <v>3.1483219097552855</v>
      </c>
      <c r="L57">
        <v>0.85167809024471453</v>
      </c>
    </row>
    <row r="58" spans="2:12" x14ac:dyDescent="0.25">
      <c r="B58">
        <v>56</v>
      </c>
      <c r="C58" s="4">
        <v>2</v>
      </c>
      <c r="D58" s="4">
        <v>69</v>
      </c>
      <c r="E58" s="4">
        <v>1</v>
      </c>
      <c r="F58" s="4">
        <v>5.5</v>
      </c>
      <c r="G58" s="4">
        <v>9</v>
      </c>
      <c r="J58">
        <v>28</v>
      </c>
      <c r="K58">
        <v>3.1464552862654651</v>
      </c>
      <c r="L58">
        <v>-0.14645528626546511</v>
      </c>
    </row>
    <row r="59" spans="2:12" x14ac:dyDescent="0.25">
      <c r="B59">
        <v>57</v>
      </c>
      <c r="C59" s="4">
        <v>5</v>
      </c>
      <c r="D59" s="4">
        <v>34</v>
      </c>
      <c r="E59" s="4">
        <v>1</v>
      </c>
      <c r="F59" s="4">
        <v>7</v>
      </c>
      <c r="G59" s="4">
        <v>6</v>
      </c>
      <c r="J59">
        <v>29</v>
      </c>
      <c r="K59">
        <v>3.0410544613419579</v>
      </c>
      <c r="L59">
        <v>-4.1054461341957893E-2</v>
      </c>
    </row>
    <row r="60" spans="2:12" x14ac:dyDescent="0.25">
      <c r="B60">
        <v>58</v>
      </c>
      <c r="C60" s="4">
        <v>4</v>
      </c>
      <c r="D60" s="4">
        <v>62</v>
      </c>
      <c r="E60" s="4">
        <v>2</v>
      </c>
      <c r="F60" s="4">
        <v>5.5</v>
      </c>
      <c r="G60" s="4">
        <v>7</v>
      </c>
      <c r="J60">
        <v>30</v>
      </c>
      <c r="K60">
        <v>3.2221991031287658</v>
      </c>
      <c r="L60">
        <v>-1.2221991031287658</v>
      </c>
    </row>
    <row r="61" spans="2:12" x14ac:dyDescent="0.25">
      <c r="B61">
        <v>59</v>
      </c>
      <c r="C61" s="4">
        <v>3</v>
      </c>
      <c r="D61" s="4">
        <v>49</v>
      </c>
      <c r="E61" s="4">
        <v>1</v>
      </c>
      <c r="F61" s="4">
        <v>7</v>
      </c>
      <c r="G61" s="4">
        <v>5</v>
      </c>
      <c r="J61">
        <v>31</v>
      </c>
      <c r="K61">
        <v>2.6430939267438789</v>
      </c>
      <c r="L61">
        <v>1.3569060732561211</v>
      </c>
    </row>
    <row r="62" spans="2:12" x14ac:dyDescent="0.25">
      <c r="B62">
        <v>60</v>
      </c>
      <c r="C62" s="4">
        <v>4</v>
      </c>
      <c r="D62" s="4">
        <v>43</v>
      </c>
      <c r="E62" s="4">
        <v>2</v>
      </c>
      <c r="F62" s="4">
        <v>7.5</v>
      </c>
      <c r="G62" s="4">
        <v>4</v>
      </c>
      <c r="J62">
        <v>32</v>
      </c>
      <c r="K62">
        <v>2.4523504193436332</v>
      </c>
      <c r="L62">
        <v>-0.45235041934363318</v>
      </c>
    </row>
    <row r="63" spans="2:12" x14ac:dyDescent="0.25">
      <c r="B63">
        <v>61</v>
      </c>
      <c r="C63" s="4">
        <v>4</v>
      </c>
      <c r="D63" s="4">
        <v>23</v>
      </c>
      <c r="E63" s="4">
        <v>1</v>
      </c>
      <c r="F63" s="4">
        <v>4.5</v>
      </c>
      <c r="G63" s="4">
        <v>11</v>
      </c>
      <c r="J63">
        <v>33</v>
      </c>
      <c r="K63">
        <v>2.7041412226922232</v>
      </c>
      <c r="L63">
        <v>0.29585877730777677</v>
      </c>
    </row>
    <row r="64" spans="2:12" x14ac:dyDescent="0.25">
      <c r="B64">
        <v>62</v>
      </c>
      <c r="C64" s="4">
        <v>3</v>
      </c>
      <c r="D64" s="4">
        <v>37</v>
      </c>
      <c r="E64" s="4">
        <v>1.2</v>
      </c>
      <c r="F64" s="4">
        <v>5</v>
      </c>
      <c r="G64" s="4">
        <v>4</v>
      </c>
      <c r="J64">
        <v>34</v>
      </c>
      <c r="K64">
        <v>2.6601592863165977</v>
      </c>
      <c r="L64">
        <v>-0.6601592863165977</v>
      </c>
    </row>
    <row r="65" spans="2:12" x14ac:dyDescent="0.25">
      <c r="B65">
        <v>63</v>
      </c>
      <c r="C65" s="4">
        <v>4</v>
      </c>
      <c r="D65" s="4">
        <v>29</v>
      </c>
      <c r="E65" s="4">
        <v>0.9</v>
      </c>
      <c r="F65" s="4">
        <v>4</v>
      </c>
      <c r="G65" s="4">
        <v>2</v>
      </c>
      <c r="J65">
        <v>35</v>
      </c>
      <c r="K65">
        <v>3.4393067014726801</v>
      </c>
      <c r="L65">
        <v>-0.43930670147268014</v>
      </c>
    </row>
    <row r="66" spans="2:12" x14ac:dyDescent="0.25">
      <c r="B66">
        <v>64</v>
      </c>
      <c r="C66" s="4">
        <v>4</v>
      </c>
      <c r="D66" s="4">
        <v>25</v>
      </c>
      <c r="E66" s="4">
        <v>3.2</v>
      </c>
      <c r="F66" s="4">
        <v>6.5</v>
      </c>
      <c r="G66" s="4">
        <v>3</v>
      </c>
      <c r="J66">
        <v>36</v>
      </c>
      <c r="K66">
        <v>3.0023287751665326</v>
      </c>
      <c r="L66">
        <v>-2.3287751665326262E-3</v>
      </c>
    </row>
    <row r="67" spans="2:12" x14ac:dyDescent="0.25">
      <c r="B67">
        <v>65</v>
      </c>
      <c r="C67" s="4">
        <v>5</v>
      </c>
      <c r="D67" s="4">
        <v>25</v>
      </c>
      <c r="E67" s="4">
        <v>4.3</v>
      </c>
      <c r="F67" s="4">
        <v>7.5</v>
      </c>
      <c r="G67" s="4">
        <v>1</v>
      </c>
      <c r="J67">
        <v>37</v>
      </c>
      <c r="K67">
        <v>2.6096504481369629</v>
      </c>
      <c r="L67">
        <v>1.3903495518630371</v>
      </c>
    </row>
    <row r="68" spans="2:12" x14ac:dyDescent="0.25">
      <c r="B68">
        <v>66</v>
      </c>
      <c r="C68" s="4">
        <v>2</v>
      </c>
      <c r="D68" s="4">
        <v>22</v>
      </c>
      <c r="E68" s="4">
        <v>0.9</v>
      </c>
      <c r="F68" s="4">
        <v>3.5</v>
      </c>
      <c r="G68" s="4">
        <v>1</v>
      </c>
      <c r="J68">
        <v>38</v>
      </c>
      <c r="K68">
        <v>2.5031375665083275</v>
      </c>
      <c r="L68">
        <v>1.4968624334916725</v>
      </c>
    </row>
    <row r="69" spans="2:12" x14ac:dyDescent="0.25">
      <c r="B69">
        <v>67</v>
      </c>
      <c r="C69" s="4">
        <v>2</v>
      </c>
      <c r="D69" s="4">
        <v>12</v>
      </c>
      <c r="E69" s="4">
        <v>0.75</v>
      </c>
      <c r="F69" s="4">
        <v>3.5</v>
      </c>
      <c r="G69" s="4">
        <v>2</v>
      </c>
      <c r="J69">
        <v>39</v>
      </c>
      <c r="K69">
        <v>3.5021553096266422</v>
      </c>
      <c r="L69">
        <v>1.4978446903733578</v>
      </c>
    </row>
    <row r="70" spans="2:12" x14ac:dyDescent="0.25">
      <c r="B70">
        <v>68</v>
      </c>
      <c r="C70" s="4">
        <v>2</v>
      </c>
      <c r="D70" s="4">
        <v>16</v>
      </c>
      <c r="E70" s="4">
        <v>0.82</v>
      </c>
      <c r="F70" s="4">
        <v>3</v>
      </c>
      <c r="G70" s="4">
        <v>1</v>
      </c>
      <c r="J70">
        <v>40</v>
      </c>
      <c r="K70">
        <v>3.0014151403795686</v>
      </c>
      <c r="L70">
        <v>-2.0014151403795686</v>
      </c>
    </row>
    <row r="71" spans="2:12" x14ac:dyDescent="0.25">
      <c r="B71">
        <v>69</v>
      </c>
      <c r="C71" s="4">
        <v>5</v>
      </c>
      <c r="D71" s="4">
        <v>43</v>
      </c>
      <c r="E71" s="4">
        <v>3.2</v>
      </c>
      <c r="F71" s="4">
        <v>6</v>
      </c>
      <c r="G71" s="4">
        <v>3</v>
      </c>
      <c r="J71">
        <v>41</v>
      </c>
      <c r="K71">
        <v>2.6855528598989449</v>
      </c>
      <c r="L71">
        <v>0.31444714010105512</v>
      </c>
    </row>
    <row r="72" spans="2:12" x14ac:dyDescent="0.25">
      <c r="B72">
        <v>70</v>
      </c>
      <c r="C72" s="4">
        <v>5</v>
      </c>
      <c r="D72" s="4">
        <v>30</v>
      </c>
      <c r="E72" s="4">
        <v>3.5</v>
      </c>
      <c r="F72" s="4">
        <v>6</v>
      </c>
      <c r="G72" s="4">
        <v>3</v>
      </c>
      <c r="J72">
        <v>42</v>
      </c>
      <c r="K72">
        <v>2.6604769492175504</v>
      </c>
      <c r="L72">
        <v>-1.6604769492175504</v>
      </c>
    </row>
    <row r="73" spans="2:12" x14ac:dyDescent="0.25">
      <c r="B73">
        <v>71</v>
      </c>
      <c r="C73" s="4">
        <v>5</v>
      </c>
      <c r="D73" s="4">
        <v>34</v>
      </c>
      <c r="E73" s="4">
        <v>2.8</v>
      </c>
      <c r="F73" s="4">
        <v>6.5</v>
      </c>
      <c r="G73" s="4">
        <v>3</v>
      </c>
      <c r="J73">
        <v>43</v>
      </c>
      <c r="K73">
        <v>2.4777439929259804</v>
      </c>
      <c r="L73">
        <v>-0.47774399292598035</v>
      </c>
    </row>
    <row r="74" spans="2:12" x14ac:dyDescent="0.25">
      <c r="B74">
        <v>72</v>
      </c>
      <c r="C74" s="4">
        <v>2</v>
      </c>
      <c r="D74" s="4">
        <v>28</v>
      </c>
      <c r="E74" s="4">
        <v>1.2</v>
      </c>
      <c r="F74" s="4">
        <v>7</v>
      </c>
      <c r="G74" s="4">
        <v>2</v>
      </c>
      <c r="J74">
        <v>44</v>
      </c>
      <c r="K74">
        <v>2.6666468342047138</v>
      </c>
      <c r="L74">
        <v>-1.6666468342047138</v>
      </c>
    </row>
    <row r="75" spans="2:12" x14ac:dyDescent="0.25">
      <c r="B75">
        <v>73</v>
      </c>
      <c r="C75" s="4">
        <v>2</v>
      </c>
      <c r="D75" s="4">
        <v>39</v>
      </c>
      <c r="E75" s="4">
        <v>1.3</v>
      </c>
      <c r="F75" s="4">
        <v>5.5</v>
      </c>
      <c r="G75" s="4">
        <v>2</v>
      </c>
      <c r="J75">
        <v>45</v>
      </c>
      <c r="K75">
        <v>3.0782311869285146</v>
      </c>
      <c r="L75">
        <v>-1.0782311869285146</v>
      </c>
    </row>
    <row r="76" spans="2:12" x14ac:dyDescent="0.25">
      <c r="B76">
        <v>74</v>
      </c>
      <c r="C76" s="4">
        <v>3</v>
      </c>
      <c r="D76" s="4">
        <v>42</v>
      </c>
      <c r="E76" s="4">
        <v>1.5</v>
      </c>
      <c r="F76" s="4">
        <v>4</v>
      </c>
      <c r="G76" s="4">
        <v>3</v>
      </c>
      <c r="J76">
        <v>46</v>
      </c>
      <c r="K76">
        <v>3.0212348008607632</v>
      </c>
      <c r="L76">
        <v>-1.0212348008607632</v>
      </c>
    </row>
    <row r="77" spans="2:12" x14ac:dyDescent="0.25">
      <c r="B77">
        <v>75</v>
      </c>
      <c r="C77" s="4">
        <v>1</v>
      </c>
      <c r="D77" s="4">
        <v>29</v>
      </c>
      <c r="E77" s="4">
        <v>1.8</v>
      </c>
      <c r="F77" s="4">
        <v>6</v>
      </c>
      <c r="G77" s="4">
        <v>1</v>
      </c>
      <c r="J77">
        <v>47</v>
      </c>
      <c r="K77">
        <v>2.7843075420356556</v>
      </c>
      <c r="L77">
        <v>-0.78430754203565556</v>
      </c>
    </row>
    <row r="78" spans="2:12" x14ac:dyDescent="0.25">
      <c r="B78">
        <v>76</v>
      </c>
      <c r="C78" s="4">
        <v>4</v>
      </c>
      <c r="D78" s="4">
        <v>35</v>
      </c>
      <c r="E78" s="4">
        <v>2.5</v>
      </c>
      <c r="F78" s="4">
        <v>6</v>
      </c>
      <c r="G78" s="4">
        <v>4</v>
      </c>
      <c r="J78">
        <v>48</v>
      </c>
      <c r="K78">
        <v>2.6164950128419249</v>
      </c>
      <c r="L78">
        <v>-0.61649501284192487</v>
      </c>
    </row>
    <row r="79" spans="2:12" x14ac:dyDescent="0.25">
      <c r="B79">
        <v>77</v>
      </c>
      <c r="C79" s="4">
        <v>2</v>
      </c>
      <c r="D79" s="4">
        <v>40</v>
      </c>
      <c r="E79" s="4">
        <v>2</v>
      </c>
      <c r="F79" s="4">
        <v>4.5</v>
      </c>
      <c r="G79" s="4">
        <v>1</v>
      </c>
      <c r="J79">
        <v>49</v>
      </c>
      <c r="K79">
        <v>3.1091986736120139</v>
      </c>
      <c r="L79">
        <v>-0.10919867361201385</v>
      </c>
    </row>
    <row r="80" spans="2:12" x14ac:dyDescent="0.25">
      <c r="B80">
        <v>78</v>
      </c>
      <c r="C80" s="4">
        <v>2</v>
      </c>
      <c r="D80" s="4">
        <v>35</v>
      </c>
      <c r="E80" s="4">
        <v>1</v>
      </c>
      <c r="F80" s="4">
        <v>6</v>
      </c>
      <c r="G80" s="4">
        <v>1</v>
      </c>
      <c r="J80">
        <v>50</v>
      </c>
      <c r="K80">
        <v>2.8751624853366335</v>
      </c>
      <c r="L80">
        <v>-0.87516248533663354</v>
      </c>
    </row>
    <row r="81" spans="2:12" x14ac:dyDescent="0.25">
      <c r="B81">
        <v>79</v>
      </c>
      <c r="C81" s="4">
        <v>4</v>
      </c>
      <c r="D81" s="4">
        <v>28</v>
      </c>
      <c r="E81" s="4">
        <v>2</v>
      </c>
      <c r="F81" s="4">
        <v>7</v>
      </c>
      <c r="G81" s="4">
        <v>3</v>
      </c>
      <c r="J81">
        <v>51</v>
      </c>
      <c r="K81">
        <v>2.9392817450944051</v>
      </c>
      <c r="L81">
        <v>1.0607182549055949</v>
      </c>
    </row>
    <row r="82" spans="2:12" x14ac:dyDescent="0.25">
      <c r="B82">
        <v>80</v>
      </c>
      <c r="C82" s="4">
        <v>3</v>
      </c>
      <c r="D82" s="4">
        <v>50</v>
      </c>
      <c r="E82" s="4">
        <v>1.5</v>
      </c>
      <c r="F82" s="4">
        <v>5.5</v>
      </c>
      <c r="G82" s="4">
        <v>6</v>
      </c>
      <c r="J82">
        <v>52</v>
      </c>
      <c r="K82">
        <v>3.1024733498898396</v>
      </c>
      <c r="L82">
        <v>0.89752665011016042</v>
      </c>
    </row>
    <row r="83" spans="2:12" x14ac:dyDescent="0.25">
      <c r="B83">
        <v>81</v>
      </c>
      <c r="C83" s="4">
        <v>5</v>
      </c>
      <c r="D83" s="4">
        <v>47</v>
      </c>
      <c r="E83" s="4">
        <v>1.5</v>
      </c>
      <c r="F83" s="4">
        <v>6.5</v>
      </c>
      <c r="G83" s="4">
        <v>4</v>
      </c>
      <c r="J83">
        <v>53</v>
      </c>
      <c r="K83">
        <v>2.5399966291939315</v>
      </c>
      <c r="L83">
        <v>-0.53999662919393154</v>
      </c>
    </row>
    <row r="84" spans="2:12" x14ac:dyDescent="0.25">
      <c r="B84">
        <v>82</v>
      </c>
      <c r="C84" s="4">
        <v>5</v>
      </c>
      <c r="D84" s="4">
        <v>55</v>
      </c>
      <c r="E84" s="4">
        <v>1.3</v>
      </c>
      <c r="F84" s="4">
        <v>6</v>
      </c>
      <c r="G84" s="4">
        <v>7</v>
      </c>
      <c r="J84">
        <v>54</v>
      </c>
      <c r="K84">
        <v>3.5978528018718028</v>
      </c>
      <c r="L84">
        <v>-0.59785280187180279</v>
      </c>
    </row>
    <row r="85" spans="2:12" x14ac:dyDescent="0.25">
      <c r="B85">
        <v>83</v>
      </c>
      <c r="C85" s="4">
        <v>1</v>
      </c>
      <c r="D85" s="4">
        <v>32</v>
      </c>
      <c r="E85" s="4">
        <v>1</v>
      </c>
      <c r="F85" s="4">
        <v>6</v>
      </c>
      <c r="G85" s="4">
        <v>3</v>
      </c>
      <c r="J85">
        <v>55</v>
      </c>
      <c r="K85">
        <v>3.6092159074119619</v>
      </c>
      <c r="L85">
        <v>-0.60921590741196185</v>
      </c>
    </row>
    <row r="86" spans="2:12" x14ac:dyDescent="0.25">
      <c r="B86">
        <v>84</v>
      </c>
      <c r="C86" s="4">
        <v>2</v>
      </c>
      <c r="D86" s="4">
        <v>31</v>
      </c>
      <c r="E86" s="4">
        <v>3</v>
      </c>
      <c r="F86" s="4">
        <v>6</v>
      </c>
      <c r="G86" s="4">
        <v>5</v>
      </c>
      <c r="J86">
        <v>56</v>
      </c>
      <c r="K86">
        <v>3.2981814019576419</v>
      </c>
      <c r="L86">
        <v>-1.2981814019576419</v>
      </c>
    </row>
    <row r="87" spans="2:12" x14ac:dyDescent="0.25">
      <c r="B87">
        <v>85</v>
      </c>
      <c r="C87" s="4">
        <v>3</v>
      </c>
      <c r="D87" s="4">
        <v>47</v>
      </c>
      <c r="E87" s="4">
        <v>3</v>
      </c>
      <c r="F87" s="4">
        <v>8</v>
      </c>
      <c r="G87" s="4">
        <v>2</v>
      </c>
      <c r="J87">
        <v>57</v>
      </c>
      <c r="K87">
        <v>3.0071082944635092</v>
      </c>
      <c r="L87">
        <v>1.9928917055364908</v>
      </c>
    </row>
    <row r="88" spans="2:12" x14ac:dyDescent="0.25">
      <c r="B88">
        <v>86</v>
      </c>
      <c r="C88" s="4">
        <v>2</v>
      </c>
      <c r="D88" s="4">
        <v>69</v>
      </c>
      <c r="E88" s="4">
        <v>1</v>
      </c>
      <c r="F88" s="4">
        <v>5.5</v>
      </c>
      <c r="G88" s="4">
        <v>9</v>
      </c>
      <c r="J88">
        <v>58</v>
      </c>
      <c r="K88">
        <v>3.5466456082430584</v>
      </c>
      <c r="L88">
        <v>0.45335439175694159</v>
      </c>
    </row>
    <row r="89" spans="2:12" x14ac:dyDescent="0.25">
      <c r="B89">
        <v>87</v>
      </c>
      <c r="C89" s="4">
        <v>5</v>
      </c>
      <c r="D89" s="4">
        <v>34</v>
      </c>
      <c r="E89" s="4">
        <v>4</v>
      </c>
      <c r="F89" s="4">
        <v>7</v>
      </c>
      <c r="G89" s="4">
        <v>6</v>
      </c>
      <c r="J89">
        <v>59</v>
      </c>
      <c r="K89">
        <v>3.1411990360652644</v>
      </c>
      <c r="L89">
        <v>-0.1411990360652644</v>
      </c>
    </row>
    <row r="90" spans="2:12" x14ac:dyDescent="0.25">
      <c r="B90">
        <v>88</v>
      </c>
      <c r="C90" s="4">
        <v>4</v>
      </c>
      <c r="D90" s="4">
        <v>62</v>
      </c>
      <c r="E90" s="4">
        <v>3.6</v>
      </c>
      <c r="F90" s="4">
        <v>5.5</v>
      </c>
      <c r="G90" s="4">
        <v>7</v>
      </c>
      <c r="J90">
        <v>60</v>
      </c>
      <c r="K90">
        <v>3.5661869597391935</v>
      </c>
      <c r="L90">
        <v>0.43381304026080647</v>
      </c>
    </row>
    <row r="91" spans="2:12" x14ac:dyDescent="0.25">
      <c r="B91">
        <v>89</v>
      </c>
      <c r="C91" s="4">
        <v>3</v>
      </c>
      <c r="D91" s="4">
        <v>49</v>
      </c>
      <c r="E91" s="4">
        <v>2</v>
      </c>
      <c r="F91" s="4">
        <v>7</v>
      </c>
      <c r="G91" s="4">
        <v>5</v>
      </c>
      <c r="J91">
        <v>61</v>
      </c>
      <c r="K91">
        <v>2.6119195894323708</v>
      </c>
      <c r="L91">
        <v>1.3880804105676292</v>
      </c>
    </row>
    <row r="92" spans="2:12" x14ac:dyDescent="0.25">
      <c r="B92">
        <v>90</v>
      </c>
      <c r="C92" s="4">
        <v>4</v>
      </c>
      <c r="D92" s="4">
        <v>43</v>
      </c>
      <c r="E92" s="4">
        <v>1.5</v>
      </c>
      <c r="F92" s="4">
        <v>9</v>
      </c>
      <c r="G92" s="4">
        <v>4</v>
      </c>
      <c r="J92">
        <v>62</v>
      </c>
      <c r="K92">
        <v>2.5926258198504306</v>
      </c>
      <c r="L92">
        <v>0.40737418014956939</v>
      </c>
    </row>
    <row r="93" spans="2:12" x14ac:dyDescent="0.25">
      <c r="J93">
        <v>63</v>
      </c>
      <c r="K93">
        <v>2.0283785140197677</v>
      </c>
      <c r="L93">
        <v>1.9716214859802323</v>
      </c>
    </row>
    <row r="94" spans="2:12" x14ac:dyDescent="0.25">
      <c r="J94">
        <v>64</v>
      </c>
      <c r="K94">
        <v>3.606428597795627</v>
      </c>
      <c r="L94">
        <v>0.39357140220437303</v>
      </c>
    </row>
    <row r="95" spans="2:12" x14ac:dyDescent="0.25">
      <c r="J95">
        <v>65</v>
      </c>
      <c r="K95">
        <v>4.2037084357177745</v>
      </c>
      <c r="L95">
        <v>0.79629156428222547</v>
      </c>
    </row>
    <row r="96" spans="2:12" x14ac:dyDescent="0.25">
      <c r="J96">
        <v>66</v>
      </c>
      <c r="K96">
        <v>1.7756740758842142</v>
      </c>
      <c r="L96">
        <v>0.22432592411578578</v>
      </c>
    </row>
    <row r="97" spans="10:12" x14ac:dyDescent="0.25">
      <c r="J97">
        <v>67</v>
      </c>
      <c r="K97">
        <v>1.6375576930850275</v>
      </c>
      <c r="L97">
        <v>0.36244230691497248</v>
      </c>
    </row>
    <row r="98" spans="10:12" x14ac:dyDescent="0.25">
      <c r="J98">
        <v>68</v>
      </c>
      <c r="K98">
        <v>1.5560223780572546</v>
      </c>
      <c r="L98">
        <v>0.44397762194274537</v>
      </c>
    </row>
    <row r="99" spans="10:12" x14ac:dyDescent="0.25">
      <c r="J99">
        <v>69</v>
      </c>
      <c r="K99">
        <v>3.7275048897052563</v>
      </c>
      <c r="L99">
        <v>1.2724951102947437</v>
      </c>
    </row>
    <row r="100" spans="10:12" x14ac:dyDescent="0.25">
      <c r="J100">
        <v>70</v>
      </c>
      <c r="K100">
        <v>3.6974658117265977</v>
      </c>
      <c r="L100">
        <v>1.3025341882734023</v>
      </c>
    </row>
    <row r="101" spans="10:12" x14ac:dyDescent="0.25">
      <c r="J101">
        <v>71</v>
      </c>
      <c r="K101">
        <v>3.5406741451740587</v>
      </c>
      <c r="L101">
        <v>1.4593258548259413</v>
      </c>
    </row>
    <row r="102" spans="10:12" x14ac:dyDescent="0.25">
      <c r="J102">
        <v>72</v>
      </c>
      <c r="K102">
        <v>2.7954960995241471</v>
      </c>
      <c r="L102">
        <v>-0.79549609952414713</v>
      </c>
    </row>
    <row r="103" spans="10:12" x14ac:dyDescent="0.25">
      <c r="J103">
        <v>73</v>
      </c>
      <c r="K103">
        <v>2.6577695266681096</v>
      </c>
      <c r="L103">
        <v>-0.65776952666810962</v>
      </c>
    </row>
    <row r="104" spans="10:12" x14ac:dyDescent="0.25">
      <c r="J104">
        <v>74</v>
      </c>
      <c r="K104">
        <v>2.5198361031840628</v>
      </c>
      <c r="L104">
        <v>0.48016389681593719</v>
      </c>
    </row>
    <row r="105" spans="10:12" x14ac:dyDescent="0.25">
      <c r="J105">
        <v>75</v>
      </c>
      <c r="K105">
        <v>2.8069383859996826</v>
      </c>
      <c r="L105">
        <v>-1.8069383859996826</v>
      </c>
    </row>
    <row r="106" spans="10:12" x14ac:dyDescent="0.25">
      <c r="J106">
        <v>76</v>
      </c>
      <c r="K106">
        <v>3.3672469715929885</v>
      </c>
      <c r="L106">
        <v>0.63275302840701153</v>
      </c>
    </row>
    <row r="107" spans="10:12" x14ac:dyDescent="0.25">
      <c r="J107">
        <v>77</v>
      </c>
      <c r="K107">
        <v>2.7142181965791772</v>
      </c>
      <c r="L107">
        <v>-0.71421819657917718</v>
      </c>
    </row>
    <row r="108" spans="10:12" x14ac:dyDescent="0.25">
      <c r="J108">
        <v>78</v>
      </c>
      <c r="K108">
        <v>2.5230680392624647</v>
      </c>
      <c r="L108">
        <v>-0.5230680392624647</v>
      </c>
    </row>
    <row r="109" spans="10:12" x14ac:dyDescent="0.25">
      <c r="J109">
        <v>79</v>
      </c>
      <c r="K109">
        <v>3.2119082272742521</v>
      </c>
      <c r="L109">
        <v>0.78809177272574793</v>
      </c>
    </row>
    <row r="110" spans="10:12" x14ac:dyDescent="0.25">
      <c r="J110">
        <v>80</v>
      </c>
      <c r="K110">
        <v>3.1128911893054685</v>
      </c>
      <c r="L110">
        <v>-0.11289118930546849</v>
      </c>
    </row>
    <row r="111" spans="10:12" x14ac:dyDescent="0.25">
      <c r="J111">
        <v>81</v>
      </c>
      <c r="K111">
        <v>3.17701044906324</v>
      </c>
      <c r="L111">
        <v>1.82298955093676</v>
      </c>
    </row>
    <row r="112" spans="10:12" x14ac:dyDescent="0.25">
      <c r="J112">
        <v>82</v>
      </c>
      <c r="K112">
        <v>3.2501892869876103</v>
      </c>
      <c r="L112">
        <v>1.7498107130123897</v>
      </c>
    </row>
    <row r="113" spans="10:12" x14ac:dyDescent="0.25">
      <c r="J113">
        <v>83</v>
      </c>
      <c r="K113">
        <v>2.5976997994206372</v>
      </c>
      <c r="L113">
        <v>-1.5976997994206372</v>
      </c>
    </row>
    <row r="114" spans="10:12" x14ac:dyDescent="0.25">
      <c r="J114">
        <v>84</v>
      </c>
      <c r="K114">
        <v>3.5978528018718028</v>
      </c>
      <c r="L114">
        <v>-1.5978528018718028</v>
      </c>
    </row>
    <row r="115" spans="10:12" x14ac:dyDescent="0.25">
      <c r="J115">
        <v>85</v>
      </c>
      <c r="K115">
        <v>4.0617816910590099</v>
      </c>
      <c r="L115">
        <v>-1.0617816910590099</v>
      </c>
    </row>
    <row r="116" spans="10:12" x14ac:dyDescent="0.25">
      <c r="J116">
        <v>86</v>
      </c>
      <c r="K116">
        <v>3.2981814019576419</v>
      </c>
      <c r="L116">
        <v>-1.2981814019576419</v>
      </c>
    </row>
    <row r="117" spans="10:12" x14ac:dyDescent="0.25">
      <c r="J117">
        <v>87</v>
      </c>
      <c r="K117">
        <v>4.3572997975294792</v>
      </c>
      <c r="L117">
        <v>0.64270020247052084</v>
      </c>
    </row>
    <row r="118" spans="10:12" x14ac:dyDescent="0.25">
      <c r="J118">
        <v>88</v>
      </c>
      <c r="K118">
        <v>4.2667477432115746</v>
      </c>
      <c r="L118">
        <v>-0.26674774321157457</v>
      </c>
    </row>
    <row r="119" spans="10:12" x14ac:dyDescent="0.25">
      <c r="J119">
        <v>89</v>
      </c>
      <c r="K119">
        <v>3.5912628704205876</v>
      </c>
      <c r="L119">
        <v>-0.59126287042058756</v>
      </c>
    </row>
    <row r="120" spans="10:12" ht="15.75" thickBot="1" x14ac:dyDescent="0.3">
      <c r="J120" s="19">
        <v>90</v>
      </c>
      <c r="K120" s="19">
        <v>3.6635526535560095</v>
      </c>
      <c r="L120" s="19">
        <v>0.33644734644399055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T122"/>
  <sheetViews>
    <sheetView topLeftCell="F1" workbookViewId="0">
      <selection activeCell="L42" sqref="L42"/>
    </sheetView>
  </sheetViews>
  <sheetFormatPr defaultRowHeight="15" x14ac:dyDescent="0.25"/>
  <cols>
    <col min="5" max="5" width="9.140625" customWidth="1"/>
    <col min="6" max="6" width="13.7109375" customWidth="1"/>
    <col min="7" max="7" width="14.42578125" customWidth="1"/>
    <col min="8" max="8" width="21.42578125" customWidth="1"/>
    <col min="9" max="9" width="20.85546875" customWidth="1"/>
  </cols>
  <sheetData>
    <row r="2" spans="2:17" ht="103.5" x14ac:dyDescent="0.25">
      <c r="B2" s="1" t="s">
        <v>0</v>
      </c>
      <c r="C2" s="2" t="s">
        <v>1</v>
      </c>
      <c r="D2" s="3" t="s">
        <v>3</v>
      </c>
      <c r="E2" s="3" t="s">
        <v>4</v>
      </c>
      <c r="F2" s="3" t="s">
        <v>5</v>
      </c>
      <c r="G2" s="3" t="s">
        <v>6</v>
      </c>
      <c r="H2" s="3" t="s">
        <v>7</v>
      </c>
      <c r="I2" s="3" t="s">
        <v>8</v>
      </c>
    </row>
    <row r="3" spans="2:17" x14ac:dyDescent="0.25">
      <c r="B3">
        <v>1</v>
      </c>
      <c r="C3" s="4">
        <v>5</v>
      </c>
      <c r="D3" s="5">
        <v>54</v>
      </c>
      <c r="E3" s="4">
        <v>4</v>
      </c>
      <c r="F3" s="4">
        <v>6.5</v>
      </c>
      <c r="G3" s="4">
        <v>7</v>
      </c>
      <c r="H3" s="4">
        <v>1</v>
      </c>
      <c r="I3" s="4">
        <v>1</v>
      </c>
    </row>
    <row r="4" spans="2:17" x14ac:dyDescent="0.25">
      <c r="B4">
        <v>2</v>
      </c>
      <c r="C4" s="4">
        <v>3</v>
      </c>
      <c r="D4" s="4">
        <v>45</v>
      </c>
      <c r="E4" s="4">
        <v>2</v>
      </c>
      <c r="F4" s="4">
        <v>6</v>
      </c>
      <c r="G4" s="4">
        <v>6</v>
      </c>
      <c r="H4" s="4">
        <v>1</v>
      </c>
      <c r="I4" s="4">
        <v>1</v>
      </c>
      <c r="L4" t="s">
        <v>36</v>
      </c>
    </row>
    <row r="5" spans="2:17" ht="15.75" thickBot="1" x14ac:dyDescent="0.3">
      <c r="B5">
        <v>3</v>
      </c>
      <c r="C5" s="4">
        <v>2</v>
      </c>
      <c r="D5" s="5">
        <v>44</v>
      </c>
      <c r="E5" s="4">
        <v>2</v>
      </c>
      <c r="F5" s="4">
        <v>5.8</v>
      </c>
      <c r="G5" s="4">
        <v>11</v>
      </c>
      <c r="H5" s="4">
        <v>1</v>
      </c>
      <c r="I5" s="4">
        <v>1</v>
      </c>
    </row>
    <row r="6" spans="2:17" x14ac:dyDescent="0.25">
      <c r="B6">
        <v>4</v>
      </c>
      <c r="C6" s="4">
        <v>4</v>
      </c>
      <c r="D6" s="4">
        <v>46</v>
      </c>
      <c r="E6" s="4">
        <v>1</v>
      </c>
      <c r="F6" s="4">
        <v>7</v>
      </c>
      <c r="G6" s="4">
        <v>3</v>
      </c>
      <c r="H6" s="4">
        <v>1</v>
      </c>
      <c r="I6" s="4">
        <v>0</v>
      </c>
      <c r="L6" s="26" t="s">
        <v>37</v>
      </c>
      <c r="M6" s="26"/>
    </row>
    <row r="7" spans="2:17" x14ac:dyDescent="0.25">
      <c r="B7">
        <v>5</v>
      </c>
      <c r="C7" s="4">
        <v>5</v>
      </c>
      <c r="D7" s="4">
        <v>46</v>
      </c>
      <c r="E7" s="4">
        <v>3</v>
      </c>
      <c r="F7" s="4">
        <v>6.5</v>
      </c>
      <c r="G7" s="4">
        <v>8</v>
      </c>
      <c r="H7" s="4">
        <v>1</v>
      </c>
      <c r="I7" s="4">
        <v>1</v>
      </c>
      <c r="L7" t="s">
        <v>38</v>
      </c>
      <c r="M7">
        <v>0.58843471416713011</v>
      </c>
    </row>
    <row r="8" spans="2:17" x14ac:dyDescent="0.25">
      <c r="B8">
        <v>6</v>
      </c>
      <c r="C8" s="4">
        <v>1</v>
      </c>
      <c r="D8" s="4">
        <v>37</v>
      </c>
      <c r="E8" s="4">
        <v>0.9</v>
      </c>
      <c r="F8" s="4">
        <v>5</v>
      </c>
      <c r="G8" s="4">
        <v>2</v>
      </c>
      <c r="H8" s="4">
        <v>0</v>
      </c>
      <c r="I8" s="4">
        <v>1</v>
      </c>
      <c r="L8" t="s">
        <v>39</v>
      </c>
      <c r="M8">
        <v>0.3462554128369521</v>
      </c>
    </row>
    <row r="9" spans="2:17" x14ac:dyDescent="0.25">
      <c r="B9">
        <v>7</v>
      </c>
      <c r="C9" s="4">
        <v>2</v>
      </c>
      <c r="D9" s="4">
        <v>42</v>
      </c>
      <c r="E9" s="4">
        <v>0.9</v>
      </c>
      <c r="F9" s="4">
        <v>5</v>
      </c>
      <c r="G9" s="4">
        <v>2</v>
      </c>
      <c r="H9" s="4">
        <v>0</v>
      </c>
      <c r="I9" s="4">
        <v>1</v>
      </c>
      <c r="L9" t="s">
        <v>40</v>
      </c>
      <c r="M9">
        <v>0.29899676798179203</v>
      </c>
    </row>
    <row r="10" spans="2:17" x14ac:dyDescent="0.25">
      <c r="B10">
        <v>8</v>
      </c>
      <c r="C10" s="4">
        <v>3</v>
      </c>
      <c r="D10" s="4">
        <v>29</v>
      </c>
      <c r="E10" s="4">
        <v>3.6</v>
      </c>
      <c r="F10" s="4">
        <v>6.5</v>
      </c>
      <c r="G10" s="4">
        <v>3</v>
      </c>
      <c r="H10" s="4">
        <v>0</v>
      </c>
      <c r="I10" s="4">
        <v>0</v>
      </c>
      <c r="L10" t="s">
        <v>41</v>
      </c>
      <c r="M10">
        <v>1.0105564352951366</v>
      </c>
    </row>
    <row r="11" spans="2:17" ht="15.75" thickBot="1" x14ac:dyDescent="0.3">
      <c r="B11">
        <v>9</v>
      </c>
      <c r="C11" s="4">
        <v>3</v>
      </c>
      <c r="D11" s="4">
        <v>46</v>
      </c>
      <c r="E11" s="4">
        <v>0.9</v>
      </c>
      <c r="F11" s="4">
        <v>6</v>
      </c>
      <c r="G11" s="4">
        <v>5</v>
      </c>
      <c r="H11" s="4">
        <v>0</v>
      </c>
      <c r="I11" s="4">
        <v>1</v>
      </c>
      <c r="L11" s="19" t="s">
        <v>42</v>
      </c>
      <c r="M11" s="19">
        <v>90</v>
      </c>
    </row>
    <row r="12" spans="2:17" x14ac:dyDescent="0.25">
      <c r="B12">
        <v>10</v>
      </c>
      <c r="C12" s="4">
        <v>2</v>
      </c>
      <c r="D12" s="4">
        <v>28</v>
      </c>
      <c r="E12" s="4">
        <v>0.9</v>
      </c>
      <c r="F12" s="4">
        <v>6</v>
      </c>
      <c r="G12" s="4">
        <v>2</v>
      </c>
      <c r="H12" s="4">
        <v>0</v>
      </c>
      <c r="I12" s="4">
        <v>1</v>
      </c>
    </row>
    <row r="13" spans="2:17" ht="15.75" thickBot="1" x14ac:dyDescent="0.3">
      <c r="B13">
        <v>11</v>
      </c>
      <c r="C13" s="4">
        <v>4</v>
      </c>
      <c r="D13" s="4">
        <v>39</v>
      </c>
      <c r="E13" s="4">
        <v>3.6</v>
      </c>
      <c r="F13" s="4">
        <v>7</v>
      </c>
      <c r="G13" s="4">
        <v>3</v>
      </c>
      <c r="H13" s="4">
        <v>0</v>
      </c>
      <c r="I13" s="4">
        <v>1</v>
      </c>
      <c r="L13" t="s">
        <v>43</v>
      </c>
    </row>
    <row r="14" spans="2:17" x14ac:dyDescent="0.25">
      <c r="B14">
        <v>12</v>
      </c>
      <c r="C14" s="4">
        <v>3</v>
      </c>
      <c r="D14" s="4">
        <v>31</v>
      </c>
      <c r="E14" s="4">
        <v>4</v>
      </c>
      <c r="F14" s="4">
        <v>7</v>
      </c>
      <c r="G14" s="4">
        <v>3</v>
      </c>
      <c r="H14" s="4">
        <v>1</v>
      </c>
      <c r="I14" s="4">
        <v>0</v>
      </c>
      <c r="L14" s="20"/>
      <c r="M14" s="20" t="s">
        <v>48</v>
      </c>
      <c r="N14" s="20" t="s">
        <v>49</v>
      </c>
      <c r="O14" s="20" t="s">
        <v>50</v>
      </c>
      <c r="P14" s="20" t="s">
        <v>51</v>
      </c>
      <c r="Q14" s="20" t="s">
        <v>52</v>
      </c>
    </row>
    <row r="15" spans="2:17" x14ac:dyDescent="0.25">
      <c r="B15">
        <v>13</v>
      </c>
      <c r="C15" s="4">
        <v>4</v>
      </c>
      <c r="D15" s="4">
        <v>65</v>
      </c>
      <c r="E15" s="4">
        <v>1</v>
      </c>
      <c r="F15" s="4">
        <v>7</v>
      </c>
      <c r="G15" s="4">
        <v>9</v>
      </c>
      <c r="H15" s="4">
        <v>1</v>
      </c>
      <c r="I15" s="4">
        <v>1</v>
      </c>
      <c r="L15" t="s">
        <v>44</v>
      </c>
      <c r="M15">
        <v>6</v>
      </c>
      <c r="N15">
        <v>44.893937915493282</v>
      </c>
      <c r="O15">
        <v>7.4823229859155473</v>
      </c>
      <c r="P15">
        <v>7.3268163718652435</v>
      </c>
      <c r="Q15">
        <v>2.6459449429210434E-6</v>
      </c>
    </row>
    <row r="16" spans="2:17" x14ac:dyDescent="0.25">
      <c r="B16">
        <v>14</v>
      </c>
      <c r="C16" s="4">
        <v>1</v>
      </c>
      <c r="D16" s="4">
        <v>50</v>
      </c>
      <c r="E16" s="4">
        <v>1</v>
      </c>
      <c r="F16" s="4">
        <v>7</v>
      </c>
      <c r="G16" s="4">
        <v>9</v>
      </c>
      <c r="H16" s="4">
        <v>1</v>
      </c>
      <c r="I16" s="4">
        <v>1</v>
      </c>
      <c r="L16" t="s">
        <v>45</v>
      </c>
      <c r="M16">
        <v>83</v>
      </c>
      <c r="N16">
        <v>84.761617640062312</v>
      </c>
      <c r="O16">
        <v>1.0212243089164135</v>
      </c>
    </row>
    <row r="17" spans="2:20" ht="15.75" thickBot="1" x14ac:dyDescent="0.3">
      <c r="B17">
        <v>15</v>
      </c>
      <c r="C17" s="4">
        <v>4</v>
      </c>
      <c r="D17" s="4">
        <v>30</v>
      </c>
      <c r="E17" s="4">
        <v>2</v>
      </c>
      <c r="F17" s="4">
        <v>7.5</v>
      </c>
      <c r="G17" s="4">
        <v>3</v>
      </c>
      <c r="H17" s="4">
        <v>1</v>
      </c>
      <c r="I17" s="4">
        <v>0</v>
      </c>
      <c r="L17" s="19" t="s">
        <v>46</v>
      </c>
      <c r="M17" s="19">
        <v>89</v>
      </c>
      <c r="N17" s="19">
        <v>129.65555555555559</v>
      </c>
      <c r="O17" s="19"/>
      <c r="P17" s="19"/>
      <c r="Q17" s="19"/>
    </row>
    <row r="18" spans="2:20" ht="15.75" thickBot="1" x14ac:dyDescent="0.3">
      <c r="B18">
        <v>16</v>
      </c>
      <c r="C18" s="4">
        <v>5</v>
      </c>
      <c r="D18" s="4">
        <v>58</v>
      </c>
      <c r="E18" s="4">
        <v>1</v>
      </c>
      <c r="F18" s="4">
        <v>6</v>
      </c>
      <c r="G18" s="4">
        <v>5</v>
      </c>
      <c r="H18" s="4">
        <v>1</v>
      </c>
      <c r="I18" s="4">
        <v>1</v>
      </c>
    </row>
    <row r="19" spans="2:20" x14ac:dyDescent="0.25">
      <c r="B19">
        <v>17</v>
      </c>
      <c r="C19" s="4">
        <v>3</v>
      </c>
      <c r="D19" s="4">
        <v>54</v>
      </c>
      <c r="E19" s="4">
        <v>2</v>
      </c>
      <c r="F19" s="4">
        <v>6.5</v>
      </c>
      <c r="G19" s="4">
        <v>4</v>
      </c>
      <c r="H19" s="4">
        <v>1</v>
      </c>
      <c r="I19" s="4">
        <v>1</v>
      </c>
      <c r="L19" s="20"/>
      <c r="M19" s="20" t="s">
        <v>53</v>
      </c>
      <c r="N19" s="20" t="s">
        <v>41</v>
      </c>
      <c r="O19" s="20" t="s">
        <v>54</v>
      </c>
      <c r="P19" s="20" t="s">
        <v>55</v>
      </c>
      <c r="Q19" s="20" t="s">
        <v>56</v>
      </c>
      <c r="R19" s="20" t="s">
        <v>57</v>
      </c>
      <c r="S19" s="20" t="s">
        <v>58</v>
      </c>
      <c r="T19" s="20" t="s">
        <v>59</v>
      </c>
    </row>
    <row r="20" spans="2:20" x14ac:dyDescent="0.25">
      <c r="B20">
        <v>18</v>
      </c>
      <c r="C20" s="4">
        <v>4</v>
      </c>
      <c r="D20" s="4">
        <v>58</v>
      </c>
      <c r="E20" s="4">
        <v>1</v>
      </c>
      <c r="F20" s="4">
        <v>7</v>
      </c>
      <c r="G20" s="4">
        <v>9</v>
      </c>
      <c r="H20" s="4">
        <v>1</v>
      </c>
      <c r="I20" s="4">
        <v>1</v>
      </c>
      <c r="L20" t="s">
        <v>47</v>
      </c>
      <c r="M20">
        <v>0.95132338471545363</v>
      </c>
      <c r="N20">
        <v>0.73650784642271228</v>
      </c>
      <c r="O20">
        <v>1.2916676846500965</v>
      </c>
      <c r="P20">
        <v>0.20005758869827464</v>
      </c>
      <c r="Q20">
        <v>-0.51356109960274732</v>
      </c>
      <c r="R20">
        <v>2.4162078690336548</v>
      </c>
      <c r="S20">
        <v>-0.51356109960274732</v>
      </c>
      <c r="T20">
        <v>2.4162078690336548</v>
      </c>
    </row>
    <row r="21" spans="2:20" x14ac:dyDescent="0.25">
      <c r="B21">
        <v>19</v>
      </c>
      <c r="C21" s="4">
        <v>2</v>
      </c>
      <c r="D21" s="4">
        <v>37</v>
      </c>
      <c r="E21" s="4">
        <v>1</v>
      </c>
      <c r="F21" s="4">
        <v>7</v>
      </c>
      <c r="G21" s="4">
        <v>9</v>
      </c>
      <c r="H21" s="4">
        <v>1</v>
      </c>
      <c r="I21" s="4">
        <v>0</v>
      </c>
      <c r="L21" t="s">
        <v>27</v>
      </c>
      <c r="M21">
        <v>-9.745576788584261E-4</v>
      </c>
      <c r="N21">
        <v>1.1823240903179964E-2</v>
      </c>
      <c r="O21">
        <v>-8.2427287648034836E-2</v>
      </c>
      <c r="P21">
        <v>0.93450539657117637</v>
      </c>
      <c r="Q21">
        <v>-2.4490508306605246E-2</v>
      </c>
      <c r="R21">
        <v>2.2541392948888395E-2</v>
      </c>
      <c r="S21">
        <v>-2.4490508306605246E-2</v>
      </c>
      <c r="T21">
        <v>2.2541392948888395E-2</v>
      </c>
    </row>
    <row r="22" spans="2:20" x14ac:dyDescent="0.25">
      <c r="B22">
        <v>20</v>
      </c>
      <c r="C22" s="4">
        <v>5</v>
      </c>
      <c r="D22" s="4">
        <v>35</v>
      </c>
      <c r="E22" s="4">
        <v>2</v>
      </c>
      <c r="F22" s="4">
        <v>9.5</v>
      </c>
      <c r="G22" s="4">
        <v>5</v>
      </c>
      <c r="H22" s="4">
        <v>1</v>
      </c>
      <c r="I22" s="4">
        <v>0</v>
      </c>
      <c r="L22" t="s">
        <v>28</v>
      </c>
      <c r="M22">
        <v>0.35088644036842664</v>
      </c>
      <c r="N22">
        <v>0.12185693653082978</v>
      </c>
      <c r="O22">
        <v>2.8794950074889862</v>
      </c>
      <c r="P22">
        <v>5.0654485809746167E-3</v>
      </c>
      <c r="Q22">
        <v>0.1085178946732486</v>
      </c>
      <c r="R22">
        <v>0.59325498606360472</v>
      </c>
      <c r="S22">
        <v>0.1085178946732486</v>
      </c>
      <c r="T22">
        <v>0.59325498606360472</v>
      </c>
    </row>
    <row r="23" spans="2:20" x14ac:dyDescent="0.25">
      <c r="B23">
        <v>21</v>
      </c>
      <c r="C23" s="4">
        <v>4</v>
      </c>
      <c r="D23" s="4">
        <v>49</v>
      </c>
      <c r="E23" s="4">
        <v>2</v>
      </c>
      <c r="F23" s="4">
        <v>8.5</v>
      </c>
      <c r="G23" s="4">
        <v>4</v>
      </c>
      <c r="H23" s="4">
        <v>1</v>
      </c>
      <c r="I23" s="4">
        <v>1</v>
      </c>
      <c r="L23" t="s">
        <v>29</v>
      </c>
      <c r="M23">
        <v>0.1430688185174164</v>
      </c>
      <c r="N23">
        <v>0.10817046355597637</v>
      </c>
      <c r="O23">
        <v>1.322623697950418</v>
      </c>
      <c r="P23">
        <v>0.18959334339887393</v>
      </c>
      <c r="Q23">
        <v>-7.2077882898323897E-2</v>
      </c>
      <c r="R23">
        <v>0.3582155199331567</v>
      </c>
      <c r="S23">
        <v>-7.2077882898323897E-2</v>
      </c>
      <c r="T23">
        <v>0.3582155199331567</v>
      </c>
    </row>
    <row r="24" spans="2:20" x14ac:dyDescent="0.25">
      <c r="B24">
        <v>22</v>
      </c>
      <c r="C24" s="4">
        <v>3</v>
      </c>
      <c r="D24" s="4">
        <v>37</v>
      </c>
      <c r="E24" s="4">
        <v>2</v>
      </c>
      <c r="F24" s="4">
        <v>7</v>
      </c>
      <c r="G24" s="4">
        <v>2</v>
      </c>
      <c r="H24" s="4">
        <v>0</v>
      </c>
      <c r="I24" s="4">
        <v>1</v>
      </c>
      <c r="L24" t="s">
        <v>30</v>
      </c>
      <c r="M24">
        <v>7.9176751280221318E-3</v>
      </c>
      <c r="N24">
        <v>5.1996450274987456E-2</v>
      </c>
      <c r="O24">
        <v>0.15227337801232321</v>
      </c>
      <c r="P24">
        <v>0.87934086953789858</v>
      </c>
      <c r="Q24">
        <v>-9.550117318080574E-2</v>
      </c>
      <c r="R24">
        <v>0.11133652343685001</v>
      </c>
      <c r="S24">
        <v>-9.550117318080574E-2</v>
      </c>
      <c r="T24">
        <v>0.11133652343685001</v>
      </c>
    </row>
    <row r="25" spans="2:20" x14ac:dyDescent="0.25">
      <c r="B25">
        <v>23</v>
      </c>
      <c r="C25" s="4">
        <v>3</v>
      </c>
      <c r="D25" s="4">
        <v>34</v>
      </c>
      <c r="E25" s="4">
        <v>0.9</v>
      </c>
      <c r="F25" s="4">
        <v>6</v>
      </c>
      <c r="G25" s="4">
        <v>5</v>
      </c>
      <c r="H25" s="4">
        <v>0</v>
      </c>
      <c r="I25" s="4">
        <v>1</v>
      </c>
      <c r="L25" t="s">
        <v>64</v>
      </c>
      <c r="M25">
        <v>0.75672861196282204</v>
      </c>
      <c r="N25">
        <v>0.26200798559327487</v>
      </c>
      <c r="O25">
        <v>2.8881891147299652</v>
      </c>
      <c r="P25">
        <v>4.9401149446022469E-3</v>
      </c>
      <c r="Q25">
        <v>0.23560526653308467</v>
      </c>
      <c r="R25">
        <v>1.2778519573925595</v>
      </c>
      <c r="S25">
        <v>0.23560526653308467</v>
      </c>
      <c r="T25">
        <v>1.2778519573925595</v>
      </c>
    </row>
    <row r="26" spans="2:20" ht="15.75" thickBot="1" x14ac:dyDescent="0.3">
      <c r="B26">
        <v>24</v>
      </c>
      <c r="C26" s="4">
        <v>2</v>
      </c>
      <c r="D26" s="4">
        <v>66</v>
      </c>
      <c r="E26" s="4">
        <v>1</v>
      </c>
      <c r="F26" s="4">
        <v>5.5</v>
      </c>
      <c r="G26" s="4">
        <v>10</v>
      </c>
      <c r="H26" s="4">
        <v>1</v>
      </c>
      <c r="I26" s="4">
        <v>1</v>
      </c>
      <c r="L26" s="19" t="s">
        <v>65</v>
      </c>
      <c r="M26" s="19">
        <v>0.47481091542198239</v>
      </c>
      <c r="N26" s="19">
        <v>0.24402773519251875</v>
      </c>
      <c r="O26" s="19">
        <v>1.9457252063885027</v>
      </c>
      <c r="P26" s="19">
        <v>5.5072376563132588E-2</v>
      </c>
      <c r="Q26" s="19">
        <v>-1.0550435123172719E-2</v>
      </c>
      <c r="R26" s="19">
        <v>0.96017226596713745</v>
      </c>
      <c r="S26" s="19">
        <v>-1.0550435123172719E-2</v>
      </c>
      <c r="T26" s="19">
        <v>0.96017226596713745</v>
      </c>
    </row>
    <row r="27" spans="2:20" x14ac:dyDescent="0.25">
      <c r="B27">
        <v>25</v>
      </c>
      <c r="C27" s="4">
        <v>5</v>
      </c>
      <c r="D27" s="4">
        <v>50</v>
      </c>
      <c r="E27" s="4">
        <v>0.3</v>
      </c>
      <c r="F27" s="4">
        <v>6.5</v>
      </c>
      <c r="G27" s="4">
        <v>6</v>
      </c>
      <c r="H27" s="4">
        <v>1</v>
      </c>
      <c r="I27" s="4">
        <v>1</v>
      </c>
    </row>
    <row r="28" spans="2:20" x14ac:dyDescent="0.25">
      <c r="B28">
        <v>26</v>
      </c>
      <c r="C28" s="4">
        <v>4</v>
      </c>
      <c r="D28" s="4">
        <v>43</v>
      </c>
      <c r="E28" s="4">
        <v>1</v>
      </c>
      <c r="F28" s="4">
        <v>7</v>
      </c>
      <c r="G28" s="4">
        <v>3</v>
      </c>
      <c r="H28" s="4">
        <v>1</v>
      </c>
      <c r="I28" s="4">
        <v>0</v>
      </c>
    </row>
    <row r="29" spans="2:20" x14ac:dyDescent="0.25">
      <c r="B29">
        <v>27</v>
      </c>
      <c r="C29" s="4">
        <v>4</v>
      </c>
      <c r="D29" s="4">
        <v>54</v>
      </c>
      <c r="E29" s="4">
        <v>1</v>
      </c>
      <c r="F29" s="4">
        <v>7</v>
      </c>
      <c r="G29" s="4">
        <v>4</v>
      </c>
      <c r="H29" s="4">
        <v>1</v>
      </c>
      <c r="I29" s="4">
        <v>1</v>
      </c>
    </row>
    <row r="30" spans="2:20" x14ac:dyDescent="0.25">
      <c r="B30">
        <v>28</v>
      </c>
      <c r="C30" s="4">
        <v>3</v>
      </c>
      <c r="D30" s="4">
        <v>49</v>
      </c>
      <c r="E30" s="4">
        <v>1</v>
      </c>
      <c r="F30" s="4">
        <v>6.5</v>
      </c>
      <c r="G30" s="4">
        <v>7</v>
      </c>
      <c r="H30" s="4">
        <v>1</v>
      </c>
      <c r="I30" s="4">
        <v>1</v>
      </c>
      <c r="L30" t="s">
        <v>60</v>
      </c>
    </row>
    <row r="31" spans="2:20" ht="15.75" thickBot="1" x14ac:dyDescent="0.3">
      <c r="B31">
        <v>29</v>
      </c>
      <c r="C31" s="4">
        <v>3</v>
      </c>
      <c r="D31" s="4">
        <v>43</v>
      </c>
      <c r="E31" s="4">
        <v>1.8</v>
      </c>
      <c r="F31" s="4">
        <v>6</v>
      </c>
      <c r="G31" s="4">
        <v>2</v>
      </c>
      <c r="H31" s="4">
        <v>0</v>
      </c>
      <c r="I31" s="4">
        <v>1</v>
      </c>
    </row>
    <row r="32" spans="2:20" x14ac:dyDescent="0.25">
      <c r="B32">
        <v>30</v>
      </c>
      <c r="C32" s="4">
        <v>2</v>
      </c>
      <c r="D32" s="4">
        <v>52</v>
      </c>
      <c r="E32" s="4">
        <v>1.8</v>
      </c>
      <c r="F32" s="4">
        <v>5</v>
      </c>
      <c r="G32" s="4">
        <v>7</v>
      </c>
      <c r="H32" s="4">
        <v>0</v>
      </c>
      <c r="I32" s="4">
        <v>1</v>
      </c>
      <c r="L32" s="20" t="s">
        <v>61</v>
      </c>
      <c r="M32" s="20" t="s">
        <v>62</v>
      </c>
      <c r="N32" s="20" t="s">
        <v>63</v>
      </c>
    </row>
    <row r="33" spans="2:14" x14ac:dyDescent="0.25">
      <c r="B33">
        <v>31</v>
      </c>
      <c r="C33" s="4">
        <v>4</v>
      </c>
      <c r="D33" s="4">
        <v>29</v>
      </c>
      <c r="E33" s="4">
        <v>0.9</v>
      </c>
      <c r="F33" s="4">
        <v>4.5</v>
      </c>
      <c r="G33" s="4">
        <v>11</v>
      </c>
      <c r="H33" s="4">
        <v>0</v>
      </c>
      <c r="I33" s="4">
        <v>1</v>
      </c>
      <c r="L33">
        <v>1</v>
      </c>
      <c r="M33">
        <v>4.5191536051749717</v>
      </c>
      <c r="N33">
        <v>0.48084639482502833</v>
      </c>
    </row>
    <row r="34" spans="2:14" x14ac:dyDescent="0.25">
      <c r="B34">
        <v>32</v>
      </c>
      <c r="C34" s="4">
        <v>2</v>
      </c>
      <c r="D34" s="4">
        <v>37</v>
      </c>
      <c r="E34" s="4">
        <v>0.9</v>
      </c>
      <c r="F34" s="4">
        <v>5.5</v>
      </c>
      <c r="G34" s="4">
        <v>2</v>
      </c>
      <c r="H34" s="4">
        <v>0</v>
      </c>
      <c r="I34" s="4">
        <v>1</v>
      </c>
      <c r="L34">
        <v>2</v>
      </c>
      <c r="M34">
        <v>3.7466996591611132</v>
      </c>
      <c r="N34">
        <v>-0.74669965916111325</v>
      </c>
    </row>
    <row r="35" spans="2:14" x14ac:dyDescent="0.25">
      <c r="B35">
        <v>33</v>
      </c>
      <c r="C35" s="4">
        <v>3</v>
      </c>
      <c r="D35" s="4">
        <v>27</v>
      </c>
      <c r="E35" s="4">
        <v>0.9</v>
      </c>
      <c r="F35" s="4">
        <v>7</v>
      </c>
      <c r="G35" s="4">
        <v>3</v>
      </c>
      <c r="H35" s="4">
        <v>0</v>
      </c>
      <c r="I35" s="4">
        <v>0</v>
      </c>
      <c r="L35">
        <v>3</v>
      </c>
      <c r="M35">
        <v>3.7586488287765989</v>
      </c>
      <c r="N35">
        <v>-1.7586488287765989</v>
      </c>
    </row>
    <row r="36" spans="2:14" x14ac:dyDescent="0.25">
      <c r="B36">
        <v>34</v>
      </c>
      <c r="C36" s="4">
        <v>2</v>
      </c>
      <c r="D36" s="4">
        <v>32</v>
      </c>
      <c r="E36" s="4">
        <v>0.9</v>
      </c>
      <c r="F36" s="4">
        <v>6.5</v>
      </c>
      <c r="G36" s="4">
        <v>3</v>
      </c>
      <c r="H36" s="4">
        <v>0</v>
      </c>
      <c r="I36" s="4">
        <v>0</v>
      </c>
      <c r="L36">
        <v>4</v>
      </c>
      <c r="M36">
        <v>3.0393435388251961</v>
      </c>
      <c r="N36">
        <v>0.96065646117480386</v>
      </c>
    </row>
    <row r="37" spans="2:14" x14ac:dyDescent="0.25">
      <c r="B37">
        <v>35</v>
      </c>
      <c r="C37" s="4">
        <v>3</v>
      </c>
      <c r="D37" s="4">
        <v>34</v>
      </c>
      <c r="E37" s="4">
        <v>2.7</v>
      </c>
      <c r="F37" s="4">
        <v>6.5</v>
      </c>
      <c r="G37" s="4">
        <v>2</v>
      </c>
      <c r="H37" s="4">
        <v>0</v>
      </c>
      <c r="I37" s="4">
        <v>1</v>
      </c>
      <c r="L37">
        <v>5</v>
      </c>
      <c r="M37">
        <v>4.1839813013654332</v>
      </c>
      <c r="N37">
        <v>0.81601869863456677</v>
      </c>
    </row>
    <row r="38" spans="2:14" x14ac:dyDescent="0.25">
      <c r="B38">
        <v>36</v>
      </c>
      <c r="C38" s="4">
        <v>3</v>
      </c>
      <c r="D38" s="4">
        <v>48</v>
      </c>
      <c r="E38" s="4">
        <v>1.8</v>
      </c>
      <c r="F38" s="4">
        <v>5</v>
      </c>
      <c r="G38" s="4">
        <v>4</v>
      </c>
      <c r="H38" s="4">
        <v>0</v>
      </c>
      <c r="I38" s="4">
        <v>1</v>
      </c>
      <c r="L38">
        <v>6</v>
      </c>
      <c r="M38">
        <v>2.4370529051943843</v>
      </c>
      <c r="N38">
        <v>-1.4370529051943843</v>
      </c>
    </row>
    <row r="39" spans="2:14" x14ac:dyDescent="0.25">
      <c r="B39">
        <v>37</v>
      </c>
      <c r="C39" s="4">
        <v>4</v>
      </c>
      <c r="D39" s="4">
        <v>53</v>
      </c>
      <c r="E39" s="4">
        <v>0.9</v>
      </c>
      <c r="F39" s="4">
        <v>4.5</v>
      </c>
      <c r="G39" s="4">
        <v>5</v>
      </c>
      <c r="H39" s="4">
        <v>0</v>
      </c>
      <c r="I39" s="4">
        <v>0</v>
      </c>
      <c r="L39">
        <v>7</v>
      </c>
      <c r="M39">
        <v>2.4321801168000925</v>
      </c>
      <c r="N39">
        <v>-0.4321801168000925</v>
      </c>
    </row>
    <row r="40" spans="2:14" x14ac:dyDescent="0.25">
      <c r="B40">
        <v>38</v>
      </c>
      <c r="C40" s="4">
        <v>4</v>
      </c>
      <c r="D40" s="4">
        <v>41</v>
      </c>
      <c r="E40" s="4">
        <v>0.9</v>
      </c>
      <c r="F40" s="4">
        <v>5.5</v>
      </c>
      <c r="G40" s="4">
        <v>2</v>
      </c>
      <c r="H40" s="4">
        <v>0</v>
      </c>
      <c r="I40" s="4">
        <v>1</v>
      </c>
      <c r="L40">
        <v>8</v>
      </c>
      <c r="M40">
        <v>3.1399527431021683</v>
      </c>
      <c r="N40">
        <v>-0.13995274310216832</v>
      </c>
    </row>
    <row r="41" spans="2:14" x14ac:dyDescent="0.25">
      <c r="B41">
        <v>39</v>
      </c>
      <c r="C41" s="4">
        <v>5</v>
      </c>
      <c r="D41" s="4">
        <v>47</v>
      </c>
      <c r="E41" s="4">
        <v>2.7</v>
      </c>
      <c r="F41" s="4">
        <v>5.5</v>
      </c>
      <c r="G41" s="4">
        <v>4</v>
      </c>
      <c r="H41" s="4">
        <v>0</v>
      </c>
      <c r="I41" s="4">
        <v>1</v>
      </c>
      <c r="L41">
        <v>9</v>
      </c>
      <c r="M41">
        <v>2.5951037299861417</v>
      </c>
      <c r="N41">
        <v>0.40489627001385831</v>
      </c>
    </row>
    <row r="42" spans="2:14" x14ac:dyDescent="0.25">
      <c r="B42">
        <v>40</v>
      </c>
      <c r="C42" s="4">
        <v>1</v>
      </c>
      <c r="D42" s="4">
        <v>31</v>
      </c>
      <c r="E42" s="4">
        <v>1.8</v>
      </c>
      <c r="F42" s="4">
        <v>6</v>
      </c>
      <c r="G42" s="4">
        <v>4</v>
      </c>
      <c r="H42" s="4">
        <v>0</v>
      </c>
      <c r="I42" s="4">
        <v>0</v>
      </c>
      <c r="L42">
        <v>10</v>
      </c>
      <c r="M42">
        <v>2.5888927428215269</v>
      </c>
      <c r="N42">
        <v>-0.58889274282152693</v>
      </c>
    </row>
    <row r="43" spans="2:14" x14ac:dyDescent="0.25">
      <c r="B43">
        <v>41</v>
      </c>
      <c r="C43" s="4">
        <v>3</v>
      </c>
      <c r="D43" s="4">
        <v>34</v>
      </c>
      <c r="E43" s="4">
        <v>0.9</v>
      </c>
      <c r="F43" s="4">
        <v>6.5</v>
      </c>
      <c r="G43" s="4">
        <v>3</v>
      </c>
      <c r="H43" s="4">
        <v>0</v>
      </c>
      <c r="I43" s="4">
        <v>0</v>
      </c>
      <c r="L43">
        <v>11</v>
      </c>
      <c r="M43">
        <v>3.6765524909942746</v>
      </c>
      <c r="N43">
        <v>0.32344750900572539</v>
      </c>
    </row>
    <row r="44" spans="2:14" x14ac:dyDescent="0.25">
      <c r="B44">
        <v>42</v>
      </c>
      <c r="C44" s="4">
        <v>1</v>
      </c>
      <c r="D44" s="4">
        <v>28</v>
      </c>
      <c r="E44" s="4">
        <v>0.9</v>
      </c>
      <c r="F44" s="4">
        <v>7</v>
      </c>
      <c r="G44" s="4">
        <v>2</v>
      </c>
      <c r="H44" s="4">
        <v>0</v>
      </c>
      <c r="I44" s="4">
        <v>0</v>
      </c>
      <c r="L44">
        <v>12</v>
      </c>
      <c r="M44">
        <v>4.1066212251133525</v>
      </c>
      <c r="N44">
        <v>-1.1066212251133525</v>
      </c>
    </row>
    <row r="45" spans="2:14" x14ac:dyDescent="0.25">
      <c r="B45">
        <v>43</v>
      </c>
      <c r="C45" s="4">
        <v>2</v>
      </c>
      <c r="D45" s="4">
        <v>39</v>
      </c>
      <c r="E45" s="4">
        <v>0.9</v>
      </c>
      <c r="F45" s="4">
        <v>5.5</v>
      </c>
      <c r="G45" s="4">
        <v>2</v>
      </c>
      <c r="H45" s="4">
        <v>0</v>
      </c>
      <c r="I45" s="4">
        <v>1</v>
      </c>
      <c r="L45">
        <v>13</v>
      </c>
      <c r="M45">
        <v>3.5431439091170009</v>
      </c>
      <c r="N45">
        <v>0.45685609088299906</v>
      </c>
    </row>
    <row r="46" spans="2:14" x14ac:dyDescent="0.25">
      <c r="B46">
        <v>44</v>
      </c>
      <c r="C46" s="4">
        <v>1</v>
      </c>
      <c r="D46" s="4">
        <v>45</v>
      </c>
      <c r="E46" s="4">
        <v>0.9</v>
      </c>
      <c r="F46" s="4">
        <v>5.5</v>
      </c>
      <c r="G46" s="4">
        <v>4</v>
      </c>
      <c r="H46" s="4">
        <v>0</v>
      </c>
      <c r="I46" s="4">
        <v>0</v>
      </c>
      <c r="L46">
        <v>14</v>
      </c>
      <c r="M46">
        <v>3.5577622742998773</v>
      </c>
      <c r="N46">
        <v>-2.5577622742998773</v>
      </c>
    </row>
    <row r="47" spans="2:14" x14ac:dyDescent="0.25">
      <c r="B47">
        <v>45</v>
      </c>
      <c r="C47" s="4">
        <v>2</v>
      </c>
      <c r="D47" s="4">
        <v>29</v>
      </c>
      <c r="E47" s="4">
        <v>1.8</v>
      </c>
      <c r="F47" s="4">
        <v>7</v>
      </c>
      <c r="G47" s="4">
        <v>2</v>
      </c>
      <c r="H47" s="4">
        <v>0</v>
      </c>
      <c r="I47" s="4">
        <v>0</v>
      </c>
      <c r="L47">
        <v>15</v>
      </c>
      <c r="M47">
        <v>3.4773573113140657</v>
      </c>
      <c r="N47">
        <v>0.52264268868593433</v>
      </c>
    </row>
    <row r="48" spans="2:14" x14ac:dyDescent="0.25">
      <c r="B48">
        <v>46</v>
      </c>
      <c r="C48" s="4">
        <v>2</v>
      </c>
      <c r="D48" s="4">
        <v>37</v>
      </c>
      <c r="E48" s="4">
        <v>1.8</v>
      </c>
      <c r="F48" s="4">
        <v>6</v>
      </c>
      <c r="G48" s="4">
        <v>3</v>
      </c>
      <c r="H48" s="4">
        <v>0</v>
      </c>
      <c r="I48" s="4">
        <v>1</v>
      </c>
      <c r="L48">
        <v>16</v>
      </c>
      <c r="M48">
        <v>3.3752262938395052</v>
      </c>
      <c r="N48">
        <v>1.6247737061604948</v>
      </c>
    </row>
    <row r="49" spans="2:14" x14ac:dyDescent="0.25">
      <c r="B49">
        <v>47</v>
      </c>
      <c r="C49" s="4">
        <v>2</v>
      </c>
      <c r="D49" s="4">
        <v>49</v>
      </c>
      <c r="E49" s="4">
        <v>0.9</v>
      </c>
      <c r="F49" s="4">
        <v>4.5</v>
      </c>
      <c r="G49" s="4">
        <v>9</v>
      </c>
      <c r="H49" s="4">
        <v>0</v>
      </c>
      <c r="I49" s="4">
        <v>1</v>
      </c>
      <c r="L49">
        <v>17</v>
      </c>
      <c r="M49">
        <v>3.7936276990540514</v>
      </c>
      <c r="N49">
        <v>-0.79362769905405139</v>
      </c>
    </row>
    <row r="50" spans="2:14" x14ac:dyDescent="0.25">
      <c r="B50">
        <v>48</v>
      </c>
      <c r="C50" s="4">
        <v>2</v>
      </c>
      <c r="D50" s="4">
        <v>33</v>
      </c>
      <c r="E50" s="4">
        <v>0.9</v>
      </c>
      <c r="F50" s="4">
        <v>6.5</v>
      </c>
      <c r="G50" s="4">
        <v>2</v>
      </c>
      <c r="H50" s="4">
        <v>0</v>
      </c>
      <c r="I50" s="4">
        <v>1</v>
      </c>
      <c r="L50">
        <v>18</v>
      </c>
      <c r="M50">
        <v>3.5499658128690097</v>
      </c>
      <c r="N50">
        <v>0.4500341871309903</v>
      </c>
    </row>
    <row r="51" spans="2:14" x14ac:dyDescent="0.25">
      <c r="B51">
        <v>49</v>
      </c>
      <c r="C51" s="4">
        <v>3</v>
      </c>
      <c r="D51" s="4">
        <v>27</v>
      </c>
      <c r="E51" s="4">
        <v>1.8</v>
      </c>
      <c r="F51" s="4">
        <v>7</v>
      </c>
      <c r="G51" s="4">
        <v>3</v>
      </c>
      <c r="H51" s="4">
        <v>0</v>
      </c>
      <c r="I51" s="4">
        <v>0</v>
      </c>
      <c r="L51">
        <v>19</v>
      </c>
      <c r="M51">
        <v>3.0956206087030544</v>
      </c>
      <c r="N51">
        <v>-1.0956206087030544</v>
      </c>
    </row>
    <row r="52" spans="2:14" x14ac:dyDescent="0.25">
      <c r="B52">
        <v>50</v>
      </c>
      <c r="C52" s="4">
        <v>2</v>
      </c>
      <c r="D52" s="4">
        <v>49</v>
      </c>
      <c r="E52" s="4">
        <v>1</v>
      </c>
      <c r="F52" s="4">
        <v>5.5</v>
      </c>
      <c r="G52" s="4">
        <v>6</v>
      </c>
      <c r="H52" s="4">
        <v>1</v>
      </c>
      <c r="I52" s="4">
        <v>1</v>
      </c>
      <c r="L52">
        <v>20</v>
      </c>
      <c r="M52">
        <v>3.7744575102106506</v>
      </c>
      <c r="N52">
        <v>1.2255424897893494</v>
      </c>
    </row>
    <row r="53" spans="2:14" x14ac:dyDescent="0.25">
      <c r="B53">
        <v>51</v>
      </c>
      <c r="C53" s="4">
        <v>4</v>
      </c>
      <c r="D53" s="4">
        <v>46</v>
      </c>
      <c r="E53" s="4">
        <v>1</v>
      </c>
      <c r="F53" s="4">
        <v>6.5</v>
      </c>
      <c r="G53" s="4">
        <v>4</v>
      </c>
      <c r="H53" s="4">
        <v>1</v>
      </c>
      <c r="I53" s="4">
        <v>1</v>
      </c>
      <c r="L53">
        <v>21</v>
      </c>
      <c r="M53">
        <v>4.0846381244831758</v>
      </c>
      <c r="N53">
        <v>-8.4638124483175758E-2</v>
      </c>
    </row>
    <row r="54" spans="2:14" x14ac:dyDescent="0.25">
      <c r="B54">
        <v>52</v>
      </c>
      <c r="C54" s="4">
        <v>4</v>
      </c>
      <c r="D54" s="4">
        <v>54</v>
      </c>
      <c r="E54" s="4">
        <v>1</v>
      </c>
      <c r="F54" s="4">
        <v>6</v>
      </c>
      <c r="G54" s="4">
        <v>7</v>
      </c>
      <c r="H54" s="4">
        <v>1</v>
      </c>
      <c r="I54" s="4">
        <v>1</v>
      </c>
      <c r="L54">
        <v>22</v>
      </c>
      <c r="M54">
        <v>3.1091656266344865</v>
      </c>
      <c r="N54">
        <v>-0.10916562663448648</v>
      </c>
    </row>
    <row r="55" spans="2:14" x14ac:dyDescent="0.25">
      <c r="B55">
        <v>53</v>
      </c>
      <c r="C55" s="4">
        <v>2</v>
      </c>
      <c r="D55" s="4">
        <v>31</v>
      </c>
      <c r="E55" s="4">
        <v>0.9</v>
      </c>
      <c r="F55" s="4">
        <v>6</v>
      </c>
      <c r="G55" s="4">
        <v>3</v>
      </c>
      <c r="H55" s="4">
        <v>0</v>
      </c>
      <c r="I55" s="4">
        <v>0</v>
      </c>
      <c r="L55">
        <v>23</v>
      </c>
      <c r="M55">
        <v>2.6067984221324427</v>
      </c>
      <c r="N55">
        <v>0.39320157786755727</v>
      </c>
    </row>
    <row r="56" spans="2:14" x14ac:dyDescent="0.25">
      <c r="B56">
        <v>54</v>
      </c>
      <c r="C56" s="4">
        <v>3</v>
      </c>
      <c r="D56" s="4">
        <v>31</v>
      </c>
      <c r="E56" s="4">
        <v>3</v>
      </c>
      <c r="F56" s="4">
        <v>6</v>
      </c>
      <c r="G56" s="4">
        <v>5</v>
      </c>
      <c r="H56" s="4">
        <v>1</v>
      </c>
      <c r="I56" s="4">
        <v>0</v>
      </c>
      <c r="L56">
        <v>24</v>
      </c>
      <c r="M56">
        <v>3.3354837987900403</v>
      </c>
      <c r="N56">
        <v>-1.3354837987900403</v>
      </c>
    </row>
    <row r="57" spans="2:14" x14ac:dyDescent="0.25">
      <c r="B57">
        <v>55</v>
      </c>
      <c r="C57" s="4">
        <v>3</v>
      </c>
      <c r="D57" s="4">
        <v>50</v>
      </c>
      <c r="E57" s="4">
        <v>2</v>
      </c>
      <c r="F57" s="4">
        <v>6.5</v>
      </c>
      <c r="G57" s="4">
        <v>7</v>
      </c>
      <c r="H57" s="4">
        <v>1</v>
      </c>
      <c r="I57" s="4">
        <v>1</v>
      </c>
      <c r="L57">
        <v>25</v>
      </c>
      <c r="M57">
        <v>3.2168543313992046</v>
      </c>
      <c r="N57">
        <v>1.7831456686007954</v>
      </c>
    </row>
    <row r="58" spans="2:14" x14ac:dyDescent="0.25">
      <c r="B58">
        <v>56</v>
      </c>
      <c r="C58" s="4">
        <v>2</v>
      </c>
      <c r="D58" s="4">
        <v>69</v>
      </c>
      <c r="E58" s="4">
        <v>1</v>
      </c>
      <c r="F58" s="4">
        <v>5.5</v>
      </c>
      <c r="G58" s="4">
        <v>9</v>
      </c>
      <c r="H58" s="4">
        <v>1</v>
      </c>
      <c r="I58" s="4">
        <v>1</v>
      </c>
      <c r="L58">
        <v>26</v>
      </c>
      <c r="M58">
        <v>3.0422672118617711</v>
      </c>
      <c r="N58">
        <v>0.95773278813822893</v>
      </c>
    </row>
    <row r="59" spans="2:14" x14ac:dyDescent="0.25">
      <c r="B59">
        <v>57</v>
      </c>
      <c r="C59" s="4">
        <v>5</v>
      </c>
      <c r="D59" s="4">
        <v>34</v>
      </c>
      <c r="E59" s="4">
        <v>1</v>
      </c>
      <c r="F59" s="4">
        <v>7</v>
      </c>
      <c r="G59" s="4">
        <v>6</v>
      </c>
      <c r="H59" s="4">
        <v>1</v>
      </c>
      <c r="I59" s="4">
        <v>1</v>
      </c>
      <c r="L59">
        <v>27</v>
      </c>
      <c r="M59">
        <v>3.5142756679443328</v>
      </c>
      <c r="N59">
        <v>0.48572433205566723</v>
      </c>
    </row>
    <row r="60" spans="2:14" x14ac:dyDescent="0.25">
      <c r="B60">
        <v>58</v>
      </c>
      <c r="C60" s="4">
        <v>4</v>
      </c>
      <c r="D60" s="4">
        <v>62</v>
      </c>
      <c r="E60" s="4">
        <v>2</v>
      </c>
      <c r="F60" s="4">
        <v>5.5</v>
      </c>
      <c r="G60" s="4">
        <v>7</v>
      </c>
      <c r="H60" s="4">
        <v>1</v>
      </c>
      <c r="I60" s="4">
        <v>1</v>
      </c>
      <c r="L60">
        <v>28</v>
      </c>
      <c r="M60">
        <v>3.4713670724639831</v>
      </c>
      <c r="N60">
        <v>-0.47136707246398313</v>
      </c>
    </row>
    <row r="61" spans="2:14" x14ac:dyDescent="0.25">
      <c r="B61">
        <v>59</v>
      </c>
      <c r="C61" s="4">
        <v>3</v>
      </c>
      <c r="D61" s="4">
        <v>49</v>
      </c>
      <c r="E61" s="4">
        <v>1</v>
      </c>
      <c r="F61" s="4">
        <v>7</v>
      </c>
      <c r="G61" s="4">
        <v>5</v>
      </c>
      <c r="H61" s="4">
        <v>1</v>
      </c>
      <c r="I61" s="4">
        <v>0</v>
      </c>
      <c r="L61">
        <v>29</v>
      </c>
      <c r="M61">
        <v>2.8900721739702342</v>
      </c>
      <c r="N61">
        <v>0.10992782602976581</v>
      </c>
    </row>
    <row r="62" spans="2:14" x14ac:dyDescent="0.25">
      <c r="B62">
        <v>60</v>
      </c>
      <c r="C62" s="4">
        <v>4</v>
      </c>
      <c r="D62" s="4">
        <v>43</v>
      </c>
      <c r="E62" s="4">
        <v>2</v>
      </c>
      <c r="F62" s="4">
        <v>7.5</v>
      </c>
      <c r="G62" s="4">
        <v>4</v>
      </c>
      <c r="H62" s="4">
        <v>1</v>
      </c>
      <c r="I62" s="4">
        <v>1</v>
      </c>
      <c r="L62">
        <v>30</v>
      </c>
      <c r="M62">
        <v>2.7778207119832028</v>
      </c>
      <c r="N62">
        <v>-0.77782071198320279</v>
      </c>
    </row>
    <row r="63" spans="2:14" x14ac:dyDescent="0.25">
      <c r="B63">
        <v>61</v>
      </c>
      <c r="C63" s="4">
        <v>4</v>
      </c>
      <c r="D63" s="4">
        <v>23</v>
      </c>
      <c r="E63" s="4">
        <v>1</v>
      </c>
      <c r="F63" s="4">
        <v>4.5</v>
      </c>
      <c r="G63" s="4">
        <v>11</v>
      </c>
      <c r="H63" s="4">
        <v>1</v>
      </c>
      <c r="I63" s="4">
        <v>1</v>
      </c>
      <c r="L63">
        <v>31</v>
      </c>
      <c r="M63">
        <v>2.4445740335187431</v>
      </c>
      <c r="N63">
        <v>1.5554259664812569</v>
      </c>
    </row>
    <row r="64" spans="2:14" x14ac:dyDescent="0.25">
      <c r="B64">
        <v>62</v>
      </c>
      <c r="C64" s="4">
        <v>3</v>
      </c>
      <c r="D64" s="4">
        <v>37</v>
      </c>
      <c r="E64" s="4">
        <v>1.2</v>
      </c>
      <c r="F64" s="4">
        <v>5</v>
      </c>
      <c r="G64" s="4">
        <v>4</v>
      </c>
      <c r="H64" s="4">
        <v>0</v>
      </c>
      <c r="I64" s="4">
        <v>0</v>
      </c>
      <c r="L64">
        <v>32</v>
      </c>
      <c r="M64">
        <v>2.5085873144530928</v>
      </c>
      <c r="N64">
        <v>-0.5085873144530928</v>
      </c>
    </row>
    <row r="65" spans="2:14" x14ac:dyDescent="0.25">
      <c r="B65">
        <v>63</v>
      </c>
      <c r="C65" s="4">
        <v>4</v>
      </c>
      <c r="D65" s="4">
        <v>29</v>
      </c>
      <c r="E65" s="4">
        <v>0.9</v>
      </c>
      <c r="F65" s="4">
        <v>4</v>
      </c>
      <c r="G65" s="4">
        <v>2</v>
      </c>
      <c r="H65" s="4">
        <v>1</v>
      </c>
      <c r="I65" s="4">
        <v>1</v>
      </c>
      <c r="L65">
        <v>33</v>
      </c>
      <c r="M65">
        <v>2.2660428787238414</v>
      </c>
      <c r="N65">
        <v>0.73395712127615864</v>
      </c>
    </row>
    <row r="66" spans="2:14" x14ac:dyDescent="0.25">
      <c r="B66">
        <v>64</v>
      </c>
      <c r="C66" s="4">
        <v>4</v>
      </c>
      <c r="D66" s="4">
        <v>25</v>
      </c>
      <c r="E66" s="4">
        <v>3.2</v>
      </c>
      <c r="F66" s="4">
        <v>6.5</v>
      </c>
      <c r="G66" s="4">
        <v>3</v>
      </c>
      <c r="H66" s="4">
        <v>1</v>
      </c>
      <c r="I66" s="4">
        <v>1</v>
      </c>
      <c r="L66">
        <v>34</v>
      </c>
      <c r="M66">
        <v>2.1896356810708411</v>
      </c>
      <c r="N66">
        <v>-0.18963568107084106</v>
      </c>
    </row>
    <row r="67" spans="2:14" x14ac:dyDescent="0.25">
      <c r="B67">
        <v>65</v>
      </c>
      <c r="C67" s="4">
        <v>5</v>
      </c>
      <c r="D67" s="4">
        <v>25</v>
      </c>
      <c r="E67" s="4">
        <v>4.3</v>
      </c>
      <c r="F67" s="4">
        <v>7.5</v>
      </c>
      <c r="G67" s="4">
        <v>1</v>
      </c>
      <c r="H67" s="4">
        <v>1</v>
      </c>
      <c r="I67" s="4">
        <v>1</v>
      </c>
      <c r="L67">
        <v>35</v>
      </c>
      <c r="M67">
        <v>3.2861753986702524</v>
      </c>
      <c r="N67">
        <v>-0.28617539867025243</v>
      </c>
    </row>
    <row r="68" spans="2:14" x14ac:dyDescent="0.25">
      <c r="B68">
        <v>66</v>
      </c>
      <c r="C68" s="4">
        <v>2</v>
      </c>
      <c r="D68" s="4">
        <v>22</v>
      </c>
      <c r="E68" s="4">
        <v>0.9</v>
      </c>
      <c r="F68" s="4">
        <v>3.5</v>
      </c>
      <c r="G68" s="4">
        <v>1</v>
      </c>
      <c r="H68" s="4">
        <v>0</v>
      </c>
      <c r="I68" s="4">
        <v>0</v>
      </c>
      <c r="L68">
        <v>36</v>
      </c>
      <c r="M68">
        <v>2.7579659173145701</v>
      </c>
      <c r="N68">
        <v>0.24203408268542992</v>
      </c>
    </row>
    <row r="69" spans="2:14" x14ac:dyDescent="0.25">
      <c r="B69">
        <v>67</v>
      </c>
      <c r="C69" s="4">
        <v>2</v>
      </c>
      <c r="D69" s="4">
        <v>12</v>
      </c>
      <c r="E69" s="4">
        <v>0.75</v>
      </c>
      <c r="F69" s="4">
        <v>3.5</v>
      </c>
      <c r="G69" s="4">
        <v>2</v>
      </c>
      <c r="H69" s="4">
        <v>0</v>
      </c>
      <c r="I69" s="4">
        <v>0</v>
      </c>
      <c r="L69">
        <v>37</v>
      </c>
      <c r="M69">
        <v>1.8988676830360256</v>
      </c>
      <c r="N69">
        <v>2.1011323169639744</v>
      </c>
    </row>
    <row r="70" spans="2:14" x14ac:dyDescent="0.25">
      <c r="B70">
        <v>68</v>
      </c>
      <c r="C70" s="4">
        <v>2</v>
      </c>
      <c r="D70" s="4">
        <v>16</v>
      </c>
      <c r="E70" s="4">
        <v>0.82</v>
      </c>
      <c r="F70" s="4">
        <v>3</v>
      </c>
      <c r="G70" s="4">
        <v>1</v>
      </c>
      <c r="H70" s="4">
        <v>0</v>
      </c>
      <c r="I70" s="4">
        <v>0</v>
      </c>
      <c r="L70">
        <v>38</v>
      </c>
      <c r="M70">
        <v>2.504689083737659</v>
      </c>
      <c r="N70">
        <v>1.495310916262341</v>
      </c>
    </row>
    <row r="71" spans="2:14" x14ac:dyDescent="0.25">
      <c r="B71">
        <v>69</v>
      </c>
      <c r="C71" s="4">
        <v>5</v>
      </c>
      <c r="D71" s="4">
        <v>43</v>
      </c>
      <c r="E71" s="4">
        <v>3.2</v>
      </c>
      <c r="F71" s="4">
        <v>6</v>
      </c>
      <c r="G71" s="4">
        <v>3</v>
      </c>
      <c r="H71" s="4">
        <v>1</v>
      </c>
      <c r="I71" s="4">
        <v>1</v>
      </c>
      <c r="L71">
        <v>39</v>
      </c>
      <c r="M71">
        <v>3.1462726805837207</v>
      </c>
      <c r="N71">
        <v>1.8537273194162793</v>
      </c>
    </row>
    <row r="72" spans="2:14" x14ac:dyDescent="0.25">
      <c r="B72">
        <v>70</v>
      </c>
      <c r="C72" s="4">
        <v>5</v>
      </c>
      <c r="D72" s="4">
        <v>30</v>
      </c>
      <c r="E72" s="4">
        <v>3.5</v>
      </c>
      <c r="F72" s="4">
        <v>6</v>
      </c>
      <c r="G72" s="4">
        <v>3</v>
      </c>
      <c r="H72" s="4">
        <v>1</v>
      </c>
      <c r="I72" s="4">
        <v>1</v>
      </c>
      <c r="L72">
        <v>40</v>
      </c>
      <c r="M72">
        <v>2.4427913009505975</v>
      </c>
      <c r="N72">
        <v>-1.4427913009505975</v>
      </c>
    </row>
    <row r="73" spans="2:14" x14ac:dyDescent="0.25">
      <c r="B73">
        <v>71</v>
      </c>
      <c r="C73" s="4">
        <v>5</v>
      </c>
      <c r="D73" s="4">
        <v>34</v>
      </c>
      <c r="E73" s="4">
        <v>2.8</v>
      </c>
      <c r="F73" s="4">
        <v>6.5</v>
      </c>
      <c r="G73" s="4">
        <v>3</v>
      </c>
      <c r="H73" s="4">
        <v>0</v>
      </c>
      <c r="I73" s="4">
        <v>0</v>
      </c>
      <c r="L73">
        <v>41</v>
      </c>
      <c r="M73">
        <v>2.1876865657131241</v>
      </c>
      <c r="N73">
        <v>0.81231343428687586</v>
      </c>
    </row>
    <row r="74" spans="2:14" x14ac:dyDescent="0.25">
      <c r="B74">
        <v>72</v>
      </c>
      <c r="C74" s="4">
        <v>2</v>
      </c>
      <c r="D74" s="4">
        <v>28</v>
      </c>
      <c r="E74" s="4">
        <v>1.2</v>
      </c>
      <c r="F74" s="4">
        <v>7</v>
      </c>
      <c r="G74" s="4">
        <v>2</v>
      </c>
      <c r="H74" s="4">
        <v>0</v>
      </c>
      <c r="I74" s="4">
        <v>1</v>
      </c>
      <c r="L74">
        <v>42</v>
      </c>
      <c r="M74">
        <v>2.2571506459169606</v>
      </c>
      <c r="N74">
        <v>-1.2571506459169606</v>
      </c>
    </row>
    <row r="75" spans="2:14" x14ac:dyDescent="0.25">
      <c r="B75">
        <v>73</v>
      </c>
      <c r="C75" s="4">
        <v>2</v>
      </c>
      <c r="D75" s="4">
        <v>39</v>
      </c>
      <c r="E75" s="4">
        <v>1.3</v>
      </c>
      <c r="F75" s="4">
        <v>5.5</v>
      </c>
      <c r="G75" s="4">
        <v>2</v>
      </c>
      <c r="H75" s="4">
        <v>0</v>
      </c>
      <c r="I75" s="4">
        <v>1</v>
      </c>
      <c r="L75">
        <v>43</v>
      </c>
      <c r="M75">
        <v>2.5066381990953759</v>
      </c>
      <c r="N75">
        <v>-0.50663819909537589</v>
      </c>
    </row>
    <row r="76" spans="2:14" x14ac:dyDescent="0.25">
      <c r="B76">
        <v>74</v>
      </c>
      <c r="C76" s="4">
        <v>3</v>
      </c>
      <c r="D76" s="4">
        <v>42</v>
      </c>
      <c r="E76" s="4">
        <v>1.5</v>
      </c>
      <c r="F76" s="4">
        <v>4</v>
      </c>
      <c r="G76" s="4">
        <v>3</v>
      </c>
      <c r="H76" s="4">
        <v>1</v>
      </c>
      <c r="I76" s="4">
        <v>0</v>
      </c>
      <c r="L76">
        <v>44</v>
      </c>
      <c r="M76">
        <v>2.041815287856287</v>
      </c>
      <c r="N76">
        <v>-1.041815287856287</v>
      </c>
    </row>
    <row r="77" spans="2:14" x14ac:dyDescent="0.25">
      <c r="B77">
        <v>75</v>
      </c>
      <c r="C77" s="4">
        <v>1</v>
      </c>
      <c r="D77" s="4">
        <v>29</v>
      </c>
      <c r="E77" s="4">
        <v>1.8</v>
      </c>
      <c r="F77" s="4">
        <v>6</v>
      </c>
      <c r="G77" s="4">
        <v>1</v>
      </c>
      <c r="H77" s="4">
        <v>1</v>
      </c>
      <c r="I77" s="4">
        <v>0</v>
      </c>
      <c r="L77">
        <v>45</v>
      </c>
      <c r="M77">
        <v>2.5719738845696862</v>
      </c>
      <c r="N77">
        <v>-0.57197388456968623</v>
      </c>
    </row>
    <row r="78" spans="2:14" x14ac:dyDescent="0.25">
      <c r="B78">
        <v>76</v>
      </c>
      <c r="C78" s="4">
        <v>4</v>
      </c>
      <c r="D78" s="4">
        <v>35</v>
      </c>
      <c r="E78" s="4">
        <v>2.5</v>
      </c>
      <c r="F78" s="4">
        <v>6</v>
      </c>
      <c r="G78" s="4">
        <v>4</v>
      </c>
      <c r="H78" s="4">
        <v>1</v>
      </c>
      <c r="I78" s="4">
        <v>1</v>
      </c>
      <c r="L78">
        <v>46</v>
      </c>
      <c r="M78">
        <v>2.9038371951714073</v>
      </c>
      <c r="N78">
        <v>-0.90383719517140726</v>
      </c>
    </row>
    <row r="79" spans="2:14" x14ac:dyDescent="0.25">
      <c r="B79">
        <v>77</v>
      </c>
      <c r="C79" s="4">
        <v>2</v>
      </c>
      <c r="D79" s="4">
        <v>40</v>
      </c>
      <c r="E79" s="4">
        <v>2</v>
      </c>
      <c r="F79" s="4">
        <v>4.5</v>
      </c>
      <c r="G79" s="4">
        <v>1</v>
      </c>
      <c r="H79" s="4">
        <v>0</v>
      </c>
      <c r="I79" s="4">
        <v>1</v>
      </c>
      <c r="L79">
        <v>47</v>
      </c>
      <c r="M79">
        <v>2.4092475296855302</v>
      </c>
      <c r="N79">
        <v>-0.40924752968553024</v>
      </c>
    </row>
    <row r="80" spans="2:14" x14ac:dyDescent="0.25">
      <c r="B80">
        <v>78</v>
      </c>
      <c r="C80" s="4">
        <v>2</v>
      </c>
      <c r="D80" s="4">
        <v>35</v>
      </c>
      <c r="E80" s="4">
        <v>1</v>
      </c>
      <c r="F80" s="4">
        <v>6</v>
      </c>
      <c r="G80" s="4">
        <v>1</v>
      </c>
      <c r="H80" s="4">
        <v>1</v>
      </c>
      <c r="I80" s="4">
        <v>1</v>
      </c>
      <c r="L80">
        <v>48</v>
      </c>
      <c r="M80">
        <v>2.6555543636859427</v>
      </c>
      <c r="N80">
        <v>-0.65555436368594266</v>
      </c>
    </row>
    <row r="81" spans="2:14" x14ac:dyDescent="0.25">
      <c r="B81">
        <v>79</v>
      </c>
      <c r="C81" s="4">
        <v>4</v>
      </c>
      <c r="D81" s="4">
        <v>28</v>
      </c>
      <c r="E81" s="4">
        <v>2</v>
      </c>
      <c r="F81" s="4">
        <v>7</v>
      </c>
      <c r="G81" s="4">
        <v>3</v>
      </c>
      <c r="H81" s="4">
        <v>0</v>
      </c>
      <c r="I81" s="4">
        <v>0</v>
      </c>
      <c r="L81">
        <v>49</v>
      </c>
      <c r="M81">
        <v>2.5818406750554255</v>
      </c>
      <c r="N81">
        <v>0.41815932494457453</v>
      </c>
    </row>
    <row r="82" spans="2:14" x14ac:dyDescent="0.25">
      <c r="B82">
        <v>80</v>
      </c>
      <c r="C82" s="4">
        <v>3</v>
      </c>
      <c r="D82" s="4">
        <v>50</v>
      </c>
      <c r="E82" s="4">
        <v>1.5</v>
      </c>
      <c r="F82" s="4">
        <v>5.5</v>
      </c>
      <c r="G82" s="4">
        <v>6</v>
      </c>
      <c r="H82" s="4">
        <v>1</v>
      </c>
      <c r="I82" s="4">
        <v>1</v>
      </c>
      <c r="L82">
        <v>50</v>
      </c>
      <c r="M82">
        <v>3.3203805788185443</v>
      </c>
      <c r="N82">
        <v>-1.3203805788185443</v>
      </c>
    </row>
    <row r="83" spans="2:14" x14ac:dyDescent="0.25">
      <c r="B83">
        <v>81</v>
      </c>
      <c r="C83" s="4">
        <v>5</v>
      </c>
      <c r="D83" s="4">
        <v>47</v>
      </c>
      <c r="E83" s="4">
        <v>1.5</v>
      </c>
      <c r="F83" s="4">
        <v>6.5</v>
      </c>
      <c r="G83" s="4">
        <v>4</v>
      </c>
      <c r="H83" s="4">
        <v>1</v>
      </c>
      <c r="I83" s="4">
        <v>1</v>
      </c>
      <c r="L83">
        <v>51</v>
      </c>
      <c r="M83">
        <v>3.450537720116492</v>
      </c>
      <c r="N83">
        <v>0.54946227988350804</v>
      </c>
    </row>
    <row r="84" spans="2:14" x14ac:dyDescent="0.25">
      <c r="B84">
        <v>82</v>
      </c>
      <c r="C84" s="4">
        <v>5</v>
      </c>
      <c r="D84" s="4">
        <v>55</v>
      </c>
      <c r="E84" s="4">
        <v>1.3</v>
      </c>
      <c r="F84" s="4">
        <v>6</v>
      </c>
      <c r="G84" s="4">
        <v>7</v>
      </c>
      <c r="H84" s="4">
        <v>1</v>
      </c>
      <c r="I84" s="4">
        <v>1</v>
      </c>
      <c r="L84">
        <v>52</v>
      </c>
      <c r="M84">
        <v>3.3949598748109833</v>
      </c>
      <c r="N84">
        <v>0.60504012518901673</v>
      </c>
    </row>
    <row r="85" spans="2:14" x14ac:dyDescent="0.25">
      <c r="B85">
        <v>83</v>
      </c>
      <c r="C85" s="4">
        <v>1</v>
      </c>
      <c r="D85" s="4">
        <v>32</v>
      </c>
      <c r="E85" s="4">
        <v>1</v>
      </c>
      <c r="F85" s="4">
        <v>6</v>
      </c>
      <c r="G85" s="4">
        <v>3</v>
      </c>
      <c r="H85" s="4">
        <v>0</v>
      </c>
      <c r="I85" s="4">
        <v>0</v>
      </c>
      <c r="L85">
        <v>53</v>
      </c>
      <c r="M85">
        <v>2.1190758294909915</v>
      </c>
      <c r="N85">
        <v>-0.11907582949099149</v>
      </c>
    </row>
    <row r="86" spans="2:14" x14ac:dyDescent="0.25">
      <c r="B86">
        <v>84</v>
      </c>
      <c r="C86" s="4">
        <v>2</v>
      </c>
      <c r="D86" s="4">
        <v>31</v>
      </c>
      <c r="E86" s="4">
        <v>3</v>
      </c>
      <c r="F86" s="4">
        <v>6</v>
      </c>
      <c r="G86" s="4">
        <v>5</v>
      </c>
      <c r="H86" s="4">
        <v>0</v>
      </c>
      <c r="I86" s="4">
        <v>0</v>
      </c>
      <c r="L86">
        <v>54</v>
      </c>
      <c r="M86">
        <v>3.6285013164835536</v>
      </c>
      <c r="N86">
        <v>-0.62850131648355356</v>
      </c>
    </row>
    <row r="87" spans="2:14" x14ac:dyDescent="0.25">
      <c r="B87">
        <v>85</v>
      </c>
      <c r="C87" s="4">
        <v>3</v>
      </c>
      <c r="D87" s="4">
        <v>47</v>
      </c>
      <c r="E87" s="4">
        <v>3</v>
      </c>
      <c r="F87" s="4">
        <v>8</v>
      </c>
      <c r="G87" s="4">
        <v>2</v>
      </c>
      <c r="H87" s="4">
        <v>1</v>
      </c>
      <c r="I87" s="4">
        <v>0</v>
      </c>
      <c r="L87">
        <v>55</v>
      </c>
      <c r="M87">
        <v>3.8212789551535518</v>
      </c>
      <c r="N87">
        <v>-0.82127895515355176</v>
      </c>
    </row>
    <row r="88" spans="2:14" x14ac:dyDescent="0.25">
      <c r="B88">
        <v>86</v>
      </c>
      <c r="C88" s="4">
        <v>2</v>
      </c>
      <c r="D88" s="4">
        <v>69</v>
      </c>
      <c r="E88" s="4">
        <v>1</v>
      </c>
      <c r="F88" s="4">
        <v>5.5</v>
      </c>
      <c r="G88" s="4">
        <v>9</v>
      </c>
      <c r="H88" s="4">
        <v>0</v>
      </c>
      <c r="I88" s="4">
        <v>0</v>
      </c>
      <c r="L88">
        <v>56</v>
      </c>
      <c r="M88">
        <v>3.3246424506254426</v>
      </c>
      <c r="N88">
        <v>-1.3246424506254426</v>
      </c>
    </row>
    <row r="89" spans="2:14" x14ac:dyDescent="0.25">
      <c r="B89">
        <v>87</v>
      </c>
      <c r="C89" s="4">
        <v>5</v>
      </c>
      <c r="D89" s="4">
        <v>34</v>
      </c>
      <c r="E89" s="4">
        <v>4</v>
      </c>
      <c r="F89" s="4">
        <v>7</v>
      </c>
      <c r="G89" s="4">
        <v>6</v>
      </c>
      <c r="H89" s="4">
        <v>1</v>
      </c>
      <c r="I89" s="4">
        <v>1</v>
      </c>
      <c r="L89">
        <v>57</v>
      </c>
      <c r="M89">
        <v>3.5496021717775452</v>
      </c>
      <c r="N89">
        <v>1.4503978282224548</v>
      </c>
    </row>
    <row r="90" spans="2:14" x14ac:dyDescent="0.25">
      <c r="B90">
        <v>88</v>
      </c>
      <c r="C90" s="4">
        <v>4</v>
      </c>
      <c r="D90" s="4">
        <v>62</v>
      </c>
      <c r="E90" s="4">
        <v>3.6</v>
      </c>
      <c r="F90" s="4">
        <v>5.5</v>
      </c>
      <c r="G90" s="4">
        <v>7</v>
      </c>
      <c r="H90" s="4">
        <v>1</v>
      </c>
      <c r="I90" s="4">
        <v>1</v>
      </c>
      <c r="L90">
        <v>58</v>
      </c>
      <c r="M90">
        <v>3.6665154444898342</v>
      </c>
      <c r="N90">
        <v>0.33348455551016576</v>
      </c>
    </row>
    <row r="91" spans="2:14" x14ac:dyDescent="0.25">
      <c r="B91">
        <v>89</v>
      </c>
      <c r="C91" s="4">
        <v>3</v>
      </c>
      <c r="D91" s="4">
        <v>49</v>
      </c>
      <c r="E91" s="4">
        <v>2</v>
      </c>
      <c r="F91" s="4">
        <v>7</v>
      </c>
      <c r="G91" s="4">
        <v>5</v>
      </c>
      <c r="H91" s="4">
        <v>1</v>
      </c>
      <c r="I91" s="4">
        <v>0</v>
      </c>
      <c r="L91">
        <v>59</v>
      </c>
      <c r="M91">
        <v>3.0522552160446645</v>
      </c>
      <c r="N91">
        <v>-5.2255216044664543E-2</v>
      </c>
    </row>
    <row r="92" spans="2:14" x14ac:dyDescent="0.25">
      <c r="B92">
        <v>90</v>
      </c>
      <c r="C92" s="4">
        <v>4</v>
      </c>
      <c r="D92" s="4">
        <v>43</v>
      </c>
      <c r="E92" s="4">
        <v>1.5</v>
      </c>
      <c r="F92" s="4">
        <v>9</v>
      </c>
      <c r="G92" s="4">
        <v>4</v>
      </c>
      <c r="H92" s="4">
        <v>1</v>
      </c>
      <c r="I92" s="4">
        <v>1</v>
      </c>
      <c r="L92">
        <v>60</v>
      </c>
      <c r="M92">
        <v>3.9474166520389105</v>
      </c>
      <c r="N92">
        <v>5.2583347961089544E-2</v>
      </c>
    </row>
    <row r="93" spans="2:14" x14ac:dyDescent="0.25">
      <c r="L93">
        <v>61</v>
      </c>
      <c r="M93">
        <v>3.242238635591558</v>
      </c>
      <c r="N93">
        <v>0.757761364408442</v>
      </c>
    </row>
    <row r="94" spans="2:14" x14ac:dyDescent="0.25">
      <c r="L94">
        <v>62</v>
      </c>
      <c r="M94">
        <v>2.0833432721389742</v>
      </c>
      <c r="N94">
        <v>0.91665672786102581</v>
      </c>
    </row>
    <row r="95" spans="2:14" x14ac:dyDescent="0.25">
      <c r="L95">
        <v>63</v>
      </c>
      <c r="M95">
        <v>3.0585091600706575</v>
      </c>
      <c r="N95">
        <v>0.94149083992934246</v>
      </c>
    </row>
    <row r="96" spans="2:14" x14ac:dyDescent="0.25">
      <c r="L96">
        <v>64</v>
      </c>
      <c r="M96">
        <v>4.2350359250550351</v>
      </c>
      <c r="N96">
        <v>-0.23503592505503512</v>
      </c>
    </row>
    <row r="97" spans="12:14" x14ac:dyDescent="0.25">
      <c r="L97">
        <v>65</v>
      </c>
      <c r="M97">
        <v>4.7482444777216779</v>
      </c>
      <c r="N97">
        <v>0.2517555222783221</v>
      </c>
    </row>
    <row r="98" spans="12:14" x14ac:dyDescent="0.25">
      <c r="L98">
        <v>66</v>
      </c>
      <c r="M98">
        <v>1.7543394520511317</v>
      </c>
      <c r="N98">
        <v>0.24566054794886827</v>
      </c>
    </row>
    <row r="99" spans="12:14" x14ac:dyDescent="0.25">
      <c r="L99">
        <v>67</v>
      </c>
      <c r="M99">
        <v>1.7193697379124742</v>
      </c>
      <c r="N99">
        <v>0.28063026208752584</v>
      </c>
    </row>
    <row r="100" spans="12:14" x14ac:dyDescent="0.25">
      <c r="L100">
        <v>68</v>
      </c>
      <c r="M100">
        <v>1.6605814736361</v>
      </c>
      <c r="N100">
        <v>0.33941852636390002</v>
      </c>
    </row>
    <row r="101" spans="12:14" x14ac:dyDescent="0.25">
      <c r="L101">
        <v>69</v>
      </c>
      <c r="M101">
        <v>4.1459594775768762</v>
      </c>
      <c r="N101">
        <v>0.85404052242312378</v>
      </c>
    </row>
    <row r="102" spans="12:14" x14ac:dyDescent="0.25">
      <c r="L102">
        <v>70</v>
      </c>
      <c r="M102">
        <v>4.2638946595125633</v>
      </c>
      <c r="N102">
        <v>0.7361053404874367</v>
      </c>
    </row>
    <row r="103" spans="12:14" x14ac:dyDescent="0.25">
      <c r="L103">
        <v>71</v>
      </c>
      <c r="M103">
        <v>2.8543708024131349</v>
      </c>
      <c r="N103">
        <v>2.1456291975868651</v>
      </c>
    </row>
    <row r="104" spans="12:14" x14ac:dyDescent="0.25">
      <c r="L104">
        <v>72</v>
      </c>
      <c r="M104">
        <v>2.837227493449471</v>
      </c>
      <c r="N104">
        <v>-0.83722749344947101</v>
      </c>
    </row>
    <row r="105" spans="12:14" x14ac:dyDescent="0.25">
      <c r="L105">
        <v>73</v>
      </c>
      <c r="M105">
        <v>2.6469927752427465</v>
      </c>
      <c r="N105">
        <v>-0.64699277524274645</v>
      </c>
    </row>
    <row r="106" spans="12:14" x14ac:dyDescent="0.25">
      <c r="L106">
        <v>74</v>
      </c>
      <c r="M106">
        <v>2.7894785341725941</v>
      </c>
      <c r="N106">
        <v>0.21052146582740594</v>
      </c>
    </row>
    <row r="107" spans="12:14" x14ac:dyDescent="0.25">
      <c r="L107">
        <v>75</v>
      </c>
      <c r="M107">
        <v>3.1777160028870703</v>
      </c>
      <c r="N107">
        <v>-2.1777160028870703</v>
      </c>
    </row>
    <row r="108" spans="12:14" x14ac:dyDescent="0.25">
      <c r="L108">
        <v>76</v>
      </c>
      <c r="M108">
        <v>3.9160531058778667</v>
      </c>
      <c r="N108">
        <v>8.3946894122133298E-2</v>
      </c>
    </row>
    <row r="109" spans="12:14" x14ac:dyDescent="0.25">
      <c r="L109">
        <v>77</v>
      </c>
      <c r="M109">
        <v>2.7406522321763487</v>
      </c>
      <c r="N109">
        <v>-0.74065223217634868</v>
      </c>
    </row>
    <row r="110" spans="12:14" x14ac:dyDescent="0.25">
      <c r="L110">
        <v>78</v>
      </c>
      <c r="M110">
        <v>3.3659704199411609</v>
      </c>
      <c r="N110">
        <v>-1.3659704199411609</v>
      </c>
    </row>
    <row r="111" spans="12:14" x14ac:dyDescent="0.25">
      <c r="L111">
        <v>79</v>
      </c>
      <c r="M111">
        <v>2.6510434054502525</v>
      </c>
      <c r="N111">
        <v>1.3489565945497475</v>
      </c>
    </row>
    <row r="112" spans="12:14" x14ac:dyDescent="0.25">
      <c r="L112">
        <v>80</v>
      </c>
      <c r="M112">
        <v>3.4948492413238998</v>
      </c>
      <c r="N112">
        <v>-0.49484924132389985</v>
      </c>
    </row>
    <row r="113" spans="12:14" x14ac:dyDescent="0.25">
      <c r="L113">
        <v>81</v>
      </c>
      <c r="M113">
        <v>3.625006382621847</v>
      </c>
      <c r="N113">
        <v>1.374993617378153</v>
      </c>
    </row>
    <row r="114" spans="12:14" x14ac:dyDescent="0.25">
      <c r="L114">
        <v>82</v>
      </c>
      <c r="M114">
        <v>3.4992512492426529</v>
      </c>
      <c r="N114">
        <v>1.5007487507573471</v>
      </c>
    </row>
    <row r="115" spans="12:14" x14ac:dyDescent="0.25">
      <c r="L115">
        <v>83</v>
      </c>
      <c r="M115">
        <v>2.1531899158489756</v>
      </c>
      <c r="N115">
        <v>-1.1531899158489756</v>
      </c>
    </row>
    <row r="116" spans="12:14" x14ac:dyDescent="0.25">
      <c r="L116">
        <v>84</v>
      </c>
      <c r="M116">
        <v>2.8717727045207315</v>
      </c>
      <c r="N116">
        <v>-0.87177270452073152</v>
      </c>
    </row>
    <row r="117" spans="12:14" x14ac:dyDescent="0.25">
      <c r="L117">
        <v>85</v>
      </c>
      <c r="M117">
        <v>3.8752930052725851</v>
      </c>
      <c r="N117">
        <v>-0.87529300527258513</v>
      </c>
    </row>
    <row r="118" spans="12:14" x14ac:dyDescent="0.25">
      <c r="L118">
        <v>86</v>
      </c>
      <c r="M118">
        <v>2.0931029232406382</v>
      </c>
      <c r="N118">
        <v>-9.310292324063818E-2</v>
      </c>
    </row>
    <row r="119" spans="12:14" x14ac:dyDescent="0.25">
      <c r="L119">
        <v>87</v>
      </c>
      <c r="M119">
        <v>4.6022614928828256</v>
      </c>
      <c r="N119">
        <v>0.3977385071171744</v>
      </c>
    </row>
    <row r="120" spans="12:14" x14ac:dyDescent="0.25">
      <c r="L120">
        <v>88</v>
      </c>
      <c r="M120">
        <v>4.2279337490793161</v>
      </c>
      <c r="N120">
        <v>-0.22793374907931607</v>
      </c>
    </row>
    <row r="121" spans="12:14" x14ac:dyDescent="0.25">
      <c r="L121">
        <v>89</v>
      </c>
      <c r="M121">
        <v>3.4031416564130916</v>
      </c>
      <c r="N121">
        <v>-0.40314165641309163</v>
      </c>
    </row>
    <row r="122" spans="12:14" ht="15.75" thickBot="1" x14ac:dyDescent="0.3">
      <c r="L122" s="19">
        <v>90</v>
      </c>
      <c r="M122" s="19">
        <v>3.9865766596308219</v>
      </c>
      <c r="N122" s="19">
        <v>1.3423340369178138E-2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55F56-FFB5-4B70-96C2-6DCD8601E37D}">
  <dimension ref="B2:Q120"/>
  <sheetViews>
    <sheetView topLeftCell="A2" workbookViewId="0">
      <selection activeCell="J10" sqref="J10"/>
    </sheetView>
  </sheetViews>
  <sheetFormatPr defaultRowHeight="15" x14ac:dyDescent="0.25"/>
  <sheetData>
    <row r="2" spans="2:14" ht="269.25" x14ac:dyDescent="0.25">
      <c r="B2" s="1" t="s">
        <v>0</v>
      </c>
      <c r="C2" s="2" t="s">
        <v>1</v>
      </c>
      <c r="D2" s="3" t="s">
        <v>4</v>
      </c>
      <c r="E2" s="3" t="s">
        <v>7</v>
      </c>
      <c r="F2" s="3" t="s">
        <v>8</v>
      </c>
      <c r="G2" s="3" t="s">
        <v>5</v>
      </c>
      <c r="H2" s="28"/>
      <c r="I2" s="28"/>
    </row>
    <row r="3" spans="2:14" x14ac:dyDescent="0.25">
      <c r="B3">
        <v>1</v>
      </c>
      <c r="C3" s="4">
        <v>5</v>
      </c>
      <c r="D3" s="4">
        <v>4</v>
      </c>
      <c r="E3" s="4">
        <v>1</v>
      </c>
      <c r="F3" s="4">
        <v>1</v>
      </c>
      <c r="G3" s="4">
        <v>6.5</v>
      </c>
      <c r="I3" s="29"/>
    </row>
    <row r="4" spans="2:14" x14ac:dyDescent="0.25">
      <c r="B4">
        <v>2</v>
      </c>
      <c r="C4" s="4">
        <v>3</v>
      </c>
      <c r="D4" s="4">
        <v>2</v>
      </c>
      <c r="E4" s="4">
        <v>1</v>
      </c>
      <c r="F4" s="4">
        <v>1</v>
      </c>
      <c r="G4" s="4">
        <v>6</v>
      </c>
      <c r="I4" t="s">
        <v>36</v>
      </c>
    </row>
    <row r="5" spans="2:14" ht="15.75" thickBot="1" x14ac:dyDescent="0.3">
      <c r="B5">
        <v>3</v>
      </c>
      <c r="C5" s="4">
        <v>2</v>
      </c>
      <c r="D5" s="4">
        <v>2</v>
      </c>
      <c r="E5" s="4">
        <v>1</v>
      </c>
      <c r="F5" s="4">
        <v>1</v>
      </c>
      <c r="G5" s="4">
        <v>5.8</v>
      </c>
    </row>
    <row r="6" spans="2:14" x14ac:dyDescent="0.25">
      <c r="B6">
        <v>4</v>
      </c>
      <c r="C6" s="4">
        <v>4</v>
      </c>
      <c r="D6" s="4">
        <v>1</v>
      </c>
      <c r="E6" s="4">
        <v>1</v>
      </c>
      <c r="F6" s="4">
        <v>0</v>
      </c>
      <c r="G6" s="4">
        <v>7</v>
      </c>
      <c r="I6" s="26" t="s">
        <v>37</v>
      </c>
      <c r="J6" s="26"/>
    </row>
    <row r="7" spans="2:14" x14ac:dyDescent="0.25">
      <c r="B7">
        <v>5</v>
      </c>
      <c r="C7" s="4">
        <v>5</v>
      </c>
      <c r="D7" s="4">
        <v>3</v>
      </c>
      <c r="E7" s="4">
        <v>1</v>
      </c>
      <c r="F7" s="4">
        <v>1</v>
      </c>
      <c r="G7" s="4">
        <v>6.5</v>
      </c>
      <c r="I7" t="s">
        <v>38</v>
      </c>
      <c r="J7">
        <v>0.58827761787631216</v>
      </c>
    </row>
    <row r="8" spans="2:14" x14ac:dyDescent="0.25">
      <c r="B8">
        <v>6</v>
      </c>
      <c r="C8" s="4">
        <v>1</v>
      </c>
      <c r="D8" s="4">
        <v>0.9</v>
      </c>
      <c r="E8" s="4">
        <v>0</v>
      </c>
      <c r="F8" s="4">
        <v>1</v>
      </c>
      <c r="G8" s="4">
        <v>5</v>
      </c>
      <c r="I8" t="s">
        <v>39</v>
      </c>
      <c r="J8">
        <v>0.34607055569422834</v>
      </c>
    </row>
    <row r="9" spans="2:14" x14ac:dyDescent="0.25">
      <c r="B9">
        <v>7</v>
      </c>
      <c r="C9" s="4">
        <v>2</v>
      </c>
      <c r="D9" s="4">
        <v>0.9</v>
      </c>
      <c r="E9" s="4">
        <v>0</v>
      </c>
      <c r="F9" s="4">
        <v>1</v>
      </c>
      <c r="G9" s="4">
        <v>5</v>
      </c>
      <c r="I9" t="s">
        <v>40</v>
      </c>
      <c r="J9">
        <v>0.31529740537395673</v>
      </c>
    </row>
    <row r="10" spans="2:14" x14ac:dyDescent="0.25">
      <c r="B10">
        <v>8</v>
      </c>
      <c r="C10" s="4">
        <v>3</v>
      </c>
      <c r="D10" s="4">
        <v>3.6</v>
      </c>
      <c r="E10" s="4">
        <v>0</v>
      </c>
      <c r="F10" s="4">
        <v>0</v>
      </c>
      <c r="G10" s="4">
        <v>6.5</v>
      </c>
      <c r="I10" t="s">
        <v>41</v>
      </c>
      <c r="J10">
        <v>0.99873794122500414</v>
      </c>
    </row>
    <row r="11" spans="2:14" ht="15.75" thickBot="1" x14ac:dyDescent="0.3">
      <c r="B11">
        <v>9</v>
      </c>
      <c r="C11" s="4">
        <v>3</v>
      </c>
      <c r="D11" s="4">
        <v>0.9</v>
      </c>
      <c r="E11" s="4">
        <v>0</v>
      </c>
      <c r="F11" s="4">
        <v>1</v>
      </c>
      <c r="G11" s="4">
        <v>6</v>
      </c>
      <c r="I11" s="19" t="s">
        <v>42</v>
      </c>
      <c r="J11" s="19">
        <v>90</v>
      </c>
    </row>
    <row r="12" spans="2:14" x14ac:dyDescent="0.25">
      <c r="B12">
        <v>10</v>
      </c>
      <c r="C12" s="4">
        <v>2</v>
      </c>
      <c r="D12" s="4">
        <v>0.9</v>
      </c>
      <c r="E12" s="4">
        <v>0</v>
      </c>
      <c r="F12" s="4">
        <v>1</v>
      </c>
      <c r="G12" s="4">
        <v>6</v>
      </c>
    </row>
    <row r="13" spans="2:14" ht="15.75" thickBot="1" x14ac:dyDescent="0.3">
      <c r="B13">
        <v>11</v>
      </c>
      <c r="C13" s="4">
        <v>4</v>
      </c>
      <c r="D13" s="4">
        <v>3.6</v>
      </c>
      <c r="E13" s="4">
        <v>0</v>
      </c>
      <c r="F13" s="4">
        <v>1</v>
      </c>
      <c r="G13" s="4">
        <v>7</v>
      </c>
      <c r="I13" t="s">
        <v>43</v>
      </c>
    </row>
    <row r="14" spans="2:14" x14ac:dyDescent="0.25">
      <c r="B14">
        <v>12</v>
      </c>
      <c r="C14" s="4">
        <v>3</v>
      </c>
      <c r="D14" s="4">
        <v>4</v>
      </c>
      <c r="E14" s="4">
        <v>1</v>
      </c>
      <c r="F14" s="4">
        <v>0</v>
      </c>
      <c r="G14" s="4">
        <v>7</v>
      </c>
      <c r="I14" s="20"/>
      <c r="J14" s="20" t="s">
        <v>48</v>
      </c>
      <c r="K14" s="20" t="s">
        <v>49</v>
      </c>
      <c r="L14" s="20" t="s">
        <v>50</v>
      </c>
      <c r="M14" s="20" t="s">
        <v>51</v>
      </c>
      <c r="N14" s="20" t="s">
        <v>52</v>
      </c>
    </row>
    <row r="15" spans="2:14" x14ac:dyDescent="0.25">
      <c r="B15">
        <v>13</v>
      </c>
      <c r="C15" s="4">
        <v>4</v>
      </c>
      <c r="D15" s="4">
        <v>1</v>
      </c>
      <c r="E15" s="4">
        <v>1</v>
      </c>
      <c r="F15" s="4">
        <v>1</v>
      </c>
      <c r="G15" s="4">
        <v>7</v>
      </c>
      <c r="I15" t="s">
        <v>44</v>
      </c>
      <c r="J15">
        <v>4</v>
      </c>
      <c r="K15">
        <v>44.869970159955017</v>
      </c>
      <c r="L15">
        <v>11.217492539988754</v>
      </c>
      <c r="M15">
        <v>11.245860501524819</v>
      </c>
      <c r="N15">
        <v>2.2708256576226309E-7</v>
      </c>
    </row>
    <row r="16" spans="2:14" x14ac:dyDescent="0.25">
      <c r="B16">
        <v>14</v>
      </c>
      <c r="C16" s="4">
        <v>1</v>
      </c>
      <c r="D16" s="4">
        <v>1</v>
      </c>
      <c r="E16" s="4">
        <v>1</v>
      </c>
      <c r="F16" s="4">
        <v>1</v>
      </c>
      <c r="G16" s="4">
        <v>7</v>
      </c>
      <c r="I16" t="s">
        <v>45</v>
      </c>
      <c r="J16">
        <v>85</v>
      </c>
      <c r="K16">
        <v>84.785585395600577</v>
      </c>
      <c r="L16">
        <v>0.99747747524235975</v>
      </c>
    </row>
    <row r="17" spans="2:17" ht="15.75" thickBot="1" x14ac:dyDescent="0.3">
      <c r="B17">
        <v>15</v>
      </c>
      <c r="C17" s="4">
        <v>4</v>
      </c>
      <c r="D17" s="4">
        <v>2</v>
      </c>
      <c r="E17" s="4">
        <v>1</v>
      </c>
      <c r="F17" s="4">
        <v>0</v>
      </c>
      <c r="G17" s="4">
        <v>7.5</v>
      </c>
      <c r="I17" s="19" t="s">
        <v>46</v>
      </c>
      <c r="J17" s="19">
        <v>89</v>
      </c>
      <c r="K17" s="19">
        <v>129.65555555555559</v>
      </c>
      <c r="L17" s="19"/>
      <c r="M17" s="19"/>
      <c r="N17" s="19"/>
    </row>
    <row r="18" spans="2:17" ht="15.75" thickBot="1" x14ac:dyDescent="0.3">
      <c r="B18">
        <v>16</v>
      </c>
      <c r="C18" s="4">
        <v>5</v>
      </c>
      <c r="D18" s="4">
        <v>1</v>
      </c>
      <c r="E18" s="4">
        <v>1</v>
      </c>
      <c r="F18" s="4">
        <v>1</v>
      </c>
      <c r="G18" s="4">
        <v>6</v>
      </c>
    </row>
    <row r="19" spans="2:17" x14ac:dyDescent="0.25">
      <c r="B19">
        <v>17</v>
      </c>
      <c r="C19" s="4">
        <v>3</v>
      </c>
      <c r="D19" s="4">
        <v>2</v>
      </c>
      <c r="E19" s="4">
        <v>1</v>
      </c>
      <c r="F19" s="4">
        <v>1</v>
      </c>
      <c r="G19" s="4">
        <v>6.5</v>
      </c>
      <c r="I19" s="20"/>
      <c r="J19" s="20" t="s">
        <v>53</v>
      </c>
      <c r="K19" s="20" t="s">
        <v>41</v>
      </c>
      <c r="L19" s="20" t="s">
        <v>54</v>
      </c>
      <c r="M19" s="20" t="s">
        <v>55</v>
      </c>
      <c r="N19" s="20" t="s">
        <v>56</v>
      </c>
      <c r="O19" s="20" t="s">
        <v>57</v>
      </c>
      <c r="P19" s="20" t="s">
        <v>58</v>
      </c>
      <c r="Q19" s="20" t="s">
        <v>59</v>
      </c>
    </row>
    <row r="20" spans="2:17" x14ac:dyDescent="0.25">
      <c r="B20">
        <v>18</v>
      </c>
      <c r="C20" s="4">
        <v>4</v>
      </c>
      <c r="D20" s="4">
        <v>1</v>
      </c>
      <c r="E20" s="4">
        <v>1</v>
      </c>
      <c r="F20" s="4">
        <v>1</v>
      </c>
      <c r="G20" s="4">
        <v>7</v>
      </c>
      <c r="I20" t="s">
        <v>47</v>
      </c>
      <c r="J20">
        <v>0.95920471038607791</v>
      </c>
      <c r="K20">
        <v>0.63592311475755003</v>
      </c>
      <c r="L20">
        <v>1.5083658513526139</v>
      </c>
      <c r="M20">
        <v>0.13516900114141964</v>
      </c>
      <c r="N20">
        <v>-0.30518081030931543</v>
      </c>
      <c r="O20">
        <v>2.223590231081471</v>
      </c>
      <c r="P20">
        <v>-0.30518081030931543</v>
      </c>
      <c r="Q20">
        <v>2.223590231081471</v>
      </c>
    </row>
    <row r="21" spans="2:17" x14ac:dyDescent="0.25">
      <c r="B21">
        <v>19</v>
      </c>
      <c r="C21" s="4">
        <v>2</v>
      </c>
      <c r="D21" s="4">
        <v>1</v>
      </c>
      <c r="E21" s="4">
        <v>1</v>
      </c>
      <c r="F21" s="4">
        <v>0</v>
      </c>
      <c r="G21" s="4">
        <v>7</v>
      </c>
      <c r="I21" t="s">
        <v>28</v>
      </c>
      <c r="J21">
        <v>0.34981240016886506</v>
      </c>
      <c r="K21">
        <v>0.11742617330995862</v>
      </c>
      <c r="L21">
        <v>2.9789985512471633</v>
      </c>
      <c r="M21">
        <v>3.7687954826191752E-3</v>
      </c>
      <c r="N21">
        <v>0.11633770827881565</v>
      </c>
      <c r="O21">
        <v>0.58328709205891449</v>
      </c>
      <c r="P21">
        <v>0.11633770827881565</v>
      </c>
      <c r="Q21">
        <v>0.58328709205891449</v>
      </c>
    </row>
    <row r="22" spans="2:17" x14ac:dyDescent="0.25">
      <c r="B22">
        <v>20</v>
      </c>
      <c r="C22" s="4">
        <v>5</v>
      </c>
      <c r="D22" s="4">
        <v>2</v>
      </c>
      <c r="E22" s="4">
        <v>1</v>
      </c>
      <c r="F22" s="4">
        <v>0</v>
      </c>
      <c r="G22" s="4">
        <v>9.5</v>
      </c>
      <c r="I22" t="s">
        <v>64</v>
      </c>
      <c r="J22">
        <v>0.76609068013470272</v>
      </c>
      <c r="K22">
        <v>0.23492349182246977</v>
      </c>
      <c r="L22">
        <v>3.2610220212188601</v>
      </c>
      <c r="M22">
        <v>1.5983855469295118E-3</v>
      </c>
      <c r="N22">
        <v>0.29899984063159774</v>
      </c>
      <c r="O22">
        <v>1.2331815196378078</v>
      </c>
      <c r="P22">
        <v>0.29899984063159774</v>
      </c>
      <c r="Q22">
        <v>1.2331815196378078</v>
      </c>
    </row>
    <row r="23" spans="2:17" x14ac:dyDescent="0.25">
      <c r="B23">
        <v>21</v>
      </c>
      <c r="C23" s="4">
        <v>4</v>
      </c>
      <c r="D23" s="4">
        <v>2</v>
      </c>
      <c r="E23" s="4">
        <v>1</v>
      </c>
      <c r="F23" s="4">
        <v>1</v>
      </c>
      <c r="G23" s="4">
        <v>8.5</v>
      </c>
      <c r="I23" t="s">
        <v>65</v>
      </c>
      <c r="J23">
        <v>0.47477330721429861</v>
      </c>
      <c r="K23">
        <v>0.22867620265965771</v>
      </c>
      <c r="L23">
        <v>2.0761815251974904</v>
      </c>
      <c r="M23">
        <v>4.0898081901870637E-2</v>
      </c>
      <c r="N23">
        <v>2.0103752262343122E-2</v>
      </c>
      <c r="O23">
        <v>0.92944286216625405</v>
      </c>
      <c r="P23">
        <v>2.0103752262343122E-2</v>
      </c>
      <c r="Q23">
        <v>0.92944286216625405</v>
      </c>
    </row>
    <row r="24" spans="2:17" ht="15.75" thickBot="1" x14ac:dyDescent="0.3">
      <c r="B24">
        <v>22</v>
      </c>
      <c r="C24" s="4">
        <v>3</v>
      </c>
      <c r="D24" s="4">
        <v>2</v>
      </c>
      <c r="E24" s="4">
        <v>0</v>
      </c>
      <c r="F24" s="4">
        <v>1</v>
      </c>
      <c r="G24" s="4">
        <v>7</v>
      </c>
      <c r="I24" s="19" t="s">
        <v>29</v>
      </c>
      <c r="J24" s="19">
        <v>0.14054221374930118</v>
      </c>
      <c r="K24" s="19">
        <v>0.10560156845012654</v>
      </c>
      <c r="L24" s="19">
        <v>1.3308724085445416</v>
      </c>
      <c r="M24" s="19">
        <v>0.18679001775510137</v>
      </c>
      <c r="N24" s="19">
        <v>-6.9421995779344881E-2</v>
      </c>
      <c r="O24" s="19">
        <v>0.35050642327794723</v>
      </c>
      <c r="P24" s="19">
        <v>-6.9421995779344881E-2</v>
      </c>
      <c r="Q24" s="19">
        <v>0.35050642327794723</v>
      </c>
    </row>
    <row r="25" spans="2:17" x14ac:dyDescent="0.25">
      <c r="B25">
        <v>23</v>
      </c>
      <c r="C25" s="4">
        <v>3</v>
      </c>
      <c r="D25" s="4">
        <v>0.9</v>
      </c>
      <c r="E25" s="4">
        <v>0</v>
      </c>
      <c r="F25" s="4">
        <v>1</v>
      </c>
      <c r="G25" s="4">
        <v>6</v>
      </c>
    </row>
    <row r="26" spans="2:17" x14ac:dyDescent="0.25">
      <c r="B26">
        <v>24</v>
      </c>
      <c r="C26" s="4">
        <v>2</v>
      </c>
      <c r="D26" s="4">
        <v>1</v>
      </c>
      <c r="E26" s="4">
        <v>1</v>
      </c>
      <c r="F26" s="4">
        <v>1</v>
      </c>
      <c r="G26" s="4">
        <v>5.5</v>
      </c>
    </row>
    <row r="27" spans="2:17" x14ac:dyDescent="0.25">
      <c r="B27">
        <v>25</v>
      </c>
      <c r="C27" s="4">
        <v>5</v>
      </c>
      <c r="D27" s="4">
        <v>0.3</v>
      </c>
      <c r="E27" s="4">
        <v>1</v>
      </c>
      <c r="F27" s="4">
        <v>1</v>
      </c>
      <c r="G27" s="4">
        <v>6.5</v>
      </c>
    </row>
    <row r="28" spans="2:17" x14ac:dyDescent="0.25">
      <c r="B28">
        <v>26</v>
      </c>
      <c r="C28" s="4">
        <v>4</v>
      </c>
      <c r="D28" s="4">
        <v>1</v>
      </c>
      <c r="E28" s="4">
        <v>1</v>
      </c>
      <c r="F28" s="4">
        <v>0</v>
      </c>
      <c r="G28" s="4">
        <v>7</v>
      </c>
      <c r="I28" t="s">
        <v>60</v>
      </c>
    </row>
    <row r="29" spans="2:17" ht="15.75" thickBot="1" x14ac:dyDescent="0.3">
      <c r="B29">
        <v>27</v>
      </c>
      <c r="C29" s="4">
        <v>4</v>
      </c>
      <c r="D29" s="4">
        <v>1</v>
      </c>
      <c r="E29" s="4">
        <v>1</v>
      </c>
      <c r="F29" s="4">
        <v>1</v>
      </c>
      <c r="G29" s="4">
        <v>7</v>
      </c>
    </row>
    <row r="30" spans="2:17" x14ac:dyDescent="0.25">
      <c r="B30">
        <v>28</v>
      </c>
      <c r="C30" s="4">
        <v>3</v>
      </c>
      <c r="D30" s="4">
        <v>1</v>
      </c>
      <c r="E30" s="4">
        <v>1</v>
      </c>
      <c r="F30" s="4">
        <v>1</v>
      </c>
      <c r="G30" s="4">
        <v>6.5</v>
      </c>
      <c r="I30" s="20" t="s">
        <v>61</v>
      </c>
      <c r="J30" s="20" t="s">
        <v>62</v>
      </c>
      <c r="K30" s="20" t="s">
        <v>63</v>
      </c>
    </row>
    <row r="31" spans="2:17" x14ac:dyDescent="0.25">
      <c r="B31">
        <v>29</v>
      </c>
      <c r="C31" s="4">
        <v>3</v>
      </c>
      <c r="D31" s="4">
        <v>1.8</v>
      </c>
      <c r="E31" s="4">
        <v>0</v>
      </c>
      <c r="F31" s="4">
        <v>1</v>
      </c>
      <c r="G31" s="4">
        <v>6</v>
      </c>
      <c r="I31">
        <v>1</v>
      </c>
      <c r="J31">
        <v>4.5128426877809975</v>
      </c>
      <c r="K31">
        <v>0.48715731221900249</v>
      </c>
    </row>
    <row r="32" spans="2:17" x14ac:dyDescent="0.25">
      <c r="B32">
        <v>30</v>
      </c>
      <c r="C32" s="4">
        <v>2</v>
      </c>
      <c r="D32" s="4">
        <v>1.8</v>
      </c>
      <c r="E32" s="4">
        <v>0</v>
      </c>
      <c r="F32" s="4">
        <v>1</v>
      </c>
      <c r="G32" s="4">
        <v>5</v>
      </c>
      <c r="I32">
        <v>2</v>
      </c>
      <c r="J32">
        <v>3.7429467805686163</v>
      </c>
      <c r="K32">
        <v>-0.74294678056861629</v>
      </c>
    </row>
    <row r="33" spans="2:11" x14ac:dyDescent="0.25">
      <c r="B33">
        <v>31</v>
      </c>
      <c r="C33" s="4">
        <v>4</v>
      </c>
      <c r="D33" s="4">
        <v>0.9</v>
      </c>
      <c r="E33" s="4">
        <v>0</v>
      </c>
      <c r="F33" s="4">
        <v>1</v>
      </c>
      <c r="G33" s="4">
        <v>4.5</v>
      </c>
      <c r="I33">
        <v>3</v>
      </c>
      <c r="J33">
        <v>3.7148383378187559</v>
      </c>
      <c r="K33">
        <v>-1.7148383378187559</v>
      </c>
    </row>
    <row r="34" spans="2:11" x14ac:dyDescent="0.25">
      <c r="B34">
        <v>32</v>
      </c>
      <c r="C34" s="4">
        <v>2</v>
      </c>
      <c r="D34" s="4">
        <v>0.9</v>
      </c>
      <c r="E34" s="4">
        <v>0</v>
      </c>
      <c r="F34" s="4">
        <v>1</v>
      </c>
      <c r="G34" s="4">
        <v>5.5</v>
      </c>
      <c r="I34">
        <v>4</v>
      </c>
      <c r="J34">
        <v>3.0589032869347537</v>
      </c>
      <c r="K34">
        <v>0.94109671306524634</v>
      </c>
    </row>
    <row r="35" spans="2:11" x14ac:dyDescent="0.25">
      <c r="B35">
        <v>33</v>
      </c>
      <c r="C35" s="4">
        <v>3</v>
      </c>
      <c r="D35" s="4">
        <v>0.9</v>
      </c>
      <c r="E35" s="4">
        <v>0</v>
      </c>
      <c r="F35" s="4">
        <v>0</v>
      </c>
      <c r="G35" s="4">
        <v>7</v>
      </c>
      <c r="I35">
        <v>5</v>
      </c>
      <c r="J35">
        <v>4.1630302876121323</v>
      </c>
      <c r="K35">
        <v>0.83696971238786766</v>
      </c>
    </row>
    <row r="36" spans="2:11" x14ac:dyDescent="0.25">
      <c r="B36">
        <v>34</v>
      </c>
      <c r="C36" s="4">
        <v>2</v>
      </c>
      <c r="D36" s="4">
        <v>0.9</v>
      </c>
      <c r="E36" s="4">
        <v>0</v>
      </c>
      <c r="F36" s="4">
        <v>0</v>
      </c>
      <c r="G36" s="4">
        <v>6.5</v>
      </c>
      <c r="I36">
        <v>6</v>
      </c>
      <c r="J36">
        <v>2.4515202464988608</v>
      </c>
      <c r="K36">
        <v>-1.4515202464988608</v>
      </c>
    </row>
    <row r="37" spans="2:11" x14ac:dyDescent="0.25">
      <c r="B37">
        <v>35</v>
      </c>
      <c r="C37" s="4">
        <v>3</v>
      </c>
      <c r="D37" s="4">
        <v>2.7</v>
      </c>
      <c r="E37" s="4">
        <v>0</v>
      </c>
      <c r="F37" s="4">
        <v>1</v>
      </c>
      <c r="G37" s="4">
        <v>6.5</v>
      </c>
      <c r="I37">
        <v>7</v>
      </c>
      <c r="J37">
        <v>2.4515202464988608</v>
      </c>
      <c r="K37">
        <v>-0.4515202464988608</v>
      </c>
    </row>
    <row r="38" spans="2:11" x14ac:dyDescent="0.25">
      <c r="B38">
        <v>36</v>
      </c>
      <c r="C38" s="4">
        <v>3</v>
      </c>
      <c r="D38" s="4">
        <v>1.8</v>
      </c>
      <c r="E38" s="4">
        <v>0</v>
      </c>
      <c r="F38" s="4">
        <v>1</v>
      </c>
      <c r="G38" s="4">
        <v>5</v>
      </c>
      <c r="I38">
        <v>8</v>
      </c>
      <c r="J38">
        <v>3.1320537403644497</v>
      </c>
      <c r="K38">
        <v>-0.13205374036444972</v>
      </c>
    </row>
    <row r="39" spans="2:11" x14ac:dyDescent="0.25">
      <c r="B39">
        <v>37</v>
      </c>
      <c r="C39" s="4">
        <v>4</v>
      </c>
      <c r="D39" s="4">
        <v>0.9</v>
      </c>
      <c r="E39" s="4">
        <v>0</v>
      </c>
      <c r="F39" s="4">
        <v>0</v>
      </c>
      <c r="G39" s="4">
        <v>4.5</v>
      </c>
      <c r="I39">
        <v>9</v>
      </c>
      <c r="J39">
        <v>2.5920624602481617</v>
      </c>
      <c r="K39">
        <v>0.40793753975183833</v>
      </c>
    </row>
    <row r="40" spans="2:11" x14ac:dyDescent="0.25">
      <c r="B40">
        <v>38</v>
      </c>
      <c r="C40" s="4">
        <v>4</v>
      </c>
      <c r="D40" s="4">
        <v>0.9</v>
      </c>
      <c r="E40" s="4">
        <v>0</v>
      </c>
      <c r="F40" s="4">
        <v>1</v>
      </c>
      <c r="G40" s="4">
        <v>5.5</v>
      </c>
      <c r="I40">
        <v>10</v>
      </c>
      <c r="J40">
        <v>2.5920624602481617</v>
      </c>
      <c r="K40">
        <v>-0.59206246024816167</v>
      </c>
    </row>
    <row r="41" spans="2:11" x14ac:dyDescent="0.25">
      <c r="B41">
        <v>39</v>
      </c>
      <c r="C41" s="4">
        <v>5</v>
      </c>
      <c r="D41" s="4">
        <v>2.7</v>
      </c>
      <c r="E41" s="4">
        <v>0</v>
      </c>
      <c r="F41" s="4">
        <v>1</v>
      </c>
      <c r="G41" s="4">
        <v>5.5</v>
      </c>
      <c r="I41">
        <v>11</v>
      </c>
      <c r="J41">
        <v>3.6770981544533994</v>
      </c>
      <c r="K41">
        <v>0.32290184554660062</v>
      </c>
    </row>
    <row r="42" spans="2:11" x14ac:dyDescent="0.25">
      <c r="B42">
        <v>40</v>
      </c>
      <c r="C42" s="4">
        <v>1</v>
      </c>
      <c r="D42" s="4">
        <v>1.8</v>
      </c>
      <c r="E42" s="4">
        <v>0</v>
      </c>
      <c r="F42" s="4">
        <v>0</v>
      </c>
      <c r="G42" s="4">
        <v>6</v>
      </c>
      <c r="I42">
        <v>12</v>
      </c>
      <c r="J42">
        <v>4.1083404874413487</v>
      </c>
      <c r="K42">
        <v>-1.1083404874413487</v>
      </c>
    </row>
    <row r="43" spans="2:11" x14ac:dyDescent="0.25">
      <c r="B43">
        <v>41</v>
      </c>
      <c r="C43" s="4">
        <v>3</v>
      </c>
      <c r="D43" s="4">
        <v>0.9</v>
      </c>
      <c r="E43" s="4">
        <v>0</v>
      </c>
      <c r="F43" s="4">
        <v>0</v>
      </c>
      <c r="G43" s="4">
        <v>6.5</v>
      </c>
      <c r="I43">
        <v>13</v>
      </c>
      <c r="J43">
        <v>3.5336765941490524</v>
      </c>
      <c r="K43">
        <v>0.46632340585094756</v>
      </c>
    </row>
    <row r="44" spans="2:11" x14ac:dyDescent="0.25">
      <c r="B44">
        <v>42</v>
      </c>
      <c r="C44" s="4">
        <v>1</v>
      </c>
      <c r="D44" s="4">
        <v>0.9</v>
      </c>
      <c r="E44" s="4">
        <v>0</v>
      </c>
      <c r="F44" s="4">
        <v>0</v>
      </c>
      <c r="G44" s="4">
        <v>7</v>
      </c>
      <c r="I44">
        <v>14</v>
      </c>
      <c r="J44">
        <v>3.5336765941490524</v>
      </c>
      <c r="K44">
        <v>-2.5336765941490524</v>
      </c>
    </row>
    <row r="45" spans="2:11" x14ac:dyDescent="0.25">
      <c r="B45">
        <v>43</v>
      </c>
      <c r="C45" s="4">
        <v>2</v>
      </c>
      <c r="D45" s="4">
        <v>0.9</v>
      </c>
      <c r="E45" s="4">
        <v>0</v>
      </c>
      <c r="F45" s="4">
        <v>1</v>
      </c>
      <c r="G45" s="4">
        <v>5.5</v>
      </c>
      <c r="I45">
        <v>15</v>
      </c>
      <c r="J45">
        <v>3.4789867939782693</v>
      </c>
      <c r="K45">
        <v>0.52101320602173073</v>
      </c>
    </row>
    <row r="46" spans="2:11" x14ac:dyDescent="0.25">
      <c r="B46">
        <v>44</v>
      </c>
      <c r="C46" s="4">
        <v>1</v>
      </c>
      <c r="D46" s="4">
        <v>0.9</v>
      </c>
      <c r="E46" s="4">
        <v>0</v>
      </c>
      <c r="F46" s="4">
        <v>0</v>
      </c>
      <c r="G46" s="4">
        <v>5.5</v>
      </c>
      <c r="I46">
        <v>16</v>
      </c>
      <c r="J46">
        <v>3.3931343803997511</v>
      </c>
      <c r="K46">
        <v>1.6068656196002489</v>
      </c>
    </row>
    <row r="47" spans="2:11" x14ac:dyDescent="0.25">
      <c r="B47">
        <v>45</v>
      </c>
      <c r="C47" s="4">
        <v>2</v>
      </c>
      <c r="D47" s="4">
        <v>1.8</v>
      </c>
      <c r="E47" s="4">
        <v>0</v>
      </c>
      <c r="F47" s="4">
        <v>0</v>
      </c>
      <c r="G47" s="4">
        <v>7</v>
      </c>
      <c r="I47">
        <v>17</v>
      </c>
      <c r="J47">
        <v>3.8132178874432672</v>
      </c>
      <c r="K47">
        <v>-0.81321788744326717</v>
      </c>
    </row>
    <row r="48" spans="2:11" x14ac:dyDescent="0.25">
      <c r="B48">
        <v>46</v>
      </c>
      <c r="C48" s="4">
        <v>2</v>
      </c>
      <c r="D48" s="4">
        <v>1.8</v>
      </c>
      <c r="E48" s="4">
        <v>0</v>
      </c>
      <c r="F48" s="4">
        <v>1</v>
      </c>
      <c r="G48" s="4">
        <v>6</v>
      </c>
      <c r="I48">
        <v>18</v>
      </c>
      <c r="J48">
        <v>3.5336765941490524</v>
      </c>
      <c r="K48">
        <v>0.46632340585094756</v>
      </c>
    </row>
    <row r="49" spans="2:11" x14ac:dyDescent="0.25">
      <c r="B49">
        <v>47</v>
      </c>
      <c r="C49" s="4">
        <v>2</v>
      </c>
      <c r="D49" s="4">
        <v>0.9</v>
      </c>
      <c r="E49" s="4">
        <v>0</v>
      </c>
      <c r="F49" s="4">
        <v>1</v>
      </c>
      <c r="G49" s="4">
        <v>4.5</v>
      </c>
      <c r="I49">
        <v>19</v>
      </c>
      <c r="J49">
        <v>3.0589032869347537</v>
      </c>
      <c r="K49">
        <v>-1.0589032869347537</v>
      </c>
    </row>
    <row r="50" spans="2:11" x14ac:dyDescent="0.25">
      <c r="B50">
        <v>48</v>
      </c>
      <c r="C50" s="4">
        <v>2</v>
      </c>
      <c r="D50" s="4">
        <v>0.9</v>
      </c>
      <c r="E50" s="4">
        <v>0</v>
      </c>
      <c r="F50" s="4">
        <v>1</v>
      </c>
      <c r="G50" s="4">
        <v>6.5</v>
      </c>
      <c r="I50">
        <v>20</v>
      </c>
      <c r="J50">
        <v>3.7600712214768715</v>
      </c>
      <c r="K50">
        <v>1.2399287785231285</v>
      </c>
    </row>
    <row r="51" spans="2:11" x14ac:dyDescent="0.25">
      <c r="B51">
        <v>49</v>
      </c>
      <c r="C51" s="4">
        <v>3</v>
      </c>
      <c r="D51" s="4">
        <v>1.8</v>
      </c>
      <c r="E51" s="4">
        <v>0</v>
      </c>
      <c r="F51" s="4">
        <v>0</v>
      </c>
      <c r="G51" s="4">
        <v>7</v>
      </c>
      <c r="I51">
        <v>21</v>
      </c>
      <c r="J51">
        <v>4.0943023149418689</v>
      </c>
      <c r="K51">
        <v>-9.4302314941868914E-2</v>
      </c>
    </row>
    <row r="52" spans="2:11" x14ac:dyDescent="0.25">
      <c r="B52">
        <v>50</v>
      </c>
      <c r="C52" s="4">
        <v>2</v>
      </c>
      <c r="D52" s="4">
        <v>1</v>
      </c>
      <c r="E52" s="4">
        <v>1</v>
      </c>
      <c r="F52" s="4">
        <v>1</v>
      </c>
      <c r="G52" s="4">
        <v>5.5</v>
      </c>
      <c r="I52">
        <v>22</v>
      </c>
      <c r="J52">
        <v>3.1173983141832151</v>
      </c>
      <c r="K52">
        <v>-0.11739831418321511</v>
      </c>
    </row>
    <row r="53" spans="2:11" x14ac:dyDescent="0.25">
      <c r="B53">
        <v>51</v>
      </c>
      <c r="C53" s="4">
        <v>4</v>
      </c>
      <c r="D53" s="4">
        <v>1</v>
      </c>
      <c r="E53" s="4">
        <v>1</v>
      </c>
      <c r="F53" s="4">
        <v>1</v>
      </c>
      <c r="G53" s="4">
        <v>6.5</v>
      </c>
      <c r="I53">
        <v>23</v>
      </c>
      <c r="J53">
        <v>2.5920624602481617</v>
      </c>
      <c r="K53">
        <v>0.40793753975183833</v>
      </c>
    </row>
    <row r="54" spans="2:11" x14ac:dyDescent="0.25">
      <c r="B54">
        <v>52</v>
      </c>
      <c r="C54" s="4">
        <v>4</v>
      </c>
      <c r="D54" s="4">
        <v>1</v>
      </c>
      <c r="E54" s="4">
        <v>1</v>
      </c>
      <c r="F54" s="4">
        <v>1</v>
      </c>
      <c r="G54" s="4">
        <v>6</v>
      </c>
      <c r="I54">
        <v>24</v>
      </c>
      <c r="J54">
        <v>3.3228632735251007</v>
      </c>
      <c r="K54">
        <v>-1.3228632735251007</v>
      </c>
    </row>
    <row r="55" spans="2:11" x14ac:dyDescent="0.25">
      <c r="B55">
        <v>53</v>
      </c>
      <c r="C55" s="4">
        <v>2</v>
      </c>
      <c r="D55" s="4">
        <v>0.9</v>
      </c>
      <c r="E55" s="4">
        <v>0</v>
      </c>
      <c r="F55" s="4">
        <v>0</v>
      </c>
      <c r="G55" s="4">
        <v>6</v>
      </c>
      <c r="I55">
        <v>25</v>
      </c>
      <c r="J55">
        <v>3.2185368071561964</v>
      </c>
      <c r="K55">
        <v>1.7814631928438036</v>
      </c>
    </row>
    <row r="56" spans="2:11" x14ac:dyDescent="0.25">
      <c r="B56">
        <v>54</v>
      </c>
      <c r="C56" s="4">
        <v>3</v>
      </c>
      <c r="D56" s="4">
        <v>3</v>
      </c>
      <c r="E56" s="4">
        <v>1</v>
      </c>
      <c r="F56" s="4">
        <v>0</v>
      </c>
      <c r="G56" s="4">
        <v>6</v>
      </c>
      <c r="I56">
        <v>26</v>
      </c>
      <c r="J56">
        <v>3.0589032869347537</v>
      </c>
      <c r="K56">
        <v>0.94109671306524634</v>
      </c>
    </row>
    <row r="57" spans="2:11" x14ac:dyDescent="0.25">
      <c r="B57">
        <v>55</v>
      </c>
      <c r="C57" s="4">
        <v>3</v>
      </c>
      <c r="D57" s="4">
        <v>2</v>
      </c>
      <c r="E57" s="4">
        <v>1</v>
      </c>
      <c r="F57" s="4">
        <v>1</v>
      </c>
      <c r="G57" s="4">
        <v>6.5</v>
      </c>
      <c r="I57">
        <v>27</v>
      </c>
      <c r="J57">
        <v>3.5336765941490524</v>
      </c>
      <c r="K57">
        <v>0.46632340585094756</v>
      </c>
    </row>
    <row r="58" spans="2:11" x14ac:dyDescent="0.25">
      <c r="B58">
        <v>56</v>
      </c>
      <c r="C58" s="4">
        <v>2</v>
      </c>
      <c r="D58" s="4">
        <v>1</v>
      </c>
      <c r="E58" s="4">
        <v>1</v>
      </c>
      <c r="F58" s="4">
        <v>1</v>
      </c>
      <c r="G58" s="4">
        <v>5.5</v>
      </c>
      <c r="I58">
        <v>28</v>
      </c>
      <c r="J58">
        <v>3.463405487274402</v>
      </c>
      <c r="K58">
        <v>-0.46340548727440201</v>
      </c>
    </row>
    <row r="59" spans="2:11" x14ac:dyDescent="0.25">
      <c r="B59">
        <v>57</v>
      </c>
      <c r="C59" s="4">
        <v>5</v>
      </c>
      <c r="D59" s="4">
        <v>1</v>
      </c>
      <c r="E59" s="4">
        <v>1</v>
      </c>
      <c r="F59" s="4">
        <v>1</v>
      </c>
      <c r="G59" s="4">
        <v>7</v>
      </c>
      <c r="I59">
        <v>29</v>
      </c>
      <c r="J59">
        <v>2.9068936204001408</v>
      </c>
      <c r="K59">
        <v>9.3106379599859235E-2</v>
      </c>
    </row>
    <row r="60" spans="2:11" x14ac:dyDescent="0.25">
      <c r="B60">
        <v>58</v>
      </c>
      <c r="C60" s="4">
        <v>4</v>
      </c>
      <c r="D60" s="4">
        <v>2</v>
      </c>
      <c r="E60" s="4">
        <v>1</v>
      </c>
      <c r="F60" s="4">
        <v>1</v>
      </c>
      <c r="G60" s="4">
        <v>5.5</v>
      </c>
      <c r="I60">
        <v>30</v>
      </c>
      <c r="J60">
        <v>2.7663514066508395</v>
      </c>
      <c r="K60">
        <v>-0.76635140665083945</v>
      </c>
    </row>
    <row r="61" spans="2:11" x14ac:dyDescent="0.25">
      <c r="B61">
        <v>59</v>
      </c>
      <c r="C61" s="4">
        <v>3</v>
      </c>
      <c r="D61" s="4">
        <v>1</v>
      </c>
      <c r="E61" s="4">
        <v>1</v>
      </c>
      <c r="F61" s="4">
        <v>0</v>
      </c>
      <c r="G61" s="4">
        <v>7</v>
      </c>
      <c r="I61">
        <v>31</v>
      </c>
      <c r="J61">
        <v>2.3812491396242104</v>
      </c>
      <c r="K61">
        <v>1.6187508603757896</v>
      </c>
    </row>
    <row r="62" spans="2:11" x14ac:dyDescent="0.25">
      <c r="B62">
        <v>60</v>
      </c>
      <c r="C62" s="4">
        <v>4</v>
      </c>
      <c r="D62" s="4">
        <v>2</v>
      </c>
      <c r="E62" s="4">
        <v>1</v>
      </c>
      <c r="F62" s="4">
        <v>1</v>
      </c>
      <c r="G62" s="4">
        <v>7.5</v>
      </c>
      <c r="I62">
        <v>32</v>
      </c>
      <c r="J62">
        <v>2.5217913533735112</v>
      </c>
      <c r="K62">
        <v>-0.52179135337351124</v>
      </c>
    </row>
    <row r="63" spans="2:11" x14ac:dyDescent="0.25">
      <c r="B63">
        <v>61</v>
      </c>
      <c r="C63" s="4">
        <v>4</v>
      </c>
      <c r="D63" s="4">
        <v>1</v>
      </c>
      <c r="E63" s="4">
        <v>1</v>
      </c>
      <c r="F63" s="4">
        <v>1</v>
      </c>
      <c r="G63" s="4">
        <v>4.5</v>
      </c>
      <c r="I63">
        <v>33</v>
      </c>
      <c r="J63">
        <v>2.2578313667831647</v>
      </c>
      <c r="K63">
        <v>0.74216863321683535</v>
      </c>
    </row>
    <row r="64" spans="2:11" x14ac:dyDescent="0.25">
      <c r="B64">
        <v>62</v>
      </c>
      <c r="C64" s="4">
        <v>3</v>
      </c>
      <c r="D64" s="4">
        <v>1.2</v>
      </c>
      <c r="E64" s="4">
        <v>0</v>
      </c>
      <c r="F64" s="4">
        <v>0</v>
      </c>
      <c r="G64" s="4">
        <v>5</v>
      </c>
      <c r="I64">
        <v>34</v>
      </c>
      <c r="J64">
        <v>2.1875602599085138</v>
      </c>
      <c r="K64">
        <v>-0.18756025990851377</v>
      </c>
    </row>
    <row r="65" spans="2:11" x14ac:dyDescent="0.25">
      <c r="B65">
        <v>63</v>
      </c>
      <c r="C65" s="4">
        <v>4</v>
      </c>
      <c r="D65" s="4">
        <v>0.9</v>
      </c>
      <c r="E65" s="4">
        <v>1</v>
      </c>
      <c r="F65" s="4">
        <v>1</v>
      </c>
      <c r="G65" s="4">
        <v>4</v>
      </c>
      <c r="I65">
        <v>35</v>
      </c>
      <c r="J65">
        <v>3.2919958874267703</v>
      </c>
      <c r="K65">
        <v>-0.2919958874267703</v>
      </c>
    </row>
    <row r="66" spans="2:11" x14ac:dyDescent="0.25">
      <c r="B66">
        <v>64</v>
      </c>
      <c r="C66" s="4">
        <v>4</v>
      </c>
      <c r="D66" s="4">
        <v>3.2</v>
      </c>
      <c r="E66" s="4">
        <v>1</v>
      </c>
      <c r="F66" s="4">
        <v>1</v>
      </c>
      <c r="G66" s="4">
        <v>6.5</v>
      </c>
      <c r="I66">
        <v>36</v>
      </c>
      <c r="J66">
        <v>2.7663514066508395</v>
      </c>
      <c r="K66">
        <v>0.23364859334916055</v>
      </c>
    </row>
    <row r="67" spans="2:11" x14ac:dyDescent="0.25">
      <c r="B67">
        <v>65</v>
      </c>
      <c r="C67" s="4">
        <v>5</v>
      </c>
      <c r="D67" s="4">
        <v>4.3</v>
      </c>
      <c r="E67" s="4">
        <v>1</v>
      </c>
      <c r="F67" s="4">
        <v>1</v>
      </c>
      <c r="G67" s="4">
        <v>7.5</v>
      </c>
      <c r="I67">
        <v>37</v>
      </c>
      <c r="J67">
        <v>1.9064758324099116</v>
      </c>
      <c r="K67">
        <v>2.0935241675900884</v>
      </c>
    </row>
    <row r="68" spans="2:11" x14ac:dyDescent="0.25">
      <c r="B68">
        <v>66</v>
      </c>
      <c r="C68" s="4">
        <v>2</v>
      </c>
      <c r="D68" s="4">
        <v>0.9</v>
      </c>
      <c r="E68" s="4">
        <v>0</v>
      </c>
      <c r="F68" s="4">
        <v>0</v>
      </c>
      <c r="G68" s="4">
        <v>3.5</v>
      </c>
      <c r="I68">
        <v>38</v>
      </c>
      <c r="J68">
        <v>2.5217913533735112</v>
      </c>
      <c r="K68">
        <v>1.4782086466264888</v>
      </c>
    </row>
    <row r="69" spans="2:11" x14ac:dyDescent="0.25">
      <c r="B69">
        <v>67</v>
      </c>
      <c r="C69" s="4">
        <v>2</v>
      </c>
      <c r="D69" s="4">
        <v>0.75</v>
      </c>
      <c r="E69" s="4">
        <v>0</v>
      </c>
      <c r="F69" s="4">
        <v>0</v>
      </c>
      <c r="G69" s="4">
        <v>3.5</v>
      </c>
      <c r="I69">
        <v>39</v>
      </c>
      <c r="J69">
        <v>3.151453673677469</v>
      </c>
      <c r="K69">
        <v>1.848546326322531</v>
      </c>
    </row>
    <row r="70" spans="2:11" x14ac:dyDescent="0.25">
      <c r="B70">
        <v>68</v>
      </c>
      <c r="C70" s="4">
        <v>2</v>
      </c>
      <c r="D70" s="4">
        <v>0.82</v>
      </c>
      <c r="E70" s="4">
        <v>0</v>
      </c>
      <c r="F70" s="4">
        <v>0</v>
      </c>
      <c r="G70" s="4">
        <v>3</v>
      </c>
      <c r="I70">
        <v>40</v>
      </c>
      <c r="J70">
        <v>2.432120313185842</v>
      </c>
      <c r="K70">
        <v>-1.432120313185842</v>
      </c>
    </row>
    <row r="71" spans="2:11" x14ac:dyDescent="0.25">
      <c r="B71">
        <v>69</v>
      </c>
      <c r="C71" s="4">
        <v>5</v>
      </c>
      <c r="D71" s="4">
        <v>3.2</v>
      </c>
      <c r="E71" s="4">
        <v>1</v>
      </c>
      <c r="F71" s="4">
        <v>1</v>
      </c>
      <c r="G71" s="4">
        <v>6</v>
      </c>
      <c r="I71">
        <v>41</v>
      </c>
      <c r="J71">
        <v>2.1875602599085138</v>
      </c>
      <c r="K71">
        <v>0.81243974009148623</v>
      </c>
    </row>
    <row r="72" spans="2:11" x14ac:dyDescent="0.25">
      <c r="B72">
        <v>70</v>
      </c>
      <c r="C72" s="4">
        <v>5</v>
      </c>
      <c r="D72" s="4">
        <v>3.5</v>
      </c>
      <c r="E72" s="4">
        <v>1</v>
      </c>
      <c r="F72" s="4">
        <v>1</v>
      </c>
      <c r="G72" s="4">
        <v>6</v>
      </c>
      <c r="I72">
        <v>42</v>
      </c>
      <c r="J72">
        <v>2.2578313667831647</v>
      </c>
      <c r="K72">
        <v>-1.2578313667831647</v>
      </c>
    </row>
    <row r="73" spans="2:11" x14ac:dyDescent="0.25">
      <c r="B73">
        <v>71</v>
      </c>
      <c r="C73" s="4">
        <v>5</v>
      </c>
      <c r="D73" s="4">
        <v>2.8</v>
      </c>
      <c r="E73" s="4">
        <v>0</v>
      </c>
      <c r="F73" s="4">
        <v>0</v>
      </c>
      <c r="G73" s="4">
        <v>6.5</v>
      </c>
      <c r="I73">
        <v>43</v>
      </c>
      <c r="J73">
        <v>2.5217913533735112</v>
      </c>
      <c r="K73">
        <v>-0.52179135337351124</v>
      </c>
    </row>
    <row r="74" spans="2:11" x14ac:dyDescent="0.25">
      <c r="B74">
        <v>72</v>
      </c>
      <c r="C74" s="4">
        <v>2</v>
      </c>
      <c r="D74" s="4">
        <v>1.2</v>
      </c>
      <c r="E74" s="4">
        <v>0</v>
      </c>
      <c r="F74" s="4">
        <v>1</v>
      </c>
      <c r="G74" s="4">
        <v>7</v>
      </c>
      <c r="I74">
        <v>44</v>
      </c>
      <c r="J74">
        <v>2.0470180461592129</v>
      </c>
      <c r="K74">
        <v>-1.0470180461592129</v>
      </c>
    </row>
    <row r="75" spans="2:11" x14ac:dyDescent="0.25">
      <c r="B75">
        <v>73</v>
      </c>
      <c r="C75" s="4">
        <v>2</v>
      </c>
      <c r="D75" s="4">
        <v>1.3</v>
      </c>
      <c r="E75" s="4">
        <v>0</v>
      </c>
      <c r="F75" s="4">
        <v>1</v>
      </c>
      <c r="G75" s="4">
        <v>5.5</v>
      </c>
      <c r="I75">
        <v>45</v>
      </c>
      <c r="J75">
        <v>2.5726625269351433</v>
      </c>
      <c r="K75">
        <v>-0.5726625269351433</v>
      </c>
    </row>
    <row r="76" spans="2:11" x14ac:dyDescent="0.25">
      <c r="B76">
        <v>74</v>
      </c>
      <c r="C76" s="4">
        <v>3</v>
      </c>
      <c r="D76" s="4">
        <v>1.5</v>
      </c>
      <c r="E76" s="4">
        <v>1</v>
      </c>
      <c r="F76" s="4">
        <v>0</v>
      </c>
      <c r="G76" s="4">
        <v>4</v>
      </c>
      <c r="I76">
        <v>46</v>
      </c>
      <c r="J76">
        <v>2.9068936204001408</v>
      </c>
      <c r="K76">
        <v>-0.90689362040014077</v>
      </c>
    </row>
    <row r="77" spans="2:11" x14ac:dyDescent="0.25">
      <c r="B77">
        <v>75</v>
      </c>
      <c r="C77" s="4">
        <v>1</v>
      </c>
      <c r="D77" s="4">
        <v>1.8</v>
      </c>
      <c r="E77" s="4">
        <v>1</v>
      </c>
      <c r="F77" s="4">
        <v>0</v>
      </c>
      <c r="G77" s="4">
        <v>6</v>
      </c>
      <c r="I77">
        <v>47</v>
      </c>
      <c r="J77">
        <v>2.3812491396242104</v>
      </c>
      <c r="K77">
        <v>-0.38124913962421036</v>
      </c>
    </row>
    <row r="78" spans="2:11" x14ac:dyDescent="0.25">
      <c r="B78">
        <v>76</v>
      </c>
      <c r="C78" s="4">
        <v>4</v>
      </c>
      <c r="D78" s="4">
        <v>2.5</v>
      </c>
      <c r="E78" s="4">
        <v>1</v>
      </c>
      <c r="F78" s="4">
        <v>1</v>
      </c>
      <c r="G78" s="4">
        <v>6</v>
      </c>
      <c r="I78">
        <v>48</v>
      </c>
      <c r="J78">
        <v>2.6623335671228125</v>
      </c>
      <c r="K78">
        <v>-0.66233356712281255</v>
      </c>
    </row>
    <row r="79" spans="2:11" x14ac:dyDescent="0.25">
      <c r="B79">
        <v>77</v>
      </c>
      <c r="C79" s="4">
        <v>2</v>
      </c>
      <c r="D79" s="4">
        <v>2</v>
      </c>
      <c r="E79" s="4">
        <v>0</v>
      </c>
      <c r="F79" s="4">
        <v>1</v>
      </c>
      <c r="G79" s="4">
        <v>4.5</v>
      </c>
      <c r="I79">
        <v>49</v>
      </c>
      <c r="J79">
        <v>2.5726625269351433</v>
      </c>
      <c r="K79">
        <v>0.4273374730648567</v>
      </c>
    </row>
    <row r="80" spans="2:11" x14ac:dyDescent="0.25">
      <c r="B80">
        <v>78</v>
      </c>
      <c r="C80" s="4">
        <v>2</v>
      </c>
      <c r="D80" s="4">
        <v>1</v>
      </c>
      <c r="E80" s="4">
        <v>1</v>
      </c>
      <c r="F80" s="4">
        <v>1</v>
      </c>
      <c r="G80" s="4">
        <v>6</v>
      </c>
      <c r="I80">
        <v>50</v>
      </c>
      <c r="J80">
        <v>3.3228632735251007</v>
      </c>
      <c r="K80">
        <v>-1.3228632735251007</v>
      </c>
    </row>
    <row r="81" spans="2:11" x14ac:dyDescent="0.25">
      <c r="B81">
        <v>79</v>
      </c>
      <c r="C81" s="4">
        <v>4</v>
      </c>
      <c r="D81" s="4">
        <v>2</v>
      </c>
      <c r="E81" s="4">
        <v>0</v>
      </c>
      <c r="F81" s="4">
        <v>0</v>
      </c>
      <c r="G81" s="4">
        <v>7</v>
      </c>
      <c r="I81">
        <v>51</v>
      </c>
      <c r="J81">
        <v>3.463405487274402</v>
      </c>
      <c r="K81">
        <v>0.53659451272559799</v>
      </c>
    </row>
    <row r="82" spans="2:11" x14ac:dyDescent="0.25">
      <c r="B82">
        <v>80</v>
      </c>
      <c r="C82" s="4">
        <v>3</v>
      </c>
      <c r="D82" s="4">
        <v>1.5</v>
      </c>
      <c r="E82" s="4">
        <v>1</v>
      </c>
      <c r="F82" s="4">
        <v>1</v>
      </c>
      <c r="G82" s="4">
        <v>5.5</v>
      </c>
      <c r="I82">
        <v>52</v>
      </c>
      <c r="J82">
        <v>3.3931343803997511</v>
      </c>
      <c r="K82">
        <v>0.60686561960024887</v>
      </c>
    </row>
    <row r="83" spans="2:11" x14ac:dyDescent="0.25">
      <c r="B83">
        <v>81</v>
      </c>
      <c r="C83" s="4">
        <v>5</v>
      </c>
      <c r="D83" s="4">
        <v>1.5</v>
      </c>
      <c r="E83" s="4">
        <v>1</v>
      </c>
      <c r="F83" s="4">
        <v>1</v>
      </c>
      <c r="G83" s="4">
        <v>6.5</v>
      </c>
      <c r="I83">
        <v>53</v>
      </c>
      <c r="J83">
        <v>2.1172891530338633</v>
      </c>
      <c r="K83">
        <v>-0.11728915303386334</v>
      </c>
    </row>
    <row r="84" spans="2:11" x14ac:dyDescent="0.25">
      <c r="B84">
        <v>82</v>
      </c>
      <c r="C84" s="4">
        <v>5</v>
      </c>
      <c r="D84" s="4">
        <v>1.3</v>
      </c>
      <c r="E84" s="4">
        <v>1</v>
      </c>
      <c r="F84" s="4">
        <v>1</v>
      </c>
      <c r="G84" s="4">
        <v>6</v>
      </c>
      <c r="I84">
        <v>54</v>
      </c>
      <c r="J84">
        <v>3.6179858735231827</v>
      </c>
      <c r="K84">
        <v>-0.61798587352318268</v>
      </c>
    </row>
    <row r="85" spans="2:11" x14ac:dyDescent="0.25">
      <c r="B85">
        <v>83</v>
      </c>
      <c r="C85" s="4">
        <v>1</v>
      </c>
      <c r="D85" s="4">
        <v>1</v>
      </c>
      <c r="E85" s="4">
        <v>0</v>
      </c>
      <c r="F85" s="4">
        <v>0</v>
      </c>
      <c r="G85" s="4">
        <v>6</v>
      </c>
      <c r="I85">
        <v>55</v>
      </c>
      <c r="J85">
        <v>3.8132178874432672</v>
      </c>
      <c r="K85">
        <v>-0.81321788744326717</v>
      </c>
    </row>
    <row r="86" spans="2:11" x14ac:dyDescent="0.25">
      <c r="B86">
        <v>84</v>
      </c>
      <c r="C86" s="4">
        <v>2</v>
      </c>
      <c r="D86" s="4">
        <v>3</v>
      </c>
      <c r="E86" s="4">
        <v>0</v>
      </c>
      <c r="F86" s="4">
        <v>0</v>
      </c>
      <c r="G86" s="4">
        <v>6</v>
      </c>
      <c r="I86">
        <v>56</v>
      </c>
      <c r="J86">
        <v>3.3228632735251007</v>
      </c>
      <c r="K86">
        <v>-1.3228632735251007</v>
      </c>
    </row>
    <row r="87" spans="2:11" x14ac:dyDescent="0.25">
      <c r="B87">
        <v>85</v>
      </c>
      <c r="C87" s="4">
        <v>3</v>
      </c>
      <c r="D87" s="4">
        <v>3</v>
      </c>
      <c r="E87" s="4">
        <v>1</v>
      </c>
      <c r="F87" s="4">
        <v>0</v>
      </c>
      <c r="G87" s="4">
        <v>8</v>
      </c>
      <c r="I87">
        <v>57</v>
      </c>
      <c r="J87">
        <v>3.5336765941490524</v>
      </c>
      <c r="K87">
        <v>1.4663234058509476</v>
      </c>
    </row>
    <row r="88" spans="2:11" x14ac:dyDescent="0.25">
      <c r="B88">
        <v>86</v>
      </c>
      <c r="C88" s="4">
        <v>2</v>
      </c>
      <c r="D88" s="4">
        <v>1</v>
      </c>
      <c r="E88" s="4">
        <v>0</v>
      </c>
      <c r="F88" s="4">
        <v>0</v>
      </c>
      <c r="G88" s="4">
        <v>5.5</v>
      </c>
      <c r="I88">
        <v>58</v>
      </c>
      <c r="J88">
        <v>3.6726756736939659</v>
      </c>
      <c r="K88">
        <v>0.32732432630603414</v>
      </c>
    </row>
    <row r="89" spans="2:11" x14ac:dyDescent="0.25">
      <c r="B89">
        <v>87</v>
      </c>
      <c r="C89" s="4">
        <v>5</v>
      </c>
      <c r="D89" s="4">
        <v>4</v>
      </c>
      <c r="E89" s="4">
        <v>1</v>
      </c>
      <c r="F89" s="4">
        <v>1</v>
      </c>
      <c r="G89" s="4">
        <v>7</v>
      </c>
      <c r="I89">
        <v>59</v>
      </c>
      <c r="J89">
        <v>3.0589032869347537</v>
      </c>
      <c r="K89">
        <v>-5.8903286934753663E-2</v>
      </c>
    </row>
    <row r="90" spans="2:11" x14ac:dyDescent="0.25">
      <c r="B90">
        <v>88</v>
      </c>
      <c r="C90" s="4">
        <v>4</v>
      </c>
      <c r="D90" s="4">
        <v>3.6</v>
      </c>
      <c r="E90" s="4">
        <v>1</v>
      </c>
      <c r="F90" s="4">
        <v>1</v>
      </c>
      <c r="G90" s="4">
        <v>5.5</v>
      </c>
      <c r="I90">
        <v>60</v>
      </c>
      <c r="J90">
        <v>3.953760101192568</v>
      </c>
      <c r="K90">
        <v>4.6239898807431956E-2</v>
      </c>
    </row>
    <row r="91" spans="2:11" x14ac:dyDescent="0.25">
      <c r="B91">
        <v>89</v>
      </c>
      <c r="C91" s="4">
        <v>3</v>
      </c>
      <c r="D91" s="4">
        <v>2</v>
      </c>
      <c r="E91" s="4">
        <v>1</v>
      </c>
      <c r="F91" s="4">
        <v>0</v>
      </c>
      <c r="G91" s="4">
        <v>7</v>
      </c>
      <c r="I91">
        <v>61</v>
      </c>
      <c r="J91">
        <v>3.1823210597757994</v>
      </c>
      <c r="K91">
        <v>0.81767894022420062</v>
      </c>
    </row>
    <row r="92" spans="2:11" x14ac:dyDescent="0.25">
      <c r="B92">
        <v>90</v>
      </c>
      <c r="C92" s="4">
        <v>4</v>
      </c>
      <c r="D92" s="4">
        <v>1.5</v>
      </c>
      <c r="E92" s="4">
        <v>1</v>
      </c>
      <c r="F92" s="4">
        <v>1</v>
      </c>
      <c r="G92" s="4">
        <v>9</v>
      </c>
      <c r="I92">
        <v>62</v>
      </c>
      <c r="J92">
        <v>2.081690659335222</v>
      </c>
      <c r="K92">
        <v>0.91830934066477798</v>
      </c>
    </row>
    <row r="93" spans="2:11" x14ac:dyDescent="0.25">
      <c r="I93">
        <v>63</v>
      </c>
      <c r="J93">
        <v>3.0770687128842624</v>
      </c>
      <c r="K93">
        <v>0.92293128711573758</v>
      </c>
    </row>
    <row r="94" spans="2:11" x14ac:dyDescent="0.25">
      <c r="I94">
        <v>64</v>
      </c>
      <c r="J94">
        <v>4.2329927676459054</v>
      </c>
      <c r="K94">
        <v>-0.23299276764590537</v>
      </c>
    </row>
    <row r="95" spans="2:11" x14ac:dyDescent="0.25">
      <c r="I95">
        <v>65</v>
      </c>
      <c r="J95">
        <v>4.7583286215809579</v>
      </c>
      <c r="K95">
        <v>0.24167137841904207</v>
      </c>
    </row>
    <row r="96" spans="2:11" x14ac:dyDescent="0.25">
      <c r="I96">
        <v>66</v>
      </c>
      <c r="J96">
        <v>1.7659336186606105</v>
      </c>
      <c r="K96">
        <v>0.23406638133938951</v>
      </c>
    </row>
    <row r="97" spans="9:11" x14ac:dyDescent="0.25">
      <c r="I97">
        <v>67</v>
      </c>
      <c r="J97">
        <v>1.7134617586352807</v>
      </c>
      <c r="K97">
        <v>0.28653824136471928</v>
      </c>
    </row>
    <row r="98" spans="9:11" x14ac:dyDescent="0.25">
      <c r="I98">
        <v>68</v>
      </c>
      <c r="J98">
        <v>1.6676775197724507</v>
      </c>
      <c r="K98">
        <v>0.33232248022754929</v>
      </c>
    </row>
    <row r="99" spans="9:11" x14ac:dyDescent="0.25">
      <c r="I99">
        <v>69</v>
      </c>
      <c r="J99">
        <v>4.1627216607712541</v>
      </c>
      <c r="K99">
        <v>0.83727833922874595</v>
      </c>
    </row>
    <row r="100" spans="9:11" x14ac:dyDescent="0.25">
      <c r="I100">
        <v>70</v>
      </c>
      <c r="J100">
        <v>4.2676653808219136</v>
      </c>
      <c r="K100">
        <v>0.7323346191780864</v>
      </c>
    </row>
    <row r="101" spans="9:11" x14ac:dyDescent="0.25">
      <c r="I101">
        <v>71</v>
      </c>
      <c r="J101">
        <v>2.8522038202293576</v>
      </c>
      <c r="K101">
        <v>2.1477961797706424</v>
      </c>
    </row>
    <row r="102" spans="9:11" x14ac:dyDescent="0.25">
      <c r="I102">
        <v>72</v>
      </c>
      <c r="J102">
        <v>2.8375483940481225</v>
      </c>
      <c r="K102">
        <v>-0.83754839404812254</v>
      </c>
    </row>
    <row r="103" spans="9:11" x14ac:dyDescent="0.25">
      <c r="I103">
        <v>73</v>
      </c>
      <c r="J103">
        <v>2.6617163134410573</v>
      </c>
      <c r="K103">
        <v>-0.6617163134410573</v>
      </c>
    </row>
    <row r="104" spans="9:11" x14ac:dyDescent="0.25">
      <c r="I104">
        <v>74</v>
      </c>
      <c r="J104">
        <v>2.8121828457712827</v>
      </c>
      <c r="K104">
        <v>0.18781715422871725</v>
      </c>
    </row>
    <row r="105" spans="9:11" x14ac:dyDescent="0.25">
      <c r="I105">
        <v>75</v>
      </c>
      <c r="J105">
        <v>3.1982109933205445</v>
      </c>
      <c r="K105">
        <v>-2.1982109933205445</v>
      </c>
    </row>
    <row r="106" spans="9:11" x14ac:dyDescent="0.25">
      <c r="I106">
        <v>76</v>
      </c>
      <c r="J106">
        <v>3.9178529806530489</v>
      </c>
      <c r="K106">
        <v>8.2147019346951122E-2</v>
      </c>
    </row>
    <row r="107" spans="9:11" x14ac:dyDescent="0.25">
      <c r="I107">
        <v>77</v>
      </c>
      <c r="J107">
        <v>2.766042779809962</v>
      </c>
      <c r="K107">
        <v>-0.76604277980996205</v>
      </c>
    </row>
    <row r="108" spans="9:11" x14ac:dyDescent="0.25">
      <c r="I108">
        <v>78</v>
      </c>
      <c r="J108">
        <v>3.3931343803997511</v>
      </c>
      <c r="K108">
        <v>-1.3931343803997511</v>
      </c>
    </row>
    <row r="109" spans="9:11" x14ac:dyDescent="0.25">
      <c r="I109">
        <v>79</v>
      </c>
      <c r="J109">
        <v>2.6426250069689163</v>
      </c>
      <c r="K109">
        <v>1.3573749930310837</v>
      </c>
    </row>
    <row r="110" spans="9:11" x14ac:dyDescent="0.25">
      <c r="I110">
        <v>80</v>
      </c>
      <c r="J110">
        <v>3.4977694736095333</v>
      </c>
      <c r="K110">
        <v>-0.49776947360953328</v>
      </c>
    </row>
    <row r="111" spans="9:11" x14ac:dyDescent="0.25">
      <c r="I111">
        <v>81</v>
      </c>
      <c r="J111">
        <v>3.6383116873588346</v>
      </c>
      <c r="K111">
        <v>1.3616883126411654</v>
      </c>
    </row>
    <row r="112" spans="9:11" x14ac:dyDescent="0.25">
      <c r="I112">
        <v>82</v>
      </c>
      <c r="J112">
        <v>3.4980781004504107</v>
      </c>
      <c r="K112">
        <v>1.5019218995495893</v>
      </c>
    </row>
    <row r="113" spans="9:11" x14ac:dyDescent="0.25">
      <c r="I113">
        <v>83</v>
      </c>
      <c r="J113">
        <v>2.1522703930507499</v>
      </c>
      <c r="K113">
        <v>-1.1522703930507499</v>
      </c>
    </row>
    <row r="114" spans="9:11" x14ac:dyDescent="0.25">
      <c r="I114">
        <v>84</v>
      </c>
      <c r="J114">
        <v>2.8518951933884802</v>
      </c>
      <c r="K114">
        <v>-0.85189519338848019</v>
      </c>
    </row>
    <row r="115" spans="9:11" x14ac:dyDescent="0.25">
      <c r="I115">
        <v>85</v>
      </c>
      <c r="J115">
        <v>3.8990703010217853</v>
      </c>
      <c r="K115">
        <v>-0.89907030102178531</v>
      </c>
    </row>
    <row r="116" spans="9:11" x14ac:dyDescent="0.25">
      <c r="I116">
        <v>86</v>
      </c>
      <c r="J116">
        <v>2.0819992861760994</v>
      </c>
      <c r="K116">
        <v>-8.1999286176099417E-2</v>
      </c>
    </row>
    <row r="117" spans="9:11" x14ac:dyDescent="0.25">
      <c r="I117">
        <v>87</v>
      </c>
      <c r="J117">
        <v>4.5831137946556479</v>
      </c>
      <c r="K117">
        <v>0.41688620534435206</v>
      </c>
    </row>
    <row r="118" spans="9:11" x14ac:dyDescent="0.25">
      <c r="I118">
        <v>88</v>
      </c>
      <c r="J118">
        <v>4.2323755139641497</v>
      </c>
      <c r="K118">
        <v>-0.23237551396414968</v>
      </c>
    </row>
    <row r="119" spans="9:11" x14ac:dyDescent="0.25">
      <c r="I119">
        <v>89</v>
      </c>
      <c r="J119">
        <v>3.4087156871036188</v>
      </c>
      <c r="K119">
        <v>-0.40871568710361883</v>
      </c>
    </row>
    <row r="120" spans="9:11" ht="15.75" thickBot="1" x14ac:dyDescent="0.3">
      <c r="I120" s="19">
        <v>90</v>
      </c>
      <c r="J120" s="19">
        <v>3.9896672217320872</v>
      </c>
      <c r="K120" s="19">
        <v>1.033277826791279E-2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R21"/>
  <sheetViews>
    <sheetView workbookViewId="0">
      <selection activeCell="O8" sqref="O8"/>
    </sheetView>
  </sheetViews>
  <sheetFormatPr defaultRowHeight="15" x14ac:dyDescent="0.25"/>
  <cols>
    <col min="2" max="2" width="17.28515625" customWidth="1"/>
    <col min="3" max="3" width="10.85546875" customWidth="1"/>
    <col min="8" max="8" width="18.85546875" customWidth="1"/>
    <col min="14" max="14" width="17" customWidth="1"/>
  </cols>
  <sheetData>
    <row r="1" spans="2:18" x14ac:dyDescent="0.25">
      <c r="B1" s="30" t="s">
        <v>66</v>
      </c>
      <c r="H1" s="30" t="s">
        <v>67</v>
      </c>
      <c r="N1" s="30" t="s">
        <v>68</v>
      </c>
    </row>
    <row r="2" spans="2:18" x14ac:dyDescent="0.25">
      <c r="B2" t="s">
        <v>36</v>
      </c>
      <c r="H2" t="s">
        <v>36</v>
      </c>
      <c r="N2" t="s">
        <v>36</v>
      </c>
    </row>
    <row r="3" spans="2:18" ht="15.75" thickBot="1" x14ac:dyDescent="0.3"/>
    <row r="4" spans="2:18" x14ac:dyDescent="0.25">
      <c r="B4" s="26" t="s">
        <v>37</v>
      </c>
      <c r="C4" s="26"/>
      <c r="H4" s="26" t="s">
        <v>37</v>
      </c>
      <c r="I4" s="26"/>
      <c r="N4" s="26" t="s">
        <v>37</v>
      </c>
      <c r="O4" s="26"/>
    </row>
    <row r="5" spans="2:18" x14ac:dyDescent="0.25">
      <c r="B5" t="s">
        <v>38</v>
      </c>
      <c r="C5">
        <v>0.48883719627681266</v>
      </c>
      <c r="H5" t="s">
        <v>38</v>
      </c>
      <c r="I5">
        <v>0.58843471416713011</v>
      </c>
      <c r="N5" t="s">
        <v>38</v>
      </c>
      <c r="O5">
        <v>0.58827761787631216</v>
      </c>
    </row>
    <row r="6" spans="2:18" x14ac:dyDescent="0.25">
      <c r="B6" t="s">
        <v>39</v>
      </c>
      <c r="C6">
        <v>0.23896180446377505</v>
      </c>
      <c r="H6" t="s">
        <v>39</v>
      </c>
      <c r="I6">
        <v>0.3462554128369521</v>
      </c>
      <c r="N6" t="s">
        <v>39</v>
      </c>
      <c r="O6">
        <v>0.34607055569422834</v>
      </c>
    </row>
    <row r="7" spans="2:18" x14ac:dyDescent="0.25">
      <c r="B7" t="s">
        <v>40</v>
      </c>
      <c r="C7">
        <v>0.20314824232089387</v>
      </c>
      <c r="H7" t="s">
        <v>40</v>
      </c>
      <c r="I7">
        <v>0.29899676798179203</v>
      </c>
      <c r="N7" t="s">
        <v>40</v>
      </c>
      <c r="O7">
        <v>0.31529740537395673</v>
      </c>
    </row>
    <row r="8" spans="2:18" x14ac:dyDescent="0.25">
      <c r="B8" t="s">
        <v>41</v>
      </c>
      <c r="C8">
        <v>1.0774306585644704</v>
      </c>
      <c r="H8" t="s">
        <v>41</v>
      </c>
      <c r="I8">
        <v>1.0105564352951366</v>
      </c>
      <c r="N8" t="s">
        <v>41</v>
      </c>
      <c r="O8">
        <v>0.99873794122500414</v>
      </c>
    </row>
    <row r="9" spans="2:18" ht="15.75" thickBot="1" x14ac:dyDescent="0.3">
      <c r="B9" s="19" t="s">
        <v>42</v>
      </c>
      <c r="C9" s="19">
        <v>90</v>
      </c>
      <c r="H9" s="19" t="s">
        <v>42</v>
      </c>
      <c r="I9" s="19">
        <v>90</v>
      </c>
      <c r="N9" s="19" t="s">
        <v>42</v>
      </c>
      <c r="O9" s="19">
        <v>90</v>
      </c>
    </row>
    <row r="10" spans="2:18" ht="15.75" thickBot="1" x14ac:dyDescent="0.3"/>
    <row r="11" spans="2:18" x14ac:dyDescent="0.25">
      <c r="B11" s="20"/>
      <c r="C11" s="20" t="s">
        <v>53</v>
      </c>
      <c r="D11" s="20" t="s">
        <v>41</v>
      </c>
      <c r="E11" s="20" t="s">
        <v>54</v>
      </c>
      <c r="F11" s="20" t="s">
        <v>55</v>
      </c>
      <c r="G11" s="27"/>
      <c r="H11" s="20"/>
      <c r="I11" s="20" t="s">
        <v>53</v>
      </c>
      <c r="J11" s="20" t="s">
        <v>41</v>
      </c>
      <c r="K11" s="20" t="s">
        <v>54</v>
      </c>
      <c r="L11" s="20" t="s">
        <v>55</v>
      </c>
      <c r="N11" s="20"/>
      <c r="O11" s="20" t="s">
        <v>53</v>
      </c>
      <c r="P11" s="20" t="s">
        <v>41</v>
      </c>
      <c r="Q11" s="20" t="s">
        <v>54</v>
      </c>
      <c r="R11" s="20" t="s">
        <v>55</v>
      </c>
    </row>
    <row r="12" spans="2:18" x14ac:dyDescent="0.25">
      <c r="B12" t="s">
        <v>47</v>
      </c>
      <c r="C12">
        <v>0.28266516297231181</v>
      </c>
      <c r="D12">
        <v>0.72795097078421489</v>
      </c>
      <c r="E12">
        <v>0.38830247409080204</v>
      </c>
      <c r="F12">
        <v>0.69876305418580453</v>
      </c>
      <c r="H12" t="s">
        <v>47</v>
      </c>
      <c r="I12">
        <v>0.95132338471545363</v>
      </c>
      <c r="J12">
        <v>0.73650784642271228</v>
      </c>
      <c r="K12">
        <v>1.2916676846500965</v>
      </c>
      <c r="L12">
        <v>0.20005758869827464</v>
      </c>
      <c r="N12" t="s">
        <v>47</v>
      </c>
      <c r="O12">
        <v>0.95920471038607791</v>
      </c>
      <c r="P12">
        <v>0.63592311475755003</v>
      </c>
      <c r="Q12">
        <v>1.5083658513526139</v>
      </c>
      <c r="R12">
        <v>0.13516900114141964</v>
      </c>
    </row>
    <row r="13" spans="2:18" x14ac:dyDescent="0.25">
      <c r="B13" t="s">
        <v>27</v>
      </c>
      <c r="C13">
        <v>1.2696786791173463E-2</v>
      </c>
      <c r="D13">
        <v>1.1872738264274327E-2</v>
      </c>
      <c r="E13">
        <v>1.0694067795109019</v>
      </c>
      <c r="F13">
        <v>0.28791391578530562</v>
      </c>
      <c r="H13" t="s">
        <v>27</v>
      </c>
      <c r="I13">
        <v>-9.745576788584261E-4</v>
      </c>
      <c r="J13">
        <v>1.1823240903179964E-2</v>
      </c>
      <c r="K13">
        <v>-8.2427287648034836E-2</v>
      </c>
      <c r="L13">
        <v>0.93450539657117637</v>
      </c>
      <c r="N13" t="s">
        <v>28</v>
      </c>
      <c r="O13">
        <v>0.34981240016886506</v>
      </c>
      <c r="P13">
        <v>0.11742617330995862</v>
      </c>
      <c r="Q13">
        <v>2.9789985512471633</v>
      </c>
      <c r="R13">
        <v>3.7687954826191752E-3</v>
      </c>
    </row>
    <row r="14" spans="2:18" x14ac:dyDescent="0.25">
      <c r="B14" t="s">
        <v>28</v>
      </c>
      <c r="C14">
        <v>0.4500638343553231</v>
      </c>
      <c r="D14">
        <v>0.12665305232920704</v>
      </c>
      <c r="E14">
        <v>3.5535174721686147</v>
      </c>
      <c r="F14">
        <v>6.2335235419401589E-4</v>
      </c>
      <c r="H14" t="s">
        <v>28</v>
      </c>
      <c r="I14">
        <v>0.35088644036842664</v>
      </c>
      <c r="J14">
        <v>0.12185693653082978</v>
      </c>
      <c r="K14">
        <v>2.8794950074889862</v>
      </c>
      <c r="L14">
        <v>5.0654485809746167E-3</v>
      </c>
      <c r="N14" t="s">
        <v>64</v>
      </c>
      <c r="O14">
        <v>0.76609068013470272</v>
      </c>
      <c r="P14">
        <v>0.23492349182246977</v>
      </c>
      <c r="Q14">
        <v>3.2610220212188601</v>
      </c>
      <c r="R14">
        <v>1.5983855469295118E-3</v>
      </c>
    </row>
    <row r="15" spans="2:18" x14ac:dyDescent="0.25">
      <c r="B15" t="s">
        <v>29</v>
      </c>
      <c r="C15">
        <v>0.21493174066298534</v>
      </c>
      <c r="D15">
        <v>0.10870451378356726</v>
      </c>
      <c r="E15">
        <v>1.9772108184110782</v>
      </c>
      <c r="F15">
        <v>5.1258877183164089E-2</v>
      </c>
      <c r="H15" t="s">
        <v>29</v>
      </c>
      <c r="I15">
        <v>0.1430688185174164</v>
      </c>
      <c r="J15">
        <v>0.10817046355597637</v>
      </c>
      <c r="K15">
        <v>1.322623697950418</v>
      </c>
      <c r="L15">
        <v>0.18959334339887393</v>
      </c>
      <c r="N15" t="s">
        <v>65</v>
      </c>
      <c r="O15">
        <v>0.47477330721429861</v>
      </c>
      <c r="P15">
        <v>0.22867620265965771</v>
      </c>
      <c r="Q15">
        <v>2.0761815251974904</v>
      </c>
      <c r="R15">
        <v>4.0898081901870637E-2</v>
      </c>
    </row>
    <row r="16" spans="2:18" ht="15.75" thickBot="1" x14ac:dyDescent="0.3">
      <c r="B16" s="19" t="s">
        <v>30</v>
      </c>
      <c r="C16" s="19">
        <v>5.6361060265846537E-2</v>
      </c>
      <c r="D16" s="19">
        <v>5.3250052395023062E-2</v>
      </c>
      <c r="E16" s="19">
        <v>1.0584226255355618</v>
      </c>
      <c r="F16" s="19">
        <v>0.29286143156310745</v>
      </c>
      <c r="H16" t="s">
        <v>30</v>
      </c>
      <c r="I16">
        <v>7.9176751280221318E-3</v>
      </c>
      <c r="J16">
        <v>5.1996450274987456E-2</v>
      </c>
      <c r="K16">
        <v>0.15227337801232321</v>
      </c>
      <c r="L16">
        <v>0.87934086953789858</v>
      </c>
      <c r="N16" s="19" t="s">
        <v>29</v>
      </c>
      <c r="O16" s="19">
        <v>0.14054221374930118</v>
      </c>
      <c r="P16" s="19">
        <v>0.10560156845012654</v>
      </c>
      <c r="Q16" s="19">
        <v>1.3308724085445416</v>
      </c>
      <c r="R16" s="19">
        <v>0.18679001775510137</v>
      </c>
    </row>
    <row r="17" spans="2:12" x14ac:dyDescent="0.25">
      <c r="H17" t="s">
        <v>64</v>
      </c>
      <c r="I17">
        <v>0.75672861196282204</v>
      </c>
      <c r="J17">
        <v>0.26200798559327487</v>
      </c>
      <c r="K17">
        <v>2.8881891147299652</v>
      </c>
      <c r="L17">
        <v>4.9401149446022469E-3</v>
      </c>
    </row>
    <row r="18" spans="2:12" ht="15.75" thickBot="1" x14ac:dyDescent="0.3">
      <c r="H18" s="19" t="s">
        <v>65</v>
      </c>
      <c r="I18" s="19">
        <v>0.47481091542198239</v>
      </c>
      <c r="J18" s="19">
        <v>0.24402773519251875</v>
      </c>
      <c r="K18" s="19">
        <v>1.9457252063885027</v>
      </c>
      <c r="L18" s="19">
        <v>5.5072376563132588E-2</v>
      </c>
    </row>
    <row r="21" spans="2:12" x14ac:dyDescent="0.25">
      <c r="B21" t="s">
        <v>70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Q118"/>
  <sheetViews>
    <sheetView topLeftCell="B37" workbookViewId="0">
      <selection activeCell="C21" sqref="C21"/>
    </sheetView>
  </sheetViews>
  <sheetFormatPr defaultRowHeight="15" x14ac:dyDescent="0.25"/>
  <cols>
    <col min="2" max="2" width="17.7109375" customWidth="1"/>
    <col min="3" max="3" width="11.85546875" customWidth="1"/>
    <col min="4" max="4" width="13" customWidth="1"/>
    <col min="6" max="6" width="11.140625" customWidth="1"/>
    <col min="7" max="7" width="13.42578125" bestFit="1" customWidth="1"/>
    <col min="8" max="8" width="12.42578125" bestFit="1" customWidth="1"/>
    <col min="9" max="9" width="13" bestFit="1" customWidth="1"/>
    <col min="10" max="10" width="12.5703125" bestFit="1" customWidth="1"/>
    <col min="11" max="11" width="12.42578125" bestFit="1" customWidth="1"/>
  </cols>
  <sheetData>
    <row r="2" spans="2:17" x14ac:dyDescent="0.25">
      <c r="B2" t="s">
        <v>36</v>
      </c>
      <c r="J2" s="50" t="s">
        <v>71</v>
      </c>
      <c r="K2" s="51"/>
      <c r="L2" s="51"/>
      <c r="M2" s="51"/>
      <c r="N2" s="51"/>
      <c r="O2" s="51"/>
      <c r="P2" s="51"/>
      <c r="Q2" s="52"/>
    </row>
    <row r="3" spans="2:17" ht="15.75" thickBot="1" x14ac:dyDescent="0.3">
      <c r="J3" s="31" t="s">
        <v>72</v>
      </c>
      <c r="Q3" s="32"/>
    </row>
    <row r="4" spans="2:17" x14ac:dyDescent="0.25">
      <c r="B4" s="26" t="s">
        <v>37</v>
      </c>
      <c r="C4" s="26"/>
      <c r="J4" s="31" t="s">
        <v>73</v>
      </c>
      <c r="Q4" s="32"/>
    </row>
    <row r="5" spans="2:17" x14ac:dyDescent="0.25">
      <c r="B5" t="s">
        <v>38</v>
      </c>
      <c r="C5">
        <v>0.58827761787631216</v>
      </c>
      <c r="J5" s="31"/>
      <c r="Q5" s="32"/>
    </row>
    <row r="6" spans="2:17" x14ac:dyDescent="0.25">
      <c r="B6" t="s">
        <v>39</v>
      </c>
      <c r="C6">
        <v>0.34607055569422834</v>
      </c>
      <c r="J6" s="31" t="s">
        <v>74</v>
      </c>
      <c r="Q6" s="32"/>
    </row>
    <row r="7" spans="2:17" x14ac:dyDescent="0.25">
      <c r="B7" t="s">
        <v>40</v>
      </c>
      <c r="C7">
        <v>0.31529740537395673</v>
      </c>
      <c r="J7" s="31"/>
      <c r="Q7" s="32"/>
    </row>
    <row r="8" spans="2:17" x14ac:dyDescent="0.25">
      <c r="B8" t="s">
        <v>41</v>
      </c>
      <c r="C8">
        <v>0.99873794122500414</v>
      </c>
      <c r="J8" s="31" t="s">
        <v>75</v>
      </c>
      <c r="Q8" s="32"/>
    </row>
    <row r="9" spans="2:17" ht="15.75" thickBot="1" x14ac:dyDescent="0.3">
      <c r="B9" s="19" t="s">
        <v>42</v>
      </c>
      <c r="C9" s="19">
        <v>90</v>
      </c>
      <c r="J9" s="31" t="s">
        <v>76</v>
      </c>
      <c r="K9">
        <f>F13</f>
        <v>11.245860501524819</v>
      </c>
      <c r="Q9" s="32"/>
    </row>
    <row r="10" spans="2:17" x14ac:dyDescent="0.25">
      <c r="J10" s="31" t="s">
        <v>18</v>
      </c>
      <c r="K10">
        <f>G13</f>
        <v>2.2708256576226309E-7</v>
      </c>
      <c r="Q10" s="32"/>
    </row>
    <row r="11" spans="2:17" ht="15.75" thickBot="1" x14ac:dyDescent="0.3">
      <c r="B11" t="s">
        <v>43</v>
      </c>
      <c r="J11" s="31"/>
      <c r="Q11" s="32"/>
    </row>
    <row r="12" spans="2:17" x14ac:dyDescent="0.25">
      <c r="B12" s="20"/>
      <c r="C12" s="20" t="s">
        <v>48</v>
      </c>
      <c r="D12" s="20" t="s">
        <v>49</v>
      </c>
      <c r="E12" s="20" t="s">
        <v>50</v>
      </c>
      <c r="F12" s="20" t="s">
        <v>51</v>
      </c>
      <c r="G12" s="20" t="s">
        <v>52</v>
      </c>
      <c r="J12" s="33" t="s">
        <v>119</v>
      </c>
      <c r="Q12" s="32"/>
    </row>
    <row r="13" spans="2:17" x14ac:dyDescent="0.25">
      <c r="B13" t="s">
        <v>44</v>
      </c>
      <c r="C13">
        <v>4</v>
      </c>
      <c r="D13">
        <v>44.869970159955017</v>
      </c>
      <c r="E13">
        <v>11.217492539988754</v>
      </c>
      <c r="F13">
        <v>11.245860501524819</v>
      </c>
      <c r="G13">
        <v>2.2708256576226309E-7</v>
      </c>
      <c r="J13" s="31"/>
      <c r="Q13" s="32"/>
    </row>
    <row r="14" spans="2:17" x14ac:dyDescent="0.25">
      <c r="B14" t="s">
        <v>45</v>
      </c>
      <c r="C14">
        <v>85</v>
      </c>
      <c r="D14">
        <v>84.785585395600577</v>
      </c>
      <c r="E14">
        <v>0.99747747524235975</v>
      </c>
      <c r="J14" s="34" t="s">
        <v>120</v>
      </c>
      <c r="K14" s="18"/>
      <c r="L14" s="18"/>
      <c r="M14" s="18"/>
      <c r="N14" s="18"/>
      <c r="O14" s="18"/>
      <c r="P14" s="18"/>
      <c r="Q14" s="35"/>
    </row>
    <row r="15" spans="2:17" ht="15.75" thickBot="1" x14ac:dyDescent="0.3">
      <c r="B15" s="19" t="s">
        <v>46</v>
      </c>
      <c r="C15" s="19">
        <v>89</v>
      </c>
      <c r="D15" s="19">
        <v>129.65555555555559</v>
      </c>
      <c r="E15" s="19"/>
      <c r="F15" s="19"/>
      <c r="G15" s="19"/>
    </row>
    <row r="16" spans="2:17" ht="15.75" thickBot="1" x14ac:dyDescent="0.3"/>
    <row r="17" spans="2:15" x14ac:dyDescent="0.25">
      <c r="B17" s="20"/>
      <c r="C17" s="36" t="s">
        <v>53</v>
      </c>
      <c r="D17" s="36" t="s">
        <v>41</v>
      </c>
      <c r="E17" s="36" t="s">
        <v>54</v>
      </c>
      <c r="F17" s="36" t="s">
        <v>55</v>
      </c>
      <c r="G17" s="20" t="s">
        <v>56</v>
      </c>
      <c r="H17" s="20" t="s">
        <v>57</v>
      </c>
      <c r="I17" s="20" t="s">
        <v>58</v>
      </c>
      <c r="J17" s="20" t="s">
        <v>59</v>
      </c>
    </row>
    <row r="18" spans="2:15" x14ac:dyDescent="0.25">
      <c r="B18" t="s">
        <v>47</v>
      </c>
      <c r="C18" s="17">
        <v>0.95920471038607791</v>
      </c>
      <c r="D18" s="17">
        <v>0.63592311475755003</v>
      </c>
      <c r="E18" s="17">
        <v>1.5083658513526139</v>
      </c>
      <c r="F18" s="17">
        <v>0.13516900114141964</v>
      </c>
      <c r="G18">
        <v>-0.30518081030931543</v>
      </c>
      <c r="H18">
        <v>2.223590231081471</v>
      </c>
      <c r="I18">
        <v>-0.30518081030931543</v>
      </c>
      <c r="J18">
        <v>2.223590231081471</v>
      </c>
    </row>
    <row r="19" spans="2:15" x14ac:dyDescent="0.25">
      <c r="B19" t="s">
        <v>28</v>
      </c>
      <c r="C19" s="17">
        <v>0.34981240016886506</v>
      </c>
      <c r="D19" s="17">
        <v>0.11742617330995862</v>
      </c>
      <c r="E19" s="17">
        <v>2.9789985512471633</v>
      </c>
      <c r="F19" s="17">
        <v>3.7687954826191752E-3</v>
      </c>
      <c r="G19">
        <v>0.11633770827881565</v>
      </c>
      <c r="H19">
        <v>0.58328709205891449</v>
      </c>
      <c r="I19">
        <v>0.11633770827881565</v>
      </c>
      <c r="J19">
        <v>0.58328709205891449</v>
      </c>
    </row>
    <row r="20" spans="2:15" x14ac:dyDescent="0.25">
      <c r="B20" t="s">
        <v>64</v>
      </c>
      <c r="C20" s="17">
        <v>0.76609068013470272</v>
      </c>
      <c r="D20" s="17">
        <v>0.23492349182246977</v>
      </c>
      <c r="E20" s="17">
        <v>3.2610220212188601</v>
      </c>
      <c r="F20" s="17">
        <v>1.5983855469295118E-3</v>
      </c>
      <c r="G20">
        <v>0.29899984063159774</v>
      </c>
      <c r="H20">
        <v>1.2331815196378078</v>
      </c>
      <c r="I20">
        <v>0.29899984063159774</v>
      </c>
      <c r="J20">
        <v>1.2331815196378078</v>
      </c>
    </row>
    <row r="21" spans="2:15" x14ac:dyDescent="0.25">
      <c r="B21" t="s">
        <v>65</v>
      </c>
      <c r="C21" s="17">
        <v>0.47477330721429861</v>
      </c>
      <c r="D21" s="17">
        <v>0.22867620265965771</v>
      </c>
      <c r="E21" s="17">
        <v>2.0761815251974904</v>
      </c>
      <c r="F21" s="17">
        <v>4.0898081901870637E-2</v>
      </c>
      <c r="G21">
        <v>2.0103752262343122E-2</v>
      </c>
      <c r="H21">
        <v>0.92944286216625405</v>
      </c>
      <c r="I21">
        <v>2.0103752262343122E-2</v>
      </c>
      <c r="J21">
        <v>0.92944286216625405</v>
      </c>
    </row>
    <row r="22" spans="2:15" ht="15.75" thickBot="1" x14ac:dyDescent="0.3">
      <c r="B22" s="19" t="s">
        <v>29</v>
      </c>
      <c r="C22" s="22">
        <v>0.14054221374930118</v>
      </c>
      <c r="D22" s="22">
        <v>0.10560156845012654</v>
      </c>
      <c r="E22" s="22">
        <v>1.3308724085445416</v>
      </c>
      <c r="F22" s="22">
        <v>0.18679001775510137</v>
      </c>
      <c r="G22" s="19">
        <v>-6.9421995779344881E-2</v>
      </c>
      <c r="H22" s="19">
        <v>0.35050642327794723</v>
      </c>
      <c r="I22" s="19">
        <v>-6.9421995779344881E-2</v>
      </c>
      <c r="J22" s="19">
        <v>0.35050642327794723</v>
      </c>
    </row>
    <row r="25" spans="2:15" x14ac:dyDescent="0.25">
      <c r="J25" s="50" t="s">
        <v>77</v>
      </c>
      <c r="K25" s="51"/>
      <c r="L25" s="51"/>
      <c r="M25" s="51"/>
      <c r="N25" s="51"/>
      <c r="O25" s="52"/>
    </row>
    <row r="26" spans="2:15" x14ac:dyDescent="0.25">
      <c r="B26" t="s">
        <v>60</v>
      </c>
      <c r="J26" s="50" t="s">
        <v>81</v>
      </c>
      <c r="K26" s="51"/>
      <c r="L26" s="51"/>
      <c r="M26" s="51"/>
      <c r="N26" s="51"/>
      <c r="O26" s="52"/>
    </row>
    <row r="27" spans="2:15" ht="15.75" thickBot="1" x14ac:dyDescent="0.3">
      <c r="J27" s="31" t="s">
        <v>78</v>
      </c>
      <c r="O27" s="32"/>
    </row>
    <row r="28" spans="2:15" x14ac:dyDescent="0.25">
      <c r="B28" s="20" t="s">
        <v>61</v>
      </c>
      <c r="C28" s="20" t="s">
        <v>62</v>
      </c>
      <c r="D28" s="20" t="s">
        <v>63</v>
      </c>
      <c r="J28" s="31" t="s">
        <v>79</v>
      </c>
      <c r="O28" s="32"/>
    </row>
    <row r="29" spans="2:15" x14ac:dyDescent="0.25">
      <c r="B29">
        <v>1</v>
      </c>
      <c r="C29">
        <v>4.5128426877809975</v>
      </c>
      <c r="D29">
        <v>0.48715731221900249</v>
      </c>
      <c r="J29" s="31"/>
      <c r="O29" s="32"/>
    </row>
    <row r="30" spans="2:15" x14ac:dyDescent="0.25">
      <c r="B30">
        <v>2</v>
      </c>
      <c r="C30">
        <v>3.7429467805686163</v>
      </c>
      <c r="D30">
        <v>-0.74294678056861629</v>
      </c>
      <c r="J30" s="31" t="s">
        <v>80</v>
      </c>
      <c r="O30" s="32"/>
    </row>
    <row r="31" spans="2:15" x14ac:dyDescent="0.25">
      <c r="B31">
        <v>3</v>
      </c>
      <c r="C31">
        <v>3.7148383378187559</v>
      </c>
      <c r="D31">
        <v>-1.7148383378187559</v>
      </c>
      <c r="J31" s="31"/>
      <c r="O31" s="32"/>
    </row>
    <row r="32" spans="2:15" x14ac:dyDescent="0.25">
      <c r="B32">
        <v>4</v>
      </c>
      <c r="C32">
        <v>3.0589032869347537</v>
      </c>
      <c r="D32">
        <v>0.94109671306524634</v>
      </c>
      <c r="J32" s="31" t="s">
        <v>82</v>
      </c>
      <c r="K32">
        <f>E19</f>
        <v>2.9789985512471633</v>
      </c>
      <c r="O32" s="32"/>
    </row>
    <row r="33" spans="2:15" x14ac:dyDescent="0.25">
      <c r="B33">
        <v>5</v>
      </c>
      <c r="C33">
        <v>4.1630302876121323</v>
      </c>
      <c r="D33">
        <v>0.83696971238786766</v>
      </c>
      <c r="J33" s="31" t="s">
        <v>18</v>
      </c>
      <c r="K33">
        <f>F19/2</f>
        <v>1.8843977413095876E-3</v>
      </c>
      <c r="O33" s="32"/>
    </row>
    <row r="34" spans="2:15" x14ac:dyDescent="0.25">
      <c r="B34">
        <v>6</v>
      </c>
      <c r="C34">
        <v>2.4515202464988608</v>
      </c>
      <c r="D34">
        <v>-1.4515202464988608</v>
      </c>
      <c r="J34" s="31">
        <v>0.01</v>
      </c>
      <c r="K34">
        <v>0.05</v>
      </c>
      <c r="O34" s="32"/>
    </row>
    <row r="35" spans="2:15" x14ac:dyDescent="0.25">
      <c r="B35">
        <v>7</v>
      </c>
      <c r="C35">
        <v>2.4515202464988608</v>
      </c>
      <c r="D35">
        <v>-0.4515202464988608</v>
      </c>
      <c r="J35" s="31" t="str">
        <f>IF(0.01&gt;K33, "REJECT Ho", "Do Not REJECT Ho")</f>
        <v>REJECT Ho</v>
      </c>
      <c r="K35" t="str">
        <f>IF(0.05&gt;K33, "REJECT Ho", "Do Not REJECT Ho")</f>
        <v>REJECT Ho</v>
      </c>
      <c r="O35" s="32"/>
    </row>
    <row r="36" spans="2:15" x14ac:dyDescent="0.25">
      <c r="B36">
        <v>8</v>
      </c>
      <c r="C36">
        <v>3.1320537403644497</v>
      </c>
      <c r="D36">
        <v>-0.13205374036444972</v>
      </c>
      <c r="J36" s="31"/>
      <c r="O36" s="32"/>
    </row>
    <row r="37" spans="2:15" x14ac:dyDescent="0.25">
      <c r="B37">
        <v>9</v>
      </c>
      <c r="C37">
        <v>2.5920624602481617</v>
      </c>
      <c r="D37">
        <v>0.40793753975183833</v>
      </c>
      <c r="J37" s="34" t="s">
        <v>83</v>
      </c>
      <c r="K37" s="18"/>
      <c r="L37" s="18"/>
      <c r="M37" s="18"/>
      <c r="N37" s="18"/>
      <c r="O37" s="35"/>
    </row>
    <row r="38" spans="2:15" x14ac:dyDescent="0.25">
      <c r="B38">
        <v>10</v>
      </c>
      <c r="C38">
        <v>2.5920624602481617</v>
      </c>
      <c r="D38">
        <v>-0.59206246024816167</v>
      </c>
    </row>
    <row r="39" spans="2:15" x14ac:dyDescent="0.25">
      <c r="B39">
        <v>11</v>
      </c>
      <c r="C39">
        <v>3.6770981544533994</v>
      </c>
      <c r="D39">
        <v>0.32290184554660062</v>
      </c>
      <c r="J39" s="59" t="s">
        <v>77</v>
      </c>
      <c r="K39" s="60"/>
      <c r="L39" s="60"/>
      <c r="M39" s="60"/>
      <c r="N39" s="60"/>
      <c r="O39" s="61"/>
    </row>
    <row r="40" spans="2:15" x14ac:dyDescent="0.25">
      <c r="B40">
        <v>12</v>
      </c>
      <c r="C40">
        <v>4.1083404874413487</v>
      </c>
      <c r="D40">
        <v>-1.1083404874413487</v>
      </c>
      <c r="J40" s="50" t="s">
        <v>84</v>
      </c>
      <c r="K40" s="51"/>
      <c r="L40" s="51"/>
      <c r="M40" s="51"/>
      <c r="N40" s="51"/>
      <c r="O40" s="52"/>
    </row>
    <row r="41" spans="2:15" x14ac:dyDescent="0.25">
      <c r="B41">
        <v>13</v>
      </c>
      <c r="C41">
        <v>3.5336765941490524</v>
      </c>
      <c r="D41">
        <v>0.46632340585094756</v>
      </c>
      <c r="J41" s="31" t="s">
        <v>78</v>
      </c>
      <c r="O41" s="32"/>
    </row>
    <row r="42" spans="2:15" x14ac:dyDescent="0.25">
      <c r="B42">
        <v>14</v>
      </c>
      <c r="C42">
        <v>3.5336765941490524</v>
      </c>
      <c r="D42">
        <v>-2.5336765941490524</v>
      </c>
      <c r="J42" s="31" t="s">
        <v>85</v>
      </c>
      <c r="O42" s="32"/>
    </row>
    <row r="43" spans="2:15" x14ac:dyDescent="0.25">
      <c r="B43">
        <v>15</v>
      </c>
      <c r="C43">
        <v>3.4789867939782693</v>
      </c>
      <c r="D43">
        <v>0.52101320602173073</v>
      </c>
      <c r="J43" s="31"/>
      <c r="O43" s="32"/>
    </row>
    <row r="44" spans="2:15" x14ac:dyDescent="0.25">
      <c r="B44">
        <v>16</v>
      </c>
      <c r="C44">
        <v>3.3931343803997511</v>
      </c>
      <c r="D44">
        <v>1.6068656196002489</v>
      </c>
      <c r="J44" s="31" t="s">
        <v>80</v>
      </c>
      <c r="O44" s="32"/>
    </row>
    <row r="45" spans="2:15" x14ac:dyDescent="0.25">
      <c r="B45">
        <v>17</v>
      </c>
      <c r="C45">
        <v>3.8132178874432672</v>
      </c>
      <c r="D45">
        <v>-0.81321788744326717</v>
      </c>
      <c r="J45" s="31"/>
      <c r="O45" s="32"/>
    </row>
    <row r="46" spans="2:15" x14ac:dyDescent="0.25">
      <c r="B46">
        <v>18</v>
      </c>
      <c r="C46">
        <v>3.5336765941490524</v>
      </c>
      <c r="D46">
        <v>0.46632340585094756</v>
      </c>
      <c r="J46" s="31" t="s">
        <v>82</v>
      </c>
      <c r="K46">
        <f>E20</f>
        <v>3.2610220212188601</v>
      </c>
      <c r="O46" s="32"/>
    </row>
    <row r="47" spans="2:15" x14ac:dyDescent="0.25">
      <c r="B47">
        <v>19</v>
      </c>
      <c r="C47">
        <v>3.0589032869347537</v>
      </c>
      <c r="D47">
        <v>-1.0589032869347537</v>
      </c>
      <c r="J47" s="31" t="s">
        <v>18</v>
      </c>
      <c r="K47">
        <f>F20/2</f>
        <v>7.9919277346475589E-4</v>
      </c>
      <c r="O47" s="32"/>
    </row>
    <row r="48" spans="2:15" x14ac:dyDescent="0.25">
      <c r="B48">
        <v>20</v>
      </c>
      <c r="C48">
        <v>3.7600712214768715</v>
      </c>
      <c r="D48">
        <v>1.2399287785231285</v>
      </c>
      <c r="J48" s="31">
        <v>0.01</v>
      </c>
      <c r="K48">
        <v>0.05</v>
      </c>
      <c r="O48" s="32"/>
    </row>
    <row r="49" spans="2:15" x14ac:dyDescent="0.25">
      <c r="B49">
        <v>21</v>
      </c>
      <c r="C49">
        <v>4.0943023149418689</v>
      </c>
      <c r="D49">
        <v>-9.4302314941868914E-2</v>
      </c>
      <c r="J49" s="31" t="str">
        <f>IF(0.01&gt;K47, "REJECT Ho", "Do Not REJECT Ho")</f>
        <v>REJECT Ho</v>
      </c>
      <c r="K49" t="str">
        <f>IF(0.05&gt;K47, "REJECT Ho", "Do Not REJECT Ho")</f>
        <v>REJECT Ho</v>
      </c>
      <c r="O49" s="32"/>
    </row>
    <row r="50" spans="2:15" x14ac:dyDescent="0.25">
      <c r="B50">
        <v>22</v>
      </c>
      <c r="C50">
        <v>3.1173983141832151</v>
      </c>
      <c r="D50">
        <v>-0.11739831418321511</v>
      </c>
      <c r="J50" s="31"/>
      <c r="O50" s="32"/>
    </row>
    <row r="51" spans="2:15" x14ac:dyDescent="0.25">
      <c r="B51">
        <v>23</v>
      </c>
      <c r="C51">
        <v>2.5920624602481617</v>
      </c>
      <c r="D51">
        <v>0.40793753975183833</v>
      </c>
      <c r="J51" s="34" t="s">
        <v>86</v>
      </c>
      <c r="K51" s="18"/>
      <c r="L51" s="18"/>
      <c r="M51" s="18"/>
      <c r="N51" s="18"/>
      <c r="O51" s="35"/>
    </row>
    <row r="52" spans="2:15" x14ac:dyDescent="0.25">
      <c r="B52">
        <v>24</v>
      </c>
      <c r="C52">
        <v>3.3228632735251007</v>
      </c>
      <c r="D52">
        <v>-1.3228632735251007</v>
      </c>
    </row>
    <row r="53" spans="2:15" x14ac:dyDescent="0.25">
      <c r="B53">
        <v>25</v>
      </c>
      <c r="C53">
        <v>3.2185368071561964</v>
      </c>
      <c r="D53">
        <v>1.7814631928438036</v>
      </c>
      <c r="J53" s="50" t="s">
        <v>77</v>
      </c>
      <c r="K53" s="51"/>
      <c r="L53" s="51"/>
      <c r="M53" s="51"/>
      <c r="N53" s="51"/>
      <c r="O53" s="52"/>
    </row>
    <row r="54" spans="2:15" x14ac:dyDescent="0.25">
      <c r="B54">
        <v>26</v>
      </c>
      <c r="C54">
        <v>3.0589032869347537</v>
      </c>
      <c r="D54">
        <v>0.94109671306524634</v>
      </c>
      <c r="J54" s="50" t="s">
        <v>91</v>
      </c>
      <c r="K54" s="51"/>
      <c r="L54" s="51"/>
      <c r="M54" s="51"/>
      <c r="N54" s="51"/>
      <c r="O54" s="52"/>
    </row>
    <row r="55" spans="2:15" x14ac:dyDescent="0.25">
      <c r="B55">
        <v>27</v>
      </c>
      <c r="C55">
        <v>3.5336765941490524</v>
      </c>
      <c r="D55">
        <v>0.46632340585094756</v>
      </c>
      <c r="J55" s="31" t="s">
        <v>78</v>
      </c>
      <c r="O55" s="32"/>
    </row>
    <row r="56" spans="2:15" x14ac:dyDescent="0.25">
      <c r="B56">
        <v>28</v>
      </c>
      <c r="C56">
        <v>3.463405487274402</v>
      </c>
      <c r="D56">
        <v>-0.46340548727440201</v>
      </c>
      <c r="J56" s="31" t="s">
        <v>79</v>
      </c>
      <c r="O56" s="32"/>
    </row>
    <row r="57" spans="2:15" x14ac:dyDescent="0.25">
      <c r="B57">
        <v>29</v>
      </c>
      <c r="C57">
        <v>2.9068936204001408</v>
      </c>
      <c r="D57">
        <v>9.3106379599859235E-2</v>
      </c>
      <c r="J57" s="31"/>
      <c r="O57" s="32"/>
    </row>
    <row r="58" spans="2:15" x14ac:dyDescent="0.25">
      <c r="B58">
        <v>30</v>
      </c>
      <c r="C58">
        <v>2.7663514066508395</v>
      </c>
      <c r="D58">
        <v>-0.76635140665083945</v>
      </c>
      <c r="J58" s="31" t="s">
        <v>80</v>
      </c>
      <c r="O58" s="32"/>
    </row>
    <row r="59" spans="2:15" x14ac:dyDescent="0.25">
      <c r="B59">
        <v>31</v>
      </c>
      <c r="C59">
        <v>2.3812491396242104</v>
      </c>
      <c r="D59">
        <v>1.6187508603757896</v>
      </c>
      <c r="J59" s="31"/>
      <c r="O59" s="32"/>
    </row>
    <row r="60" spans="2:15" x14ac:dyDescent="0.25">
      <c r="B60">
        <v>32</v>
      </c>
      <c r="C60">
        <v>2.5217913533735112</v>
      </c>
      <c r="D60">
        <v>-0.52179135337351124</v>
      </c>
      <c r="J60" s="31" t="s">
        <v>82</v>
      </c>
      <c r="K60">
        <f>E21</f>
        <v>2.0761815251974904</v>
      </c>
      <c r="O60" s="32"/>
    </row>
    <row r="61" spans="2:15" x14ac:dyDescent="0.25">
      <c r="B61">
        <v>33</v>
      </c>
      <c r="C61">
        <v>2.2578313667831647</v>
      </c>
      <c r="D61">
        <v>0.74216863321683535</v>
      </c>
      <c r="J61" s="31" t="s">
        <v>18</v>
      </c>
      <c r="K61">
        <f>F21/2</f>
        <v>2.0449040950935318E-2</v>
      </c>
      <c r="O61" s="32"/>
    </row>
    <row r="62" spans="2:15" x14ac:dyDescent="0.25">
      <c r="B62">
        <v>34</v>
      </c>
      <c r="C62">
        <v>2.1875602599085138</v>
      </c>
      <c r="D62">
        <v>-0.18756025990851377</v>
      </c>
      <c r="J62" s="31">
        <v>0.01</v>
      </c>
      <c r="K62">
        <v>0.05</v>
      </c>
      <c r="O62" s="32"/>
    </row>
    <row r="63" spans="2:15" x14ac:dyDescent="0.25">
      <c r="B63">
        <v>35</v>
      </c>
      <c r="C63">
        <v>3.2919958874267703</v>
      </c>
      <c r="D63">
        <v>-0.2919958874267703</v>
      </c>
      <c r="J63" s="31" t="str">
        <f>IF(0.01&gt;K61, "REJECT Ho", "Do Not REJECT Ho")</f>
        <v>Do Not REJECT Ho</v>
      </c>
      <c r="K63" t="str">
        <f>IF(0.05&gt;K61, "REJECT Ho", "Do Not REJECT Ho")</f>
        <v>REJECT Ho</v>
      </c>
      <c r="O63" s="32"/>
    </row>
    <row r="64" spans="2:15" x14ac:dyDescent="0.25">
      <c r="B64">
        <v>36</v>
      </c>
      <c r="C64">
        <v>2.7663514066508395</v>
      </c>
      <c r="D64">
        <v>0.23364859334916055</v>
      </c>
      <c r="J64" s="31"/>
      <c r="O64" s="32"/>
    </row>
    <row r="65" spans="2:15" x14ac:dyDescent="0.25">
      <c r="B65">
        <v>37</v>
      </c>
      <c r="C65">
        <v>1.9064758324099116</v>
      </c>
      <c r="D65">
        <v>2.0935241675900884</v>
      </c>
      <c r="J65" s="53" t="s">
        <v>87</v>
      </c>
      <c r="K65" s="54"/>
      <c r="L65" s="54"/>
      <c r="M65" s="54"/>
      <c r="N65" s="54"/>
      <c r="O65" s="55"/>
    </row>
    <row r="66" spans="2:15" x14ac:dyDescent="0.25">
      <c r="B66">
        <v>38</v>
      </c>
      <c r="C66">
        <v>2.5217913533735112</v>
      </c>
      <c r="D66">
        <v>1.4782086466264888</v>
      </c>
      <c r="J66" s="53"/>
      <c r="K66" s="54"/>
      <c r="L66" s="54"/>
      <c r="M66" s="54"/>
      <c r="N66" s="54"/>
      <c r="O66" s="55"/>
    </row>
    <row r="67" spans="2:15" x14ac:dyDescent="0.25">
      <c r="B67">
        <v>39</v>
      </c>
      <c r="C67">
        <v>3.151453673677469</v>
      </c>
      <c r="D67">
        <v>1.848546326322531</v>
      </c>
      <c r="J67" s="53" t="s">
        <v>88</v>
      </c>
      <c r="K67" s="54"/>
      <c r="L67" s="54"/>
      <c r="M67" s="54"/>
      <c r="N67" s="54"/>
      <c r="O67" s="55"/>
    </row>
    <row r="68" spans="2:15" x14ac:dyDescent="0.25">
      <c r="B68">
        <v>40</v>
      </c>
      <c r="C68">
        <v>2.432120313185842</v>
      </c>
      <c r="D68">
        <v>-1.432120313185842</v>
      </c>
      <c r="J68" s="56"/>
      <c r="K68" s="57"/>
      <c r="L68" s="57"/>
      <c r="M68" s="57"/>
      <c r="N68" s="57"/>
      <c r="O68" s="58"/>
    </row>
    <row r="69" spans="2:15" x14ac:dyDescent="0.25">
      <c r="B69">
        <v>41</v>
      </c>
      <c r="C69">
        <v>2.1875602599085138</v>
      </c>
      <c r="D69">
        <v>0.81243974009148623</v>
      </c>
    </row>
    <row r="70" spans="2:15" x14ac:dyDescent="0.25">
      <c r="B70">
        <v>42</v>
      </c>
      <c r="C70">
        <v>2.2578313667831647</v>
      </c>
      <c r="D70">
        <v>-1.2578313667831647</v>
      </c>
      <c r="J70" s="50" t="s">
        <v>77</v>
      </c>
      <c r="K70" s="51"/>
      <c r="L70" s="51"/>
      <c r="M70" s="51"/>
      <c r="N70" s="51"/>
      <c r="O70" s="52"/>
    </row>
    <row r="71" spans="2:15" x14ac:dyDescent="0.25">
      <c r="B71">
        <v>43</v>
      </c>
      <c r="C71">
        <v>2.5217913533735112</v>
      </c>
      <c r="D71">
        <v>-0.52179135337351124</v>
      </c>
      <c r="J71" s="50" t="s">
        <v>90</v>
      </c>
      <c r="K71" s="51"/>
      <c r="L71" s="51"/>
      <c r="M71" s="51"/>
      <c r="N71" s="51"/>
      <c r="O71" s="52"/>
    </row>
    <row r="72" spans="2:15" x14ac:dyDescent="0.25">
      <c r="B72">
        <v>44</v>
      </c>
      <c r="C72">
        <v>2.0470180461592129</v>
      </c>
      <c r="D72">
        <v>-1.0470180461592129</v>
      </c>
      <c r="J72" s="31" t="s">
        <v>78</v>
      </c>
      <c r="O72" s="32"/>
    </row>
    <row r="73" spans="2:15" x14ac:dyDescent="0.25">
      <c r="B73">
        <v>45</v>
      </c>
      <c r="C73">
        <v>2.5726625269351433</v>
      </c>
      <c r="D73">
        <v>-0.5726625269351433</v>
      </c>
      <c r="J73" s="31" t="s">
        <v>79</v>
      </c>
      <c r="O73" s="32"/>
    </row>
    <row r="74" spans="2:15" x14ac:dyDescent="0.25">
      <c r="B74">
        <v>46</v>
      </c>
      <c r="C74">
        <v>2.9068936204001408</v>
      </c>
      <c r="D74">
        <v>-0.90689362040014077</v>
      </c>
      <c r="J74" s="31"/>
      <c r="O74" s="32"/>
    </row>
    <row r="75" spans="2:15" x14ac:dyDescent="0.25">
      <c r="B75">
        <v>47</v>
      </c>
      <c r="C75">
        <v>2.3812491396242104</v>
      </c>
      <c r="D75">
        <v>-0.38124913962421036</v>
      </c>
      <c r="J75" s="31" t="s">
        <v>80</v>
      </c>
      <c r="O75" s="32"/>
    </row>
    <row r="76" spans="2:15" x14ac:dyDescent="0.25">
      <c r="B76">
        <v>48</v>
      </c>
      <c r="C76">
        <v>2.6623335671228125</v>
      </c>
      <c r="D76">
        <v>-0.66233356712281255</v>
      </c>
      <c r="J76" s="31"/>
      <c r="O76" s="32"/>
    </row>
    <row r="77" spans="2:15" x14ac:dyDescent="0.25">
      <c r="B77">
        <v>49</v>
      </c>
      <c r="C77">
        <v>2.5726625269351433</v>
      </c>
      <c r="D77">
        <v>0.4273374730648567</v>
      </c>
      <c r="J77" s="31" t="s">
        <v>82</v>
      </c>
      <c r="K77">
        <f>E22</f>
        <v>1.3308724085445416</v>
      </c>
      <c r="O77" s="32"/>
    </row>
    <row r="78" spans="2:15" x14ac:dyDescent="0.25">
      <c r="B78">
        <v>50</v>
      </c>
      <c r="C78">
        <v>3.3228632735251007</v>
      </c>
      <c r="D78">
        <v>-1.3228632735251007</v>
      </c>
      <c r="J78" s="31" t="s">
        <v>18</v>
      </c>
      <c r="K78">
        <f>F22/2</f>
        <v>9.3395008877550686E-2</v>
      </c>
      <c r="O78" s="32"/>
    </row>
    <row r="79" spans="2:15" x14ac:dyDescent="0.25">
      <c r="B79">
        <v>51</v>
      </c>
      <c r="C79">
        <v>3.463405487274402</v>
      </c>
      <c r="D79">
        <v>0.53659451272559799</v>
      </c>
      <c r="J79" s="31">
        <v>0.01</v>
      </c>
      <c r="K79">
        <v>0.05</v>
      </c>
      <c r="O79" s="32"/>
    </row>
    <row r="80" spans="2:15" x14ac:dyDescent="0.25">
      <c r="B80">
        <v>52</v>
      </c>
      <c r="C80">
        <v>3.3931343803997511</v>
      </c>
      <c r="D80">
        <v>0.60686561960024887</v>
      </c>
      <c r="J80" s="31" t="str">
        <f>IF(0.01&gt;K78, "REJECT Ho", "Do Not REJECT Ho")</f>
        <v>Do Not REJECT Ho</v>
      </c>
      <c r="K80" t="str">
        <f>IF(0.05&gt;K78, "REJECT Ho", "Do Not REJECT Ho")</f>
        <v>Do Not REJECT Ho</v>
      </c>
      <c r="O80" s="32"/>
    </row>
    <row r="81" spans="2:15" x14ac:dyDescent="0.25">
      <c r="B81">
        <v>53</v>
      </c>
      <c r="C81">
        <v>2.1172891530338633</v>
      </c>
      <c r="D81">
        <v>-0.11728915303386334</v>
      </c>
      <c r="J81" s="31"/>
      <c r="O81" s="32"/>
    </row>
    <row r="82" spans="2:15" x14ac:dyDescent="0.25">
      <c r="B82">
        <v>54</v>
      </c>
      <c r="C82">
        <v>3.6179858735231827</v>
      </c>
      <c r="D82">
        <v>-0.61798587352318268</v>
      </c>
      <c r="J82" s="53" t="s">
        <v>89</v>
      </c>
      <c r="K82" s="54"/>
      <c r="L82" s="54"/>
      <c r="M82" s="54"/>
      <c r="N82" s="54"/>
      <c r="O82" s="55"/>
    </row>
    <row r="83" spans="2:15" x14ac:dyDescent="0.25">
      <c r="B83">
        <v>55</v>
      </c>
      <c r="C83">
        <v>3.8132178874432672</v>
      </c>
      <c r="D83">
        <v>-0.81321788744326717</v>
      </c>
      <c r="J83" s="56"/>
      <c r="K83" s="57"/>
      <c r="L83" s="57"/>
      <c r="M83" s="57"/>
      <c r="N83" s="57"/>
      <c r="O83" s="58"/>
    </row>
    <row r="84" spans="2:15" x14ac:dyDescent="0.25">
      <c r="B84">
        <v>56</v>
      </c>
      <c r="C84">
        <v>3.3228632735251007</v>
      </c>
      <c r="D84">
        <v>-1.3228632735251007</v>
      </c>
    </row>
    <row r="85" spans="2:15" x14ac:dyDescent="0.25">
      <c r="B85">
        <v>57</v>
      </c>
      <c r="C85">
        <v>3.5336765941490524</v>
      </c>
      <c r="D85">
        <v>1.4663234058509476</v>
      </c>
    </row>
    <row r="86" spans="2:15" x14ac:dyDescent="0.25">
      <c r="B86">
        <v>58</v>
      </c>
      <c r="C86">
        <v>3.6726756736939659</v>
      </c>
      <c r="D86">
        <v>0.32732432630603414</v>
      </c>
    </row>
    <row r="87" spans="2:15" x14ac:dyDescent="0.25">
      <c r="B87">
        <v>59</v>
      </c>
      <c r="C87">
        <v>3.0589032869347537</v>
      </c>
      <c r="D87">
        <v>-5.8903286934753663E-2</v>
      </c>
    </row>
    <row r="88" spans="2:15" x14ac:dyDescent="0.25">
      <c r="B88">
        <v>60</v>
      </c>
      <c r="C88">
        <v>3.953760101192568</v>
      </c>
      <c r="D88">
        <v>4.6239898807431956E-2</v>
      </c>
    </row>
    <row r="89" spans="2:15" x14ac:dyDescent="0.25">
      <c r="B89">
        <v>61</v>
      </c>
      <c r="C89">
        <v>3.1823210597757994</v>
      </c>
      <c r="D89">
        <v>0.81767894022420062</v>
      </c>
    </row>
    <row r="90" spans="2:15" x14ac:dyDescent="0.25">
      <c r="B90">
        <v>62</v>
      </c>
      <c r="C90">
        <v>2.081690659335222</v>
      </c>
      <c r="D90">
        <v>0.91830934066477798</v>
      </c>
    </row>
    <row r="91" spans="2:15" x14ac:dyDescent="0.25">
      <c r="B91">
        <v>63</v>
      </c>
      <c r="C91">
        <v>3.0770687128842624</v>
      </c>
      <c r="D91">
        <v>0.92293128711573758</v>
      </c>
    </row>
    <row r="92" spans="2:15" x14ac:dyDescent="0.25">
      <c r="B92">
        <v>64</v>
      </c>
      <c r="C92">
        <v>4.2329927676459054</v>
      </c>
      <c r="D92">
        <v>-0.23299276764590537</v>
      </c>
    </row>
    <row r="93" spans="2:15" x14ac:dyDescent="0.25">
      <c r="B93">
        <v>65</v>
      </c>
      <c r="C93">
        <v>4.7583286215809579</v>
      </c>
      <c r="D93">
        <v>0.24167137841904207</v>
      </c>
    </row>
    <row r="94" spans="2:15" x14ac:dyDescent="0.25">
      <c r="B94">
        <v>66</v>
      </c>
      <c r="C94">
        <v>1.7659336186606105</v>
      </c>
      <c r="D94">
        <v>0.23406638133938951</v>
      </c>
    </row>
    <row r="95" spans="2:15" x14ac:dyDescent="0.25">
      <c r="B95">
        <v>67</v>
      </c>
      <c r="C95">
        <v>1.7134617586352807</v>
      </c>
      <c r="D95">
        <v>0.28653824136471928</v>
      </c>
    </row>
    <row r="96" spans="2:15" x14ac:dyDescent="0.25">
      <c r="B96">
        <v>68</v>
      </c>
      <c r="C96">
        <v>1.6676775197724507</v>
      </c>
      <c r="D96">
        <v>0.33232248022754929</v>
      </c>
    </row>
    <row r="97" spans="2:4" x14ac:dyDescent="0.25">
      <c r="B97">
        <v>69</v>
      </c>
      <c r="C97">
        <v>4.1627216607712541</v>
      </c>
      <c r="D97">
        <v>0.83727833922874595</v>
      </c>
    </row>
    <row r="98" spans="2:4" x14ac:dyDescent="0.25">
      <c r="B98">
        <v>70</v>
      </c>
      <c r="C98">
        <v>4.2676653808219136</v>
      </c>
      <c r="D98">
        <v>0.7323346191780864</v>
      </c>
    </row>
    <row r="99" spans="2:4" x14ac:dyDescent="0.25">
      <c r="B99">
        <v>71</v>
      </c>
      <c r="C99">
        <v>2.8522038202293576</v>
      </c>
      <c r="D99">
        <v>2.1477961797706424</v>
      </c>
    </row>
    <row r="100" spans="2:4" x14ac:dyDescent="0.25">
      <c r="B100">
        <v>72</v>
      </c>
      <c r="C100">
        <v>2.8375483940481225</v>
      </c>
      <c r="D100">
        <v>-0.83754839404812254</v>
      </c>
    </row>
    <row r="101" spans="2:4" x14ac:dyDescent="0.25">
      <c r="B101">
        <v>73</v>
      </c>
      <c r="C101">
        <v>2.6617163134410573</v>
      </c>
      <c r="D101">
        <v>-0.6617163134410573</v>
      </c>
    </row>
    <row r="102" spans="2:4" x14ac:dyDescent="0.25">
      <c r="B102">
        <v>74</v>
      </c>
      <c r="C102">
        <v>2.8121828457712827</v>
      </c>
      <c r="D102">
        <v>0.18781715422871725</v>
      </c>
    </row>
    <row r="103" spans="2:4" x14ac:dyDescent="0.25">
      <c r="B103">
        <v>75</v>
      </c>
      <c r="C103">
        <v>3.1982109933205445</v>
      </c>
      <c r="D103">
        <v>-2.1982109933205445</v>
      </c>
    </row>
    <row r="104" spans="2:4" x14ac:dyDescent="0.25">
      <c r="B104">
        <v>76</v>
      </c>
      <c r="C104">
        <v>3.9178529806530489</v>
      </c>
      <c r="D104">
        <v>8.2147019346951122E-2</v>
      </c>
    </row>
    <row r="105" spans="2:4" x14ac:dyDescent="0.25">
      <c r="B105">
        <v>77</v>
      </c>
      <c r="C105">
        <v>2.766042779809962</v>
      </c>
      <c r="D105">
        <v>-0.76604277980996205</v>
      </c>
    </row>
    <row r="106" spans="2:4" x14ac:dyDescent="0.25">
      <c r="B106">
        <v>78</v>
      </c>
      <c r="C106">
        <v>3.3931343803997511</v>
      </c>
      <c r="D106">
        <v>-1.3931343803997511</v>
      </c>
    </row>
    <row r="107" spans="2:4" x14ac:dyDescent="0.25">
      <c r="B107">
        <v>79</v>
      </c>
      <c r="C107">
        <v>2.6426250069689163</v>
      </c>
      <c r="D107">
        <v>1.3573749930310837</v>
      </c>
    </row>
    <row r="108" spans="2:4" x14ac:dyDescent="0.25">
      <c r="B108">
        <v>80</v>
      </c>
      <c r="C108">
        <v>3.4977694736095333</v>
      </c>
      <c r="D108">
        <v>-0.49776947360953328</v>
      </c>
    </row>
    <row r="109" spans="2:4" x14ac:dyDescent="0.25">
      <c r="B109">
        <v>81</v>
      </c>
      <c r="C109">
        <v>3.6383116873588346</v>
      </c>
      <c r="D109">
        <v>1.3616883126411654</v>
      </c>
    </row>
    <row r="110" spans="2:4" x14ac:dyDescent="0.25">
      <c r="B110">
        <v>82</v>
      </c>
      <c r="C110">
        <v>3.4980781004504107</v>
      </c>
      <c r="D110">
        <v>1.5019218995495893</v>
      </c>
    </row>
    <row r="111" spans="2:4" x14ac:dyDescent="0.25">
      <c r="B111">
        <v>83</v>
      </c>
      <c r="C111">
        <v>2.1522703930507499</v>
      </c>
      <c r="D111">
        <v>-1.1522703930507499</v>
      </c>
    </row>
    <row r="112" spans="2:4" x14ac:dyDescent="0.25">
      <c r="B112">
        <v>84</v>
      </c>
      <c r="C112">
        <v>2.8518951933884802</v>
      </c>
      <c r="D112">
        <v>-0.85189519338848019</v>
      </c>
    </row>
    <row r="113" spans="2:4" x14ac:dyDescent="0.25">
      <c r="B113">
        <v>85</v>
      </c>
      <c r="C113">
        <v>3.8990703010217853</v>
      </c>
      <c r="D113">
        <v>-0.89907030102178531</v>
      </c>
    </row>
    <row r="114" spans="2:4" x14ac:dyDescent="0.25">
      <c r="B114">
        <v>86</v>
      </c>
      <c r="C114">
        <v>2.0819992861760994</v>
      </c>
      <c r="D114">
        <v>-8.1999286176099417E-2</v>
      </c>
    </row>
    <row r="115" spans="2:4" x14ac:dyDescent="0.25">
      <c r="B115">
        <v>87</v>
      </c>
      <c r="C115">
        <v>4.5831137946556479</v>
      </c>
      <c r="D115">
        <v>0.41688620534435206</v>
      </c>
    </row>
    <row r="116" spans="2:4" x14ac:dyDescent="0.25">
      <c r="B116">
        <v>88</v>
      </c>
      <c r="C116">
        <v>4.2323755139641497</v>
      </c>
      <c r="D116">
        <v>-0.23237551396414968</v>
      </c>
    </row>
    <row r="117" spans="2:4" x14ac:dyDescent="0.25">
      <c r="B117">
        <v>89</v>
      </c>
      <c r="C117">
        <v>3.4087156871036188</v>
      </c>
      <c r="D117">
        <v>-0.40871568710361883</v>
      </c>
    </row>
    <row r="118" spans="2:4" ht="15.75" thickBot="1" x14ac:dyDescent="0.3">
      <c r="B118" s="19">
        <v>90</v>
      </c>
      <c r="C118" s="19">
        <v>3.9896672217320872</v>
      </c>
      <c r="D118" s="19">
        <v>1.033277826791279E-2</v>
      </c>
    </row>
  </sheetData>
  <mergeCells count="12">
    <mergeCell ref="J2:Q2"/>
    <mergeCell ref="J65:O66"/>
    <mergeCell ref="J67:O68"/>
    <mergeCell ref="J82:O83"/>
    <mergeCell ref="J25:O25"/>
    <mergeCell ref="J26:O26"/>
    <mergeCell ref="J39:O39"/>
    <mergeCell ref="J40:O40"/>
    <mergeCell ref="J53:O53"/>
    <mergeCell ref="J54:O54"/>
    <mergeCell ref="J70:O70"/>
    <mergeCell ref="J71:O7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0C829-60F0-486E-B18E-0020A68036A4}">
  <dimension ref="B2:O94"/>
  <sheetViews>
    <sheetView workbookViewId="0">
      <selection activeCell="N14" sqref="N14"/>
    </sheetView>
  </sheetViews>
  <sheetFormatPr defaultRowHeight="15" x14ac:dyDescent="0.25"/>
  <sheetData>
    <row r="2" spans="2:4" x14ac:dyDescent="0.25">
      <c r="B2" t="s">
        <v>60</v>
      </c>
    </row>
    <row r="3" spans="2:4" ht="15.75" thickBot="1" x14ac:dyDescent="0.3"/>
    <row r="4" spans="2:4" x14ac:dyDescent="0.25">
      <c r="B4" s="20" t="s">
        <v>61</v>
      </c>
      <c r="C4" s="20" t="s">
        <v>62</v>
      </c>
      <c r="D4" s="20" t="s">
        <v>63</v>
      </c>
    </row>
    <row r="5" spans="2:4" x14ac:dyDescent="0.25">
      <c r="B5">
        <v>1</v>
      </c>
      <c r="C5">
        <v>4.5128426877809975</v>
      </c>
      <c r="D5">
        <v>0.48715731221900249</v>
      </c>
    </row>
    <row r="6" spans="2:4" x14ac:dyDescent="0.25">
      <c r="B6">
        <v>2</v>
      </c>
      <c r="C6">
        <v>3.7429467805686163</v>
      </c>
      <c r="D6">
        <v>-0.74294678056861629</v>
      </c>
    </row>
    <row r="7" spans="2:4" x14ac:dyDescent="0.25">
      <c r="B7">
        <v>3</v>
      </c>
      <c r="C7">
        <v>3.7148383378187559</v>
      </c>
      <c r="D7">
        <v>-1.7148383378187559</v>
      </c>
    </row>
    <row r="8" spans="2:4" x14ac:dyDescent="0.25">
      <c r="B8">
        <v>4</v>
      </c>
      <c r="C8">
        <v>3.0589032869347537</v>
      </c>
      <c r="D8">
        <v>0.94109671306524634</v>
      </c>
    </row>
    <row r="9" spans="2:4" x14ac:dyDescent="0.25">
      <c r="B9">
        <v>5</v>
      </c>
      <c r="C9">
        <v>4.1630302876121323</v>
      </c>
      <c r="D9">
        <v>0.83696971238786766</v>
      </c>
    </row>
    <row r="10" spans="2:4" x14ac:dyDescent="0.25">
      <c r="B10">
        <v>6</v>
      </c>
      <c r="C10">
        <v>2.4515202464988608</v>
      </c>
      <c r="D10">
        <v>-1.4515202464988608</v>
      </c>
    </row>
    <row r="11" spans="2:4" x14ac:dyDescent="0.25">
      <c r="B11">
        <v>7</v>
      </c>
      <c r="C11">
        <v>2.4515202464988608</v>
      </c>
      <c r="D11">
        <v>-0.4515202464988608</v>
      </c>
    </row>
    <row r="12" spans="2:4" x14ac:dyDescent="0.25">
      <c r="B12">
        <v>8</v>
      </c>
      <c r="C12">
        <v>3.1320537403644497</v>
      </c>
      <c r="D12">
        <v>-0.13205374036444972</v>
      </c>
    </row>
    <row r="13" spans="2:4" x14ac:dyDescent="0.25">
      <c r="B13">
        <v>9</v>
      </c>
      <c r="C13">
        <v>2.5920624602481617</v>
      </c>
      <c r="D13">
        <v>0.40793753975183833</v>
      </c>
    </row>
    <row r="14" spans="2:4" x14ac:dyDescent="0.25">
      <c r="B14">
        <v>10</v>
      </c>
      <c r="C14">
        <v>2.5920624602481617</v>
      </c>
      <c r="D14">
        <v>-0.59206246024816167</v>
      </c>
    </row>
    <row r="15" spans="2:4" x14ac:dyDescent="0.25">
      <c r="B15">
        <v>11</v>
      </c>
      <c r="C15">
        <v>3.6770981544533994</v>
      </c>
      <c r="D15">
        <v>0.32290184554660062</v>
      </c>
    </row>
    <row r="16" spans="2:4" x14ac:dyDescent="0.25">
      <c r="B16">
        <v>12</v>
      </c>
      <c r="C16">
        <v>4.1083404874413487</v>
      </c>
      <c r="D16">
        <v>-1.1083404874413487</v>
      </c>
    </row>
    <row r="17" spans="2:15" x14ac:dyDescent="0.25">
      <c r="B17">
        <v>13</v>
      </c>
      <c r="C17">
        <v>3.5336765941490524</v>
      </c>
      <c r="D17">
        <v>0.46632340585094756</v>
      </c>
    </row>
    <row r="18" spans="2:15" x14ac:dyDescent="0.25">
      <c r="B18">
        <v>14</v>
      </c>
      <c r="C18">
        <v>3.5336765941490524</v>
      </c>
      <c r="D18">
        <v>-2.5336765941490524</v>
      </c>
    </row>
    <row r="19" spans="2:15" x14ac:dyDescent="0.25">
      <c r="B19">
        <v>15</v>
      </c>
      <c r="C19">
        <v>3.4789867939782693</v>
      </c>
      <c r="D19">
        <v>0.52101320602173073</v>
      </c>
    </row>
    <row r="20" spans="2:15" ht="15" customHeight="1" x14ac:dyDescent="0.25">
      <c r="B20">
        <v>16</v>
      </c>
      <c r="C20">
        <v>3.3931343803997511</v>
      </c>
      <c r="D20">
        <v>1.6068656196002489</v>
      </c>
      <c r="H20" s="62" t="s">
        <v>121</v>
      </c>
      <c r="I20" s="62"/>
      <c r="J20" s="62"/>
      <c r="K20" s="62"/>
      <c r="L20" s="62"/>
      <c r="M20" s="62"/>
      <c r="N20" s="62"/>
      <c r="O20" s="62"/>
    </row>
    <row r="21" spans="2:15" x14ac:dyDescent="0.25">
      <c r="B21">
        <v>17</v>
      </c>
      <c r="C21">
        <v>3.8132178874432672</v>
      </c>
      <c r="D21">
        <v>-0.81321788744326717</v>
      </c>
      <c r="H21" s="62"/>
      <c r="I21" s="62"/>
      <c r="J21" s="62"/>
      <c r="K21" s="62"/>
      <c r="L21" s="62"/>
      <c r="M21" s="62"/>
      <c r="N21" s="62"/>
      <c r="O21" s="62"/>
    </row>
    <row r="22" spans="2:15" x14ac:dyDescent="0.25">
      <c r="B22">
        <v>18</v>
      </c>
      <c r="C22">
        <v>3.5336765941490524</v>
      </c>
      <c r="D22">
        <v>0.46632340585094756</v>
      </c>
      <c r="H22" s="62"/>
      <c r="I22" s="62"/>
      <c r="J22" s="62"/>
      <c r="K22" s="62"/>
      <c r="L22" s="62"/>
      <c r="M22" s="62"/>
      <c r="N22" s="62"/>
      <c r="O22" s="62"/>
    </row>
    <row r="23" spans="2:15" x14ac:dyDescent="0.25">
      <c r="B23">
        <v>19</v>
      </c>
      <c r="C23">
        <v>3.0589032869347537</v>
      </c>
      <c r="D23">
        <v>-1.0589032869347537</v>
      </c>
      <c r="H23" s="62"/>
      <c r="I23" s="62"/>
      <c r="J23" s="62"/>
      <c r="K23" s="62"/>
      <c r="L23" s="62"/>
      <c r="M23" s="62"/>
      <c r="N23" s="62"/>
      <c r="O23" s="62"/>
    </row>
    <row r="24" spans="2:15" x14ac:dyDescent="0.25">
      <c r="B24">
        <v>20</v>
      </c>
      <c r="C24">
        <v>3.7600712214768715</v>
      </c>
      <c r="D24">
        <v>1.2399287785231285</v>
      </c>
      <c r="H24" s="62"/>
      <c r="I24" s="62"/>
      <c r="J24" s="62"/>
      <c r="K24" s="62"/>
      <c r="L24" s="62"/>
      <c r="M24" s="62"/>
      <c r="N24" s="62"/>
      <c r="O24" s="62"/>
    </row>
    <row r="25" spans="2:15" x14ac:dyDescent="0.25">
      <c r="B25">
        <v>21</v>
      </c>
      <c r="C25">
        <v>4.0943023149418689</v>
      </c>
      <c r="D25">
        <v>-9.4302314941868914E-2</v>
      </c>
      <c r="H25" s="62"/>
      <c r="I25" s="62"/>
      <c r="J25" s="62"/>
      <c r="K25" s="62"/>
      <c r="L25" s="62"/>
      <c r="M25" s="62"/>
      <c r="N25" s="62"/>
      <c r="O25" s="62"/>
    </row>
    <row r="26" spans="2:15" x14ac:dyDescent="0.25">
      <c r="B26">
        <v>22</v>
      </c>
      <c r="C26">
        <v>3.1173983141832151</v>
      </c>
      <c r="D26">
        <v>-0.11739831418321511</v>
      </c>
      <c r="H26" s="62"/>
      <c r="I26" s="62"/>
      <c r="J26" s="62"/>
      <c r="K26" s="62"/>
      <c r="L26" s="62"/>
      <c r="M26" s="62"/>
      <c r="N26" s="62"/>
      <c r="O26" s="62"/>
    </row>
    <row r="27" spans="2:15" x14ac:dyDescent="0.25">
      <c r="B27">
        <v>23</v>
      </c>
      <c r="C27">
        <v>2.5920624602481617</v>
      </c>
      <c r="D27">
        <v>0.40793753975183833</v>
      </c>
      <c r="H27" s="37"/>
      <c r="I27" s="37"/>
      <c r="J27" s="37"/>
      <c r="K27" s="37"/>
      <c r="L27" s="37"/>
      <c r="M27" s="37"/>
      <c r="N27" s="37"/>
      <c r="O27" s="37"/>
    </row>
    <row r="28" spans="2:15" x14ac:dyDescent="0.25">
      <c r="B28">
        <v>24</v>
      </c>
      <c r="C28">
        <v>3.3228632735251007</v>
      </c>
      <c r="D28">
        <v>-1.3228632735251007</v>
      </c>
      <c r="H28" s="37"/>
      <c r="I28" s="37"/>
      <c r="J28" s="37"/>
      <c r="K28" s="37"/>
      <c r="L28" s="37"/>
      <c r="M28" s="37"/>
      <c r="N28" s="37"/>
      <c r="O28" s="37"/>
    </row>
    <row r="29" spans="2:15" x14ac:dyDescent="0.25">
      <c r="B29">
        <v>25</v>
      </c>
      <c r="C29">
        <v>3.2185368071561964</v>
      </c>
      <c r="D29">
        <v>1.7814631928438036</v>
      </c>
      <c r="H29" s="37"/>
      <c r="I29" s="37"/>
      <c r="J29" s="37"/>
      <c r="K29" s="37"/>
      <c r="L29" s="37"/>
      <c r="M29" s="37"/>
      <c r="N29" s="37"/>
      <c r="O29" s="37"/>
    </row>
    <row r="30" spans="2:15" x14ac:dyDescent="0.25">
      <c r="B30">
        <v>26</v>
      </c>
      <c r="C30">
        <v>3.0589032869347537</v>
      </c>
      <c r="D30">
        <v>0.94109671306524634</v>
      </c>
      <c r="H30" s="37"/>
      <c r="I30" s="37"/>
      <c r="J30" s="37"/>
      <c r="K30" s="37"/>
      <c r="L30" s="37"/>
      <c r="M30" s="37"/>
      <c r="N30" s="37"/>
      <c r="O30" s="37"/>
    </row>
    <row r="31" spans="2:15" x14ac:dyDescent="0.25">
      <c r="B31">
        <v>27</v>
      </c>
      <c r="C31">
        <v>3.5336765941490524</v>
      </c>
      <c r="D31">
        <v>0.46632340585094756</v>
      </c>
      <c r="H31" s="37"/>
      <c r="I31" s="37"/>
      <c r="J31" s="37"/>
      <c r="K31" s="37"/>
      <c r="L31" s="37"/>
      <c r="M31" s="37"/>
      <c r="N31" s="37"/>
      <c r="O31" s="37"/>
    </row>
    <row r="32" spans="2:15" x14ac:dyDescent="0.25">
      <c r="B32">
        <v>28</v>
      </c>
      <c r="C32">
        <v>3.463405487274402</v>
      </c>
      <c r="D32">
        <v>-0.46340548727440201</v>
      </c>
      <c r="H32" s="37"/>
      <c r="I32" s="37"/>
      <c r="J32" s="37"/>
      <c r="K32" s="37"/>
      <c r="L32" s="37"/>
      <c r="M32" s="37"/>
      <c r="N32" s="37"/>
      <c r="O32" s="37"/>
    </row>
    <row r="33" spans="2:15" x14ac:dyDescent="0.25">
      <c r="B33">
        <v>29</v>
      </c>
      <c r="C33">
        <v>2.9068936204001408</v>
      </c>
      <c r="D33">
        <v>9.3106379599859235E-2</v>
      </c>
      <c r="H33" s="37"/>
      <c r="I33" s="37"/>
      <c r="J33" s="37"/>
      <c r="K33" s="37"/>
      <c r="L33" s="37"/>
      <c r="M33" s="37"/>
      <c r="N33" s="37"/>
      <c r="O33" s="37"/>
    </row>
    <row r="34" spans="2:15" x14ac:dyDescent="0.25">
      <c r="B34">
        <v>30</v>
      </c>
      <c r="C34">
        <v>2.7663514066508395</v>
      </c>
      <c r="D34">
        <v>-0.76635140665083945</v>
      </c>
      <c r="H34" s="37"/>
      <c r="I34" s="37"/>
      <c r="J34" s="37"/>
      <c r="K34" s="37"/>
      <c r="L34" s="37"/>
      <c r="M34" s="37"/>
      <c r="N34" s="37"/>
      <c r="O34" s="37"/>
    </row>
    <row r="35" spans="2:15" x14ac:dyDescent="0.25">
      <c r="B35">
        <v>31</v>
      </c>
      <c r="C35">
        <v>2.3812491396242104</v>
      </c>
      <c r="D35">
        <v>1.6187508603757896</v>
      </c>
    </row>
    <row r="36" spans="2:15" x14ac:dyDescent="0.25">
      <c r="B36">
        <v>32</v>
      </c>
      <c r="C36">
        <v>2.5217913533735112</v>
      </c>
      <c r="D36">
        <v>-0.52179135337351124</v>
      </c>
    </row>
    <row r="37" spans="2:15" x14ac:dyDescent="0.25">
      <c r="B37">
        <v>33</v>
      </c>
      <c r="C37">
        <v>2.2578313667831647</v>
      </c>
      <c r="D37">
        <v>0.74216863321683535</v>
      </c>
    </row>
    <row r="38" spans="2:15" x14ac:dyDescent="0.25">
      <c r="B38">
        <v>34</v>
      </c>
      <c r="C38">
        <v>2.1875602599085138</v>
      </c>
      <c r="D38">
        <v>-0.18756025990851377</v>
      </c>
    </row>
    <row r="39" spans="2:15" x14ac:dyDescent="0.25">
      <c r="B39">
        <v>35</v>
      </c>
      <c r="C39">
        <v>3.2919958874267703</v>
      </c>
      <c r="D39">
        <v>-0.2919958874267703</v>
      </c>
    </row>
    <row r="40" spans="2:15" x14ac:dyDescent="0.25">
      <c r="B40">
        <v>36</v>
      </c>
      <c r="C40">
        <v>2.7663514066508395</v>
      </c>
      <c r="D40">
        <v>0.23364859334916055</v>
      </c>
    </row>
    <row r="41" spans="2:15" x14ac:dyDescent="0.25">
      <c r="B41">
        <v>37</v>
      </c>
      <c r="C41">
        <v>1.9064758324099116</v>
      </c>
      <c r="D41">
        <v>2.0935241675900884</v>
      </c>
    </row>
    <row r="42" spans="2:15" x14ac:dyDescent="0.25">
      <c r="B42">
        <v>38</v>
      </c>
      <c r="C42">
        <v>2.5217913533735112</v>
      </c>
      <c r="D42">
        <v>1.4782086466264888</v>
      </c>
    </row>
    <row r="43" spans="2:15" x14ac:dyDescent="0.25">
      <c r="B43">
        <v>39</v>
      </c>
      <c r="C43">
        <v>3.151453673677469</v>
      </c>
      <c r="D43">
        <v>1.848546326322531</v>
      </c>
    </row>
    <row r="44" spans="2:15" x14ac:dyDescent="0.25">
      <c r="B44">
        <v>40</v>
      </c>
      <c r="C44">
        <v>2.432120313185842</v>
      </c>
      <c r="D44">
        <v>-1.432120313185842</v>
      </c>
    </row>
    <row r="45" spans="2:15" x14ac:dyDescent="0.25">
      <c r="B45">
        <v>41</v>
      </c>
      <c r="C45">
        <v>2.1875602599085138</v>
      </c>
      <c r="D45">
        <v>0.81243974009148623</v>
      </c>
    </row>
    <row r="46" spans="2:15" x14ac:dyDescent="0.25">
      <c r="B46">
        <v>42</v>
      </c>
      <c r="C46">
        <v>2.2578313667831647</v>
      </c>
      <c r="D46">
        <v>-1.2578313667831647</v>
      </c>
    </row>
    <row r="47" spans="2:15" x14ac:dyDescent="0.25">
      <c r="B47">
        <v>43</v>
      </c>
      <c r="C47">
        <v>2.5217913533735112</v>
      </c>
      <c r="D47">
        <v>-0.52179135337351124</v>
      </c>
    </row>
    <row r="48" spans="2:15" x14ac:dyDescent="0.25">
      <c r="B48">
        <v>44</v>
      </c>
      <c r="C48">
        <v>2.0470180461592129</v>
      </c>
      <c r="D48">
        <v>-1.0470180461592129</v>
      </c>
    </row>
    <row r="49" spans="2:4" x14ac:dyDescent="0.25">
      <c r="B49">
        <v>45</v>
      </c>
      <c r="C49">
        <v>2.5726625269351433</v>
      </c>
      <c r="D49">
        <v>-0.5726625269351433</v>
      </c>
    </row>
    <row r="50" spans="2:4" x14ac:dyDescent="0.25">
      <c r="B50">
        <v>46</v>
      </c>
      <c r="C50">
        <v>2.9068936204001408</v>
      </c>
      <c r="D50">
        <v>-0.90689362040014077</v>
      </c>
    </row>
    <row r="51" spans="2:4" x14ac:dyDescent="0.25">
      <c r="B51">
        <v>47</v>
      </c>
      <c r="C51">
        <v>2.3812491396242104</v>
      </c>
      <c r="D51">
        <v>-0.38124913962421036</v>
      </c>
    </row>
    <row r="52" spans="2:4" x14ac:dyDescent="0.25">
      <c r="B52">
        <v>48</v>
      </c>
      <c r="C52">
        <v>2.6623335671228125</v>
      </c>
      <c r="D52">
        <v>-0.66233356712281255</v>
      </c>
    </row>
    <row r="53" spans="2:4" x14ac:dyDescent="0.25">
      <c r="B53">
        <v>49</v>
      </c>
      <c r="C53">
        <v>2.5726625269351433</v>
      </c>
      <c r="D53">
        <v>0.4273374730648567</v>
      </c>
    </row>
    <row r="54" spans="2:4" x14ac:dyDescent="0.25">
      <c r="B54">
        <v>50</v>
      </c>
      <c r="C54">
        <v>3.3228632735251007</v>
      </c>
      <c r="D54">
        <v>-1.3228632735251007</v>
      </c>
    </row>
    <row r="55" spans="2:4" x14ac:dyDescent="0.25">
      <c r="B55">
        <v>51</v>
      </c>
      <c r="C55">
        <v>3.463405487274402</v>
      </c>
      <c r="D55">
        <v>0.53659451272559799</v>
      </c>
    </row>
    <row r="56" spans="2:4" x14ac:dyDescent="0.25">
      <c r="B56">
        <v>52</v>
      </c>
      <c r="C56">
        <v>3.3931343803997511</v>
      </c>
      <c r="D56">
        <v>0.60686561960024887</v>
      </c>
    </row>
    <row r="57" spans="2:4" x14ac:dyDescent="0.25">
      <c r="B57">
        <v>53</v>
      </c>
      <c r="C57">
        <v>2.1172891530338633</v>
      </c>
      <c r="D57">
        <v>-0.11728915303386334</v>
      </c>
    </row>
    <row r="58" spans="2:4" x14ac:dyDescent="0.25">
      <c r="B58">
        <v>54</v>
      </c>
      <c r="C58">
        <v>3.6179858735231827</v>
      </c>
      <c r="D58">
        <v>-0.61798587352318268</v>
      </c>
    </row>
    <row r="59" spans="2:4" x14ac:dyDescent="0.25">
      <c r="B59">
        <v>55</v>
      </c>
      <c r="C59">
        <v>3.8132178874432672</v>
      </c>
      <c r="D59">
        <v>-0.81321788744326717</v>
      </c>
    </row>
    <row r="60" spans="2:4" x14ac:dyDescent="0.25">
      <c r="B60">
        <v>56</v>
      </c>
      <c r="C60">
        <v>3.3228632735251007</v>
      </c>
      <c r="D60">
        <v>-1.3228632735251007</v>
      </c>
    </row>
    <row r="61" spans="2:4" x14ac:dyDescent="0.25">
      <c r="B61">
        <v>57</v>
      </c>
      <c r="C61">
        <v>3.5336765941490524</v>
      </c>
      <c r="D61">
        <v>1.4663234058509476</v>
      </c>
    </row>
    <row r="62" spans="2:4" x14ac:dyDescent="0.25">
      <c r="B62">
        <v>58</v>
      </c>
      <c r="C62">
        <v>3.6726756736939659</v>
      </c>
      <c r="D62">
        <v>0.32732432630603414</v>
      </c>
    </row>
    <row r="63" spans="2:4" x14ac:dyDescent="0.25">
      <c r="B63">
        <v>59</v>
      </c>
      <c r="C63">
        <v>3.0589032869347537</v>
      </c>
      <c r="D63">
        <v>-5.8903286934753663E-2</v>
      </c>
    </row>
    <row r="64" spans="2:4" x14ac:dyDescent="0.25">
      <c r="B64">
        <v>60</v>
      </c>
      <c r="C64">
        <v>3.953760101192568</v>
      </c>
      <c r="D64">
        <v>4.6239898807431956E-2</v>
      </c>
    </row>
    <row r="65" spans="2:4" x14ac:dyDescent="0.25">
      <c r="B65">
        <v>61</v>
      </c>
      <c r="C65">
        <v>3.1823210597757994</v>
      </c>
      <c r="D65">
        <v>0.81767894022420062</v>
      </c>
    </row>
    <row r="66" spans="2:4" x14ac:dyDescent="0.25">
      <c r="B66">
        <v>62</v>
      </c>
      <c r="C66">
        <v>2.081690659335222</v>
      </c>
      <c r="D66">
        <v>0.91830934066477798</v>
      </c>
    </row>
    <row r="67" spans="2:4" x14ac:dyDescent="0.25">
      <c r="B67">
        <v>63</v>
      </c>
      <c r="C67">
        <v>3.0770687128842624</v>
      </c>
      <c r="D67">
        <v>0.92293128711573758</v>
      </c>
    </row>
    <row r="68" spans="2:4" x14ac:dyDescent="0.25">
      <c r="B68">
        <v>64</v>
      </c>
      <c r="C68">
        <v>4.2329927676459054</v>
      </c>
      <c r="D68">
        <v>-0.23299276764590537</v>
      </c>
    </row>
    <row r="69" spans="2:4" x14ac:dyDescent="0.25">
      <c r="B69">
        <v>65</v>
      </c>
      <c r="C69">
        <v>4.7583286215809579</v>
      </c>
      <c r="D69">
        <v>0.24167137841904207</v>
      </c>
    </row>
    <row r="70" spans="2:4" x14ac:dyDescent="0.25">
      <c r="B70">
        <v>66</v>
      </c>
      <c r="C70">
        <v>1.7659336186606105</v>
      </c>
      <c r="D70">
        <v>0.23406638133938951</v>
      </c>
    </row>
    <row r="71" spans="2:4" x14ac:dyDescent="0.25">
      <c r="B71">
        <v>67</v>
      </c>
      <c r="C71">
        <v>1.7134617586352807</v>
      </c>
      <c r="D71">
        <v>0.28653824136471928</v>
      </c>
    </row>
    <row r="72" spans="2:4" x14ac:dyDescent="0.25">
      <c r="B72">
        <v>68</v>
      </c>
      <c r="C72">
        <v>1.6676775197724507</v>
      </c>
      <c r="D72">
        <v>0.33232248022754929</v>
      </c>
    </row>
    <row r="73" spans="2:4" x14ac:dyDescent="0.25">
      <c r="B73">
        <v>69</v>
      </c>
      <c r="C73">
        <v>4.1627216607712541</v>
      </c>
      <c r="D73">
        <v>0.83727833922874595</v>
      </c>
    </row>
    <row r="74" spans="2:4" x14ac:dyDescent="0.25">
      <c r="B74">
        <v>70</v>
      </c>
      <c r="C74">
        <v>4.2676653808219136</v>
      </c>
      <c r="D74">
        <v>0.7323346191780864</v>
      </c>
    </row>
    <row r="75" spans="2:4" x14ac:dyDescent="0.25">
      <c r="B75">
        <v>71</v>
      </c>
      <c r="C75">
        <v>2.8522038202293576</v>
      </c>
      <c r="D75">
        <v>2.1477961797706424</v>
      </c>
    </row>
    <row r="76" spans="2:4" x14ac:dyDescent="0.25">
      <c r="B76">
        <v>72</v>
      </c>
      <c r="C76">
        <v>2.8375483940481225</v>
      </c>
      <c r="D76">
        <v>-0.83754839404812254</v>
      </c>
    </row>
    <row r="77" spans="2:4" x14ac:dyDescent="0.25">
      <c r="B77">
        <v>73</v>
      </c>
      <c r="C77">
        <v>2.6617163134410573</v>
      </c>
      <c r="D77">
        <v>-0.6617163134410573</v>
      </c>
    </row>
    <row r="78" spans="2:4" x14ac:dyDescent="0.25">
      <c r="B78">
        <v>74</v>
      </c>
      <c r="C78">
        <v>2.8121828457712827</v>
      </c>
      <c r="D78">
        <v>0.18781715422871725</v>
      </c>
    </row>
    <row r="79" spans="2:4" x14ac:dyDescent="0.25">
      <c r="B79">
        <v>75</v>
      </c>
      <c r="C79">
        <v>3.1982109933205445</v>
      </c>
      <c r="D79">
        <v>-2.1982109933205445</v>
      </c>
    </row>
    <row r="80" spans="2:4" x14ac:dyDescent="0.25">
      <c r="B80">
        <v>76</v>
      </c>
      <c r="C80">
        <v>3.9178529806530489</v>
      </c>
      <c r="D80">
        <v>8.2147019346951122E-2</v>
      </c>
    </row>
    <row r="81" spans="2:4" x14ac:dyDescent="0.25">
      <c r="B81">
        <v>77</v>
      </c>
      <c r="C81">
        <v>2.766042779809962</v>
      </c>
      <c r="D81">
        <v>-0.76604277980996205</v>
      </c>
    </row>
    <row r="82" spans="2:4" x14ac:dyDescent="0.25">
      <c r="B82">
        <v>78</v>
      </c>
      <c r="C82">
        <v>3.3931343803997511</v>
      </c>
      <c r="D82">
        <v>-1.3931343803997511</v>
      </c>
    </row>
    <row r="83" spans="2:4" x14ac:dyDescent="0.25">
      <c r="B83">
        <v>79</v>
      </c>
      <c r="C83">
        <v>2.6426250069689163</v>
      </c>
      <c r="D83">
        <v>1.3573749930310837</v>
      </c>
    </row>
    <row r="84" spans="2:4" x14ac:dyDescent="0.25">
      <c r="B84">
        <v>80</v>
      </c>
      <c r="C84">
        <v>3.4977694736095333</v>
      </c>
      <c r="D84">
        <v>-0.49776947360953328</v>
      </c>
    </row>
    <row r="85" spans="2:4" x14ac:dyDescent="0.25">
      <c r="B85">
        <v>81</v>
      </c>
      <c r="C85">
        <v>3.6383116873588346</v>
      </c>
      <c r="D85">
        <v>1.3616883126411654</v>
      </c>
    </row>
    <row r="86" spans="2:4" x14ac:dyDescent="0.25">
      <c r="B86">
        <v>82</v>
      </c>
      <c r="C86">
        <v>3.4980781004504107</v>
      </c>
      <c r="D86">
        <v>1.5019218995495893</v>
      </c>
    </row>
    <row r="87" spans="2:4" x14ac:dyDescent="0.25">
      <c r="B87">
        <v>83</v>
      </c>
      <c r="C87">
        <v>2.1522703930507499</v>
      </c>
      <c r="D87">
        <v>-1.1522703930507499</v>
      </c>
    </row>
    <row r="88" spans="2:4" x14ac:dyDescent="0.25">
      <c r="B88">
        <v>84</v>
      </c>
      <c r="C88">
        <v>2.8518951933884802</v>
      </c>
      <c r="D88">
        <v>-0.85189519338848019</v>
      </c>
    </row>
    <row r="89" spans="2:4" x14ac:dyDescent="0.25">
      <c r="B89">
        <v>85</v>
      </c>
      <c r="C89">
        <v>3.8990703010217853</v>
      </c>
      <c r="D89">
        <v>-0.89907030102178531</v>
      </c>
    </row>
    <row r="90" spans="2:4" x14ac:dyDescent="0.25">
      <c r="B90">
        <v>86</v>
      </c>
      <c r="C90">
        <v>2.0819992861760994</v>
      </c>
      <c r="D90">
        <v>-8.1999286176099417E-2</v>
      </c>
    </row>
    <row r="91" spans="2:4" x14ac:dyDescent="0.25">
      <c r="B91">
        <v>87</v>
      </c>
      <c r="C91">
        <v>4.5831137946556479</v>
      </c>
      <c r="D91">
        <v>0.41688620534435206</v>
      </c>
    </row>
    <row r="92" spans="2:4" x14ac:dyDescent="0.25">
      <c r="B92">
        <v>88</v>
      </c>
      <c r="C92">
        <v>4.2323755139641497</v>
      </c>
      <c r="D92">
        <v>-0.23237551396414968</v>
      </c>
    </row>
    <row r="93" spans="2:4" x14ac:dyDescent="0.25">
      <c r="B93">
        <v>89</v>
      </c>
      <c r="C93">
        <v>3.4087156871036188</v>
      </c>
      <c r="D93">
        <v>-0.40871568710361883</v>
      </c>
    </row>
    <row r="94" spans="2:4" ht="15.75" thickBot="1" x14ac:dyDescent="0.3">
      <c r="B94" s="19">
        <v>90</v>
      </c>
      <c r="C94" s="19">
        <v>3.9896672217320872</v>
      </c>
      <c r="D94" s="19">
        <v>1.033277826791279E-2</v>
      </c>
    </row>
  </sheetData>
  <mergeCells count="1">
    <mergeCell ref="H20:O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D1851-C3C1-4114-850E-FD448165CC6C}">
  <dimension ref="B2:Y120"/>
  <sheetViews>
    <sheetView topLeftCell="A11" workbookViewId="0">
      <selection activeCell="X46" sqref="X46"/>
    </sheetView>
  </sheetViews>
  <sheetFormatPr defaultRowHeight="15" x14ac:dyDescent="0.25"/>
  <cols>
    <col min="2" max="2" width="13.85546875" customWidth="1"/>
    <col min="3" max="3" width="17.42578125" customWidth="1"/>
    <col min="4" max="4" width="14.5703125" bestFit="1" customWidth="1"/>
    <col min="5" max="6" width="12" bestFit="1" customWidth="1"/>
    <col min="7" max="7" width="13.42578125" bestFit="1" customWidth="1"/>
    <col min="8" max="8" width="12" bestFit="1" customWidth="1"/>
    <col min="9" max="9" width="13.140625" customWidth="1"/>
    <col min="10" max="10" width="12.5703125" bestFit="1" customWidth="1"/>
    <col min="12" max="12" width="13.42578125" bestFit="1" customWidth="1"/>
    <col min="13" max="13" width="12" bestFit="1" customWidth="1"/>
    <col min="14" max="14" width="12.7109375" bestFit="1" customWidth="1"/>
    <col min="15" max="15" width="12.5703125" bestFit="1" customWidth="1"/>
  </cols>
  <sheetData>
    <row r="2" spans="2:7" x14ac:dyDescent="0.25">
      <c r="B2" t="s">
        <v>36</v>
      </c>
    </row>
    <row r="3" spans="2:7" ht="15.75" thickBot="1" x14ac:dyDescent="0.3"/>
    <row r="4" spans="2:7" x14ac:dyDescent="0.25">
      <c r="B4" s="26" t="s">
        <v>37</v>
      </c>
      <c r="C4" s="26"/>
    </row>
    <row r="5" spans="2:7" x14ac:dyDescent="0.25">
      <c r="B5" t="s">
        <v>38</v>
      </c>
      <c r="C5">
        <v>0.58827761787631216</v>
      </c>
    </row>
    <row r="6" spans="2:7" x14ac:dyDescent="0.25">
      <c r="B6" t="s">
        <v>39</v>
      </c>
      <c r="C6">
        <v>0.34607055569422834</v>
      </c>
    </row>
    <row r="7" spans="2:7" x14ac:dyDescent="0.25">
      <c r="B7" t="s">
        <v>40</v>
      </c>
      <c r="C7">
        <v>0.31529740537395673</v>
      </c>
    </row>
    <row r="8" spans="2:7" x14ac:dyDescent="0.25">
      <c r="B8" t="s">
        <v>41</v>
      </c>
      <c r="C8">
        <v>0.99873794122500414</v>
      </c>
    </row>
    <row r="9" spans="2:7" ht="15.75" thickBot="1" x14ac:dyDescent="0.3">
      <c r="B9" s="19" t="s">
        <v>42</v>
      </c>
      <c r="C9" s="19">
        <v>90</v>
      </c>
    </row>
    <row r="11" spans="2:7" ht="15.75" thickBot="1" x14ac:dyDescent="0.3">
      <c r="B11" t="s">
        <v>43</v>
      </c>
    </row>
    <row r="12" spans="2:7" x14ac:dyDescent="0.25">
      <c r="B12" s="20"/>
      <c r="C12" s="20" t="s">
        <v>48</v>
      </c>
      <c r="D12" s="20" t="s">
        <v>49</v>
      </c>
      <c r="E12" s="20" t="s">
        <v>50</v>
      </c>
      <c r="F12" s="20" t="s">
        <v>51</v>
      </c>
      <c r="G12" s="20" t="s">
        <v>52</v>
      </c>
    </row>
    <row r="13" spans="2:7" x14ac:dyDescent="0.25">
      <c r="B13" t="s">
        <v>44</v>
      </c>
      <c r="C13">
        <v>4</v>
      </c>
      <c r="D13">
        <v>44.869970159955017</v>
      </c>
      <c r="E13">
        <v>11.217492539988754</v>
      </c>
      <c r="F13">
        <v>11.245860501524819</v>
      </c>
      <c r="G13">
        <v>2.2708256576226309E-7</v>
      </c>
    </row>
    <row r="14" spans="2:7" x14ac:dyDescent="0.25">
      <c r="B14" t="s">
        <v>45</v>
      </c>
      <c r="C14">
        <v>85</v>
      </c>
      <c r="D14">
        <v>84.785585395600577</v>
      </c>
      <c r="E14">
        <v>0.99747747524235975</v>
      </c>
    </row>
    <row r="15" spans="2:7" ht="15.75" thickBot="1" x14ac:dyDescent="0.3">
      <c r="B15" s="19" t="s">
        <v>46</v>
      </c>
      <c r="C15" s="19">
        <v>89</v>
      </c>
      <c r="D15" s="19">
        <v>129.65555555555559</v>
      </c>
      <c r="E15" s="19"/>
      <c r="F15" s="19"/>
      <c r="G15" s="19"/>
    </row>
    <row r="16" spans="2:7" ht="15.75" thickBot="1" x14ac:dyDescent="0.3"/>
    <row r="17" spans="2:25" x14ac:dyDescent="0.25">
      <c r="B17" s="20"/>
      <c r="C17" s="20" t="s">
        <v>53</v>
      </c>
      <c r="D17" s="20" t="s">
        <v>41</v>
      </c>
      <c r="E17" s="20" t="s">
        <v>54</v>
      </c>
      <c r="F17" s="20" t="s">
        <v>55</v>
      </c>
      <c r="G17" s="20" t="s">
        <v>56</v>
      </c>
      <c r="H17" s="20" t="s">
        <v>57</v>
      </c>
      <c r="I17" s="20" t="s">
        <v>58</v>
      </c>
      <c r="J17" s="20" t="s">
        <v>59</v>
      </c>
    </row>
    <row r="18" spans="2:25" x14ac:dyDescent="0.25">
      <c r="B18" t="s">
        <v>47</v>
      </c>
      <c r="C18">
        <v>0.95920471038607791</v>
      </c>
      <c r="D18">
        <v>0.63592311475755003</v>
      </c>
      <c r="E18">
        <v>1.5083658513526139</v>
      </c>
      <c r="F18">
        <v>0.13516900114141964</v>
      </c>
      <c r="G18">
        <v>-0.30518081030931543</v>
      </c>
      <c r="H18">
        <v>2.223590231081471</v>
      </c>
      <c r="I18">
        <v>-0.30518081030931543</v>
      </c>
      <c r="J18">
        <v>2.223590231081471</v>
      </c>
    </row>
    <row r="19" spans="2:25" x14ac:dyDescent="0.25">
      <c r="B19" t="s">
        <v>28</v>
      </c>
      <c r="C19">
        <v>0.34981240016886506</v>
      </c>
      <c r="D19">
        <v>0.11742617330995862</v>
      </c>
      <c r="E19">
        <v>2.9789985512471633</v>
      </c>
      <c r="F19">
        <v>3.7687954826191752E-3</v>
      </c>
      <c r="G19">
        <v>0.11633770827881565</v>
      </c>
      <c r="H19">
        <v>0.58328709205891449</v>
      </c>
      <c r="I19">
        <v>0.11633770827881565</v>
      </c>
      <c r="J19">
        <v>0.58328709205891449</v>
      </c>
    </row>
    <row r="20" spans="2:25" x14ac:dyDescent="0.25">
      <c r="B20" t="s">
        <v>64</v>
      </c>
      <c r="C20">
        <v>0.76609068013470272</v>
      </c>
      <c r="D20">
        <v>0.23492349182246977</v>
      </c>
      <c r="E20">
        <v>3.2610220212188601</v>
      </c>
      <c r="F20">
        <v>1.5983855469295118E-3</v>
      </c>
      <c r="G20">
        <v>0.29899984063159774</v>
      </c>
      <c r="H20">
        <v>1.2331815196378078</v>
      </c>
      <c r="I20">
        <v>0.29899984063159774</v>
      </c>
      <c r="J20">
        <v>1.2331815196378078</v>
      </c>
    </row>
    <row r="21" spans="2:25" x14ac:dyDescent="0.25">
      <c r="B21" t="s">
        <v>65</v>
      </c>
      <c r="C21">
        <v>0.47477330721429861</v>
      </c>
      <c r="D21">
        <v>0.22867620265965771</v>
      </c>
      <c r="E21">
        <v>2.0761815251974904</v>
      </c>
      <c r="F21">
        <v>4.0898081901870637E-2</v>
      </c>
      <c r="G21">
        <v>2.0103752262343122E-2</v>
      </c>
      <c r="H21">
        <v>0.92944286216625405</v>
      </c>
      <c r="I21">
        <v>2.0103752262343122E-2</v>
      </c>
      <c r="J21">
        <v>0.92944286216625405</v>
      </c>
    </row>
    <row r="22" spans="2:25" ht="15.75" thickBot="1" x14ac:dyDescent="0.3">
      <c r="B22" s="19" t="s">
        <v>29</v>
      </c>
      <c r="C22" s="19">
        <v>0.14054221374930118</v>
      </c>
      <c r="D22" s="19">
        <v>0.10560156845012654</v>
      </c>
      <c r="E22" s="19">
        <v>1.3308724085445416</v>
      </c>
      <c r="F22" s="19">
        <v>0.18679001775510137</v>
      </c>
      <c r="G22" s="19">
        <v>-6.9421995779344881E-2</v>
      </c>
      <c r="H22" s="19">
        <v>0.35050642327794723</v>
      </c>
      <c r="I22" s="19">
        <v>-6.9421995779344881E-2</v>
      </c>
      <c r="J22" s="19">
        <v>0.35050642327794723</v>
      </c>
    </row>
    <row r="26" spans="2:25" x14ac:dyDescent="0.25">
      <c r="B26" t="s">
        <v>60</v>
      </c>
    </row>
    <row r="27" spans="2:25" ht="15.75" thickBot="1" x14ac:dyDescent="0.3">
      <c r="I27" s="43" t="s">
        <v>94</v>
      </c>
      <c r="J27" s="44"/>
      <c r="K27" s="44"/>
      <c r="L27" s="44"/>
      <c r="M27" s="44"/>
      <c r="N27" s="44"/>
      <c r="O27" s="44"/>
      <c r="P27" s="44"/>
      <c r="Q27" s="45"/>
      <c r="S27" s="63" t="s">
        <v>107</v>
      </c>
      <c r="T27" s="64"/>
      <c r="U27" s="64"/>
      <c r="V27" s="64"/>
      <c r="W27" s="64"/>
      <c r="X27" s="64"/>
      <c r="Y27" s="65"/>
    </row>
    <row r="28" spans="2:25" x14ac:dyDescent="0.25">
      <c r="B28" s="20" t="s">
        <v>61</v>
      </c>
      <c r="C28" s="20" t="s">
        <v>62</v>
      </c>
      <c r="D28" s="20" t="s">
        <v>92</v>
      </c>
      <c r="E28" s="27" t="s">
        <v>93</v>
      </c>
      <c r="F28" s="27" t="s">
        <v>103</v>
      </c>
      <c r="G28" s="27" t="s">
        <v>104</v>
      </c>
      <c r="I28" s="31" t="s">
        <v>36</v>
      </c>
      <c r="Q28" s="32"/>
      <c r="S28" s="31" t="s">
        <v>108</v>
      </c>
      <c r="Y28" s="32"/>
    </row>
    <row r="29" spans="2:25" ht="15.75" thickBot="1" x14ac:dyDescent="0.3">
      <c r="B29">
        <v>1</v>
      </c>
      <c r="C29">
        <v>4.5128426877809975</v>
      </c>
      <c r="D29">
        <v>0.48715731221900249</v>
      </c>
      <c r="E29">
        <f>D29^2</f>
        <v>0.23732224684844266</v>
      </c>
      <c r="F29">
        <f>D30</f>
        <v>-0.74294678056861629</v>
      </c>
      <c r="G29">
        <f>(F29-D29)^2</f>
        <v>1.5131560790928507</v>
      </c>
      <c r="I29" s="31"/>
      <c r="Q29" s="32"/>
      <c r="S29" s="31" t="s">
        <v>109</v>
      </c>
      <c r="Y29" s="32"/>
    </row>
    <row r="30" spans="2:25" x14ac:dyDescent="0.25">
      <c r="B30">
        <v>2</v>
      </c>
      <c r="C30">
        <v>3.7429467805686163</v>
      </c>
      <c r="D30">
        <v>-0.74294678056861629</v>
      </c>
      <c r="E30">
        <f t="shared" ref="E30:E93" si="0">D30^2</f>
        <v>0.55196991875727164</v>
      </c>
      <c r="F30">
        <f t="shared" ref="F30:F93" si="1">D31</f>
        <v>-1.7148383378187559</v>
      </c>
      <c r="G30">
        <f t="shared" ref="G30:G93" si="2">(F30-D30)^2</f>
        <v>0.94457319905410142</v>
      </c>
      <c r="I30" s="38" t="s">
        <v>37</v>
      </c>
      <c r="J30" s="26"/>
      <c r="Q30" s="32"/>
      <c r="S30" s="31"/>
      <c r="Y30" s="32"/>
    </row>
    <row r="31" spans="2:25" x14ac:dyDescent="0.25">
      <c r="B31">
        <v>3</v>
      </c>
      <c r="C31">
        <v>3.7148383378187559</v>
      </c>
      <c r="D31">
        <v>-1.7148383378187559</v>
      </c>
      <c r="E31">
        <f t="shared" si="0"/>
        <v>2.9406705248529939</v>
      </c>
      <c r="F31">
        <f t="shared" si="1"/>
        <v>0.94109671306524634</v>
      </c>
      <c r="G31">
        <f t="shared" si="2"/>
        <v>7.0539909945142076</v>
      </c>
      <c r="I31" s="31" t="s">
        <v>38</v>
      </c>
      <c r="J31">
        <v>5.6510342911367306E-2</v>
      </c>
      <c r="Q31" s="32"/>
      <c r="S31" s="31" t="s">
        <v>110</v>
      </c>
      <c r="Y31" s="32"/>
    </row>
    <row r="32" spans="2:25" x14ac:dyDescent="0.25">
      <c r="B32">
        <v>4</v>
      </c>
      <c r="C32">
        <v>3.0589032869347537</v>
      </c>
      <c r="D32">
        <v>0.94109671306524634</v>
      </c>
      <c r="E32">
        <f t="shared" si="0"/>
        <v>0.88566302334221059</v>
      </c>
      <c r="F32">
        <f t="shared" si="1"/>
        <v>0.83696971238786766</v>
      </c>
      <c r="G32">
        <f t="shared" si="2"/>
        <v>1.084243227006682E-2</v>
      </c>
      <c r="I32" s="31" t="s">
        <v>39</v>
      </c>
      <c r="J32">
        <v>3.1934188559603208E-3</v>
      </c>
      <c r="Q32" s="32"/>
      <c r="S32" s="31" t="s">
        <v>111</v>
      </c>
      <c r="T32" t="s">
        <v>112</v>
      </c>
      <c r="Y32" s="32"/>
    </row>
    <row r="33" spans="2:25" x14ac:dyDescent="0.25">
      <c r="B33">
        <v>5</v>
      </c>
      <c r="C33">
        <v>4.1630302876121323</v>
      </c>
      <c r="D33">
        <v>0.83696971238786766</v>
      </c>
      <c r="E33">
        <f t="shared" si="0"/>
        <v>0.70051829945462996</v>
      </c>
      <c r="F33">
        <f t="shared" si="1"/>
        <v>-1.4515202464988608</v>
      </c>
      <c r="G33">
        <f t="shared" si="2"/>
        <v>5.2371862919253802</v>
      </c>
      <c r="I33" s="31" t="s">
        <v>40</v>
      </c>
      <c r="J33">
        <v>-8.1339286570401292E-3</v>
      </c>
      <c r="Q33" s="32"/>
      <c r="S33" s="31"/>
      <c r="Y33" s="32"/>
    </row>
    <row r="34" spans="2:25" x14ac:dyDescent="0.25">
      <c r="B34">
        <v>6</v>
      </c>
      <c r="C34">
        <v>2.4515202464988608</v>
      </c>
      <c r="D34">
        <v>-1.4515202464988608</v>
      </c>
      <c r="E34">
        <f t="shared" si="0"/>
        <v>2.1069110259961135</v>
      </c>
      <c r="F34">
        <f t="shared" si="1"/>
        <v>-0.4515202464988608</v>
      </c>
      <c r="G34">
        <f t="shared" si="2"/>
        <v>1</v>
      </c>
      <c r="I34" s="31" t="s">
        <v>41</v>
      </c>
      <c r="J34">
        <v>1.2323980407983537</v>
      </c>
      <c r="Q34" s="32"/>
      <c r="S34" s="31" t="s">
        <v>113</v>
      </c>
      <c r="T34" t="s">
        <v>114</v>
      </c>
      <c r="U34" t="s">
        <v>115</v>
      </c>
      <c r="V34" t="s">
        <v>116</v>
      </c>
      <c r="Y34" s="32"/>
    </row>
    <row r="35" spans="2:25" ht="15.75" thickBot="1" x14ac:dyDescent="0.3">
      <c r="B35">
        <v>7</v>
      </c>
      <c r="C35">
        <v>2.4515202464988608</v>
      </c>
      <c r="D35">
        <v>-0.4515202464988608</v>
      </c>
      <c r="E35">
        <f t="shared" si="0"/>
        <v>0.20387053299839203</v>
      </c>
      <c r="F35">
        <f t="shared" si="1"/>
        <v>-0.13205374036444972</v>
      </c>
      <c r="G35">
        <f t="shared" si="2"/>
        <v>0.10205884854172771</v>
      </c>
      <c r="I35" s="39" t="s">
        <v>42</v>
      </c>
      <c r="J35" s="19">
        <v>90</v>
      </c>
      <c r="Q35" s="32"/>
      <c r="S35" s="31">
        <v>1.5660000000000001</v>
      </c>
      <c r="T35">
        <v>1.7509999999999999</v>
      </c>
      <c r="U35">
        <f>4-T35</f>
        <v>2.2490000000000001</v>
      </c>
      <c r="V35">
        <f>4-S35</f>
        <v>2.4340000000000002</v>
      </c>
      <c r="Y35" s="32"/>
    </row>
    <row r="36" spans="2:25" x14ac:dyDescent="0.25">
      <c r="B36">
        <v>8</v>
      </c>
      <c r="C36">
        <v>3.1320537403644497</v>
      </c>
      <c r="D36">
        <v>-0.13205374036444972</v>
      </c>
      <c r="E36">
        <f t="shared" si="0"/>
        <v>1.7438190344241499E-2</v>
      </c>
      <c r="F36">
        <f t="shared" si="1"/>
        <v>0.40793753975183833</v>
      </c>
      <c r="G36">
        <f t="shared" si="2"/>
        <v>0.29159058260162746</v>
      </c>
      <c r="I36" s="31"/>
      <c r="Q36" s="32"/>
      <c r="S36" s="31"/>
      <c r="Y36" s="32"/>
    </row>
    <row r="37" spans="2:25" ht="15.75" thickBot="1" x14ac:dyDescent="0.3">
      <c r="B37">
        <v>9</v>
      </c>
      <c r="C37">
        <v>2.5920624602481617</v>
      </c>
      <c r="D37">
        <v>0.40793753975183833</v>
      </c>
      <c r="E37">
        <f t="shared" si="0"/>
        <v>0.16641303633878268</v>
      </c>
      <c r="F37">
        <f t="shared" si="1"/>
        <v>-0.59206246024816167</v>
      </c>
      <c r="G37">
        <f t="shared" si="2"/>
        <v>1</v>
      </c>
      <c r="I37" s="31" t="s">
        <v>43</v>
      </c>
      <c r="Q37" s="32"/>
      <c r="S37" s="31" t="s">
        <v>117</v>
      </c>
      <c r="T37">
        <f>G119/E119</f>
        <v>2.1296035460456872</v>
      </c>
      <c r="Y37" s="32"/>
    </row>
    <row r="38" spans="2:25" x14ac:dyDescent="0.25">
      <c r="B38">
        <v>10</v>
      </c>
      <c r="C38">
        <v>2.5920624602481617</v>
      </c>
      <c r="D38">
        <v>-0.59206246024816167</v>
      </c>
      <c r="E38">
        <f t="shared" si="0"/>
        <v>0.35053795683510602</v>
      </c>
      <c r="F38">
        <f t="shared" si="1"/>
        <v>0.32290184554660062</v>
      </c>
      <c r="G38">
        <f t="shared" si="2"/>
        <v>0.83715968087849124</v>
      </c>
      <c r="I38" s="40"/>
      <c r="J38" s="20" t="s">
        <v>48</v>
      </c>
      <c r="K38" s="20" t="s">
        <v>49</v>
      </c>
      <c r="L38" s="20" t="s">
        <v>50</v>
      </c>
      <c r="M38" s="20" t="s">
        <v>51</v>
      </c>
      <c r="N38" s="20" t="s">
        <v>52</v>
      </c>
      <c r="Q38" s="32"/>
      <c r="S38" s="31"/>
      <c r="Y38" s="32"/>
    </row>
    <row r="39" spans="2:25" x14ac:dyDescent="0.25">
      <c r="B39">
        <v>11</v>
      </c>
      <c r="C39">
        <v>3.6770981544533994</v>
      </c>
      <c r="D39">
        <v>0.32290184554660062</v>
      </c>
      <c r="E39">
        <f t="shared" si="0"/>
        <v>0.10426560185740072</v>
      </c>
      <c r="F39">
        <f t="shared" si="1"/>
        <v>-1.1083404874413487</v>
      </c>
      <c r="G39">
        <f t="shared" si="2"/>
        <v>2.0484546157367882</v>
      </c>
      <c r="I39" s="31" t="s">
        <v>44</v>
      </c>
      <c r="J39">
        <v>1</v>
      </c>
      <c r="K39">
        <v>0.42818323526299196</v>
      </c>
      <c r="L39">
        <v>0.42818323526299196</v>
      </c>
      <c r="M39">
        <v>0.28192115164606885</v>
      </c>
      <c r="N39">
        <v>0.59678233409776993</v>
      </c>
      <c r="Q39" s="32"/>
      <c r="S39" s="34" t="s">
        <v>118</v>
      </c>
      <c r="T39" s="18"/>
      <c r="U39" s="18"/>
      <c r="V39" s="18"/>
      <c r="W39" s="18"/>
      <c r="X39" s="18"/>
      <c r="Y39" s="35"/>
    </row>
    <row r="40" spans="2:25" x14ac:dyDescent="0.25">
      <c r="B40">
        <v>12</v>
      </c>
      <c r="C40">
        <v>4.1083404874413487</v>
      </c>
      <c r="D40">
        <v>-1.1083404874413487</v>
      </c>
      <c r="E40">
        <f t="shared" si="0"/>
        <v>1.2284186361017264</v>
      </c>
      <c r="F40">
        <f t="shared" si="1"/>
        <v>0.46632340585094756</v>
      </c>
      <c r="G40">
        <f t="shared" si="2"/>
        <v>2.4795663768384522</v>
      </c>
      <c r="I40" s="31" t="s">
        <v>45</v>
      </c>
      <c r="J40">
        <v>88</v>
      </c>
      <c r="K40">
        <v>133.6548339247986</v>
      </c>
      <c r="L40">
        <v>1.5188049309636205</v>
      </c>
      <c r="Q40" s="32"/>
    </row>
    <row r="41" spans="2:25" ht="15.75" thickBot="1" x14ac:dyDescent="0.3">
      <c r="B41">
        <v>13</v>
      </c>
      <c r="C41">
        <v>3.5336765941490524</v>
      </c>
      <c r="D41">
        <v>0.46632340585094756</v>
      </c>
      <c r="E41">
        <f t="shared" si="0"/>
        <v>0.21745751884442754</v>
      </c>
      <c r="F41">
        <f t="shared" si="1"/>
        <v>-2.5336765941490524</v>
      </c>
      <c r="G41">
        <f t="shared" si="2"/>
        <v>9</v>
      </c>
      <c r="I41" s="39" t="s">
        <v>46</v>
      </c>
      <c r="J41" s="19">
        <v>89</v>
      </c>
      <c r="K41" s="19">
        <v>134.08301716006159</v>
      </c>
      <c r="L41" s="19"/>
      <c r="M41" s="19"/>
      <c r="N41" s="19"/>
      <c r="Q41" s="32"/>
    </row>
    <row r="42" spans="2:25" ht="15.75" thickBot="1" x14ac:dyDescent="0.3">
      <c r="B42">
        <v>14</v>
      </c>
      <c r="C42">
        <v>3.5336765941490524</v>
      </c>
      <c r="D42">
        <v>-2.5336765941490524</v>
      </c>
      <c r="E42">
        <f t="shared" si="0"/>
        <v>6.4195170837387421</v>
      </c>
      <c r="F42">
        <f t="shared" si="1"/>
        <v>0.52101320602173073</v>
      </c>
      <c r="G42">
        <f t="shared" si="2"/>
        <v>9.3311297752674189</v>
      </c>
      <c r="I42" s="31"/>
      <c r="Q42" s="32"/>
    </row>
    <row r="43" spans="2:25" x14ac:dyDescent="0.25">
      <c r="B43">
        <v>15</v>
      </c>
      <c r="C43">
        <v>3.4789867939782693</v>
      </c>
      <c r="D43">
        <v>0.52101320602173073</v>
      </c>
      <c r="E43">
        <f t="shared" si="0"/>
        <v>0.27145476084904241</v>
      </c>
      <c r="F43">
        <f t="shared" si="1"/>
        <v>1.6068656196002489</v>
      </c>
      <c r="G43">
        <f t="shared" si="2"/>
        <v>1.1790754640742933</v>
      </c>
      <c r="I43" s="40"/>
      <c r="J43" s="20" t="s">
        <v>53</v>
      </c>
      <c r="K43" s="20" t="s">
        <v>41</v>
      </c>
      <c r="L43" s="20" t="s">
        <v>54</v>
      </c>
      <c r="M43" s="20" t="s">
        <v>55</v>
      </c>
      <c r="N43" s="20" t="s">
        <v>56</v>
      </c>
      <c r="O43" s="20" t="s">
        <v>57</v>
      </c>
      <c r="P43" s="20" t="s">
        <v>58</v>
      </c>
      <c r="Q43" s="41" t="s">
        <v>59</v>
      </c>
    </row>
    <row r="44" spans="2:25" x14ac:dyDescent="0.25">
      <c r="B44">
        <v>16</v>
      </c>
      <c r="C44">
        <v>3.3931343803997511</v>
      </c>
      <c r="D44">
        <v>1.6068656196002489</v>
      </c>
      <c r="E44">
        <f t="shared" si="0"/>
        <v>2.5820171194532917</v>
      </c>
      <c r="F44">
        <f t="shared" si="1"/>
        <v>-0.81321788744326717</v>
      </c>
      <c r="G44">
        <f t="shared" si="2"/>
        <v>5.8568041810640441</v>
      </c>
      <c r="I44" s="31" t="s">
        <v>47</v>
      </c>
      <c r="J44">
        <v>1.2470626993168901</v>
      </c>
      <c r="K44">
        <v>0.58893559981244692</v>
      </c>
      <c r="L44">
        <v>2.1174856804615496</v>
      </c>
      <c r="M44">
        <v>3.7039776406897165E-2</v>
      </c>
      <c r="N44">
        <v>7.6676950771347174E-2</v>
      </c>
      <c r="O44">
        <v>2.4174484478624327</v>
      </c>
      <c r="P44">
        <v>7.6676950771347174E-2</v>
      </c>
      <c r="Q44" s="32">
        <v>2.4174484478624327</v>
      </c>
    </row>
    <row r="45" spans="2:25" ht="15.75" thickBot="1" x14ac:dyDescent="0.3">
      <c r="B45">
        <v>17</v>
      </c>
      <c r="C45">
        <v>3.8132178874432672</v>
      </c>
      <c r="D45">
        <v>-0.81321788744326717</v>
      </c>
      <c r="E45">
        <f t="shared" si="0"/>
        <v>0.66132333245769037</v>
      </c>
      <c r="F45">
        <f t="shared" si="1"/>
        <v>0.46632340585094756</v>
      </c>
      <c r="G45">
        <f t="shared" si="2"/>
        <v>1.6372259212450317</v>
      </c>
      <c r="I45" s="39" t="s">
        <v>62</v>
      </c>
      <c r="J45" s="19">
        <v>-9.7687037519286479E-2</v>
      </c>
      <c r="K45" s="19">
        <v>0.18398105668299086</v>
      </c>
      <c r="L45" s="19">
        <v>-0.53096247668370788</v>
      </c>
      <c r="M45" s="19">
        <v>0.59678233409775161</v>
      </c>
      <c r="N45" s="19">
        <v>-0.46331072678632362</v>
      </c>
      <c r="O45" s="19">
        <v>0.26793665174775066</v>
      </c>
      <c r="P45" s="19">
        <v>-0.46331072678632362</v>
      </c>
      <c r="Q45" s="42">
        <v>0.26793665174775066</v>
      </c>
    </row>
    <row r="46" spans="2:25" x14ac:dyDescent="0.25">
      <c r="B46">
        <v>18</v>
      </c>
      <c r="C46">
        <v>3.5336765941490524</v>
      </c>
      <c r="D46">
        <v>0.46632340585094756</v>
      </c>
      <c r="E46">
        <f t="shared" si="0"/>
        <v>0.21745751884442754</v>
      </c>
      <c r="F46">
        <f t="shared" si="1"/>
        <v>-1.0589032869347537</v>
      </c>
      <c r="G46">
        <f t="shared" si="2"/>
        <v>2.3263164643860077</v>
      </c>
      <c r="I46" s="31"/>
      <c r="Q46" s="32"/>
    </row>
    <row r="47" spans="2:25" x14ac:dyDescent="0.25">
      <c r="B47">
        <v>19</v>
      </c>
      <c r="C47">
        <v>3.0589032869347537</v>
      </c>
      <c r="D47">
        <v>-1.0589032869347537</v>
      </c>
      <c r="E47">
        <f t="shared" si="0"/>
        <v>1.1212761710812253</v>
      </c>
      <c r="F47">
        <f t="shared" si="1"/>
        <v>1.2399287785231285</v>
      </c>
      <c r="G47">
        <f t="shared" si="2"/>
        <v>5.2846288651773525</v>
      </c>
      <c r="I47" s="31" t="s">
        <v>95</v>
      </c>
      <c r="Q47" s="32"/>
    </row>
    <row r="48" spans="2:25" x14ac:dyDescent="0.25">
      <c r="B48">
        <v>20</v>
      </c>
      <c r="C48">
        <v>3.7600712214768715</v>
      </c>
      <c r="D48">
        <v>1.2399287785231285</v>
      </c>
      <c r="E48">
        <f t="shared" si="0"/>
        <v>1.5374233758098577</v>
      </c>
      <c r="F48">
        <f t="shared" si="1"/>
        <v>-9.4302314941868914E-2</v>
      </c>
      <c r="G48">
        <f t="shared" si="2"/>
        <v>1.7801726107688027</v>
      </c>
      <c r="I48" s="31" t="s">
        <v>96</v>
      </c>
      <c r="Q48" s="32"/>
    </row>
    <row r="49" spans="2:17" x14ac:dyDescent="0.25">
      <c r="B49">
        <v>21</v>
      </c>
      <c r="C49">
        <v>4.0943023149418689</v>
      </c>
      <c r="D49">
        <v>-9.4302314941868914E-2</v>
      </c>
      <c r="E49">
        <f t="shared" si="0"/>
        <v>8.8929266033954332E-3</v>
      </c>
      <c r="F49">
        <f t="shared" si="1"/>
        <v>-0.11739831418321511</v>
      </c>
      <c r="G49">
        <f t="shared" si="2"/>
        <v>5.3342518095626421E-4</v>
      </c>
      <c r="I49" s="31"/>
      <c r="Q49" s="32"/>
    </row>
    <row r="50" spans="2:17" x14ac:dyDescent="0.25">
      <c r="B50">
        <v>22</v>
      </c>
      <c r="C50">
        <v>3.1173983141832151</v>
      </c>
      <c r="D50">
        <v>-0.11739831418321511</v>
      </c>
      <c r="E50">
        <f t="shared" si="0"/>
        <v>1.3782364173060887E-2</v>
      </c>
      <c r="F50">
        <f t="shared" si="1"/>
        <v>0.40793753975183833</v>
      </c>
      <c r="G50">
        <f t="shared" si="2"/>
        <v>0.27597775942967179</v>
      </c>
      <c r="I50" s="31" t="s">
        <v>97</v>
      </c>
      <c r="Q50" s="32"/>
    </row>
    <row r="51" spans="2:17" x14ac:dyDescent="0.25">
      <c r="B51">
        <v>23</v>
      </c>
      <c r="C51">
        <v>2.5920624602481617</v>
      </c>
      <c r="D51">
        <v>0.40793753975183833</v>
      </c>
      <c r="E51">
        <f t="shared" si="0"/>
        <v>0.16641303633878268</v>
      </c>
      <c r="F51">
        <f t="shared" si="1"/>
        <v>-1.3228632735251007</v>
      </c>
      <c r="G51">
        <f t="shared" si="2"/>
        <v>2.9956714552401134</v>
      </c>
      <c r="I51" s="31" t="s">
        <v>98</v>
      </c>
      <c r="J51">
        <f>_xlfn.CHISQ.INV.RT(0.01, 1)</f>
        <v>6.6348966010212118</v>
      </c>
      <c r="K51" t="s">
        <v>99</v>
      </c>
      <c r="Q51" s="32"/>
    </row>
    <row r="52" spans="2:17" x14ac:dyDescent="0.25">
      <c r="B52">
        <v>24</v>
      </c>
      <c r="C52">
        <v>3.3228632735251007</v>
      </c>
      <c r="D52">
        <v>-1.3228632735251007</v>
      </c>
      <c r="E52">
        <f t="shared" si="0"/>
        <v>1.7499672404415454</v>
      </c>
      <c r="F52">
        <f t="shared" si="1"/>
        <v>1.7814631928438036</v>
      </c>
      <c r="G52">
        <f t="shared" si="2"/>
        <v>9.6368428097984484</v>
      </c>
      <c r="I52" s="31"/>
      <c r="J52">
        <f>_xlfn.CHISQ.INV.RT(0.05, 1)</f>
        <v>3.8414588206941236</v>
      </c>
      <c r="K52" t="s">
        <v>100</v>
      </c>
      <c r="Q52" s="32"/>
    </row>
    <row r="53" spans="2:17" x14ac:dyDescent="0.25">
      <c r="B53">
        <v>25</v>
      </c>
      <c r="C53">
        <v>3.2185368071561964</v>
      </c>
      <c r="D53">
        <v>1.7814631928438036</v>
      </c>
      <c r="E53">
        <f t="shared" si="0"/>
        <v>3.1736111074572388</v>
      </c>
      <c r="F53">
        <f t="shared" si="1"/>
        <v>0.94109671306524634</v>
      </c>
      <c r="G53">
        <f t="shared" si="2"/>
        <v>0.70621582033540431</v>
      </c>
      <c r="I53" s="31"/>
      <c r="Q53" s="32"/>
    </row>
    <row r="54" spans="2:17" x14ac:dyDescent="0.25">
      <c r="B54">
        <v>26</v>
      </c>
      <c r="C54">
        <v>3.0589032869347537</v>
      </c>
      <c r="D54">
        <v>0.94109671306524634</v>
      </c>
      <c r="E54">
        <f t="shared" si="0"/>
        <v>0.88566302334221059</v>
      </c>
      <c r="F54">
        <f t="shared" si="1"/>
        <v>0.46632340585094756</v>
      </c>
      <c r="G54">
        <f t="shared" si="2"/>
        <v>0.22540969324320292</v>
      </c>
      <c r="I54" s="31" t="s">
        <v>101</v>
      </c>
      <c r="J54">
        <f>J32*J35</f>
        <v>0.28740769703642888</v>
      </c>
      <c r="Q54" s="32"/>
    </row>
    <row r="55" spans="2:17" x14ac:dyDescent="0.25">
      <c r="B55">
        <v>27</v>
      </c>
      <c r="C55">
        <v>3.5336765941490524</v>
      </c>
      <c r="D55">
        <v>0.46632340585094756</v>
      </c>
      <c r="E55">
        <f t="shared" si="0"/>
        <v>0.21745751884442754</v>
      </c>
      <c r="F55">
        <f t="shared" si="1"/>
        <v>-0.46340548727440201</v>
      </c>
      <c r="G55">
        <f t="shared" si="2"/>
        <v>0.86439581471208771</v>
      </c>
      <c r="I55" s="31"/>
      <c r="Q55" s="32"/>
    </row>
    <row r="56" spans="2:17" x14ac:dyDescent="0.25">
      <c r="B56">
        <v>28</v>
      </c>
      <c r="C56">
        <v>3.463405487274402</v>
      </c>
      <c r="D56">
        <v>-0.46340548727440201</v>
      </c>
      <c r="E56">
        <f t="shared" si="0"/>
        <v>0.21474464563602597</v>
      </c>
      <c r="F56">
        <f t="shared" si="1"/>
        <v>9.3106379599859235E-2</v>
      </c>
      <c r="G56">
        <f t="shared" si="2"/>
        <v>0.30970545797187549</v>
      </c>
      <c r="I56" s="31" t="s">
        <v>99</v>
      </c>
      <c r="J56" t="s">
        <v>100</v>
      </c>
      <c r="Q56" s="32"/>
    </row>
    <row r="57" spans="2:17" x14ac:dyDescent="0.25">
      <c r="B57">
        <v>29</v>
      </c>
      <c r="C57">
        <v>2.9068936204001408</v>
      </c>
      <c r="D57">
        <v>9.3106379599859235E-2</v>
      </c>
      <c r="E57">
        <f t="shared" si="0"/>
        <v>8.6687979221930847E-3</v>
      </c>
      <c r="F57">
        <f t="shared" si="1"/>
        <v>-0.76635140665083945</v>
      </c>
      <c r="G57">
        <f t="shared" si="2"/>
        <v>0.73866768634695168</v>
      </c>
      <c r="I57" s="31" t="str">
        <f>IF(J54&gt;J51, "Reject Ho", "Do Not Reject Ho")</f>
        <v>Do Not Reject Ho</v>
      </c>
      <c r="J57" t="str">
        <f>IF(J54&gt;J52, "Reject Ho", "Do Not Reject Ho")</f>
        <v>Do Not Reject Ho</v>
      </c>
      <c r="Q57" s="32"/>
    </row>
    <row r="58" spans="2:17" x14ac:dyDescent="0.25">
      <c r="B58">
        <v>30</v>
      </c>
      <c r="C58">
        <v>2.7663514066508395</v>
      </c>
      <c r="D58">
        <v>-0.76635140665083945</v>
      </c>
      <c r="E58">
        <f t="shared" si="0"/>
        <v>0.58729447847572025</v>
      </c>
      <c r="F58">
        <f t="shared" si="1"/>
        <v>1.6187508603757896</v>
      </c>
      <c r="G58">
        <f t="shared" si="2"/>
        <v>5.6887128241755658</v>
      </c>
      <c r="I58" s="31"/>
      <c r="Q58" s="32"/>
    </row>
    <row r="59" spans="2:17" x14ac:dyDescent="0.25">
      <c r="B59">
        <v>31</v>
      </c>
      <c r="C59">
        <v>2.3812491396242104</v>
      </c>
      <c r="D59">
        <v>1.6187508603757896</v>
      </c>
      <c r="E59">
        <f t="shared" si="0"/>
        <v>2.6203543479673592</v>
      </c>
      <c r="F59">
        <f t="shared" si="1"/>
        <v>-0.52179135337351124</v>
      </c>
      <c r="G59">
        <f t="shared" si="2"/>
        <v>4.5819209688427573</v>
      </c>
      <c r="I59" s="34" t="s">
        <v>102</v>
      </c>
      <c r="J59" s="18"/>
      <c r="K59" s="18"/>
      <c r="L59" s="18"/>
      <c r="M59" s="18"/>
      <c r="N59" s="18"/>
      <c r="O59" s="18"/>
      <c r="P59" s="18"/>
      <c r="Q59" s="35"/>
    </row>
    <row r="60" spans="2:17" x14ac:dyDescent="0.25">
      <c r="B60">
        <v>32</v>
      </c>
      <c r="C60">
        <v>2.5217913533735112</v>
      </c>
      <c r="D60">
        <v>-0.52179135337351124</v>
      </c>
      <c r="E60">
        <f t="shared" si="0"/>
        <v>0.27226621645536048</v>
      </c>
      <c r="F60">
        <f t="shared" si="1"/>
        <v>0.74216863321683535</v>
      </c>
      <c r="G60">
        <f t="shared" si="2"/>
        <v>1.5975948477014692</v>
      </c>
    </row>
    <row r="61" spans="2:17" x14ac:dyDescent="0.25">
      <c r="B61">
        <v>33</v>
      </c>
      <c r="C61">
        <v>2.2578313667831647</v>
      </c>
      <c r="D61">
        <v>0.74216863321683535</v>
      </c>
      <c r="E61">
        <f t="shared" si="0"/>
        <v>0.55081428013094547</v>
      </c>
      <c r="F61">
        <f t="shared" si="1"/>
        <v>-0.18756025990851377</v>
      </c>
      <c r="G61">
        <f t="shared" si="2"/>
        <v>0.86439581471208682</v>
      </c>
    </row>
    <row r="62" spans="2:17" x14ac:dyDescent="0.25">
      <c r="B62">
        <v>34</v>
      </c>
      <c r="C62">
        <v>2.1875602599085138</v>
      </c>
      <c r="D62">
        <v>-0.18756025990851377</v>
      </c>
      <c r="E62">
        <f t="shared" si="0"/>
        <v>3.5178851096949237E-2</v>
      </c>
      <c r="F62">
        <f t="shared" si="1"/>
        <v>-0.2919958874267703</v>
      </c>
      <c r="G62">
        <f t="shared" si="2"/>
        <v>1.0906800295132019E-2</v>
      </c>
    </row>
    <row r="63" spans="2:17" x14ac:dyDescent="0.25">
      <c r="B63">
        <v>35</v>
      </c>
      <c r="C63">
        <v>3.2919958874267703</v>
      </c>
      <c r="D63">
        <v>-0.2919958874267703</v>
      </c>
      <c r="E63">
        <f t="shared" si="0"/>
        <v>8.5261598274147116E-2</v>
      </c>
      <c r="F63">
        <f t="shared" si="1"/>
        <v>0.23364859334916055</v>
      </c>
      <c r="G63">
        <f t="shared" si="2"/>
        <v>0.27630212017019795</v>
      </c>
    </row>
    <row r="64" spans="2:17" x14ac:dyDescent="0.25">
      <c r="B64">
        <v>36</v>
      </c>
      <c r="C64">
        <v>2.7663514066508395</v>
      </c>
      <c r="D64">
        <v>0.23364859334916055</v>
      </c>
      <c r="E64">
        <f t="shared" si="0"/>
        <v>5.459166517404139E-2</v>
      </c>
      <c r="F64">
        <f t="shared" si="1"/>
        <v>2.0935241675900884</v>
      </c>
      <c r="G64">
        <f t="shared" si="2"/>
        <v>3.4591371516580214</v>
      </c>
    </row>
    <row r="65" spans="2:7" x14ac:dyDescent="0.25">
      <c r="B65">
        <v>37</v>
      </c>
      <c r="C65">
        <v>1.9064758324099116</v>
      </c>
      <c r="D65">
        <v>2.0935241675900884</v>
      </c>
      <c r="E65">
        <f t="shared" si="0"/>
        <v>4.3828434402837724</v>
      </c>
      <c r="F65">
        <f t="shared" si="1"/>
        <v>1.4782086466264888</v>
      </c>
      <c r="G65">
        <f t="shared" si="2"/>
        <v>0.37861319033870605</v>
      </c>
    </row>
    <row r="66" spans="2:7" x14ac:dyDescent="0.25">
      <c r="B66">
        <v>38</v>
      </c>
      <c r="C66">
        <v>2.5217913533735112</v>
      </c>
      <c r="D66">
        <v>1.4782086466264888</v>
      </c>
      <c r="E66">
        <f t="shared" si="0"/>
        <v>2.1851008029613155</v>
      </c>
      <c r="F66">
        <f t="shared" si="1"/>
        <v>1.848546326322531</v>
      </c>
      <c r="G66">
        <f t="shared" si="2"/>
        <v>0.13714999700264838</v>
      </c>
    </row>
    <row r="67" spans="2:7" x14ac:dyDescent="0.25">
      <c r="B67">
        <v>39</v>
      </c>
      <c r="C67">
        <v>3.151453673677469</v>
      </c>
      <c r="D67">
        <v>1.848546326322531</v>
      </c>
      <c r="E67">
        <f t="shared" si="0"/>
        <v>3.4171235205605255</v>
      </c>
      <c r="F67">
        <f t="shared" si="1"/>
        <v>-1.432120313185842</v>
      </c>
      <c r="G67">
        <f t="shared" si="2"/>
        <v>10.762773599583161</v>
      </c>
    </row>
    <row r="68" spans="2:7" x14ac:dyDescent="0.25">
      <c r="B68">
        <v>40</v>
      </c>
      <c r="C68">
        <v>2.432120313185842</v>
      </c>
      <c r="D68">
        <v>-1.432120313185842</v>
      </c>
      <c r="E68">
        <f t="shared" si="0"/>
        <v>2.0509685914395139</v>
      </c>
      <c r="F68">
        <f t="shared" si="1"/>
        <v>0.81243974009148623</v>
      </c>
      <c r="G68">
        <f t="shared" si="2"/>
        <v>5.0380498327683227</v>
      </c>
    </row>
    <row r="69" spans="2:7" x14ac:dyDescent="0.25">
      <c r="B69">
        <v>41</v>
      </c>
      <c r="C69">
        <v>2.1875602599085138</v>
      </c>
      <c r="D69">
        <v>0.81243974009148623</v>
      </c>
      <c r="E69">
        <f t="shared" si="0"/>
        <v>0.66005833127992175</v>
      </c>
      <c r="F69">
        <f t="shared" si="1"/>
        <v>-1.2578313667831647</v>
      </c>
      <c r="G69">
        <f t="shared" si="2"/>
        <v>4.2860224559599924</v>
      </c>
    </row>
    <row r="70" spans="2:7" x14ac:dyDescent="0.25">
      <c r="B70">
        <v>42</v>
      </c>
      <c r="C70">
        <v>2.2578313667831647</v>
      </c>
      <c r="D70">
        <v>-1.2578313667831647</v>
      </c>
      <c r="E70">
        <f t="shared" si="0"/>
        <v>1.5821397472636041</v>
      </c>
      <c r="F70">
        <f t="shared" si="1"/>
        <v>-0.52179135337351124</v>
      </c>
      <c r="G70">
        <f t="shared" si="2"/>
        <v>0.54175490134008275</v>
      </c>
    </row>
    <row r="71" spans="2:7" x14ac:dyDescent="0.25">
      <c r="B71">
        <v>43</v>
      </c>
      <c r="C71">
        <v>2.5217913533735112</v>
      </c>
      <c r="D71">
        <v>-0.52179135337351124</v>
      </c>
      <c r="E71">
        <f t="shared" si="0"/>
        <v>0.27226621645536048</v>
      </c>
      <c r="F71">
        <f t="shared" si="1"/>
        <v>-1.0470180461592129</v>
      </c>
      <c r="G71">
        <f t="shared" si="2"/>
        <v>0.27586307881460581</v>
      </c>
    </row>
    <row r="72" spans="2:7" x14ac:dyDescent="0.25">
      <c r="B72">
        <v>44</v>
      </c>
      <c r="C72">
        <v>2.0470180461592129</v>
      </c>
      <c r="D72">
        <v>-1.0470180461592129</v>
      </c>
      <c r="E72">
        <f t="shared" si="0"/>
        <v>1.0962467889830556</v>
      </c>
      <c r="F72">
        <f t="shared" si="1"/>
        <v>-0.5726625269351433</v>
      </c>
      <c r="G72">
        <f t="shared" si="2"/>
        <v>0.22501315861833665</v>
      </c>
    </row>
    <row r="73" spans="2:7" x14ac:dyDescent="0.25">
      <c r="B73">
        <v>45</v>
      </c>
      <c r="C73">
        <v>2.5726625269351433</v>
      </c>
      <c r="D73">
        <v>-0.5726625269351433</v>
      </c>
      <c r="E73">
        <f t="shared" si="0"/>
        <v>0.3279423697557437</v>
      </c>
      <c r="F73">
        <f t="shared" si="1"/>
        <v>-0.90689362040014077</v>
      </c>
      <c r="G73">
        <f t="shared" si="2"/>
        <v>0.11171042383880787</v>
      </c>
    </row>
    <row r="74" spans="2:7" x14ac:dyDescent="0.25">
      <c r="B74">
        <v>46</v>
      </c>
      <c r="C74">
        <v>2.9068936204001408</v>
      </c>
      <c r="D74">
        <v>-0.90689362040014077</v>
      </c>
      <c r="E74">
        <f t="shared" si="0"/>
        <v>0.82245603872247464</v>
      </c>
      <c r="F74">
        <f t="shared" si="1"/>
        <v>-0.38124913962421036</v>
      </c>
      <c r="G74">
        <f t="shared" si="2"/>
        <v>0.27630212017019745</v>
      </c>
    </row>
    <row r="75" spans="2:7" x14ac:dyDescent="0.25">
      <c r="B75">
        <v>47</v>
      </c>
      <c r="C75">
        <v>2.3812491396242104</v>
      </c>
      <c r="D75">
        <v>-0.38124913962421036</v>
      </c>
      <c r="E75">
        <f t="shared" si="0"/>
        <v>0.14535090646420065</v>
      </c>
      <c r="F75">
        <f t="shared" si="1"/>
        <v>-0.66233356712281255</v>
      </c>
      <c r="G75">
        <f t="shared" si="2"/>
        <v>7.9008455382216944E-2</v>
      </c>
    </row>
    <row r="76" spans="2:7" x14ac:dyDescent="0.25">
      <c r="B76">
        <v>48</v>
      </c>
      <c r="C76">
        <v>2.6623335671228125</v>
      </c>
      <c r="D76">
        <v>-0.66233356712281255</v>
      </c>
      <c r="E76">
        <f t="shared" si="0"/>
        <v>0.43868575413762922</v>
      </c>
      <c r="F76">
        <f t="shared" si="1"/>
        <v>0.4273374730648567</v>
      </c>
      <c r="G76">
        <f t="shared" si="2"/>
        <v>1.1873829758236771</v>
      </c>
    </row>
    <row r="77" spans="2:7" x14ac:dyDescent="0.25">
      <c r="B77">
        <v>49</v>
      </c>
      <c r="C77">
        <v>2.5726625269351433</v>
      </c>
      <c r="D77">
        <v>0.4273374730648567</v>
      </c>
      <c r="E77">
        <f t="shared" si="0"/>
        <v>0.18261731588545713</v>
      </c>
      <c r="F77">
        <f t="shared" si="1"/>
        <v>-1.3228632735251007</v>
      </c>
      <c r="G77">
        <f t="shared" si="2"/>
        <v>3.0632026533640442</v>
      </c>
    </row>
    <row r="78" spans="2:7" x14ac:dyDescent="0.25">
      <c r="B78">
        <v>50</v>
      </c>
      <c r="C78">
        <v>3.3228632735251007</v>
      </c>
      <c r="D78">
        <v>-1.3228632735251007</v>
      </c>
      <c r="E78">
        <f t="shared" si="0"/>
        <v>1.7499672404415454</v>
      </c>
      <c r="F78">
        <f t="shared" si="1"/>
        <v>0.53659451272559799</v>
      </c>
      <c r="G78">
        <f t="shared" si="2"/>
        <v>3.4575832588483491</v>
      </c>
    </row>
    <row r="79" spans="2:7" x14ac:dyDescent="0.25">
      <c r="B79">
        <v>51</v>
      </c>
      <c r="C79">
        <v>3.463405487274402</v>
      </c>
      <c r="D79">
        <v>0.53659451272559799</v>
      </c>
      <c r="E79">
        <f t="shared" si="0"/>
        <v>0.28793367108722195</v>
      </c>
      <c r="F79">
        <f t="shared" si="1"/>
        <v>0.60686561960024887</v>
      </c>
      <c r="G79">
        <f t="shared" si="2"/>
        <v>4.9380284613886058E-3</v>
      </c>
    </row>
    <row r="80" spans="2:7" x14ac:dyDescent="0.25">
      <c r="B80">
        <v>52</v>
      </c>
      <c r="C80">
        <v>3.3931343803997511</v>
      </c>
      <c r="D80">
        <v>0.60686561960024887</v>
      </c>
      <c r="E80">
        <f t="shared" si="0"/>
        <v>0.36828588025279396</v>
      </c>
      <c r="F80">
        <f t="shared" si="1"/>
        <v>-0.11728915303386334</v>
      </c>
      <c r="G80">
        <f t="shared" si="2"/>
        <v>0.52440013472876279</v>
      </c>
    </row>
    <row r="81" spans="2:7" x14ac:dyDescent="0.25">
      <c r="B81">
        <v>53</v>
      </c>
      <c r="C81">
        <v>2.1172891530338633</v>
      </c>
      <c r="D81">
        <v>-0.11728915303386334</v>
      </c>
      <c r="E81">
        <f t="shared" si="0"/>
        <v>1.3756745419401013E-2</v>
      </c>
      <c r="F81">
        <f t="shared" si="1"/>
        <v>-0.61798587352318268</v>
      </c>
      <c r="G81">
        <f t="shared" si="2"/>
        <v>0.2506972059087596</v>
      </c>
    </row>
    <row r="82" spans="2:7" x14ac:dyDescent="0.25">
      <c r="B82">
        <v>54</v>
      </c>
      <c r="C82">
        <v>3.6179858735231827</v>
      </c>
      <c r="D82">
        <v>-0.61798587352318268</v>
      </c>
      <c r="E82">
        <f t="shared" si="0"/>
        <v>0.38190653987421114</v>
      </c>
      <c r="F82">
        <f t="shared" si="1"/>
        <v>-0.81321788744326717</v>
      </c>
      <c r="G82">
        <f t="shared" si="2"/>
        <v>3.8115539259292064E-2</v>
      </c>
    </row>
    <row r="83" spans="2:7" x14ac:dyDescent="0.25">
      <c r="B83">
        <v>55</v>
      </c>
      <c r="C83">
        <v>3.8132178874432672</v>
      </c>
      <c r="D83">
        <v>-0.81321788744326717</v>
      </c>
      <c r="E83">
        <f t="shared" si="0"/>
        <v>0.66132333245769037</v>
      </c>
      <c r="F83">
        <f t="shared" si="1"/>
        <v>-1.3228632735251007</v>
      </c>
      <c r="G83">
        <f t="shared" si="2"/>
        <v>0.25973841955450117</v>
      </c>
    </row>
    <row r="84" spans="2:7" x14ac:dyDescent="0.25">
      <c r="B84">
        <v>56</v>
      </c>
      <c r="C84">
        <v>3.3228632735251007</v>
      </c>
      <c r="D84">
        <v>-1.3228632735251007</v>
      </c>
      <c r="E84">
        <f t="shared" si="0"/>
        <v>1.7499672404415454</v>
      </c>
      <c r="F84">
        <f t="shared" si="1"/>
        <v>1.4663234058509476</v>
      </c>
      <c r="G84">
        <f t="shared" si="2"/>
        <v>7.7795623324087861</v>
      </c>
    </row>
    <row r="85" spans="2:7" x14ac:dyDescent="0.25">
      <c r="B85">
        <v>57</v>
      </c>
      <c r="C85">
        <v>3.5336765941490524</v>
      </c>
      <c r="D85">
        <v>1.4663234058509476</v>
      </c>
      <c r="E85">
        <f t="shared" si="0"/>
        <v>2.1501043305463226</v>
      </c>
      <c r="F85">
        <f t="shared" si="1"/>
        <v>0.32732432630603414</v>
      </c>
      <c r="G85">
        <f t="shared" si="2"/>
        <v>1.2973189032041601</v>
      </c>
    </row>
    <row r="86" spans="2:7" x14ac:dyDescent="0.25">
      <c r="B86">
        <v>58</v>
      </c>
      <c r="C86">
        <v>3.6726756736939659</v>
      </c>
      <c r="D86">
        <v>0.32732432630603414</v>
      </c>
      <c r="E86">
        <f t="shared" si="0"/>
        <v>0.10714121459169912</v>
      </c>
      <c r="F86">
        <f t="shared" si="1"/>
        <v>-5.8903286934753663E-2</v>
      </c>
      <c r="G86">
        <f t="shared" si="2"/>
        <v>0.14917176922967557</v>
      </c>
    </row>
    <row r="87" spans="2:7" x14ac:dyDescent="0.25">
      <c r="B87">
        <v>59</v>
      </c>
      <c r="C87">
        <v>3.0589032869347537</v>
      </c>
      <c r="D87">
        <v>-5.8903286934753663E-2</v>
      </c>
      <c r="E87">
        <f t="shared" si="0"/>
        <v>3.4695972117179215E-3</v>
      </c>
      <c r="F87">
        <f t="shared" si="1"/>
        <v>4.6239898807431956E-2</v>
      </c>
      <c r="G87">
        <f t="shared" si="2"/>
        <v>1.1055089508015745E-2</v>
      </c>
    </row>
    <row r="88" spans="2:7" x14ac:dyDescent="0.25">
      <c r="B88">
        <v>60</v>
      </c>
      <c r="C88">
        <v>3.953760101192568</v>
      </c>
      <c r="D88">
        <v>4.6239898807431956E-2</v>
      </c>
      <c r="E88">
        <f t="shared" si="0"/>
        <v>2.1381282417215473E-3</v>
      </c>
      <c r="F88">
        <f t="shared" si="1"/>
        <v>0.81767894022420062</v>
      </c>
      <c r="G88">
        <f t="shared" si="2"/>
        <v>0.59511819462202298</v>
      </c>
    </row>
    <row r="89" spans="2:7" x14ac:dyDescent="0.25">
      <c r="B89">
        <v>61</v>
      </c>
      <c r="C89">
        <v>3.1823210597757994</v>
      </c>
      <c r="D89">
        <v>0.81767894022420062</v>
      </c>
      <c r="E89">
        <f t="shared" si="0"/>
        <v>0.66859884928617186</v>
      </c>
      <c r="F89">
        <f t="shared" si="1"/>
        <v>0.91830934066477798</v>
      </c>
      <c r="G89">
        <f t="shared" si="2"/>
        <v>1.0126477492830953E-2</v>
      </c>
    </row>
    <row r="90" spans="2:7" x14ac:dyDescent="0.25">
      <c r="B90">
        <v>62</v>
      </c>
      <c r="C90">
        <v>2.081690659335222</v>
      </c>
      <c r="D90">
        <v>0.91830934066477798</v>
      </c>
      <c r="E90">
        <f t="shared" si="0"/>
        <v>0.84329204515217926</v>
      </c>
      <c r="F90">
        <f t="shared" si="1"/>
        <v>0.92293128711573758</v>
      </c>
      <c r="G90">
        <f t="shared" si="2"/>
        <v>2.1362388995537956E-5</v>
      </c>
    </row>
    <row r="91" spans="2:7" x14ac:dyDescent="0.25">
      <c r="B91">
        <v>63</v>
      </c>
      <c r="C91">
        <v>3.0770687128842624</v>
      </c>
      <c r="D91">
        <v>0.92293128711573758</v>
      </c>
      <c r="E91">
        <f t="shared" si="0"/>
        <v>0.85180216073711201</v>
      </c>
      <c r="F91">
        <f t="shared" si="1"/>
        <v>-0.23299276764590537</v>
      </c>
      <c r="G91">
        <f t="shared" si="2"/>
        <v>1.3361604203765978</v>
      </c>
    </row>
    <row r="92" spans="2:7" x14ac:dyDescent="0.25">
      <c r="B92">
        <v>64</v>
      </c>
      <c r="C92">
        <v>4.2329927676459054</v>
      </c>
      <c r="D92">
        <v>-0.23299276764590537</v>
      </c>
      <c r="E92">
        <f t="shared" si="0"/>
        <v>5.4285629775298848E-2</v>
      </c>
      <c r="F92">
        <f t="shared" si="1"/>
        <v>0.24167137841904207</v>
      </c>
      <c r="G92">
        <f t="shared" si="2"/>
        <v>0.22530605155956576</v>
      </c>
    </row>
    <row r="93" spans="2:7" x14ac:dyDescent="0.25">
      <c r="B93">
        <v>65</v>
      </c>
      <c r="C93">
        <v>4.7583286215809579</v>
      </c>
      <c r="D93">
        <v>0.24167137841904207</v>
      </c>
      <c r="E93">
        <f t="shared" si="0"/>
        <v>5.8405055146959831E-2</v>
      </c>
      <c r="F93">
        <f t="shared" si="1"/>
        <v>0.23406638133938951</v>
      </c>
      <c r="G93">
        <f t="shared" si="2"/>
        <v>5.7835980581524038E-5</v>
      </c>
    </row>
    <row r="94" spans="2:7" x14ac:dyDescent="0.25">
      <c r="B94">
        <v>66</v>
      </c>
      <c r="C94">
        <v>1.7659336186606105</v>
      </c>
      <c r="D94">
        <v>0.23406638133938951</v>
      </c>
      <c r="E94">
        <f t="shared" ref="E94:E118" si="3">D94^2</f>
        <v>5.478707087331651E-2</v>
      </c>
      <c r="F94">
        <f t="shared" ref="F94:F117" si="4">D95</f>
        <v>0.28653824136471928</v>
      </c>
      <c r="G94">
        <f t="shared" ref="G94:G117" si="5">(F94-D94)^2</f>
        <v>2.7532960945178008E-3</v>
      </c>
    </row>
    <row r="95" spans="2:7" x14ac:dyDescent="0.25">
      <c r="B95">
        <v>67</v>
      </c>
      <c r="C95">
        <v>1.7134617586352807</v>
      </c>
      <c r="D95">
        <v>0.28653824136471928</v>
      </c>
      <c r="E95">
        <f t="shared" si="3"/>
        <v>8.2104163764386118E-2</v>
      </c>
      <c r="F95">
        <f t="shared" si="4"/>
        <v>0.33232248022754929</v>
      </c>
      <c r="G95">
        <f t="shared" si="5"/>
        <v>2.0961965282486734E-3</v>
      </c>
    </row>
    <row r="96" spans="2:7" x14ac:dyDescent="0.25">
      <c r="B96">
        <v>68</v>
      </c>
      <c r="C96">
        <v>1.6676775197724507</v>
      </c>
      <c r="D96">
        <v>0.33232248022754929</v>
      </c>
      <c r="E96">
        <f t="shared" si="3"/>
        <v>0.11043823086458988</v>
      </c>
      <c r="F96">
        <f t="shared" si="4"/>
        <v>0.83727833922874595</v>
      </c>
      <c r="G96">
        <f t="shared" si="5"/>
        <v>0.2549804195396364</v>
      </c>
    </row>
    <row r="97" spans="2:7" x14ac:dyDescent="0.25">
      <c r="B97">
        <v>69</v>
      </c>
      <c r="C97">
        <v>4.1627216607712541</v>
      </c>
      <c r="D97">
        <v>0.83727833922874595</v>
      </c>
      <c r="E97">
        <f t="shared" si="3"/>
        <v>0.70103501734164697</v>
      </c>
      <c r="F97">
        <f t="shared" si="4"/>
        <v>0.7323346191780864</v>
      </c>
      <c r="G97">
        <f t="shared" si="5"/>
        <v>1.1013184378071203E-2</v>
      </c>
    </row>
    <row r="98" spans="2:7" x14ac:dyDescent="0.25">
      <c r="B98">
        <v>70</v>
      </c>
      <c r="C98">
        <v>4.2676653808219136</v>
      </c>
      <c r="D98">
        <v>0.7323346191780864</v>
      </c>
      <c r="E98">
        <f t="shared" si="3"/>
        <v>0.53631399444671279</v>
      </c>
      <c r="F98">
        <f t="shared" si="4"/>
        <v>2.1477961797706424</v>
      </c>
      <c r="G98">
        <f t="shared" si="5"/>
        <v>2.0035314295151143</v>
      </c>
    </row>
    <row r="99" spans="2:7" x14ac:dyDescent="0.25">
      <c r="B99">
        <v>71</v>
      </c>
      <c r="C99">
        <v>2.8522038202293576</v>
      </c>
      <c r="D99">
        <v>2.1477961797706424</v>
      </c>
      <c r="E99">
        <f t="shared" si="3"/>
        <v>4.6130284298373656</v>
      </c>
      <c r="F99">
        <f t="shared" si="4"/>
        <v>-0.83754839404812254</v>
      </c>
      <c r="G99">
        <f t="shared" si="5"/>
        <v>8.9122822244291431</v>
      </c>
    </row>
    <row r="100" spans="2:7" x14ac:dyDescent="0.25">
      <c r="B100">
        <v>72</v>
      </c>
      <c r="C100">
        <v>2.8375483940481225</v>
      </c>
      <c r="D100">
        <v>-0.83754839404812254</v>
      </c>
      <c r="E100">
        <f t="shared" si="3"/>
        <v>0.7014873123725891</v>
      </c>
      <c r="F100">
        <f t="shared" si="4"/>
        <v>-0.6617163134410573</v>
      </c>
      <c r="G100">
        <f t="shared" si="5"/>
        <v>3.0916920570609487E-2</v>
      </c>
    </row>
    <row r="101" spans="2:7" x14ac:dyDescent="0.25">
      <c r="B101">
        <v>73</v>
      </c>
      <c r="C101">
        <v>2.6617163134410573</v>
      </c>
      <c r="D101">
        <v>-0.6617163134410573</v>
      </c>
      <c r="E101">
        <f t="shared" si="3"/>
        <v>0.43786847947402358</v>
      </c>
      <c r="F101">
        <f t="shared" si="4"/>
        <v>0.18781715422871725</v>
      </c>
      <c r="G101">
        <f t="shared" si="5"/>
        <v>0.72170711269103194</v>
      </c>
    </row>
    <row r="102" spans="2:7" x14ac:dyDescent="0.25">
      <c r="B102">
        <v>74</v>
      </c>
      <c r="C102">
        <v>2.8121828457712827</v>
      </c>
      <c r="D102">
        <v>0.18781715422871725</v>
      </c>
      <c r="E102">
        <f t="shared" si="3"/>
        <v>3.5275283422573765E-2</v>
      </c>
      <c r="F102">
        <f t="shared" si="4"/>
        <v>-2.1982109933205445</v>
      </c>
      <c r="G102">
        <f t="shared" si="5"/>
        <v>5.6931303208973612</v>
      </c>
    </row>
    <row r="103" spans="2:7" x14ac:dyDescent="0.25">
      <c r="B103">
        <v>75</v>
      </c>
      <c r="C103">
        <v>3.1982109933205445</v>
      </c>
      <c r="D103">
        <v>-2.1982109933205445</v>
      </c>
      <c r="E103">
        <f t="shared" si="3"/>
        <v>4.832131571155295</v>
      </c>
      <c r="F103">
        <f t="shared" si="4"/>
        <v>8.2147019346951122E-2</v>
      </c>
      <c r="G103">
        <f t="shared" si="5"/>
        <v>5.2000326659368499</v>
      </c>
    </row>
    <row r="104" spans="2:7" x14ac:dyDescent="0.25">
      <c r="B104">
        <v>76</v>
      </c>
      <c r="C104">
        <v>3.9178529806530489</v>
      </c>
      <c r="D104">
        <v>8.2147019346951122E-2</v>
      </c>
      <c r="E104">
        <f t="shared" si="3"/>
        <v>6.7481327875883622E-3</v>
      </c>
      <c r="F104">
        <f t="shared" si="4"/>
        <v>-0.76604277980996205</v>
      </c>
      <c r="G104">
        <f t="shared" si="5"/>
        <v>0.7194259353938447</v>
      </c>
    </row>
    <row r="105" spans="2:7" x14ac:dyDescent="0.25">
      <c r="B105">
        <v>77</v>
      </c>
      <c r="C105">
        <v>2.766042779809962</v>
      </c>
      <c r="D105">
        <v>-0.76604277980996205</v>
      </c>
      <c r="E105">
        <f t="shared" si="3"/>
        <v>0.58682154049897395</v>
      </c>
      <c r="F105">
        <f t="shared" si="4"/>
        <v>-1.3931343803997511</v>
      </c>
      <c r="G105">
        <f t="shared" si="5"/>
        <v>0.39324387553026358</v>
      </c>
    </row>
    <row r="106" spans="2:7" x14ac:dyDescent="0.25">
      <c r="B106">
        <v>78</v>
      </c>
      <c r="C106">
        <v>3.3931343803997511</v>
      </c>
      <c r="D106">
        <v>-1.3931343803997511</v>
      </c>
      <c r="E106">
        <f t="shared" si="3"/>
        <v>1.9408234018517985</v>
      </c>
      <c r="F106">
        <f t="shared" si="4"/>
        <v>1.3573749930310837</v>
      </c>
      <c r="G106">
        <f t="shared" si="5"/>
        <v>7.5653018133308834</v>
      </c>
    </row>
    <row r="107" spans="2:7" x14ac:dyDescent="0.25">
      <c r="B107">
        <v>79</v>
      </c>
      <c r="C107">
        <v>2.6426250069689163</v>
      </c>
      <c r="D107">
        <v>1.3573749930310837</v>
      </c>
      <c r="E107">
        <f t="shared" si="3"/>
        <v>1.8424668717061343</v>
      </c>
      <c r="F107">
        <f t="shared" si="4"/>
        <v>-0.49776947360953328</v>
      </c>
      <c r="G107">
        <f t="shared" si="5"/>
        <v>3.4415609921072989</v>
      </c>
    </row>
    <row r="108" spans="2:7" x14ac:dyDescent="0.25">
      <c r="B108">
        <v>80</v>
      </c>
      <c r="C108">
        <v>3.4977694736095333</v>
      </c>
      <c r="D108">
        <v>-0.49776947360953328</v>
      </c>
      <c r="E108">
        <f t="shared" si="3"/>
        <v>0.24777444885751185</v>
      </c>
      <c r="F108">
        <f t="shared" si="4"/>
        <v>1.3616883126411654</v>
      </c>
      <c r="G108">
        <f t="shared" si="5"/>
        <v>3.4575832588483491</v>
      </c>
    </row>
    <row r="109" spans="2:7" x14ac:dyDescent="0.25">
      <c r="B109">
        <v>81</v>
      </c>
      <c r="C109">
        <v>3.6383116873588346</v>
      </c>
      <c r="D109">
        <v>1.3616883126411654</v>
      </c>
      <c r="E109">
        <f t="shared" si="3"/>
        <v>1.8541950607835442</v>
      </c>
      <c r="F109">
        <f t="shared" si="4"/>
        <v>1.5019218995495893</v>
      </c>
      <c r="G109">
        <f t="shared" si="5"/>
        <v>1.9665458897202483E-2</v>
      </c>
    </row>
    <row r="110" spans="2:7" x14ac:dyDescent="0.25">
      <c r="B110">
        <v>82</v>
      </c>
      <c r="C110">
        <v>3.4980781004504107</v>
      </c>
      <c r="D110">
        <v>1.5019218995495893</v>
      </c>
      <c r="E110">
        <f t="shared" si="3"/>
        <v>2.2557693923466466</v>
      </c>
      <c r="F110">
        <f t="shared" si="4"/>
        <v>-1.1522703930507499</v>
      </c>
      <c r="G110">
        <f t="shared" si="5"/>
        <v>7.0447367260990443</v>
      </c>
    </row>
    <row r="111" spans="2:7" x14ac:dyDescent="0.25">
      <c r="B111">
        <v>83</v>
      </c>
      <c r="C111">
        <v>2.1522703930507499</v>
      </c>
      <c r="D111">
        <v>-1.1522703930507499</v>
      </c>
      <c r="E111">
        <f t="shared" si="3"/>
        <v>1.3277270587013295</v>
      </c>
      <c r="F111">
        <f t="shared" si="4"/>
        <v>-0.85189519338848019</v>
      </c>
      <c r="G111">
        <f t="shared" si="5"/>
        <v>9.0225260572148372E-2</v>
      </c>
    </row>
    <row r="112" spans="2:7" x14ac:dyDescent="0.25">
      <c r="B112">
        <v>84</v>
      </c>
      <c r="C112">
        <v>2.8518951933884802</v>
      </c>
      <c r="D112">
        <v>-0.85189519338848019</v>
      </c>
      <c r="E112">
        <f t="shared" si="3"/>
        <v>0.72572542051839606</v>
      </c>
      <c r="F112">
        <f t="shared" si="4"/>
        <v>-0.89907030102178531</v>
      </c>
      <c r="G112">
        <f t="shared" si="5"/>
        <v>2.2254907802139235E-3</v>
      </c>
    </row>
    <row r="113" spans="2:7" x14ac:dyDescent="0.25">
      <c r="B113">
        <v>85</v>
      </c>
      <c r="C113">
        <v>3.8990703010217853</v>
      </c>
      <c r="D113">
        <v>-0.89907030102178531</v>
      </c>
      <c r="E113">
        <f t="shared" si="3"/>
        <v>0.80832740617940368</v>
      </c>
      <c r="F113">
        <f t="shared" si="4"/>
        <v>-8.1999286176099417E-2</v>
      </c>
      <c r="G113">
        <f t="shared" si="5"/>
        <v>0.66760504330095904</v>
      </c>
    </row>
    <row r="114" spans="2:7" x14ac:dyDescent="0.25">
      <c r="B114">
        <v>86</v>
      </c>
      <c r="C114">
        <v>2.0819992861760994</v>
      </c>
      <c r="D114">
        <v>-8.1999286176099417E-2</v>
      </c>
      <c r="E114">
        <f t="shared" si="3"/>
        <v>6.7238829333898494E-3</v>
      </c>
      <c r="F114">
        <f t="shared" si="4"/>
        <v>0.41688620534435206</v>
      </c>
      <c r="G114">
        <f t="shared" si="5"/>
        <v>0.24888673364960245</v>
      </c>
    </row>
    <row r="115" spans="2:7" x14ac:dyDescent="0.25">
      <c r="B115">
        <v>87</v>
      </c>
      <c r="C115">
        <v>4.5831137946556479</v>
      </c>
      <c r="D115">
        <v>0.41688620534435206</v>
      </c>
      <c r="E115">
        <f t="shared" si="3"/>
        <v>0.17379410820641328</v>
      </c>
      <c r="F115">
        <f t="shared" si="4"/>
        <v>-0.23237551396414968</v>
      </c>
      <c r="G115">
        <f t="shared" si="5"/>
        <v>0.42154078015943169</v>
      </c>
    </row>
    <row r="116" spans="2:7" x14ac:dyDescent="0.25">
      <c r="B116">
        <v>88</v>
      </c>
      <c r="C116">
        <v>4.2323755139641497</v>
      </c>
      <c r="D116">
        <v>-0.23237551396414968</v>
      </c>
      <c r="E116">
        <f t="shared" si="3"/>
        <v>5.3998379490102721E-2</v>
      </c>
      <c r="F116">
        <f t="shared" si="4"/>
        <v>-0.40871568710361883</v>
      </c>
      <c r="G116">
        <f t="shared" si="5"/>
        <v>3.1095856662857958E-2</v>
      </c>
    </row>
    <row r="117" spans="2:7" x14ac:dyDescent="0.25">
      <c r="B117">
        <v>89</v>
      </c>
      <c r="C117">
        <v>3.4087156871036188</v>
      </c>
      <c r="D117">
        <v>-0.40871568710361883</v>
      </c>
      <c r="E117">
        <f t="shared" si="3"/>
        <v>0.16704851288458325</v>
      </c>
      <c r="F117">
        <f t="shared" si="4"/>
        <v>1.033277826791279E-2</v>
      </c>
      <c r="G117">
        <f t="shared" si="5"/>
        <v>0.17560161633023574</v>
      </c>
    </row>
    <row r="118" spans="2:7" ht="15.75" thickBot="1" x14ac:dyDescent="0.3">
      <c r="B118" s="19">
        <v>90</v>
      </c>
      <c r="C118" s="19">
        <v>3.9896672217320872</v>
      </c>
      <c r="D118" s="19">
        <v>1.033277826791279E-2</v>
      </c>
      <c r="E118" s="19">
        <f t="shared" si="3"/>
        <v>1.0676630673385083E-4</v>
      </c>
      <c r="F118" s="19"/>
      <c r="G118" s="19"/>
    </row>
    <row r="119" spans="2:7" x14ac:dyDescent="0.25">
      <c r="E119">
        <f>SUM(E29:E118)</f>
        <v>84.78558539560062</v>
      </c>
      <c r="G119">
        <f>SUM(G29:G118)</f>
        <v>180.55968331203053</v>
      </c>
    </row>
    <row r="120" spans="2:7" x14ac:dyDescent="0.25">
      <c r="E120" t="s">
        <v>106</v>
      </c>
      <c r="G120" t="s">
        <v>105</v>
      </c>
    </row>
  </sheetData>
  <mergeCells count="1">
    <mergeCell ref="S27:Y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PROJECT 2 PROBLEM DATA</vt:lpstr>
      <vt:lpstr>PROJ 2 PROB A</vt:lpstr>
      <vt:lpstr>PROJ 2 PROB B_C_D</vt:lpstr>
      <vt:lpstr>PROJ 2 PROB E</vt:lpstr>
      <vt:lpstr>PROJ 2 PROB F</vt:lpstr>
      <vt:lpstr>PROJ 2 PROB G</vt:lpstr>
      <vt:lpstr>PROJ 2 PROB H</vt:lpstr>
      <vt:lpstr>PROJ 2 PROB I_J BEST MODEL</vt:lpstr>
      <vt:lpstr>PROJ 2 PROB K</vt:lpstr>
      <vt:lpstr>PROJ 2 PROB 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marme</dc:creator>
  <cp:lastModifiedBy>Mark Addison</cp:lastModifiedBy>
  <dcterms:created xsi:type="dcterms:W3CDTF">2022-12-02T03:02:10Z</dcterms:created>
  <dcterms:modified xsi:type="dcterms:W3CDTF">2025-05-19T16:25:15Z</dcterms:modified>
</cp:coreProperties>
</file>